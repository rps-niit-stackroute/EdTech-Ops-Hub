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hidePivotFieldList="1"/>
  <mc:AlternateContent xmlns:mc="http://schemas.openxmlformats.org/markup-compatibility/2006">
    <mc:Choice Requires="x15">
      <x15ac:absPath xmlns:x15ac="http://schemas.microsoft.com/office/spreadsheetml/2010/11/ac" url="https://niit-my.sharepoint.com/personal/shubham_undekar_in_niit_com/Documents/Weekly Reports_SR MLP Team/Final Consolidated Reports/CTS/"/>
    </mc:Choice>
  </mc:AlternateContent>
  <xr:revisionPtr revIDLastSave="3762" documentId="8_{A877CE57-8C71-424C-B1B4-F41B6AD015E1}" xr6:coauthVersionLast="47" xr6:coauthVersionMax="47" xr10:uidLastSave="{A49720CD-2E6A-44CF-9689-E4D24D028768}"/>
  <bookViews>
    <workbookView xWindow="-110" yWindow="-110" windowWidth="19420" windowHeight="10300" firstSheet="4" activeTab="6" xr2:uid="{0F2A105B-0CC0-4CAF-A647-EB79DEB78F19}"/>
  </bookViews>
  <sheets>
    <sheet name="Consolidated Report" sheetId="1" r:id="rId1"/>
    <sheet name="Overall Attendance %" sheetId="2" r:id="rId2"/>
    <sheet name="Login" sheetId="7" r:id="rId3"/>
    <sheet name="Feedback" sheetId="4" r:id="rId4"/>
    <sheet name="Cognitive Activity" sheetId="8" r:id="rId5"/>
    <sheet name="In session Group Activites" sheetId="9" r:id="rId6"/>
    <sheet name="Intropsect Submission" sheetId="10" r:id="rId7"/>
  </sheets>
  <definedNames>
    <definedName name="_xlnm._FilterDatabase" localSheetId="0" hidden="1">'Consolidated Report'!$A$1:$J$26</definedName>
    <definedName name="_xlnm._FilterDatabase" localSheetId="3" hidden="1">Feedback!$A$1:$I$44</definedName>
    <definedName name="_xlnm._FilterDatabase" localSheetId="1" hidden="1">'Overall Attendance %'!$A$1:$E$19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C3" i="2"/>
  <c r="D5" i="2"/>
  <c r="D26" i="2"/>
  <c r="C26" i="2"/>
  <c r="D25" i="2"/>
  <c r="C25" i="2"/>
  <c r="D24" i="2"/>
  <c r="C24" i="2"/>
  <c r="D23" i="2"/>
  <c r="C23" i="2"/>
  <c r="D22" i="2"/>
  <c r="C22" i="2"/>
  <c r="D21" i="2"/>
  <c r="C21" i="2"/>
  <c r="D20" i="2"/>
  <c r="C20" i="2"/>
  <c r="E20" i="2" l="1"/>
  <c r="E21" i="2"/>
  <c r="E22" i="2"/>
  <c r="E23" i="2"/>
  <c r="E24" i="2"/>
  <c r="E25" i="2"/>
  <c r="E26" i="2"/>
  <c r="C12" i="2"/>
  <c r="D12" i="2"/>
  <c r="C13" i="2"/>
  <c r="D13" i="2"/>
  <c r="C14" i="2"/>
  <c r="D14" i="2"/>
  <c r="C15" i="2"/>
  <c r="D15" i="2"/>
  <c r="C16" i="2"/>
  <c r="D16" i="2"/>
  <c r="C17" i="2"/>
  <c r="D17" i="2"/>
  <c r="C18" i="2"/>
  <c r="D18" i="2"/>
  <c r="C19" i="2"/>
  <c r="D19" i="2"/>
  <c r="E17" i="2" l="1"/>
  <c r="E19" i="2"/>
  <c r="E14" i="2"/>
  <c r="E18" i="2"/>
  <c r="E16" i="2"/>
  <c r="E13" i="2"/>
  <c r="E12" i="2"/>
  <c r="E15" i="2"/>
  <c r="D10" i="2"/>
  <c r="D9" i="2"/>
  <c r="D7" i="2"/>
  <c r="C4" i="2"/>
  <c r="D4" i="2"/>
  <c r="C5" i="2"/>
  <c r="C6" i="2"/>
  <c r="D6" i="2"/>
  <c r="C7" i="2"/>
  <c r="C8" i="2"/>
  <c r="D8" i="2"/>
  <c r="C9" i="2"/>
  <c r="C10" i="2"/>
  <c r="C11" i="2"/>
  <c r="D11" i="2"/>
  <c r="E11" i="2" l="1"/>
  <c r="E8" i="2"/>
  <c r="E7" i="2"/>
  <c r="E9" i="2"/>
  <c r="E10" i="2"/>
  <c r="E6" i="2" l="1"/>
  <c r="E4" i="2" l="1"/>
  <c r="E3" i="2"/>
  <c r="E5" i="2"/>
</calcChain>
</file>

<file path=xl/sharedStrings.xml><?xml version="1.0" encoding="utf-8"?>
<sst xmlns="http://schemas.openxmlformats.org/spreadsheetml/2006/main" count="3686" uniqueCount="1353">
  <si>
    <t>S. No</t>
  </si>
  <si>
    <t>Associate Name</t>
  </si>
  <si>
    <t>Pre Program Status</t>
  </si>
  <si>
    <t>Self Study Activities</t>
  </si>
  <si>
    <t xml:space="preserve">Kickoff​ (18-03-26)	</t>
  </si>
  <si>
    <t xml:space="preserve">Applying Design Thinking for Architecture Practice​ (23-03-26)	</t>
  </si>
  <si>
    <t xml:space="preserve">Architecture Concepts, Techniques and Tools- 1​​ (25-03-26)	</t>
  </si>
  <si>
    <t>Architecture Concepts, Techniques and Tools- 2​​ (30-03-26)</t>
  </si>
  <si>
    <t>Architecture Patterns and choosing the appropriate Styles- 1​ (1-04-26)</t>
  </si>
  <si>
    <t>Architecture Patterns and choosing the appropriate Styles- 2​​​ (6-04-26)</t>
  </si>
  <si>
    <t>GenAI and Prompt Engg for Architects- 1​​​ (8-04-26)</t>
  </si>
  <si>
    <t>GenAI and Prompt Engg for Architects- 2​​​ (13-04-26)</t>
  </si>
  <si>
    <t>Design and deploy DevOps pipeline and Automation Essentials- 1​​​​ (16-04-26)</t>
  </si>
  <si>
    <t xml:space="preserve">Design and deploy DevOps pipeline and Automation Essentials-2​​​​​ (20-04-26)	</t>
  </si>
  <si>
    <t xml:space="preserve">Deployment Patterns and Software Testing Primer​ (22-04-26)	</t>
  </si>
  <si>
    <t xml:space="preserve">Security By Design​ (27-04-26)	</t>
  </si>
  <si>
    <t>Process of Architecting (7 Steps discovery), Architecture Vision &amp; Roadmap​​ (29-04-26)</t>
  </si>
  <si>
    <t>Architecture Definition Document and Documentation​ (4-05-26)</t>
  </si>
  <si>
    <t xml:space="preserve">Case driven workshops on Architecting for Digital Transformation-1​ (Application Architecture) (6-05-26)	</t>
  </si>
  <si>
    <t>Case driven workshops on Architecting for Digital Transformation-2​ (Application Architecture) (11-05-26)</t>
  </si>
  <si>
    <t>Case driven workshops on Architecting for Digital Transformation-3 (Application Architecture) (13-05-26)</t>
  </si>
  <si>
    <t>Review and Refactor for Final Introspect ( Group)​ (18-05-26)</t>
  </si>
  <si>
    <t>Final Introspect  (20-05-26)</t>
  </si>
  <si>
    <t>Activity 1</t>
  </si>
  <si>
    <t>Activity 2</t>
  </si>
  <si>
    <t>Activity 3</t>
  </si>
  <si>
    <t>Activity 4</t>
  </si>
  <si>
    <t>Activity 5</t>
  </si>
  <si>
    <t>Activity 6</t>
  </si>
  <si>
    <t>Activity 7</t>
  </si>
  <si>
    <t>Attendance</t>
  </si>
  <si>
    <t>Attentiveness</t>
  </si>
  <si>
    <t>Seshadri Rajan</t>
  </si>
  <si>
    <t>Completed</t>
  </si>
  <si>
    <t>Yes</t>
  </si>
  <si>
    <t>No</t>
  </si>
  <si>
    <t>Mrudul Gupta</t>
  </si>
  <si>
    <t>Naveen P</t>
  </si>
  <si>
    <t>Abdul Baseer Saleem</t>
  </si>
  <si>
    <t>Vindhyachal Tiwari</t>
  </si>
  <si>
    <t>Sasirekha Krishnan</t>
  </si>
  <si>
    <t>Senthil Chandramohan</t>
  </si>
  <si>
    <t>Sanathkumar Basetty</t>
  </si>
  <si>
    <t>Rahul Kumar</t>
  </si>
  <si>
    <t xml:space="preserve">Pending </t>
  </si>
  <si>
    <t>Chakradhar Reddy Gurrala</t>
  </si>
  <si>
    <t>Rakesh Sahu</t>
  </si>
  <si>
    <t>Suman R</t>
  </si>
  <si>
    <t>Mohammed Irfan Khan</t>
  </si>
  <si>
    <t>Sneha Babychan</t>
  </si>
  <si>
    <t>Koushik Mahakal</t>
  </si>
  <si>
    <t>Sathish Kumar Panjatcharam</t>
  </si>
  <si>
    <t>Tushar Kamble</t>
  </si>
  <si>
    <t>Banupriya Paramasivan</t>
  </si>
  <si>
    <t>Karthika P</t>
  </si>
  <si>
    <t>Mounika Naradagunta</t>
  </si>
  <si>
    <t>Chethan K P</t>
  </si>
  <si>
    <t>Sathish Kumar Narayanan</t>
  </si>
  <si>
    <t>Shimali Thabassum</t>
  </si>
  <si>
    <t>Paras Shah</t>
  </si>
  <si>
    <t>S.No</t>
  </si>
  <si>
    <t>Name</t>
  </si>
  <si>
    <t>Total sessions Conducted</t>
  </si>
  <si>
    <t>Total sessions attended</t>
  </si>
  <si>
    <t>% of attended sessions</t>
  </si>
  <si>
    <t>Architecture Concepts, Techniques and Tools- 1​​ (25-03-26)</t>
  </si>
  <si>
    <t>Overall</t>
  </si>
  <si>
    <t>Kickoff​ (18-03-26)</t>
  </si>
  <si>
    <t>Applying Design Thinking for Architecture Practice​ (23-03-26)</t>
  </si>
  <si>
    <t>Design and deploy DevOps pipeline and Automation Essentials-2​​​​​ (20-04-26)</t>
  </si>
  <si>
    <t>Deployment Patterns and Software Testing Primer​ (22-04-26)</t>
  </si>
  <si>
    <t>Security By Design​ (27-04-26)</t>
  </si>
  <si>
    <t>Case driven workshops on Architecting for Digital Transformation-1​ (Application Architecture) (6-05-26)</t>
  </si>
  <si>
    <t>First Join</t>
  </si>
  <si>
    <t>Last Leave</t>
  </si>
  <si>
    <t>In-Meeting Duration</t>
  </si>
  <si>
    <t>S, Santhoshkumar (Cognizant)</t>
  </si>
  <si>
    <t>3/18/26, 9:56:34 AM</t>
  </si>
  <si>
    <t>3/18/26, 11:04:10 AM</t>
  </si>
  <si>
    <t>1h 7m 35s</t>
  </si>
  <si>
    <t>3/23/26, 7:49:36 AM</t>
  </si>
  <si>
    <t>3/23/26, 11:16:45 AM</t>
  </si>
  <si>
    <t>3h 27m 9s</t>
  </si>
  <si>
    <t>3/25/26, 7:53:04 AM</t>
  </si>
  <si>
    <t>3/25/26, 11:00:28 AM</t>
  </si>
  <si>
    <t>3h 7m 23s</t>
  </si>
  <si>
    <t>3/30/26, 7:54:02 AM</t>
  </si>
  <si>
    <t>3/30/26, 11:03:34 AM</t>
  </si>
  <si>
    <t>3h 9m 32s</t>
  </si>
  <si>
    <t>Kumar, Rahul (Cognizant)</t>
  </si>
  <si>
    <t>4/01/26, 7:59:46 AM</t>
  </si>
  <si>
    <t>4/01/26, 11:03:14 AM</t>
  </si>
  <si>
    <t>3h 3m 28s</t>
  </si>
  <si>
    <t>Rajan, Seshadri (Cognizant)</t>
  </si>
  <si>
    <t>4/06/26, 7:59:14 AM</t>
  </si>
  <si>
    <t>4/06/26, 11:04:20 AM</t>
  </si>
  <si>
    <t>3h 5m 6s</t>
  </si>
  <si>
    <t>4/08/26, 7:56:43 AM</t>
  </si>
  <si>
    <t>4/08/26, 11:01:39 AM</t>
  </si>
  <si>
    <t>2h 54m 21s</t>
  </si>
  <si>
    <t>4/13/26, 7:58:27 AM</t>
  </si>
  <si>
    <t>4/13/26, 11:12:49 AM</t>
  </si>
  <si>
    <t>3h 14m 22s</t>
  </si>
  <si>
    <t>4/16/26, 7:57:23 AM</t>
  </si>
  <si>
    <t>4/16/26, 8:45:18 AM</t>
  </si>
  <si>
    <t>47m 54s</t>
  </si>
  <si>
    <t>4/20/26, 7:57:06 AM</t>
  </si>
  <si>
    <t>4/20/26, 10:58:57 AM</t>
  </si>
  <si>
    <t>2h 56m 55s</t>
  </si>
  <si>
    <t>Tiwari, Vindhyachal (Cognizant)</t>
  </si>
  <si>
    <t>4/22/26, 8:00:24 AM</t>
  </si>
  <si>
    <t>4/22/26, 11:00:15 AM</t>
  </si>
  <si>
    <t>2h 59m 49s</t>
  </si>
  <si>
    <t>4/27/26, 7:58:31 AM</t>
  </si>
  <si>
    <t>4/27/26, 11:01:02 AM</t>
  </si>
  <si>
    <t>3h 2m 30s</t>
  </si>
  <si>
    <t>P, Karthika (Cognizant)</t>
  </si>
  <si>
    <t>4/29/26, 8:00:03 AM</t>
  </si>
  <si>
    <t>4/29/26, 11:01:46 AM</t>
  </si>
  <si>
    <t>3h 1m 46s</t>
  </si>
  <si>
    <t>Narayanan, Sathish Kumar (Cognizant)</t>
  </si>
  <si>
    <t>5/04/26, 7:59:25 AM</t>
  </si>
  <si>
    <t>5/04/26, 11:02:44 AM</t>
  </si>
  <si>
    <t>3h 3m 19s</t>
  </si>
  <si>
    <t>Chandramohan, Senthil (Cognizant)</t>
  </si>
  <si>
    <t>5/06/26, 7:59:49 AM</t>
  </si>
  <si>
    <t>5/06/26, 11:04:48 AM</t>
  </si>
  <si>
    <t>3h 2m 29s</t>
  </si>
  <si>
    <t>5/11/26, 7:59:43 AM</t>
  </si>
  <si>
    <t>5/11/26, 11:01:49 AM</t>
  </si>
  <si>
    <t>3h 2m 5s</t>
  </si>
  <si>
    <t>5/13/26, 7:58:22 AM</t>
  </si>
  <si>
    <t>5/13/26, 10:50:51 AM</t>
  </si>
  <si>
    <t>2h 52m 28s</t>
  </si>
  <si>
    <t>5/18/26, 7:59:40 AM</t>
  </si>
  <si>
    <t>5/18/26, 11:14:57 AM</t>
  </si>
  <si>
    <t>3h 14m</t>
  </si>
  <si>
    <t>5/20/26, 7:58:51 AM</t>
  </si>
  <si>
    <t>5/20/26, 11:01:57 AM</t>
  </si>
  <si>
    <t>3h 3m 6s</t>
  </si>
  <si>
    <t>Babychan, Sneha (Cognizant)</t>
  </si>
  <si>
    <t>3/18/26, 9:56:57 AM</t>
  </si>
  <si>
    <t>3/18/26, 11:04:04 AM</t>
  </si>
  <si>
    <t>1h 4m 51s</t>
  </si>
  <si>
    <t>Naradagunta, Mounika (Cognizant)</t>
  </si>
  <si>
    <t>3/23/26, 7:54:00 AM</t>
  </si>
  <si>
    <t>3/23/26, 11:16:41 AM</t>
  </si>
  <si>
    <t>3h 22m 41s</t>
  </si>
  <si>
    <t>Saleem, Abdul Baseer (Cognizant)</t>
  </si>
  <si>
    <t>3/25/26, 7:58:24 AM</t>
  </si>
  <si>
    <t>3/25/26, 11:00:27 AM</t>
  </si>
  <si>
    <t>3h 2m 2s</t>
  </si>
  <si>
    <t>Khan, Mohammed Irfan (Cognizant)</t>
  </si>
  <si>
    <t>3/30/26, 7:54:25 AM</t>
  </si>
  <si>
    <t>3/30/26, 11:03:29 AM</t>
  </si>
  <si>
    <t>3h 4m 40s</t>
  </si>
  <si>
    <t>4/01/26, 11:03:23 AM</t>
  </si>
  <si>
    <t>3h 3m 36s</t>
  </si>
  <si>
    <t>4/06/26, 8:00:01 AM</t>
  </si>
  <si>
    <t>4/06/26, 11:04:19 AM</t>
  </si>
  <si>
    <t>3h 4m 18s</t>
  </si>
  <si>
    <t>4/08/26, 7:57:43 AM</t>
  </si>
  <si>
    <t>4/08/26, 10:27:13 AM</t>
  </si>
  <si>
    <t>2h 14m 4s</t>
  </si>
  <si>
    <t>4/13/26, 7:58:47 AM</t>
  </si>
  <si>
    <t>3h 14m 2s</t>
  </si>
  <si>
    <t>4/16/26, 7:57:48 AM</t>
  </si>
  <si>
    <t>4/16/26, 11:03:14 AM</t>
  </si>
  <si>
    <t>49m 19s</t>
  </si>
  <si>
    <t>4/20/26, 8:00:28 AM</t>
  </si>
  <si>
    <t>4/20/26, 10:58:42 AM</t>
  </si>
  <si>
    <t>2h 58m 1s</t>
  </si>
  <si>
    <t>4/22/26, 8:00:34 AM</t>
  </si>
  <si>
    <t>4/22/26, 11:00:09 AM</t>
  </si>
  <si>
    <t>2h 59m 33s</t>
  </si>
  <si>
    <t>Mahakal, Koushik (Cognizant)</t>
  </si>
  <si>
    <t>4/27/26, 8:00:37 AM</t>
  </si>
  <si>
    <t>4/27/26, 11:01:12 AM</t>
  </si>
  <si>
    <t>3h 35s</t>
  </si>
  <si>
    <t>4/29/26, 8:00:05 AM</t>
  </si>
  <si>
    <t>4/29/26, 11:01:51 AM</t>
  </si>
  <si>
    <t>3h 1m 45s</t>
  </si>
  <si>
    <t>2h 52m 43s</t>
  </si>
  <si>
    <t>Panjatcharam, Sathish Kumar (Cognizant)</t>
  </si>
  <si>
    <t>5/06/26, 8:00:07 AM</t>
  </si>
  <si>
    <t>5/06/26, 11:04:47 AM</t>
  </si>
  <si>
    <t>3h 4m 28s</t>
  </si>
  <si>
    <t>5/11/26, 7:59:45 AM</t>
  </si>
  <si>
    <t>5/11/26, 11:01:41 AM</t>
  </si>
  <si>
    <t>3h 1m 55s</t>
  </si>
  <si>
    <t>5/13/26, 11:00:17 AM</t>
  </si>
  <si>
    <t>5/18/26, 7:59:46 AM</t>
  </si>
  <si>
    <t>5/18/26, 11:14:48 AM</t>
  </si>
  <si>
    <t>3h 3m 1s</t>
  </si>
  <si>
    <t>R, Suman (Cognizant)</t>
  </si>
  <si>
    <t>5/20/26, 7:58:53 AM</t>
  </si>
  <si>
    <t>5/20/26, 11:01:59 AM</t>
  </si>
  <si>
    <t>3h 3m 5s</t>
  </si>
  <si>
    <t>Rajendran, Divya (Cognizant)</t>
  </si>
  <si>
    <t>3/18/26, 9:57:26 AM</t>
  </si>
  <si>
    <t>3/18/26, 10:13:49 AM</t>
  </si>
  <si>
    <t>16m 23s</t>
  </si>
  <si>
    <t>3/23/26, 7:59:49 AM</t>
  </si>
  <si>
    <t>3h 16m 51s</t>
  </si>
  <si>
    <t>3/25/26, 7:59:28 AM</t>
  </si>
  <si>
    <t>3/25/26, 11:00:26 AM</t>
  </si>
  <si>
    <t>3h 57s</t>
  </si>
  <si>
    <t>3/30/26, 7:59:43 AM</t>
  </si>
  <si>
    <t>3/30/26, 11:03:30 AM</t>
  </si>
  <si>
    <t>3h 3m 46s</t>
  </si>
  <si>
    <t>4/01/26, 7:59:51 AM</t>
  </si>
  <si>
    <t>4/01/26, 11:03:15 AM</t>
  </si>
  <si>
    <t>3h 3m 24s</t>
  </si>
  <si>
    <t>4/06/26, 8:00:09 AM</t>
  </si>
  <si>
    <t>4/06/26, 11:04:21 AM</t>
  </si>
  <si>
    <t>3h 1m 22s</t>
  </si>
  <si>
    <t>4/08/26, 7:57:55 AM</t>
  </si>
  <si>
    <t>4/08/26, 11:01:31 AM</t>
  </si>
  <si>
    <t>3h 3m 34s</t>
  </si>
  <si>
    <t>4/13/26, 8:01:04 AM</t>
  </si>
  <si>
    <t>4/13/26, 11:10:02 AM</t>
  </si>
  <si>
    <t>3h 8m 58s</t>
  </si>
  <si>
    <t>4/16/26, 8:00:40 AM</t>
  </si>
  <si>
    <t>4/16/26, 11:00:09 AM</t>
  </si>
  <si>
    <t>2h 59m 29s</t>
  </si>
  <si>
    <t>Shah, Paras (Cognizant)</t>
  </si>
  <si>
    <t>4/20/26, 8:00:36 AM</t>
  </si>
  <si>
    <t>4/20/26, 10:58:41 AM</t>
  </si>
  <si>
    <t>2h 58m 44s</t>
  </si>
  <si>
    <t>4/22/26, 8:00:43 AM</t>
  </si>
  <si>
    <t>4/22/26, 11:00:03 AM</t>
  </si>
  <si>
    <t>2h 56m 24s</t>
  </si>
  <si>
    <t>Basetty, Sanathkumar (Cognizant)</t>
  </si>
  <si>
    <t>4/27/26, 8:00:42 AM</t>
  </si>
  <si>
    <t>4/27/26, 11:02:18 AM</t>
  </si>
  <si>
    <t>3h 1m 36s</t>
  </si>
  <si>
    <t>4/29/26, 8:00:25 AM</t>
  </si>
  <si>
    <t>2h 59m 27s</t>
  </si>
  <si>
    <t>5/04/26, 8:00:08 AM</t>
  </si>
  <si>
    <t>5/04/26, 11:02:40 AM</t>
  </si>
  <si>
    <t>5/06/26, 8:00:24 AM</t>
  </si>
  <si>
    <t>5/06/26, 11:04:55 AM</t>
  </si>
  <si>
    <t>3h 4m 29s</t>
  </si>
  <si>
    <t>5/11/26, 7:59:57 AM</t>
  </si>
  <si>
    <t>5/11/26, 11:01:45 AM</t>
  </si>
  <si>
    <t>3h 1m 47s</t>
  </si>
  <si>
    <t>5/13/26, 7:58:25 AM</t>
  </si>
  <si>
    <t>5/13/26, 10:46:09 AM</t>
  </si>
  <si>
    <t>2h 12m 13s</t>
  </si>
  <si>
    <t>5/18/26, 7:59:47 AM</t>
  </si>
  <si>
    <t>5/18/26, 11:14:50 AM</t>
  </si>
  <si>
    <t>3h 15m 1s</t>
  </si>
  <si>
    <t>5/20/26, 7:59:26 AM</t>
  </si>
  <si>
    <t>3h 2m 32s</t>
  </si>
  <si>
    <t>Kaspar Rajesh, Antony (Cognizant-Academy)</t>
  </si>
  <si>
    <t>3/18/26, 9:58:34 AM</t>
  </si>
  <si>
    <t>3/18/26, 10:53:48 AM</t>
  </si>
  <si>
    <t>55m 13s</t>
  </si>
  <si>
    <t>Thabassum, Shimali (Cognizant)</t>
  </si>
  <si>
    <t>3/23/26, 8:00:08 AM</t>
  </si>
  <si>
    <t>3/23/26, 11:10:32 AM</t>
  </si>
  <si>
    <t>3h 10m 23s</t>
  </si>
  <si>
    <t>3/25/26, 7:59:29 AM</t>
  </si>
  <si>
    <t>3/25/26, 11:00:22 AM</t>
  </si>
  <si>
    <t>3h 53s</t>
  </si>
  <si>
    <t>3/30/26, 8:00:14 AM</t>
  </si>
  <si>
    <t>3/30/26, 11:03:32 AM</t>
  </si>
  <si>
    <t>3h 3m 15s</t>
  </si>
  <si>
    <t>4/01/26, 7:59:58 AM</t>
  </si>
  <si>
    <t>4/01/26, 10:41:55 AM</t>
  </si>
  <si>
    <t>2h 39m 2s</t>
  </si>
  <si>
    <t>4/06/26, 8:00:15 AM</t>
  </si>
  <si>
    <t>3h 4m 4s</t>
  </si>
  <si>
    <t>4/08/26, 7:59:14 AM</t>
  </si>
  <si>
    <t>4/08/26, 11:01:36 AM</t>
  </si>
  <si>
    <t>3h 2m 21s</t>
  </si>
  <si>
    <t>4/13/26, 8:01:19 AM</t>
  </si>
  <si>
    <t>4/13/26, 11:12:46 AM</t>
  </si>
  <si>
    <t>3h 11m 26s</t>
  </si>
  <si>
    <t>4/16/26, 8:01:38 AM</t>
  </si>
  <si>
    <t>4/16/26, 11:03:05 AM</t>
  </si>
  <si>
    <t>3h 1m 26s</t>
  </si>
  <si>
    <t>4/20/26, 8:01:08 AM</t>
  </si>
  <si>
    <t>4/20/26, 10:58:40 AM</t>
  </si>
  <si>
    <t>2h 58m 3s</t>
  </si>
  <si>
    <t>Gurrala, Chakradhar Reddy (Cognizant)</t>
  </si>
  <si>
    <t>4/22/26, 8:00:57 AM</t>
  </si>
  <si>
    <t>4/22/26, 11:00:01 AM</t>
  </si>
  <si>
    <t>2h 57m 47s</t>
  </si>
  <si>
    <t>Gupta, Mrudul (Cognizant)</t>
  </si>
  <si>
    <t>4/27/26, 8:00:49 AM</t>
  </si>
  <si>
    <t>4/27/26, 10:45:25 AM</t>
  </si>
  <si>
    <t>2h 44m 36s</t>
  </si>
  <si>
    <t>4/29/26, 8:00:56 AM</t>
  </si>
  <si>
    <t>4/29/26, 11:01:48 AM</t>
  </si>
  <si>
    <t>3h 52s</t>
  </si>
  <si>
    <t>5/04/26, 8:00:32 AM</t>
  </si>
  <si>
    <t>3h 2m 10s</t>
  </si>
  <si>
    <t>5/06/26, 8:00:40 AM</t>
  </si>
  <si>
    <t>5/06/26, 11:04:44 AM</t>
  </si>
  <si>
    <t>3h 3m 2s</t>
  </si>
  <si>
    <t>5/11/26, 8:00:20 AM</t>
  </si>
  <si>
    <t>3h 1m 28s</t>
  </si>
  <si>
    <t>P, Naveen (Cognizant)</t>
  </si>
  <si>
    <t>5/13/26, 7:58:44 AM</t>
  </si>
  <si>
    <t>5/13/26, 11:00:25 AM</t>
  </si>
  <si>
    <t>2h 46m 19s</t>
  </si>
  <si>
    <t>5/18/26, 8:00:59 AM</t>
  </si>
  <si>
    <t>5/18/26, 11:14:49 AM</t>
  </si>
  <si>
    <t>3h 13m 48s</t>
  </si>
  <si>
    <t>5/20/26, 7:59:42 AM</t>
  </si>
  <si>
    <t>5/20/26, 11:02:03 AM</t>
  </si>
  <si>
    <t>2h 43m 58s</t>
  </si>
  <si>
    <t>3/18/26, 9:58:46 AM</t>
  </si>
  <si>
    <t>1h 5m 18s</t>
  </si>
  <si>
    <t>3/23/26, 8:00:50 AM</t>
  </si>
  <si>
    <t>3/23/26, 11:16:44 AM</t>
  </si>
  <si>
    <t>3h 15m 54s</t>
  </si>
  <si>
    <t>3/25/26, 8:00:06 AM</t>
  </si>
  <si>
    <t>3/25/26, 11:00:24 AM</t>
  </si>
  <si>
    <t>3h 18s</t>
  </si>
  <si>
    <t>3/30/26, 8:00:27 AM</t>
  </si>
  <si>
    <t>3/30/26, 11:03:28 AM</t>
  </si>
  <si>
    <t>3h 2m 58s</t>
  </si>
  <si>
    <t>4/01/26, 8:00:00 AM</t>
  </si>
  <si>
    <t>4/01/26, 11:03:20 AM</t>
  </si>
  <si>
    <t>2h 53m 26s</t>
  </si>
  <si>
    <t>4/06/26, 8:00:21 AM</t>
  </si>
  <si>
    <t>4/06/26, 11:04:24 AM</t>
  </si>
  <si>
    <t>2h 54m 11s</t>
  </si>
  <si>
    <t>4/08/26, 8:00:26 AM</t>
  </si>
  <si>
    <t>3h 1m 12s</t>
  </si>
  <si>
    <t>4/13/26, 8:01:22 AM</t>
  </si>
  <si>
    <t>4/13/26, 11:12:47 AM</t>
  </si>
  <si>
    <t>3h 11m 24s</t>
  </si>
  <si>
    <t>K P, Chethan (Cognizant)</t>
  </si>
  <si>
    <t>4/16/26, 8:02:07 AM</t>
  </si>
  <si>
    <t>4/16/26, 11:03:11 AM</t>
  </si>
  <si>
    <t>3h 1m 3s</t>
  </si>
  <si>
    <t>4/20/26, 8:02:00 AM</t>
  </si>
  <si>
    <t>2h 57m 22s</t>
  </si>
  <si>
    <t>4/22/26, 8:01:19 AM</t>
  </si>
  <si>
    <t>2h 58m 47s</t>
  </si>
  <si>
    <t>4/27/26, 8:01:10 AM</t>
  </si>
  <si>
    <t>4/27/26, 11:01:10 AM</t>
  </si>
  <si>
    <t>2h 59m 59s</t>
  </si>
  <si>
    <t>4/29/26, 8:01:00 AM</t>
  </si>
  <si>
    <t>4/29/26, 11:01:53 AM</t>
  </si>
  <si>
    <t>5/04/26, 8:01:17 AM</t>
  </si>
  <si>
    <t>5/06/26, 8:00:43 AM</t>
  </si>
  <si>
    <t>3h 1m 42s</t>
  </si>
  <si>
    <t>5/11/26, 8:01:11 AM</t>
  </si>
  <si>
    <t>2h 58m 11s</t>
  </si>
  <si>
    <t>5/13/26, 7:58:57 AM</t>
  </si>
  <si>
    <t>5/13/26, 11:00:23 AM</t>
  </si>
  <si>
    <t>3h 1m 24s</t>
  </si>
  <si>
    <t>Krishnan, Sasirekha (Cognizant)</t>
  </si>
  <si>
    <t>5/18/26, 8:01:58 AM</t>
  </si>
  <si>
    <t>5/18/26, 11:14:41 AM</t>
  </si>
  <si>
    <t>3h 12m 41s</t>
  </si>
  <si>
    <t>5/20/26, 7:59:46 AM</t>
  </si>
  <si>
    <t>5/20/26, 11:02:01 AM</t>
  </si>
  <si>
    <t>3h 2m 15s</t>
  </si>
  <si>
    <t>3/18/26, 9:59:10 AM</t>
  </si>
  <si>
    <t>3/18/26, 11:04:06 AM</t>
  </si>
  <si>
    <t>1h 4m 56s</t>
  </si>
  <si>
    <t>3/23/26, 8:01:37 AM</t>
  </si>
  <si>
    <t>3h 12m 15s</t>
  </si>
  <si>
    <t>3/25/26, 8:00:27 AM</t>
  </si>
  <si>
    <t>3h</t>
  </si>
  <si>
    <t>3/30/26, 8:01:35 AM</t>
  </si>
  <si>
    <t>3h 1m 57s</t>
  </si>
  <si>
    <t>4/01/26, 8:00:26 AM</t>
  </si>
  <si>
    <t>3h 2m 57s</t>
  </si>
  <si>
    <t>4/06/26, 8:00:27 AM</t>
  </si>
  <si>
    <t>4/06/26, 11:04:13 AM</t>
  </si>
  <si>
    <t>3h 3m 45s</t>
  </si>
  <si>
    <t>4/08/26, 8:00:34 AM</t>
  </si>
  <si>
    <t>3h 56s</t>
  </si>
  <si>
    <t>4/13/26, 8:01:28 AM</t>
  </si>
  <si>
    <t>3h 11m 20s</t>
  </si>
  <si>
    <t>4/16/26, 8:02:12 AM</t>
  </si>
  <si>
    <t>4/16/26, 11:03:04 AM</t>
  </si>
  <si>
    <t>2h 57m 7s</t>
  </si>
  <si>
    <t>4/20/26, 8:02:31 AM</t>
  </si>
  <si>
    <t>2h 56m 7s</t>
  </si>
  <si>
    <t>4/22/26, 8:01:20 AM</t>
  </si>
  <si>
    <t>4/22/26, 11:00:06 AM</t>
  </si>
  <si>
    <t>2h 58m 27s</t>
  </si>
  <si>
    <t>4/27/26, 8:01:18 AM</t>
  </si>
  <si>
    <t>2h 57m 48s</t>
  </si>
  <si>
    <t>4/29/26, 8:01:59 AM</t>
  </si>
  <si>
    <t>4/29/26, 11:01:49 AM</t>
  </si>
  <si>
    <t>2h 49m 44s</t>
  </si>
  <si>
    <t>5/04/26, 8:02:26 AM</t>
  </si>
  <si>
    <t>5/04/26, 11:02:38 AM</t>
  </si>
  <si>
    <t>3h 11s</t>
  </si>
  <si>
    <t>5/06/26, 8:01:56 AM</t>
  </si>
  <si>
    <t>5/06/26, 11:04:46 AM</t>
  </si>
  <si>
    <t>3h 2m 54s</t>
  </si>
  <si>
    <t>5/11/26, 8:01:36 AM</t>
  </si>
  <si>
    <t>5/11/26, 11:00:56 AM</t>
  </si>
  <si>
    <t>2h 59m 20s</t>
  </si>
  <si>
    <t>5/13/26, 7:59:25 AM</t>
  </si>
  <si>
    <t>3h 58s</t>
  </si>
  <si>
    <t>5/18/26, 8:02:06 AM</t>
  </si>
  <si>
    <t>5/18/26, 11:14:45 AM</t>
  </si>
  <si>
    <t>3h 12m 38s</t>
  </si>
  <si>
    <t>5/20/26, 8:00:05 AM</t>
  </si>
  <si>
    <t>3h 1m 52s</t>
  </si>
  <si>
    <t>3/18/26, 9:59:27 AM</t>
  </si>
  <si>
    <t>3/18/26, 11:04:05 AM</t>
  </si>
  <si>
    <t>1h 4m 37s</t>
  </si>
  <si>
    <t>3/23/26, 8:02:17 AM</t>
  </si>
  <si>
    <t>3h 4m 24s</t>
  </si>
  <si>
    <t>3/25/26, 8:00:33 AM</t>
  </si>
  <si>
    <t>2h 59m 52s</t>
  </si>
  <si>
    <t>3/30/26, 11:03:26 AM</t>
  </si>
  <si>
    <t>3h 1m 48s</t>
  </si>
  <si>
    <t>4/01/26, 8:00:29 AM</t>
  </si>
  <si>
    <t>4/01/26, 11:03:21 AM</t>
  </si>
  <si>
    <t>3h 2m 51s</t>
  </si>
  <si>
    <t>S, Aswinraj (Cognizant)</t>
  </si>
  <si>
    <t>4/06/26, 8:00:40 AM</t>
  </si>
  <si>
    <t>4/06/26, 8:44:37 AM</t>
  </si>
  <si>
    <t>43m 57s</t>
  </si>
  <si>
    <t>4/08/26, 8:00:48 AM</t>
  </si>
  <si>
    <t>3h 50s</t>
  </si>
  <si>
    <t>4/13/26, 8:01:59 AM</t>
  </si>
  <si>
    <t>4/13/26, 11:12:45 AM</t>
  </si>
  <si>
    <t>3h 7m 3s</t>
  </si>
  <si>
    <t>Kushwaha, Vanita (Cognizant)</t>
  </si>
  <si>
    <t>4/16/26, 8:02:26 AM</t>
  </si>
  <si>
    <t>1h 20m 49s</t>
  </si>
  <si>
    <t>4/20/26, 8:02:39 AM</t>
  </si>
  <si>
    <t>2h 48m 13s</t>
  </si>
  <si>
    <t>4/22/26, 8:02:17 AM</t>
  </si>
  <si>
    <t>4/22/26, 11:00:07 AM</t>
  </si>
  <si>
    <t>2h 57m 34s</t>
  </si>
  <si>
    <t>4/27/26, 8:02:34 AM</t>
  </si>
  <si>
    <t>4/27/26, 11:01:01 AM</t>
  </si>
  <si>
    <t>4/29/26, 8:02:23 AM</t>
  </si>
  <si>
    <t>2h 59m 25s</t>
  </si>
  <si>
    <t>5/04/26, 8:02:28 AM</t>
  </si>
  <si>
    <t>5/04/26, 11:02:39 AM</t>
  </si>
  <si>
    <t>3h 3s</t>
  </si>
  <si>
    <t>5/06/26, 8:02:27 AM</t>
  </si>
  <si>
    <t>5/06/26, 11:04:49 AM</t>
  </si>
  <si>
    <t>3h 2m 12s</t>
  </si>
  <si>
    <t>5/11/26, 8:01:45 AM</t>
  </si>
  <si>
    <t>5/11/26, 11:01:46 AM</t>
  </si>
  <si>
    <t>3h 1s</t>
  </si>
  <si>
    <t>5/13/26, 7:59:45 AM</t>
  </si>
  <si>
    <t>5/13/26, 11:00:19 AM</t>
  </si>
  <si>
    <t>2h 57m 40s</t>
  </si>
  <si>
    <t>5/18/26, 8:02:11 AM</t>
  </si>
  <si>
    <t>5/18/26, 11:14:46 AM</t>
  </si>
  <si>
    <t>3h 12m 24s</t>
  </si>
  <si>
    <t>5/20/26, 8:00:21 AM</t>
  </si>
  <si>
    <t>5/20/26, 11:02:00 AM</t>
  </si>
  <si>
    <t>3h 1m 39s</t>
  </si>
  <si>
    <t>Ashutosh Deshmukh</t>
  </si>
  <si>
    <t>3/18/26, 9:59:37 AM</t>
  </si>
  <si>
    <t>3/18/26, 11:04:03 AM</t>
  </si>
  <si>
    <t>1h 4m 25s</t>
  </si>
  <si>
    <t>3/23/26, 8:02:32 AM</t>
  </si>
  <si>
    <t>3/23/26, 11:15:20 AM</t>
  </si>
  <si>
    <t>3h 12m 47s</t>
  </si>
  <si>
    <t>3/25/26, 8:00:42 AM</t>
  </si>
  <si>
    <t>2h 59m 40s</t>
  </si>
  <si>
    <t>3/30/26, 8:01:50 AM</t>
  </si>
  <si>
    <t>3h 1m 41s</t>
  </si>
  <si>
    <t>4/01/26, 8:01:26 AM</t>
  </si>
  <si>
    <t>4/01/26, 11:03:19 AM</t>
  </si>
  <si>
    <t>4/06/26, 8:01:29 AM</t>
  </si>
  <si>
    <t>4/06/26, 11:04:17 AM</t>
  </si>
  <si>
    <t>3h 2m 47s</t>
  </si>
  <si>
    <t>4/08/26, 8:00:51 AM</t>
  </si>
  <si>
    <t>4/08/26, 9:15:18 AM</t>
  </si>
  <si>
    <t>1h 12m 28s</t>
  </si>
  <si>
    <t>4/13/26, 8:02:25 AM</t>
  </si>
  <si>
    <t>3h 10m 21s</t>
  </si>
  <si>
    <t>4/16/26, 8:03:00 AM</t>
  </si>
  <si>
    <t>3h 12s</t>
  </si>
  <si>
    <t>4/20/26, 8:02:53 AM</t>
  </si>
  <si>
    <t>2h 56m 41s</t>
  </si>
  <si>
    <t>4/22/26, 8:02:19 AM</t>
  </si>
  <si>
    <t>4/22/26, 11:00:14 AM</t>
  </si>
  <si>
    <t>2h 57m 55s</t>
  </si>
  <si>
    <t>4/27/26, 8:02:58 AM</t>
  </si>
  <si>
    <t>4/27/26, 11:01:04 AM</t>
  </si>
  <si>
    <t>2h 56m 37s</t>
  </si>
  <si>
    <t>4/29/26, 8:02:40 AM</t>
  </si>
  <si>
    <t>2h 55m 24s</t>
  </si>
  <si>
    <t>5/04/26, 8:04:31 AM</t>
  </si>
  <si>
    <t>5/04/26, 11:02:41 AM</t>
  </si>
  <si>
    <t>5/06/26, 8:03:05 AM</t>
  </si>
  <si>
    <t>5/06/26, 11:04:54 AM</t>
  </si>
  <si>
    <t>Paramasivan, Banupriya (Cognizant)</t>
  </si>
  <si>
    <t>5/11/26, 8:01:55 AM</t>
  </si>
  <si>
    <t>5/11/26, 11:01:43 AM</t>
  </si>
  <si>
    <t>2h 59m 48s</t>
  </si>
  <si>
    <t>5/13/26, 8:01:32 AM</t>
  </si>
  <si>
    <t>2h 58m 56s</t>
  </si>
  <si>
    <t>5/18/26, 8:02:35 AM</t>
  </si>
  <si>
    <t>5/18/26, 11:14:55 AM</t>
  </si>
  <si>
    <t>3h 11m 50s</t>
  </si>
  <si>
    <t>5/20/26, 8:00:32 AM</t>
  </si>
  <si>
    <t>3h 1m 31s</t>
  </si>
  <si>
    <t>3/18/26, 9:59:43 AM</t>
  </si>
  <si>
    <t>1h 4m 22s</t>
  </si>
  <si>
    <t>Pateriya, Mohit (Cognizant)</t>
  </si>
  <si>
    <t>3/23/26, 8:04:11 AM</t>
  </si>
  <si>
    <t>3/23/26, 11:16:38 AM</t>
  </si>
  <si>
    <t>2h 58m 36s</t>
  </si>
  <si>
    <t>3/25/26, 8:00:47 AM</t>
  </si>
  <si>
    <t>3/25/26, 8:29:38 AM</t>
  </si>
  <si>
    <t>28m 50s</t>
  </si>
  <si>
    <t>3/30/26, 8:02:15 AM</t>
  </si>
  <si>
    <t>3h 1m 14s</t>
  </si>
  <si>
    <t>4/01/26, 8:01:39 AM</t>
  </si>
  <si>
    <t>4/06/26, 8:01:36 AM</t>
  </si>
  <si>
    <t>4/06/26, 11:04:22 AM</t>
  </si>
  <si>
    <t>3h 2m 45s</t>
  </si>
  <si>
    <t>4/08/26, 8:01:17 AM</t>
  </si>
  <si>
    <t>4/08/26, 11:01:34 AM</t>
  </si>
  <si>
    <t>3h 14s</t>
  </si>
  <si>
    <t>4/13/26, 8:02:45 AM</t>
  </si>
  <si>
    <t>3h 10m 4s</t>
  </si>
  <si>
    <t>4/16/26, 8:03:02 AM</t>
  </si>
  <si>
    <t>4/16/26, 11:03:07 AM</t>
  </si>
  <si>
    <t>3h 13s</t>
  </si>
  <si>
    <t>4/20/26, 8:03:40 AM</t>
  </si>
  <si>
    <t>4/20/26, 10:58:46 AM</t>
  </si>
  <si>
    <t>2h 55m 5s</t>
  </si>
  <si>
    <t>4/22/26, 8:02:45 AM</t>
  </si>
  <si>
    <t>4/22/26, 11:00:02 AM</t>
  </si>
  <si>
    <t>2h 57m 17s</t>
  </si>
  <si>
    <t>4/27/26, 8:03:13 AM</t>
  </si>
  <si>
    <t>4/27/26, 11:01:09 AM</t>
  </si>
  <si>
    <t>2h 57m 56s</t>
  </si>
  <si>
    <t>4/29/26, 8:02:49 AM</t>
  </si>
  <si>
    <t>4/29/26, 10:18:38 AM</t>
  </si>
  <si>
    <t>1h 42m 46s</t>
  </si>
  <si>
    <t>Kamble, Tushar Bhaskar (Cognizant)</t>
  </si>
  <si>
    <t>5/04/26, 8:04:38 AM</t>
  </si>
  <si>
    <t>5/06/26, 8:04:10 AM</t>
  </si>
  <si>
    <t>2h 58m 2s</t>
  </si>
  <si>
    <t>5/11/26, 8:03:48 AM</t>
  </si>
  <si>
    <t>2h 56m 57s</t>
  </si>
  <si>
    <t>5/13/26, 8:01:54 AM</t>
  </si>
  <si>
    <t>5/13/26, 11:00:20 AM</t>
  </si>
  <si>
    <t>5/18/26, 8:02:55 AM</t>
  </si>
  <si>
    <t>5/18/26, 11:14:42 AM</t>
  </si>
  <si>
    <t>3h 11m 46s</t>
  </si>
  <si>
    <t>5/20/26, 8:00:33 AM</t>
  </si>
  <si>
    <t>3h 1m 27s</t>
  </si>
  <si>
    <t>3/18/26, 9:59:56 AM</t>
  </si>
  <si>
    <t>3/18/26, 11:04:08 AM</t>
  </si>
  <si>
    <t>1h 4m 11s</t>
  </si>
  <si>
    <t>3/23/26, 8:04:23 AM</t>
  </si>
  <si>
    <t>3h 12m 21s</t>
  </si>
  <si>
    <t>3/25/26, 8:01:58 AM</t>
  </si>
  <si>
    <t>2h 58m 29s</t>
  </si>
  <si>
    <t>3/30/26, 8:02:17 AM</t>
  </si>
  <si>
    <t>3h 59s</t>
  </si>
  <si>
    <t>4/01/26, 8:01:45 AM</t>
  </si>
  <si>
    <t>4/01/26, 11:03:17 AM</t>
  </si>
  <si>
    <t>3h 1m 32s</t>
  </si>
  <si>
    <t>4/06/26, 8:01:44 AM</t>
  </si>
  <si>
    <t>4/06/26, 10:34:26 AM</t>
  </si>
  <si>
    <t>2h 32m 42s</t>
  </si>
  <si>
    <t>4/08/26, 8:01:59 AM</t>
  </si>
  <si>
    <t>2h 59m 24s</t>
  </si>
  <si>
    <t>4/13/26, 8:02:49 AM</t>
  </si>
  <si>
    <t>3h 9m 59s</t>
  </si>
  <si>
    <t>4/16/26, 8:04:19 AM</t>
  </si>
  <si>
    <t>2h 57m 19s</t>
  </si>
  <si>
    <t>4/20/26, 8:03:46 AM</t>
  </si>
  <si>
    <t>4/20/26, 10:58:43 AM</t>
  </si>
  <si>
    <t>2h 54m 39s</t>
  </si>
  <si>
    <t>4/22/26, 8:02:52 AM</t>
  </si>
  <si>
    <t>4/22/26, 11:00:05 AM</t>
  </si>
  <si>
    <t>2h 57m 12s</t>
  </si>
  <si>
    <t>4/27/26, 8:03:29 AM</t>
  </si>
  <si>
    <t>4/27/26, 10:30:37 AM</t>
  </si>
  <si>
    <t>2h 27m 8s</t>
  </si>
  <si>
    <t>4/29/26, 8:03:20 AM</t>
  </si>
  <si>
    <t>5/04/26, 8:05:09 AM</t>
  </si>
  <si>
    <t>2h 56m 36s</t>
  </si>
  <si>
    <t>5/06/26, 8:04:30 AM</t>
  </si>
  <si>
    <t>2h 55m 18s</t>
  </si>
  <si>
    <t>5/11/26, 8:04:16 AM</t>
  </si>
  <si>
    <t>2h 57m 32s</t>
  </si>
  <si>
    <t>5/13/26, 8:02:54 AM</t>
  </si>
  <si>
    <t>5/13/26, 11:00:21 AM</t>
  </si>
  <si>
    <t>2h 55m 57s</t>
  </si>
  <si>
    <t>5/18/26, 8:03:20 AM</t>
  </si>
  <si>
    <t>5/20/26, 8:00:34 AM</t>
  </si>
  <si>
    <t>2h 55m 53s</t>
  </si>
  <si>
    <t>3/18/26, 10:00:17 AM</t>
  </si>
  <si>
    <t>3/18/26, 10:12:54 AM</t>
  </si>
  <si>
    <t>12m 36s</t>
  </si>
  <si>
    <t>Barua, Dibakor (Cognizant)</t>
  </si>
  <si>
    <t>3/23/26, 8:18:36 AM</t>
  </si>
  <si>
    <t>3/23/26, 8:19:04 AM</t>
  </si>
  <si>
    <t>28s</t>
  </si>
  <si>
    <t>3/25/26, 8:02:12 AM</t>
  </si>
  <si>
    <t>2h 58m 16s</t>
  </si>
  <si>
    <t>3/30/26, 8:02:50 AM</t>
  </si>
  <si>
    <t>3/30/26, 11:03:31 AM</t>
  </si>
  <si>
    <t>3h 39s</t>
  </si>
  <si>
    <t>Sahu, Rakesh (Cognizant)</t>
  </si>
  <si>
    <t>4/01/26, 8:02:12 AM</t>
  </si>
  <si>
    <t>4/01/26, 11:03:22 AM</t>
  </si>
  <si>
    <t>3h 1m 10s</t>
  </si>
  <si>
    <t>4/06/26, 8:01:57 AM</t>
  </si>
  <si>
    <t>3h 2m 23s</t>
  </si>
  <si>
    <t>4/08/26, 8:02:30 AM</t>
  </si>
  <si>
    <t>4/08/26, 11:01:27 AM</t>
  </si>
  <si>
    <t>2h 56m 3s</t>
  </si>
  <si>
    <t>4/13/26, 8:02:56 AM</t>
  </si>
  <si>
    <t>3h 9m 52s</t>
  </si>
  <si>
    <t>4/16/26, 8:04:42 AM</t>
  </si>
  <si>
    <t>4/20/26, 8:06:23 AM</t>
  </si>
  <si>
    <t>4/20/26, 10:58:39 AM</t>
  </si>
  <si>
    <t>2h 52m 5s</t>
  </si>
  <si>
    <t>4/22/26, 8:04:29 AM</t>
  </si>
  <si>
    <t>4/22/26, 11:00:10 AM</t>
  </si>
  <si>
    <t>2h 55m 39s</t>
  </si>
  <si>
    <t>4/27/26, 8:03:33 AM</t>
  </si>
  <si>
    <t>2h 44m 7s</t>
  </si>
  <si>
    <t>4/29/26, 8:03:45 AM</t>
  </si>
  <si>
    <t>2h 58m 9s</t>
  </si>
  <si>
    <t>5/04/26, 8:05:29 AM</t>
  </si>
  <si>
    <t>2h 57m 15s</t>
  </si>
  <si>
    <t>5/06/26, 8:04:47 AM</t>
  </si>
  <si>
    <t>2h 58m 55s</t>
  </si>
  <si>
    <t>5/11/26, 8:04:30 AM</t>
  </si>
  <si>
    <t>5/11/26, 11:01:39 AM</t>
  </si>
  <si>
    <t>2h 57m 8s</t>
  </si>
  <si>
    <t>5/13/26, 8:04:27 AM</t>
  </si>
  <si>
    <t>2h 55m 54s</t>
  </si>
  <si>
    <t>5/18/26, 8:03:32 AM</t>
  </si>
  <si>
    <t>5/18/26, 11:12:49 AM</t>
  </si>
  <si>
    <t>3h 9m 41s</t>
  </si>
  <si>
    <t>5/20/26, 8:00:38 AM</t>
  </si>
  <si>
    <t>3/18/26, 10:00:38 AM</t>
  </si>
  <si>
    <t>3/18/26, 11:04:02 AM</t>
  </si>
  <si>
    <t>1h 3m 24s</t>
  </si>
  <si>
    <t>3/23/26, 8:30:21 AM</t>
  </si>
  <si>
    <t>2h 46m 17s</t>
  </si>
  <si>
    <t>3/25/26, 8:02:20 AM</t>
  </si>
  <si>
    <t>3/25/26, 11:00:19 AM</t>
  </si>
  <si>
    <t>2h 47m 37s</t>
  </si>
  <si>
    <t>3/30/26, 8:03:16 AM</t>
  </si>
  <si>
    <t>3/30/26, 11:03:23 AM</t>
  </si>
  <si>
    <t>1h 34m 40s</t>
  </si>
  <si>
    <t>4/01/26, 8:02:15 AM</t>
  </si>
  <si>
    <t>3h 1m 8s</t>
  </si>
  <si>
    <t>4/06/26, 8:02:17 AM</t>
  </si>
  <si>
    <t>3h 2m 6s</t>
  </si>
  <si>
    <t>4/08/26, 8:02:44 AM</t>
  </si>
  <si>
    <t>2h 56m 50s</t>
  </si>
  <si>
    <t>4/13/26, 8:03:19 AM</t>
  </si>
  <si>
    <t>4/13/26, 10:18:50 AM</t>
  </si>
  <si>
    <t>2h 15m 31s</t>
  </si>
  <si>
    <t>4/16/26, 8:06:01 AM</t>
  </si>
  <si>
    <t>4/20/26, 8:07:54 AM</t>
  </si>
  <si>
    <t>4/20/26, 10:58:44 AM</t>
  </si>
  <si>
    <t>2h 50m 50s</t>
  </si>
  <si>
    <t>4/22/26, 8:04:49 AM</t>
  </si>
  <si>
    <t>4/27/26, 8:04:31 AM</t>
  </si>
  <si>
    <t>4/27/26, 11:02:46 AM</t>
  </si>
  <si>
    <t>2h 3m 7s</t>
  </si>
  <si>
    <t>4/29/26, 8:05:55 AM</t>
  </si>
  <si>
    <t>2h 55m 49s</t>
  </si>
  <si>
    <t>5/04/26, 8:05:45 AM</t>
  </si>
  <si>
    <t>2h 56m 54s</t>
  </si>
  <si>
    <t>5/06/26, 8:05:42 AM</t>
  </si>
  <si>
    <t>5/06/26, 11:04:43 AM</t>
  </si>
  <si>
    <t>2h 58m 58s</t>
  </si>
  <si>
    <t>5/11/26, 8:05:09 AM</t>
  </si>
  <si>
    <t>5/11/26, 11:01:42 AM</t>
  </si>
  <si>
    <t>2h 56m 33s</t>
  </si>
  <si>
    <t>5/13/26, 8:04:35 AM</t>
  </si>
  <si>
    <t>2h 55m 48s</t>
  </si>
  <si>
    <t>5/18/26, 8:03:35 AM</t>
  </si>
  <si>
    <t>5/18/26, 11:14:52 AM</t>
  </si>
  <si>
    <t>3h 11m 15s</t>
  </si>
  <si>
    <t>5/20/26, 8:01:05 AM</t>
  </si>
  <si>
    <t>5/20/26, 11:01:56 AM</t>
  </si>
  <si>
    <t>3h 51s</t>
  </si>
  <si>
    <t>3/18/26, 10:00:58 AM</t>
  </si>
  <si>
    <t>1h 3m 12s</t>
  </si>
  <si>
    <t>3/23/26, 9:05:21 AM</t>
  </si>
  <si>
    <t>3/23/26, 11:16:37 AM</t>
  </si>
  <si>
    <t>1h 59m 51s</t>
  </si>
  <si>
    <t>3/25/26, 8:02:49 AM</t>
  </si>
  <si>
    <t>3/25/26, 11:00:25 AM</t>
  </si>
  <si>
    <t>2h 57m 35s</t>
  </si>
  <si>
    <t>3/30/26, 8:03:52 AM</t>
  </si>
  <si>
    <t>2h 59m 36s</t>
  </si>
  <si>
    <t>4/01/26, 8:02:43 AM</t>
  </si>
  <si>
    <t>4/01/26, 11:03:11 AM</t>
  </si>
  <si>
    <t>3h 27s</t>
  </si>
  <si>
    <t>4/06/26, 8:02:36 AM</t>
  </si>
  <si>
    <t>4/08/26, 8:05:06 AM</t>
  </si>
  <si>
    <t>4/08/26, 10:08:46 AM</t>
  </si>
  <si>
    <t>2h 3m 40s</t>
  </si>
  <si>
    <t>4/13/26, 8:03:55 AM</t>
  </si>
  <si>
    <t>4/13/26, 8:05:50 AM</t>
  </si>
  <si>
    <t>1m 55s</t>
  </si>
  <si>
    <t>4/16/26, 8:06:14 AM</t>
  </si>
  <si>
    <t>4/16/26, 11:03:02 AM</t>
  </si>
  <si>
    <t>2h 57m 2s</t>
  </si>
  <si>
    <t>Santosh Subramaniam</t>
  </si>
  <si>
    <t>4/20/26, 8:11:41 AM</t>
  </si>
  <si>
    <t>4/20/26, 8:12:47 AM</t>
  </si>
  <si>
    <t>1m 5s</t>
  </si>
  <si>
    <t>4/22/26, 8:05:20 AM</t>
  </si>
  <si>
    <t>4/22/26, 11:00:04 AM</t>
  </si>
  <si>
    <t>2h 42m 14s</t>
  </si>
  <si>
    <t>4/27/26, 8:04:51 AM</t>
  </si>
  <si>
    <t>4/27/26, 11:00:59 AM</t>
  </si>
  <si>
    <t>2h 56m 8s</t>
  </si>
  <si>
    <t>4/29/26, 8:10:52 AM</t>
  </si>
  <si>
    <t>2h 43m 3s</t>
  </si>
  <si>
    <t>5/04/26, 8:06:32 AM</t>
  </si>
  <si>
    <t>2h 56m 5s</t>
  </si>
  <si>
    <t>5/06/26, 8:06:13 AM</t>
  </si>
  <si>
    <t>5/06/26, 11:04:42 AM</t>
  </si>
  <si>
    <t>5/11/26, 8:05:50 AM</t>
  </si>
  <si>
    <t>5/11/26, 9:59:22 AM</t>
  </si>
  <si>
    <t>1h 53m 31s</t>
  </si>
  <si>
    <t>5/13/26, 8:04:57 AM</t>
  </si>
  <si>
    <t>5/13/26, 11:00:18 AM</t>
  </si>
  <si>
    <t>5/18/26, 8:04:05 AM</t>
  </si>
  <si>
    <t>3h 11m 18s</t>
  </si>
  <si>
    <t>5/20/26, 8:01:41 AM</t>
  </si>
  <si>
    <t>2h 58m 52s</t>
  </si>
  <si>
    <t>3/18/26, 10:01:17 AM</t>
  </si>
  <si>
    <t>1h 2m 46s</t>
  </si>
  <si>
    <t>P, Balachandran (Cognizant)</t>
  </si>
  <si>
    <t>3/23/26, 9:24:08 AM</t>
  </si>
  <si>
    <t>3/23/26, 9:24:28 AM</t>
  </si>
  <si>
    <t>19s</t>
  </si>
  <si>
    <t>3/25/26, 8:02:55 AM</t>
  </si>
  <si>
    <t>3/30/26, 8:05:14 AM</t>
  </si>
  <si>
    <t>3/30/26, 11:03:25 AM</t>
  </si>
  <si>
    <t>4/01/26, 8:03:34 AM</t>
  </si>
  <si>
    <t>2h 59m 42s</t>
  </si>
  <si>
    <t>4/06/26, 8:03:26 AM</t>
  </si>
  <si>
    <t>2h 40m 40s</t>
  </si>
  <si>
    <t>4/08/26, 8:05:11 AM</t>
  </si>
  <si>
    <t>4/08/26, 11:01:30 AM</t>
  </si>
  <si>
    <t>2h 55m 21s</t>
  </si>
  <si>
    <t>4/13/26, 8:04:53 AM</t>
  </si>
  <si>
    <t>2h 49m 7s</t>
  </si>
  <si>
    <t>4/16/26, 8:06:53 AM</t>
  </si>
  <si>
    <t>2h 56m 21s</t>
  </si>
  <si>
    <t>4/20/26, 8:21:11 AM</t>
  </si>
  <si>
    <t>4/20/26, 10:58:31 AM</t>
  </si>
  <si>
    <t>2h 37m 19s</t>
  </si>
  <si>
    <t>4/22/26, 8:06:45 AM</t>
  </si>
  <si>
    <t>2h 48m 40s</t>
  </si>
  <si>
    <t>4/27/26, 8:07:14 AM</t>
  </si>
  <si>
    <t>2h 53m 50s</t>
  </si>
  <si>
    <t>4/29/26, 8:11:49 AM</t>
  </si>
  <si>
    <t>4/29/26, 11:00:44 AM</t>
  </si>
  <si>
    <t>2h 48m 55s</t>
  </si>
  <si>
    <t>5/04/26, 8:09:50 AM</t>
  </si>
  <si>
    <t>5/04/26, 11:02:37 AM</t>
  </si>
  <si>
    <t>2h 52m 44s</t>
  </si>
  <si>
    <t>5/06/26, 8:10:18 AM</t>
  </si>
  <si>
    <t>5/06/26, 11:01:10 AM</t>
  </si>
  <si>
    <t>2h 50m 51s</t>
  </si>
  <si>
    <t>5/11/26, 8:06:02 AM</t>
  </si>
  <si>
    <t>2h 55m 40s</t>
  </si>
  <si>
    <t>5/13/26, 8:05:43 AM</t>
  </si>
  <si>
    <t>2h 54m 41s</t>
  </si>
  <si>
    <t>5/18/26, 8:04:24 AM</t>
  </si>
  <si>
    <t>3h 10m 25s</t>
  </si>
  <si>
    <t>5/20/26, 8:01:47 AM</t>
  </si>
  <si>
    <t>3h 15s</t>
  </si>
  <si>
    <t>3/18/26, 10:01:18 AM</t>
  </si>
  <si>
    <t>1h 2m 47s</t>
  </si>
  <si>
    <t>3/23/26, 10:08:37 AM</t>
  </si>
  <si>
    <t>3/23/26, 11:16:39 AM</t>
  </si>
  <si>
    <t>1h 8m 2s</t>
  </si>
  <si>
    <t>3/25/26, 8:03:34 AM</t>
  </si>
  <si>
    <t>2h 56m 53s</t>
  </si>
  <si>
    <t>3/30/26, 8:05:28 AM</t>
  </si>
  <si>
    <t>2h 50m 10s</t>
  </si>
  <si>
    <t>4/01/26, 8:03:49 AM</t>
  </si>
  <si>
    <t>2h 59m 34s</t>
  </si>
  <si>
    <t>4/06/26, 8:04:49 AM</t>
  </si>
  <si>
    <t>2h 59m 35s</t>
  </si>
  <si>
    <t>4/08/26, 8:07:39 AM</t>
  </si>
  <si>
    <t>2h 42m 58s</t>
  </si>
  <si>
    <t>4/13/26, 8:05:32 AM</t>
  </si>
  <si>
    <t>3h 7m 17s</t>
  </si>
  <si>
    <t>4/16/26, 8:07:48 AM</t>
  </si>
  <si>
    <t>4/16/26, 11:03:06 AM</t>
  </si>
  <si>
    <t>2h 45m 51s</t>
  </si>
  <si>
    <t>4/20/26, 8:25:31 AM</t>
  </si>
  <si>
    <t>2h 33m 9s</t>
  </si>
  <si>
    <t>4/22/26, 8:08:48 AM</t>
  </si>
  <si>
    <t>2h 51m 16s</t>
  </si>
  <si>
    <t>4/27/26, 8:07:21 AM</t>
  </si>
  <si>
    <t>4/27/26, 11:01:00 AM</t>
  </si>
  <si>
    <t>2h 53m 39s</t>
  </si>
  <si>
    <t>4/29/26, 8:16:08 AM</t>
  </si>
  <si>
    <t>2h 45m 42s</t>
  </si>
  <si>
    <t>5/04/26, 8:15:55 AM</t>
  </si>
  <si>
    <t>2h 46m 34s</t>
  </si>
  <si>
    <t>5/06/26, 8:12:46 AM</t>
  </si>
  <si>
    <t>2h 52m 2s</t>
  </si>
  <si>
    <t>5/11/26, 8:06:15 AM</t>
  </si>
  <si>
    <t>5/11/26, 11:01:47 AM</t>
  </si>
  <si>
    <t>2h 55m 31s</t>
  </si>
  <si>
    <t>5/13/26, 8:06:16 AM</t>
  </si>
  <si>
    <t>5/13/26, 11:00:22 AM</t>
  </si>
  <si>
    <t>2h 54m 4s</t>
  </si>
  <si>
    <t>5/18/26, 8:05:00 AM</t>
  </si>
  <si>
    <t>3h 8m 35s</t>
  </si>
  <si>
    <t>5/20/26, 8:02:05 AM</t>
  </si>
  <si>
    <t>3/18/26, 10:01:25 AM</t>
  </si>
  <si>
    <t>1h 2m 44s</t>
  </si>
  <si>
    <t>3/23/26, 10:14:00 AM</t>
  </si>
  <si>
    <t>3/23/26, 11:16:40 AM</t>
  </si>
  <si>
    <t>1h 2m 40s</t>
  </si>
  <si>
    <t>3/25/26, 8:04:05 AM</t>
  </si>
  <si>
    <t>2h 50m 24s</t>
  </si>
  <si>
    <t>3/30/26, 8:06:04 AM</t>
  </si>
  <si>
    <t>2h 57m 24s</t>
  </si>
  <si>
    <t>4/01/26, 8:03:52 AM</t>
  </si>
  <si>
    <t>4/01/26, 11:03:16 AM</t>
  </si>
  <si>
    <t>2h 59m 23s</t>
  </si>
  <si>
    <t>4/06/26, 8:05:28 AM</t>
  </si>
  <si>
    <t>4/06/26, 11:04:10 AM</t>
  </si>
  <si>
    <t>2h 58m 41s</t>
  </si>
  <si>
    <t>4/08/26, 8:10:11 AM</t>
  </si>
  <si>
    <t>2h 51m 23s</t>
  </si>
  <si>
    <t>4/13/26, 8:06:11 AM</t>
  </si>
  <si>
    <t>4/13/26, 11:12:48 AM</t>
  </si>
  <si>
    <t>3h 6m 37s</t>
  </si>
  <si>
    <t>4/16/26, 8:09:52 AM</t>
  </si>
  <si>
    <t>4/16/26, 11:03:09 AM</t>
  </si>
  <si>
    <t>2h 53m 15s</t>
  </si>
  <si>
    <t>4/20/26, 8:47:01 AM</t>
  </si>
  <si>
    <t>4/20/26, 10:04:33 AM</t>
  </si>
  <si>
    <t>1h 7m 21s</t>
  </si>
  <si>
    <t>4/22/26, 8:08:54 AM</t>
  </si>
  <si>
    <t>2h 51m 19s</t>
  </si>
  <si>
    <t>4/27/26, 8:09:22 AM</t>
  </si>
  <si>
    <t>4/27/26, 11:01:03 AM</t>
  </si>
  <si>
    <t>2h 51m 40s</t>
  </si>
  <si>
    <t>4/29/26, 8:21:17 AM</t>
  </si>
  <si>
    <t>2h 34m 35s</t>
  </si>
  <si>
    <t>5/04/26, 8:16:12 AM</t>
  </si>
  <si>
    <t>2h 46m 27s</t>
  </si>
  <si>
    <t>5/06/26, 8:27:40 AM</t>
  </si>
  <si>
    <t>5/06/26, 11:05:04 AM</t>
  </si>
  <si>
    <t>1h 51m 42s</t>
  </si>
  <si>
    <t>5/11/26, 8:12:05 AM</t>
  </si>
  <si>
    <t>2h 49m 40s</t>
  </si>
  <si>
    <t>5/13/26, 8:07:46 AM</t>
  </si>
  <si>
    <t>2h 52m 35s</t>
  </si>
  <si>
    <t>5/18/26, 8:06:32 AM</t>
  </si>
  <si>
    <t>5/18/26, 11:14:47 AM</t>
  </si>
  <si>
    <t>3h 8m 22s</t>
  </si>
  <si>
    <t>5/20/26, 11:02:02 AM</t>
  </si>
  <si>
    <t>2h 59m 57s</t>
  </si>
  <si>
    <t>M S, Suwetha (Cognizant)</t>
  </si>
  <si>
    <t>3/18/26, 10:01:48 AM</t>
  </si>
  <si>
    <t>1h 2m 14s</t>
  </si>
  <si>
    <t>3/23/26, 10:23:58 AM</t>
  </si>
  <si>
    <t>3/23/26, 11:16:24 AM</t>
  </si>
  <si>
    <t>52m 26s</t>
  </si>
  <si>
    <t>3/25/26, 8:05:22 AM</t>
  </si>
  <si>
    <t>3/25/26, 11:00:20 AM</t>
  </si>
  <si>
    <t>2h 54m 57s</t>
  </si>
  <si>
    <t>3/30/26, 8:06:05 AM</t>
  </si>
  <si>
    <t>2h 57m 21s</t>
  </si>
  <si>
    <t>4/01/26, 8:04:40 AM</t>
  </si>
  <si>
    <t>2h 58m 43s</t>
  </si>
  <si>
    <t>4/06/26, 8:06:04 AM</t>
  </si>
  <si>
    <t>4/06/26, 10:40:59 AM</t>
  </si>
  <si>
    <t>2h 34m 54s</t>
  </si>
  <si>
    <t>4/08/26, 8:11:34 AM</t>
  </si>
  <si>
    <t>4/08/26, 11:01:32 AM</t>
  </si>
  <si>
    <t>2h 49m 57s</t>
  </si>
  <si>
    <t>4/13/26, 8:07:54 AM</t>
  </si>
  <si>
    <t>3h 4m 51s</t>
  </si>
  <si>
    <t>4/16/26, 8:10:52 AM</t>
  </si>
  <si>
    <t>4/16/26, 10:25:39 AM</t>
  </si>
  <si>
    <t>2h 15m 34s</t>
  </si>
  <si>
    <t>4/20/26, 8:50:16 AM</t>
  </si>
  <si>
    <t>4/20/26, 10:58:54 AM</t>
  </si>
  <si>
    <t>2h 8m 37s</t>
  </si>
  <si>
    <t>4/22/26, 8:13:35 AM</t>
  </si>
  <si>
    <t>2h 46m 38s</t>
  </si>
  <si>
    <t>4/27/26, 8:11:10 AM</t>
  </si>
  <si>
    <t>4/27/26, 11:01:05 AM</t>
  </si>
  <si>
    <t>2h 49m 55s</t>
  </si>
  <si>
    <t>4/29/26, 8:31:05 AM</t>
  </si>
  <si>
    <t>4/29/26, 11:01:42 AM</t>
  </si>
  <si>
    <t>2h 6m 20s</t>
  </si>
  <si>
    <t>5/04/26, 8:20:18 AM</t>
  </si>
  <si>
    <t>2h 42m 18s</t>
  </si>
  <si>
    <t>5/06/26, 8:38:08 AM</t>
  </si>
  <si>
    <t>5/06/26, 11:05:03 AM</t>
  </si>
  <si>
    <t>2h 22m 39s</t>
  </si>
  <si>
    <t>5/11/26, 8:19:14 AM</t>
  </si>
  <si>
    <t>2h 34m 39s</t>
  </si>
  <si>
    <t>5/13/26, 8:13:03 AM</t>
  </si>
  <si>
    <t>2h 47m 16s</t>
  </si>
  <si>
    <t>5/18/26, 8:06:47 AM</t>
  </si>
  <si>
    <t>5/18/26, 11:14:40 AM</t>
  </si>
  <si>
    <t>3h 7m 51s</t>
  </si>
  <si>
    <t>5/20/26, 8:02:32 AM</t>
  </si>
  <si>
    <t>3/18/26, 10:01:57 AM</t>
  </si>
  <si>
    <t>3/18/26, 11:02:32 AM</t>
  </si>
  <si>
    <t>1h 34s</t>
  </si>
  <si>
    <t>3/25/26, 8:06:07 AM</t>
  </si>
  <si>
    <t>2h 54m 17s</t>
  </si>
  <si>
    <t>chakradhar reddy gurrala (Unverified)</t>
  </si>
  <si>
    <t>3/30/26, 8:07:56 AM</t>
  </si>
  <si>
    <t>3/30/26, 10:04:15 AM</t>
  </si>
  <si>
    <t>1h 56m 18s</t>
  </si>
  <si>
    <t>4/01/26, 8:06:42 AM</t>
  </si>
  <si>
    <t>4/06/26, 8:06:40 AM</t>
  </si>
  <si>
    <t>2h 54m 53s</t>
  </si>
  <si>
    <t>4/08/26, 8:12:47 AM</t>
  </si>
  <si>
    <t>2h 48m 52s</t>
  </si>
  <si>
    <t>4/13/26, 8:27:14 AM</t>
  </si>
  <si>
    <t>2h 45m 34s</t>
  </si>
  <si>
    <t>4/16/26, 8:12:21 AM</t>
  </si>
  <si>
    <t>4/16/26, 11:03:10 AM</t>
  </si>
  <si>
    <t>2h 46m 39s</t>
  </si>
  <si>
    <t>4/20/26, 9:03:29 AM</t>
  </si>
  <si>
    <t>4/20/26, 10:29:17 AM</t>
  </si>
  <si>
    <t>1h 26m 19s</t>
  </si>
  <si>
    <t>4/22/26, 8:39:32 AM</t>
  </si>
  <si>
    <t>2h 14m 9s</t>
  </si>
  <si>
    <t>4/27/26, 8:16:47 AM</t>
  </si>
  <si>
    <t>2h 32m 29s</t>
  </si>
  <si>
    <t>4/29/26, 8:33:25 AM</t>
  </si>
  <si>
    <t>2h 28m 23s</t>
  </si>
  <si>
    <t>5/04/26, 8:28:10 AM</t>
  </si>
  <si>
    <t>2h 34m 27s</t>
  </si>
  <si>
    <t>5/06/26, 10:14:42 AM</t>
  </si>
  <si>
    <t>49m 57s</t>
  </si>
  <si>
    <t>5/11/26, 8:26:51 AM</t>
  </si>
  <si>
    <t>2h 31m 35s</t>
  </si>
  <si>
    <t>5/13/26, 8:18:31 AM</t>
  </si>
  <si>
    <t>2h 41m 47s</t>
  </si>
  <si>
    <t>5/18/26, 8:08:16 AM</t>
  </si>
  <si>
    <t>3h 7m 6s</t>
  </si>
  <si>
    <t>5/20/26, 8:02:42 AM</t>
  </si>
  <si>
    <t>2h 59m 16s</t>
  </si>
  <si>
    <t>3/18/26, 10:02:12 AM</t>
  </si>
  <si>
    <t>1h 1m 58s</t>
  </si>
  <si>
    <t>3/25/26, 8:08:19 AM</t>
  </si>
  <si>
    <t>3/25/26, 11:00:18 AM</t>
  </si>
  <si>
    <t>2h 51m 59s</t>
  </si>
  <si>
    <t>3/30/26, 8:10:55 AM</t>
  </si>
  <si>
    <t>3/30/26, 10:34:56 AM</t>
  </si>
  <si>
    <t>2h 47m 31s</t>
  </si>
  <si>
    <t>4/01/26, 8:06:52 AM</t>
  </si>
  <si>
    <t>2h 56m 28s</t>
  </si>
  <si>
    <t>4/06/26, 8:10:09 AM</t>
  </si>
  <si>
    <t>4/08/26, 8:13:07 AM</t>
  </si>
  <si>
    <t>4/08/26, 11:01:29 AM</t>
  </si>
  <si>
    <t>2h 48m 24s</t>
  </si>
  <si>
    <t>4/13/26, 8:27:18 AM</t>
  </si>
  <si>
    <t>4/13/26, 8:59:25 AM</t>
  </si>
  <si>
    <t>32m 7s</t>
  </si>
  <si>
    <t>4/16/26, 8:17:43 AM</t>
  </si>
  <si>
    <t>4/16/26, 8:44:46 AM</t>
  </si>
  <si>
    <t>19m 59s</t>
  </si>
  <si>
    <t>4/20/26, 9:12:31 AM</t>
  </si>
  <si>
    <t>4/20/26, 10:33:48 AM</t>
  </si>
  <si>
    <t>1h 21m 46s</t>
  </si>
  <si>
    <t>4/22/26, 8:44:24 AM</t>
  </si>
  <si>
    <t>2h 15m 37s</t>
  </si>
  <si>
    <t>4/27/26, 8:21:54 AM</t>
  </si>
  <si>
    <t>2h 39m 14s</t>
  </si>
  <si>
    <t>4/29/26, 9:02:37 AM</t>
  </si>
  <si>
    <t>1h 59m 16s</t>
  </si>
  <si>
    <t>5/04/26, 8:36:17 AM</t>
  </si>
  <si>
    <t>5/04/26, 11:02:34 AM</t>
  </si>
  <si>
    <t>2h 26m 17s</t>
  </si>
  <si>
    <t>5/11/26, 8:46:08 AM</t>
  </si>
  <si>
    <t>2h 15m 40s</t>
  </si>
  <si>
    <t>5/13/26, 8:28:11 AM</t>
  </si>
  <si>
    <t>2h 32m 10s</t>
  </si>
  <si>
    <t>5/18/26, 8:10:00 AM</t>
  </si>
  <si>
    <t>3h 4m 38s</t>
  </si>
  <si>
    <t>5/20/26, 8:05:13 AM</t>
  </si>
  <si>
    <t>5/20/26, 11:01:29 AM</t>
  </si>
  <si>
    <t>2h 56m 16s</t>
  </si>
  <si>
    <t>3/18/26, 10:02:37 AM</t>
  </si>
  <si>
    <t>1h 1m 30s</t>
  </si>
  <si>
    <t>3/25/26, 8:08:31 AM</t>
  </si>
  <si>
    <t>2h 48m 47s</t>
  </si>
  <si>
    <t>3/30/26, 8:11:28 AM</t>
  </si>
  <si>
    <t>3/30/26, 8:49:40 AM</t>
  </si>
  <si>
    <t>38m 11s</t>
  </si>
  <si>
    <t>4/01/26, 8:08:05 AM</t>
  </si>
  <si>
    <t>2h 55m 10s</t>
  </si>
  <si>
    <t>4/06/26, 8:18:39 AM</t>
  </si>
  <si>
    <t>4/06/26, 8:22:14 AM</t>
  </si>
  <si>
    <t>3m 35s</t>
  </si>
  <si>
    <t>4/08/26, 8:13:31 AM</t>
  </si>
  <si>
    <t>2h 48m 8s</t>
  </si>
  <si>
    <t>Manickam, Saravanan (Cognizant)</t>
  </si>
  <si>
    <t>4/13/26, 9:09:05 AM</t>
  </si>
  <si>
    <t>4/13/26, 10:18:55 AM</t>
  </si>
  <si>
    <t>8m 25s</t>
  </si>
  <si>
    <t>4/16/26, 8:25:35 AM</t>
  </si>
  <si>
    <t>2h 37m 38s</t>
  </si>
  <si>
    <t>4/20/26, 9:57:03 AM</t>
  </si>
  <si>
    <t>4/20/26, 10:58:45 AM</t>
  </si>
  <si>
    <t>1h 1m 42s</t>
  </si>
  <si>
    <t>4/22/26, 9:10:27 AM</t>
  </si>
  <si>
    <t>1h 49m 46s</t>
  </si>
  <si>
    <t>4/27/26, 8:55:01 AM</t>
  </si>
  <si>
    <t>4/27/26, 11:01:17 AM</t>
  </si>
  <si>
    <t>2h 6m 15s</t>
  </si>
  <si>
    <t>5/04/26, 9:36:27 AM</t>
  </si>
  <si>
    <t>1h 26m 16s</t>
  </si>
  <si>
    <t>5/11/26, 8:48:43 AM</t>
  </si>
  <si>
    <t>2h 4m 23s</t>
  </si>
  <si>
    <t>5/13/26, 8:38:59 AM</t>
  </si>
  <si>
    <t>2h 21m 25s</t>
  </si>
  <si>
    <t>5/18/26, 8:12:46 AM</t>
  </si>
  <si>
    <t>3h 1m 56s</t>
  </si>
  <si>
    <t>5/20/26, 8:22:10 AM</t>
  </si>
  <si>
    <t>2h 39m 52s</t>
  </si>
  <si>
    <t>3/18/26, 10:03:16 AM</t>
  </si>
  <si>
    <t>1h 53s</t>
  </si>
  <si>
    <t>3/25/26, 8:09:30 AM</t>
  </si>
  <si>
    <t>2h 50m 58s</t>
  </si>
  <si>
    <t>3/30/26, 8:11:37 AM</t>
  </si>
  <si>
    <t>2h 46m 18s</t>
  </si>
  <si>
    <t>4/01/26, 8:09:08 AM</t>
  </si>
  <si>
    <t>2h 54m 9s</t>
  </si>
  <si>
    <t>4/06/26, 8:22:21 AM</t>
  </si>
  <si>
    <t>2h 41m 58s</t>
  </si>
  <si>
    <t>4/08/26, 8:14:44 AM</t>
  </si>
  <si>
    <t>4/08/26, 9:39:12 AM</t>
  </si>
  <si>
    <t>1h 24m 28s</t>
  </si>
  <si>
    <t>4/13/26, 9:56:40 AM</t>
  </si>
  <si>
    <t>1h 16m 8s</t>
  </si>
  <si>
    <t>4/16/26, 8:28:09 AM</t>
  </si>
  <si>
    <t>4/16/26, 8:33:07 AM</t>
  </si>
  <si>
    <t>4m 58s</t>
  </si>
  <si>
    <t>4/20/26, 10:40:36 AM</t>
  </si>
  <si>
    <t>4/20/26, 10:58:51 AM</t>
  </si>
  <si>
    <t>18m 14s</t>
  </si>
  <si>
    <t>4/22/26, 10:45:53 AM</t>
  </si>
  <si>
    <t>14m 11s</t>
  </si>
  <si>
    <t>4/27/26, 9:24:46 AM</t>
  </si>
  <si>
    <t>4/27/26, 11:01:22 AM</t>
  </si>
  <si>
    <t>41m 15s</t>
  </si>
  <si>
    <t>5/11/26, 8:53:13 AM</t>
  </si>
  <si>
    <t>2h 8m 35s</t>
  </si>
  <si>
    <t>5/13/26, 9:09:55 AM</t>
  </si>
  <si>
    <t>1h 28m 3s</t>
  </si>
  <si>
    <t>5/18/26, 8:43:03 AM</t>
  </si>
  <si>
    <t>5/18/26, 8:44:45 AM</t>
  </si>
  <si>
    <t>1m 41s</t>
  </si>
  <si>
    <t>3/18/26, 10:04:34 AM</t>
  </si>
  <si>
    <t>59m 30s</t>
  </si>
  <si>
    <t>3/25/26, 8:14:39 AM</t>
  </si>
  <si>
    <t>2h 29m 22s</t>
  </si>
  <si>
    <t>Chandana, Chavala Hari (Cognizant)</t>
  </si>
  <si>
    <t>3/30/26, 8:14:20 AM</t>
  </si>
  <si>
    <t>3/30/26, 10:21:07 AM</t>
  </si>
  <si>
    <t>2h 6m 45s</t>
  </si>
  <si>
    <t>4/01/26, 8:23:14 AM</t>
  </si>
  <si>
    <t>2h 18m 48s</t>
  </si>
  <si>
    <t>4/06/26, 8:34:41 AM</t>
  </si>
  <si>
    <t>4/06/26, 9:38:15 AM</t>
  </si>
  <si>
    <t>40m 36s</t>
  </si>
  <si>
    <t>4/08/26, 8:17:22 AM</t>
  </si>
  <si>
    <t>4/08/26, 10:56:40 AM</t>
  </si>
  <si>
    <t>2h 39m 18s</t>
  </si>
  <si>
    <t>4/16/26, 8:30:40 AM</t>
  </si>
  <si>
    <t>2h 32m 28s</t>
  </si>
  <si>
    <t>4/27/26, 10:47:29 AM</t>
  </si>
  <si>
    <t>13m 41s</t>
  </si>
  <si>
    <t>5/11/26, 8:53:21 AM</t>
  </si>
  <si>
    <t>2h 8m 27s</t>
  </si>
  <si>
    <t>5/13/26, 9:16:26 AM</t>
  </si>
  <si>
    <t>1h 43m 59s</t>
  </si>
  <si>
    <t>Abraham, Teena (Cognizant)</t>
  </si>
  <si>
    <t>3/18/26, 10:04:49 AM</t>
  </si>
  <si>
    <t>3/18/26, 11:03:07 AM</t>
  </si>
  <si>
    <t>58m 18s</t>
  </si>
  <si>
    <t>3/25/26, 8:17:03 AM</t>
  </si>
  <si>
    <t>3/25/26, 8:41:34 AM</t>
  </si>
  <si>
    <t>24m 30s</t>
  </si>
  <si>
    <t>3/30/26, 9:09:13 AM</t>
  </si>
  <si>
    <t>1h 52m 41s</t>
  </si>
  <si>
    <t>4/01/26, 8:23:31 AM</t>
  </si>
  <si>
    <t>1h 57m 30s</t>
  </si>
  <si>
    <t>4/06/26, 8:45:01 AM</t>
  </si>
  <si>
    <t>4/06/26, 11:00:29 AM</t>
  </si>
  <si>
    <t>2h 15m 27s</t>
  </si>
  <si>
    <t>4/08/26, 8:27:38 AM</t>
  </si>
  <si>
    <t>2h 33m 54s</t>
  </si>
  <si>
    <t>4/16/26, 8:37:00 AM</t>
  </si>
  <si>
    <t>4/16/26, 11:03:12 AM</t>
  </si>
  <si>
    <t>2h 15m 4s</t>
  </si>
  <si>
    <t>3/18/26, 10:05:31 AM</t>
  </si>
  <si>
    <t>58m 33s</t>
  </si>
  <si>
    <t>3/25/26, 8:18:02 AM</t>
  </si>
  <si>
    <t>2h 42m 25s</t>
  </si>
  <si>
    <t>3/30/26, 10:09:33 AM</t>
  </si>
  <si>
    <t>30m 43s</t>
  </si>
  <si>
    <t>4/01/26, 8:23:32 AM</t>
  </si>
  <si>
    <t>4/01/26, 8:59:18 AM</t>
  </si>
  <si>
    <t>35m 46s</t>
  </si>
  <si>
    <t>4/06/26, 8:59:12 AM</t>
  </si>
  <si>
    <t>2h 5m 12s</t>
  </si>
  <si>
    <t>4/08/26, 8:48:13 AM</t>
  </si>
  <si>
    <t>4/08/26, 9:54:25 AM</t>
  </si>
  <si>
    <t>1h 6m 12s</t>
  </si>
  <si>
    <t>4/16/26, 8:47:45 AM</t>
  </si>
  <si>
    <t>4/16/26, 8:49:06 AM</t>
  </si>
  <si>
    <t>1m 20s</t>
  </si>
  <si>
    <t>3/18/26, 10:09:05 AM</t>
  </si>
  <si>
    <t>54m 59s</t>
  </si>
  <si>
    <t>3/25/26, 8:33:28 AM</t>
  </si>
  <si>
    <t>2h 26m 55s</t>
  </si>
  <si>
    <t>4/01/26, 8:28:22 AM</t>
  </si>
  <si>
    <t>4/06/26, 10:22:28 AM</t>
  </si>
  <si>
    <t>38m 53s</t>
  </si>
  <si>
    <t>Chavala Hari Chandana</t>
  </si>
  <si>
    <t>3/18/26, 10:10:09 AM</t>
  </si>
  <si>
    <t>53m 58s</t>
  </si>
  <si>
    <t>3/25/26, 9:00:25 AM</t>
  </si>
  <si>
    <t>3/25/26, 9:14:07 AM</t>
  </si>
  <si>
    <t>13m 42s</t>
  </si>
  <si>
    <t>4/01/26, 8:38:19 AM</t>
  </si>
  <si>
    <t>2h 25m 3s</t>
  </si>
  <si>
    <t>3/18/26, 10:14:26 AM</t>
  </si>
  <si>
    <t>49m 44s</t>
  </si>
  <si>
    <t>4/01/26, 9:53:38 AM</t>
  </si>
  <si>
    <t>1h 9m 38s</t>
  </si>
  <si>
    <t>3/18/26, 10:31:43 AM</t>
  </si>
  <si>
    <t>32m 27s</t>
  </si>
  <si>
    <t>4/01/26, 10:11:14 AM</t>
  </si>
  <si>
    <t>52m 8s</t>
  </si>
  <si>
    <t>3/18/26, 10:40:52 AM</t>
  </si>
  <si>
    <t>23m 18s</t>
  </si>
  <si>
    <t>3/18/26, 10:51:46 AM</t>
  </si>
  <si>
    <t>12m 20s</t>
  </si>
  <si>
    <t>Sno</t>
  </si>
  <si>
    <t>Date</t>
  </si>
  <si>
    <t>Module Name</t>
  </si>
  <si>
    <t>Faculty</t>
  </si>
  <si>
    <t>Participant Name</t>
  </si>
  <si>
    <t>Please share your key takeaways from today's session</t>
  </si>
  <si>
    <t>My rating</t>
  </si>
  <si>
    <t>Please let us know if you have any specific feedback for the module / delivery method / mentor?</t>
  </si>
  <si>
    <t>Any other feedback</t>
  </si>
  <si>
    <t>Applying Design Thinking for Architecture Practice​</t>
  </si>
  <si>
    <t>Manoj</t>
  </si>
  <si>
    <t>Understanding what design thinking is and it's relation with architecting solutions.</t>
  </si>
  <si>
    <t>5</t>
  </si>
  <si>
    <t>Importance of design thinking</t>
  </si>
  <si>
    <t>4</t>
  </si>
  <si>
    <t>So far good with the Mentor and delivery</t>
  </si>
  <si>
    <t>N/A</t>
  </si>
  <si>
    <t>Got basic level knowledge on Design pattern.</t>
  </si>
  <si>
    <t>3</t>
  </si>
  <si>
    <t>Even though the session is theoritical mentor took the session by adding some interactive examples.</t>
  </si>
  <si>
    <t>One thing I learned today is that, Listen, think, analyze and then go for solutions for any issue.</t>
  </si>
  <si>
    <t xml:space="preserve">Start was good.... Interactions was also good... but in between we moved a little fast specially after break... </t>
  </si>
  <si>
    <t>Session is good, but examples can be better. Specially in the last slide when few questions were discussing.</t>
  </si>
  <si>
    <t>Architecture Concepts, Techniques and Tools- 1​</t>
  </si>
  <si>
    <t>Understood how to think like a Architecture, what are the steps need to taken when we get particular requirement.</t>
  </si>
  <si>
    <t>What exactly Cloud Native Architecture is. Starter with Architectural concepts</t>
  </si>
  <si>
    <t>Good So far</t>
  </si>
  <si>
    <t>Tool and techniques used for architecting and related concepts</t>
  </si>
  <si>
    <t>I gained a clearer understanding of how Design Thinking complements architecture by ensuring we focus on the right user problems before designing solutions.</t>
  </si>
  <si>
    <t>Nil</t>
  </si>
  <si>
    <t>Good presentation — the content was clear, well‑structured, and easy to follow.</t>
  </si>
  <si>
    <t>About few things like CNA Explanation,digital velocity,things to consider while designing ,Technology Platform</t>
  </si>
  <si>
    <t xml:space="preserve">30-03-2026 </t>
  </si>
  <si>
    <t>Architecture Concepts, Techniques and Tools- 2</t>
  </si>
  <si>
    <t>Learnt how to approach a problem and think from an architect's perspective to find solutions.</t>
  </si>
  <si>
    <t xml:space="preserve">Mentor is awesome. His knowledge delivery method is effective. Keeps everyone engaged. I never felt bored. </t>
  </si>
  <si>
    <t>Architecture Patterns and choosing the appropriate Styles- 1​</t>
  </si>
  <si>
    <t>Concepts are clear</t>
  </si>
  <si>
    <t>Types of Architecture like Layer/ Microservice etc. Different type of Architectes like Data / Solution/ Enterprise etc. Cross cutting concerns</t>
  </si>
  <si>
    <t xml:space="preserve">Good session with proper concepts </t>
  </si>
  <si>
    <t>Different architectural roles, their responsibilities and where they fit in an organisation. Cross cutting characteristics that influence the design, development and maintainence of software systems.</t>
  </si>
  <si>
    <t>Understood who is architect and their types, what are their responsibilities and mindset/vision of architect</t>
  </si>
  <si>
    <t>Multiple examples relevant to Audience skills should be shared so they can relate. I'm from .Net stack and examples were mostly related to Spring framework mostly used in Java stack.</t>
  </si>
  <si>
    <t>Chethan</t>
  </si>
  <si>
    <t>Types of architect, Roles of each type pf Architect, Decision making tradeoffs</t>
  </si>
  <si>
    <t>Vanita Kushwaha</t>
  </si>
  <si>
    <t>1. Types of architects and their roles. 2. Cross cutting concerns. 3. Software designing</t>
  </si>
  <si>
    <t xml:space="preserve"> Learned about various architecture design principles, different types of architects, and the fundamentals of platform engineering.</t>
  </si>
  <si>
    <t>The session was clear, engaging, and well-delivered, and the mentor explained the concepts effectively.</t>
  </si>
  <si>
    <t>Architecture Patterns and choosing the appropriate Styles- 2​</t>
  </si>
  <si>
    <t>Fundamentals of SOA, Microservices, Event driven architecture, issues with SOA</t>
  </si>
  <si>
    <t xml:space="preserve">More implemented actual examples(could be POCs) would be great instead of just theory/ explaining the experience </t>
  </si>
  <si>
    <t>Different types of architecture and their use cases.</t>
  </si>
  <si>
    <t>I learned key architectural styles such as SOA, Event‑Driven Architecture, and Microservices, and how they help in building scalable, loosely coupled systems.</t>
  </si>
  <si>
    <t>The module was well structured and informative. The mentor explained architectural concepts such as application vs platform design, architectural roles, cross‑cutting concerns, and architectural styles (SOA, Event‑Driven Architecture, Microservices) clearly with relevant examples.</t>
  </si>
  <si>
    <t>GenAI and Prompt Engg for Architects- 1</t>
  </si>
  <si>
    <t>Different type of architecture like ntier, soa, microservices monolithic etc</t>
  </si>
  <si>
    <t>Came to know about Various architectural patterns &amp; situation in which we can apply them: like Anti corruption, CQRS, Circuit Breaker, SAGA, Health check, etc</t>
  </si>
  <si>
    <t>Gained an understanding of architectural patterns including ACL, Circuit Breaker, CQRS, Event‑Driven Architecture, and Health Check mechanisms.</t>
  </si>
  <si>
    <t>The quiz and discussions conducted by the mentor were helpful and provided better insight into architectural patterns.</t>
  </si>
  <si>
    <t xml:space="preserve">Various microservices pattern </t>
  </si>
  <si>
    <t>GenAI and Prompt Engg for Architects- 2</t>
  </si>
  <si>
    <t>Good Seesion</t>
  </si>
  <si>
    <t>GEN AI usage in Architect Level. Also, learned about some GEN AI Concepts</t>
  </si>
  <si>
    <t>The session offered a clear overview of Generative AI, its models, and real‑world applications. It also highlighted the value of prompt engineering, AI‑driven code generation, and architecture documentation support.</t>
  </si>
  <si>
    <t>The mentor explained the GenAI concepts with relevant examples, making the content easy to understand and practically applicable.</t>
  </si>
  <si>
    <t>deep dive into different fields of AI</t>
  </si>
  <si>
    <t>Design and deploy DevOps pipeline and Automation Essentials- 1​</t>
  </si>
  <si>
    <t xml:space="preserve">Learning about DevOps responsibilities and how business Owner, Architect, delivery lead and observer work collaboratively to deliver the client's expectations. </t>
  </si>
  <si>
    <t>Good Session</t>
  </si>
  <si>
    <t>Devops process and Architectural Hands-on thinking</t>
  </si>
  <si>
    <t>Conducted Role PLay including BusinesOwner, Architect, Delivery Lead and Observer role. Also, we started with DevOPS</t>
  </si>
  <si>
    <t>Need more role play with practical exposure.</t>
  </si>
  <si>
    <t>Design and deploy DevOps pipeline and Automation Essentials-2​</t>
  </si>
  <si>
    <t>Need of DevOps and implementation of pipelines</t>
  </si>
  <si>
    <t>Interactive session</t>
  </si>
  <si>
    <t xml:space="preserve">Paras Shah </t>
  </si>
  <si>
    <t>In depth learning on DevOps, it stages, challenges and constraints etc. Also performed activity to solve CICD challenge with budget constat.</t>
  </si>
  <si>
    <t xml:space="preserve">Learnt to think as an architect and how one should work with devOps team to achieve the project targets with an engaging activity. </t>
  </si>
  <si>
    <t>20-04-2026 13:04</t>
  </si>
  <si>
    <t>The session highlighted the role of a DevOps Architect in designing end‑to‑end CI/CD pipelines that automate build, test, deployment, and quality checks to enable faster and reliable software delivery.</t>
  </si>
  <si>
    <t>The example implementation questions discussed during the session provided better clarity on pipeline design, quality gates, and the DevOps architect’s decision‑making responsibilities. Overall, the mentoring approach was effective and valuable.</t>
  </si>
  <si>
    <t>22-04-2026 10:41</t>
  </si>
  <si>
    <t>Deployment Patterns and Software Testing Primer​</t>
  </si>
  <si>
    <t>Learned more on CI/CD continuous testing and other aspects in CICD. Performed roleplay as CICD DevOps Architect</t>
  </si>
  <si>
    <t>22-04-2026 10:48</t>
  </si>
  <si>
    <t>Came to know about problems and challenges faced as a DevOps and developer and how to overcome those</t>
  </si>
  <si>
    <t>22-04-2026 10:55</t>
  </si>
  <si>
    <t>Deployment</t>
  </si>
  <si>
    <t>22-04-2026 10:58</t>
  </si>
  <si>
    <t>22-04-2026 10:52</t>
  </si>
  <si>
    <t>The session explained how different deployment approaches determine how software reaches its host and how safely it integrates into running systems. Architects must consider deployability constraints.</t>
  </si>
  <si>
    <t>The sessions were very interactive and well‑structured, with clear explanations.</t>
  </si>
  <si>
    <t>Security By Design</t>
  </si>
  <si>
    <t>Application security, cloud security</t>
  </si>
  <si>
    <t>Security from Architect's POV and responsibility</t>
  </si>
  <si>
    <t>Threat Modeling, SAST, DAST, Security Measure in SDLC, shift left security practices</t>
  </si>
  <si>
    <t xml:space="preserve">We have learnt on what all security measures we, as an architect should take to keep the system secure. </t>
  </si>
  <si>
    <t>Process of Architecting (7 Steps discovery), Architecture Vision &amp; Roadmap​</t>
  </si>
  <si>
    <t>Activity on Security in architecture and 7 Step process on Architecture, Documentation and RoadMap</t>
  </si>
  <si>
    <t>Architect - vision and defining the roadmap</t>
  </si>
  <si>
    <t>The session covered the architecture lifecycle from Discovery to Vision, Design, and Roadmap, emphasizing how requirements shape architectural direction.</t>
  </si>
  <si>
    <t>The module was well structured and easy to follow, and the mentor delivered the content in a clear and engaging manner.</t>
  </si>
  <si>
    <t>Architecture Definition Document and Documentation​</t>
  </si>
  <si>
    <t>Understood key concepts about the Architecture documentation, C4 and ADRs</t>
  </si>
  <si>
    <t>Good</t>
  </si>
  <si>
    <t>Activity on Diagram. Understood various diagram like UML, C4 etc. What is the importance of diagram and how to document it.</t>
  </si>
  <si>
    <t>Context, Container and Component Diagrams</t>
  </si>
  <si>
    <t>Case driven workshops on Architecting for Digital Transformation-1​ (Application Architecture)</t>
  </si>
  <si>
    <t>The module was well structured and clearly delivered by the mentor. The EG use case explained the C4 model effectively by showing how the system is visualized at different levels (context, container, and component), making it easy to understand system interactions, responsibilities, and architectural thinking.</t>
  </si>
  <si>
    <t>The hands-on activities like ADR creation helped in better understanding real-world architecture decision-making.</t>
  </si>
  <si>
    <t>Learned how to create and document Architecture Decision Records (ADRs) by analyzing context, evaluating alternatives, and making structured design decisions.</t>
  </si>
  <si>
    <t>NA</t>
  </si>
  <si>
    <t>Learned on ADR document and also completed ADR activity and case study on Eco Ride</t>
  </si>
  <si>
    <t>it was very helpful to apply the concepts learnt so far</t>
  </si>
  <si>
    <t>The instructor is awesome. He explains things in a very clear and lucid manner.</t>
  </si>
  <si>
    <t>Activity on System Design</t>
  </si>
  <si>
    <t>Case driven workshops on Architecting for Digital Transformation-2​ (Application Architecture)</t>
  </si>
  <si>
    <t>Reviewed the Case study prepared by each group and deep dive to undestand the mistakes and understadn from various perspective.</t>
  </si>
  <si>
    <t>Understood the thinking behind documenting the architectural decisions, learned draw.io</t>
  </si>
  <si>
    <t>Interactivity is good</t>
  </si>
  <si>
    <t>For each session, sometimes it takes time to do all the things and time does not left to collaborate among the team members. Maybe some extra time should be allowed by opening rooms again just to sync</t>
  </si>
  <si>
    <t>Discussion of the case study - hits and misses</t>
  </si>
  <si>
    <t>Beautifully reviewed and explained the pros-cons of the case studies created by teams</t>
  </si>
  <si>
    <t>The mentor is very good</t>
  </si>
  <si>
    <t>The case study review helped reinforce practical application of architecture concepts and highlighted areas for improvement in design and decision‑making.</t>
  </si>
  <si>
    <t>The discussions around ADRs, design choices, and improvement areas helped in identifying gaps and strengthening architecture decision‑making skills.</t>
  </si>
  <si>
    <t>MCQ Status</t>
  </si>
  <si>
    <t>MCQ Score ( Out of 30 )</t>
  </si>
  <si>
    <t>Open Ended Status</t>
  </si>
  <si>
    <t>`</t>
  </si>
  <si>
    <r>
      <t>S.no</t>
    </r>
    <r>
      <rPr>
        <sz val="12"/>
        <color rgb="FF000000"/>
        <rFont val="Aptos Display"/>
        <scheme val="major"/>
      </rPr>
      <t> </t>
    </r>
  </si>
  <si>
    <r>
      <t>Participants Name </t>
    </r>
    <r>
      <rPr>
        <sz val="12"/>
        <color rgb="FF000000"/>
        <rFont val="Aptos Display"/>
        <scheme val="major"/>
      </rPr>
      <t> </t>
    </r>
  </si>
  <si>
    <r>
      <t>Group</t>
    </r>
    <r>
      <rPr>
        <sz val="12"/>
        <color rgb="FF000000"/>
        <rFont val="Aptos Display"/>
        <scheme val="major"/>
      </rPr>
      <t> </t>
    </r>
  </si>
  <si>
    <t>1 </t>
  </si>
  <si>
    <t>Sathish Kumar Panjatcharam </t>
  </si>
  <si>
    <t>Group 1 </t>
  </si>
  <si>
    <t>2 </t>
  </si>
  <si>
    <t>Tushar Kamble </t>
  </si>
  <si>
    <t>3 </t>
  </si>
  <si>
    <t>Senthil Chandramohan </t>
  </si>
  <si>
    <t>4 </t>
  </si>
  <si>
    <t>Abdul Baseer Saleem </t>
  </si>
  <si>
    <t>5 </t>
  </si>
  <si>
    <t>Sasirekha Krishnan </t>
  </si>
  <si>
    <t>6 </t>
  </si>
  <si>
    <t>Chakradhar Reddy Gurrala </t>
  </si>
  <si>
    <t>7 </t>
  </si>
  <si>
    <t>Paras Shah </t>
  </si>
  <si>
    <t>Group 2 </t>
  </si>
  <si>
    <t>8 </t>
  </si>
  <si>
    <t>Chethan K P </t>
  </si>
  <si>
    <t>9 </t>
  </si>
  <si>
    <t>Karthika P </t>
  </si>
  <si>
    <t>10 </t>
  </si>
  <si>
    <t>Sneha Babychan </t>
  </si>
  <si>
    <t>11 </t>
  </si>
  <si>
    <t>Sanathkumar Basetty </t>
  </si>
  <si>
    <t>12 </t>
  </si>
  <si>
    <t>Mohammed Irfan Khan </t>
  </si>
  <si>
    <t>13 </t>
  </si>
  <si>
    <t>Seshadri Rajan </t>
  </si>
  <si>
    <t>Group 3 </t>
  </si>
  <si>
    <t>14 </t>
  </si>
  <si>
    <t>Sathish Kumar Narayanan </t>
  </si>
  <si>
    <t>15 </t>
  </si>
  <si>
    <t>Mrudul Gupta </t>
  </si>
  <si>
    <t>16 </t>
  </si>
  <si>
    <t>Rakesh Sahu </t>
  </si>
  <si>
    <t>17 </t>
  </si>
  <si>
    <t>Shimali Thabassum </t>
  </si>
  <si>
    <t>18 </t>
  </si>
  <si>
    <t>Rahul Kumar </t>
  </si>
  <si>
    <t>19 </t>
  </si>
  <si>
    <t>Suman R </t>
  </si>
  <si>
    <t>Group 4 </t>
  </si>
  <si>
    <t>20 </t>
  </si>
  <si>
    <t>Mounika Naradagunta </t>
  </si>
  <si>
    <t>21 </t>
  </si>
  <si>
    <t>Banupriya Paramasivan </t>
  </si>
  <si>
    <t>22 </t>
  </si>
  <si>
    <t>Naveen P </t>
  </si>
  <si>
    <t>23 </t>
  </si>
  <si>
    <t>Koushik Mahakal </t>
  </si>
  <si>
    <t>24 </t>
  </si>
  <si>
    <t>Vindhyachal Tiwari </t>
  </si>
  <si>
    <t>Total Score
(Score - 50)</t>
  </si>
  <si>
    <t>Feedback</t>
  </si>
  <si>
    <t>Stakeholders well documented, Good Functional req, Good inscope/out of scope, Nice NFRs
ADR details can be more detailed in use case context (it seems somewhat generic)
Architecture diagram coloring can have better with good color contrast/arrows properly
Deployment/Pipeline-&gt;A flow diagram created but can have a proper pipeline diagram with Devops tools mentioned</t>
  </si>
  <si>
    <t>Good business/problem context, business goals, functional req, NFRs
Risk/Constraints – Can have the impact/mitigation approach mentioned to address risks
ADR – Microservices on EKS, it feels like multiple decisions together so it needs to be very specific and clear
Architecture diagrams are overall good: High level diagram seems AI generated with minor text error, C4 context diagram can be better by having only high-level info system
AI Gateway was shown in ADR however it was not represented in architecture diagrams</t>
  </si>
  <si>
    <t>Clear business context, Stakeholders, business goals, functional req
Risk/Constraints are documented in quite detail
Nice ADR on LLM selection, and Deployment strategy (comparison nicely showcased)
Context diagram good, container diagram shows all models but ideally it should reflect the chosen Model and not all
DevOps pipeline is complex by having usual software delivery as well as AI Model delivery, ideally these should be separate
Architecture delivery phase 1 already completed so can be better presented</t>
  </si>
  <si>
    <t>Good business context, Functional req, NFR along with impact/mitigation
C4 context diagram is clear, however Container/Component diagrams are bit complex so readability can be improved by breaking down
ADRs are after architecture diagrams, but ideally decisions should be documented first and then the architecture diagrams.
ADRs should have a comparison table for better visibility on why something is decided
Architecture delivery phases are documented well and dependency in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</si>
</sst>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sz val="11"/>
      <color theme="1"/>
      <name val="Aptos Narrow"/>
      <family val="2"/>
      <scheme val="minor"/>
    </font>
    <font>
      <u/>
      <sz val="11"/>
      <color theme="10"/>
      <name val="Aptos Narrow"/>
      <family val="2"/>
      <scheme val="minor"/>
    </font>
    <font>
      <sz val="11"/>
      <color rgb="FF000000"/>
      <name val="Calibri"/>
      <family val="2"/>
    </font>
    <font>
      <sz val="11"/>
      <color theme="1"/>
      <name val="Aptos Narrow"/>
      <family val="2"/>
      <scheme val="minor"/>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6100"/>
      <name val="Aptos Narrow"/>
      <family val="2"/>
      <scheme val="minor"/>
    </font>
    <font>
      <sz val="11"/>
      <color rgb="FF9C0006"/>
      <name val="Aptos Narrow"/>
      <family val="2"/>
      <scheme val="minor"/>
    </font>
    <font>
      <sz val="8"/>
      <name val="Aptos Narrow"/>
      <family val="2"/>
      <scheme val="minor"/>
    </font>
    <font>
      <sz val="12"/>
      <color rgb="FF000000"/>
      <name val="Aptos Display"/>
      <scheme val="major"/>
    </font>
    <font>
      <sz val="12"/>
      <color theme="1"/>
      <name val="Aptos Display"/>
      <scheme val="major"/>
    </font>
    <font>
      <b/>
      <sz val="11"/>
      <color theme="0"/>
      <name val="Aptos Display"/>
      <scheme val="major"/>
    </font>
    <font>
      <sz val="11"/>
      <color theme="1"/>
      <name val="Aptos Display"/>
      <scheme val="major"/>
    </font>
    <font>
      <b/>
      <sz val="11"/>
      <color theme="1"/>
      <name val="Aptos Display"/>
      <scheme val="major"/>
    </font>
    <font>
      <b/>
      <sz val="12"/>
      <color theme="0"/>
      <name val="Aptos Display"/>
      <scheme val="major"/>
    </font>
    <font>
      <b/>
      <sz val="12"/>
      <color theme="1"/>
      <name val="Aptos Display"/>
      <scheme val="major"/>
    </font>
    <font>
      <b/>
      <sz val="11"/>
      <color rgb="FF000000"/>
      <name val="Aptos Display"/>
      <scheme val="major"/>
    </font>
    <font>
      <sz val="11"/>
      <color rgb="FF000000"/>
      <name val="Aptos Display"/>
      <scheme val="major"/>
    </font>
    <font>
      <b/>
      <sz val="12"/>
      <color theme="0"/>
      <name val="Aptos Narrow"/>
      <scheme val="minor"/>
    </font>
    <font>
      <sz val="11"/>
      <color theme="1"/>
      <name val="Aptos Narrow"/>
      <scheme val="minor"/>
    </font>
    <font>
      <sz val="12"/>
      <color theme="1"/>
      <name val="Aptos Narrow"/>
      <scheme val="minor"/>
    </font>
    <font>
      <sz val="11"/>
      <color rgb="FF000000"/>
      <name val="Calibri"/>
    </font>
    <font>
      <sz val="12"/>
      <color rgb="FF000000"/>
      <name val="Aptos"/>
      <charset val="1"/>
    </font>
    <font>
      <b/>
      <sz val="12"/>
      <color rgb="FF000000"/>
      <name val="Aptos Display"/>
      <scheme val="major"/>
    </font>
    <font>
      <sz val="14"/>
      <color theme="1"/>
      <name val="Aptos Narrow"/>
      <family val="2"/>
      <scheme val="minor"/>
    </font>
  </fonts>
  <fills count="20">
    <fill>
      <patternFill patternType="none"/>
    </fill>
    <fill>
      <patternFill patternType="gray125"/>
    </fill>
    <fill>
      <patternFill patternType="solid">
        <fgColor theme="8" tint="0.39997558519241921"/>
        <bgColor indexed="64"/>
      </patternFill>
    </fill>
    <fill>
      <patternFill patternType="solid">
        <fgColor theme="3" tint="-0.249977111117893"/>
        <bgColor indexed="64"/>
      </patternFill>
    </fill>
    <fill>
      <patternFill patternType="solid">
        <fgColor theme="9" tint="0.39997558519241921"/>
        <bgColor indexed="64"/>
      </patternFill>
    </fill>
    <fill>
      <patternFill patternType="solid">
        <fgColor theme="4"/>
        <bgColor theme="4"/>
      </patternFill>
    </fill>
    <fill>
      <patternFill patternType="solid">
        <fgColor rgb="FFC6EFCE"/>
      </patternFill>
    </fill>
    <fill>
      <patternFill patternType="solid">
        <fgColor rgb="FFFFC7CE"/>
      </patternFill>
    </fill>
    <fill>
      <patternFill patternType="solid">
        <fgColor rgb="FF61CBF3"/>
        <bgColor rgb="FF000000"/>
      </patternFill>
    </fill>
    <fill>
      <patternFill patternType="solid">
        <fgColor rgb="FFF7C7AC"/>
        <bgColor rgb="FF000000"/>
      </patternFill>
    </fill>
    <fill>
      <patternFill patternType="solid">
        <fgColor theme="3" tint="0.89999084444715716"/>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rgb="FFFFFFFF"/>
        <bgColor indexed="64"/>
      </patternFill>
    </fill>
    <fill>
      <patternFill patternType="solid">
        <fgColor rgb="FF51A7F9"/>
        <bgColor indexed="64"/>
      </patternFill>
    </fill>
    <fill>
      <patternFill patternType="solid">
        <fgColor rgb="FFF2CEEF"/>
        <bgColor indexed="64"/>
      </patternFill>
    </fill>
    <fill>
      <patternFill patternType="solid">
        <fgColor rgb="FFFFFF00"/>
        <bgColor indexed="64"/>
      </patternFill>
    </fill>
    <fill>
      <patternFill patternType="solid">
        <fgColor rgb="FF8ED973"/>
        <bgColor indexed="64"/>
      </patternFill>
    </fill>
    <fill>
      <patternFill patternType="solid">
        <fgColor rgb="FF9CC2E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3">
    <xf numFmtId="0" fontId="0" fillId="0" borderId="0"/>
    <xf numFmtId="0" fontId="2" fillId="0" borderId="0" applyNumberFormat="0" applyFill="0" applyBorder="0" applyAlignment="0" applyProtection="0"/>
    <xf numFmtId="9" fontId="1" fillId="0" borderId="0" applyFont="0" applyFill="0" applyBorder="0" applyAlignment="0" applyProtection="0"/>
    <xf numFmtId="0" fontId="3" fillId="0" borderId="0"/>
    <xf numFmtId="0" fontId="4" fillId="0" borderId="0"/>
    <xf numFmtId="0" fontId="5" fillId="0" borderId="0"/>
    <xf numFmtId="0" fontId="6" fillId="0" borderId="0"/>
    <xf numFmtId="0" fontId="7" fillId="0" borderId="0"/>
    <xf numFmtId="0" fontId="8" fillId="0" borderId="0"/>
    <xf numFmtId="0" fontId="9" fillId="0" borderId="0"/>
    <xf numFmtId="0" fontId="11" fillId="7" borderId="0" applyNumberFormat="0" applyBorder="0" applyAlignment="0" applyProtection="0">
      <alignment vertical="center"/>
    </xf>
    <xf numFmtId="0" fontId="10" fillId="6" borderId="0" applyNumberFormat="0" applyBorder="0" applyAlignment="0" applyProtection="0">
      <alignment vertical="center"/>
    </xf>
    <xf numFmtId="9" fontId="1" fillId="0" borderId="0" applyFont="0" applyFill="0" applyBorder="0" applyAlignment="0" applyProtection="0"/>
  </cellStyleXfs>
  <cellXfs count="62">
    <xf numFmtId="0" fontId="0" fillId="0" borderId="0" xfId="0"/>
    <xf numFmtId="0" fontId="13" fillId="0" borderId="1" xfId="0" applyFont="1" applyBorder="1"/>
    <xf numFmtId="0" fontId="14" fillId="0" borderId="2" xfId="0" applyFont="1" applyBorder="1" applyAlignment="1">
      <alignment horizontal="center"/>
    </xf>
    <xf numFmtId="0" fontId="16" fillId="0" borderId="0" xfId="0" applyFont="1"/>
    <xf numFmtId="0" fontId="17" fillId="11" borderId="6" xfId="0" applyFont="1" applyFill="1" applyBorder="1" applyAlignment="1">
      <alignment horizontal="center" vertical="center" wrapText="1"/>
    </xf>
    <xf numFmtId="0" fontId="17" fillId="10" borderId="1" xfId="0" applyFont="1" applyFill="1" applyBorder="1" applyAlignment="1">
      <alignment horizontal="center" vertical="center"/>
    </xf>
    <xf numFmtId="0" fontId="17" fillId="12" borderId="1"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xf>
    <xf numFmtId="9" fontId="16" fillId="0" borderId="1" xfId="12" applyFont="1" applyBorder="1" applyAlignment="1">
      <alignment horizontal="center"/>
    </xf>
    <xf numFmtId="0" fontId="18" fillId="3" borderId="1" xfId="0" applyFont="1" applyFill="1" applyBorder="1" applyAlignment="1">
      <alignment horizontal="center" vertical="center" wrapText="1"/>
    </xf>
    <xf numFmtId="0" fontId="16" fillId="0" borderId="0" xfId="0" applyFont="1" applyAlignment="1">
      <alignment vertical="center"/>
    </xf>
    <xf numFmtId="0" fontId="19" fillId="4" borderId="1" xfId="0" applyFont="1" applyFill="1" applyBorder="1" applyAlignment="1">
      <alignment horizontal="center" vertical="center" wrapText="1"/>
    </xf>
    <xf numFmtId="0" fontId="14" fillId="0" borderId="0" xfId="0" applyFont="1" applyAlignment="1">
      <alignment vertical="center"/>
    </xf>
    <xf numFmtId="0" fontId="14" fillId="0" borderId="1" xfId="1" applyFont="1" applyFill="1" applyBorder="1" applyAlignment="1">
      <alignment horizontal="center"/>
    </xf>
    <xf numFmtId="0" fontId="14" fillId="0" borderId="1" xfId="0" applyFont="1" applyBorder="1" applyAlignment="1">
      <alignment horizontal="center"/>
    </xf>
    <xf numFmtId="9" fontId="14" fillId="0" borderId="1" xfId="2" applyFont="1" applyFill="1" applyBorder="1" applyAlignment="1">
      <alignment horizontal="center"/>
    </xf>
    <xf numFmtId="0" fontId="20" fillId="9" borderId="3" xfId="0" applyFont="1" applyFill="1" applyBorder="1" applyAlignment="1">
      <alignment horizontal="center"/>
    </xf>
    <xf numFmtId="0" fontId="21" fillId="0" borderId="2" xfId="0" applyFont="1" applyBorder="1" applyAlignment="1">
      <alignment wrapText="1"/>
    </xf>
    <xf numFmtId="0" fontId="21" fillId="0" borderId="2" xfId="0" applyFont="1" applyBorder="1"/>
    <xf numFmtId="0" fontId="16" fillId="0" borderId="2" xfId="0" applyFont="1" applyBorder="1"/>
    <xf numFmtId="0" fontId="3" fillId="0" borderId="2" xfId="0" applyFont="1" applyBorder="1" applyAlignment="1">
      <alignment wrapText="1"/>
    </xf>
    <xf numFmtId="0" fontId="3" fillId="0" borderId="2" xfId="0" applyFont="1" applyBorder="1"/>
    <xf numFmtId="0" fontId="22" fillId="5" borderId="5" xfId="0" applyFont="1" applyFill="1" applyBorder="1" applyAlignment="1">
      <alignment horizontal="center" vertical="center"/>
    </xf>
    <xf numFmtId="0" fontId="22" fillId="5" borderId="5" xfId="0" applyFont="1" applyFill="1" applyBorder="1" applyAlignment="1">
      <alignment horizontal="center" vertical="center" wrapText="1"/>
    </xf>
    <xf numFmtId="2" fontId="23" fillId="0" borderId="0" xfId="0" applyNumberFormat="1" applyFont="1" applyAlignment="1">
      <alignment horizontal="center" vertical="center"/>
    </xf>
    <xf numFmtId="0" fontId="23" fillId="0" borderId="0" xfId="0" applyFont="1" applyAlignment="1">
      <alignment horizontal="center" vertical="center"/>
    </xf>
    <xf numFmtId="0" fontId="24" fillId="13" borderId="2" xfId="0" applyFont="1" applyFill="1" applyBorder="1" applyAlignment="1">
      <alignment horizontal="center" wrapText="1"/>
    </xf>
    <xf numFmtId="14" fontId="24" fillId="13" borderId="2" xfId="0" applyNumberFormat="1" applyFont="1" applyFill="1" applyBorder="1" applyAlignment="1">
      <alignment horizontal="center" wrapText="1"/>
    </xf>
    <xf numFmtId="0" fontId="24" fillId="13" borderId="2" xfId="0" applyFont="1" applyFill="1" applyBorder="1" applyAlignment="1">
      <alignment wrapText="1"/>
    </xf>
    <xf numFmtId="0" fontId="24" fillId="13" borderId="2" xfId="0" quotePrefix="1" applyFont="1" applyFill="1" applyBorder="1" applyAlignment="1">
      <alignment horizontal="center"/>
    </xf>
    <xf numFmtId="0" fontId="23" fillId="0" borderId="0" xfId="0" applyFont="1"/>
    <xf numFmtId="0" fontId="16" fillId="0" borderId="2" xfId="0" applyFont="1" applyBorder="1" applyAlignment="1">
      <alignment wrapText="1"/>
    </xf>
    <xf numFmtId="0" fontId="25" fillId="0" borderId="0" xfId="0" applyFont="1"/>
    <xf numFmtId="0" fontId="14" fillId="0" borderId="8" xfId="0" applyFont="1" applyBorder="1" applyAlignment="1">
      <alignment horizontal="center"/>
    </xf>
    <xf numFmtId="0" fontId="18" fillId="3" borderId="9" xfId="0" applyFont="1" applyFill="1" applyBorder="1" applyAlignment="1">
      <alignment horizontal="center" vertical="center" wrapText="1"/>
    </xf>
    <xf numFmtId="0" fontId="0" fillId="0" borderId="8" xfId="0" applyBorder="1" applyAlignment="1">
      <alignment horizontal="center"/>
    </xf>
    <xf numFmtId="0" fontId="26" fillId="14" borderId="2" xfId="0" applyFont="1" applyFill="1" applyBorder="1" applyAlignment="1">
      <alignment readingOrder="1"/>
    </xf>
    <xf numFmtId="0" fontId="26" fillId="16" borderId="2" xfId="0" applyFont="1" applyFill="1" applyBorder="1" applyAlignment="1">
      <alignment readingOrder="1"/>
    </xf>
    <xf numFmtId="0" fontId="26" fillId="17" borderId="2" xfId="0" applyFont="1" applyFill="1" applyBorder="1" applyAlignment="1">
      <alignment readingOrder="1"/>
    </xf>
    <xf numFmtId="0" fontId="26" fillId="18" borderId="2" xfId="0" applyFont="1" applyFill="1" applyBorder="1" applyAlignment="1">
      <alignment readingOrder="1"/>
    </xf>
    <xf numFmtId="0" fontId="26" fillId="19" borderId="2" xfId="0" applyFont="1" applyFill="1" applyBorder="1" applyAlignment="1">
      <alignment readingOrder="1"/>
    </xf>
    <xf numFmtId="0" fontId="17" fillId="11" borderId="2" xfId="0" applyFont="1" applyFill="1" applyBorder="1" applyAlignment="1">
      <alignment horizontal="center" vertical="center" wrapText="1"/>
    </xf>
    <xf numFmtId="0" fontId="17" fillId="12" borderId="10" xfId="0" applyFont="1" applyFill="1" applyBorder="1" applyAlignment="1">
      <alignment horizontal="center" vertical="center" wrapText="1"/>
    </xf>
    <xf numFmtId="0" fontId="16" fillId="0" borderId="0" xfId="0" applyFont="1" applyAlignment="1">
      <alignment vertical="top"/>
    </xf>
    <xf numFmtId="0" fontId="17" fillId="11" borderId="9" xfId="0" applyFont="1" applyFill="1" applyBorder="1" applyAlignment="1">
      <alignment horizontal="center" vertical="top" wrapText="1"/>
    </xf>
    <xf numFmtId="0" fontId="27" fillId="15" borderId="2" xfId="0" applyFont="1" applyFill="1" applyBorder="1" applyAlignment="1">
      <alignment horizontal="center" vertical="center" readingOrder="1"/>
    </xf>
    <xf numFmtId="0" fontId="18" fillId="3" borderId="3" xfId="0" applyFont="1" applyFill="1" applyBorder="1" applyAlignment="1">
      <alignment horizontal="center" vertical="center" wrapText="1"/>
    </xf>
    <xf numFmtId="0" fontId="26" fillId="14" borderId="2" xfId="0" applyFont="1" applyFill="1" applyBorder="1" applyAlignment="1">
      <alignment horizontal="center" readingOrder="1"/>
    </xf>
    <xf numFmtId="0" fontId="17" fillId="11" borderId="6"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5" fillId="2" borderId="1"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0" xfId="0" applyFont="1" applyFill="1" applyAlignment="1">
      <alignment horizontal="center" vertical="center"/>
    </xf>
    <xf numFmtId="0" fontId="18" fillId="3" borderId="1"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8" fillId="0" borderId="2" xfId="0" applyFont="1" applyBorder="1" applyAlignment="1">
      <alignment horizontal="center" vertical="center"/>
    </xf>
    <xf numFmtId="0" fontId="27" fillId="15" borderId="3" xfId="0" applyFont="1" applyFill="1" applyBorder="1" applyAlignment="1">
      <alignment horizontal="center" vertical="center" wrapText="1" readingOrder="1"/>
    </xf>
    <xf numFmtId="0" fontId="28" fillId="0" borderId="8" xfId="0" applyFont="1" applyBorder="1" applyAlignment="1">
      <alignment horizontal="center" vertical="center"/>
    </xf>
    <xf numFmtId="0" fontId="0" fillId="0" borderId="2" xfId="0" applyBorder="1" applyAlignment="1">
      <alignment horizontal="left" vertical="top" wrapText="1"/>
    </xf>
    <xf numFmtId="0" fontId="0" fillId="0" borderId="2" xfId="0" applyBorder="1" applyAlignment="1">
      <alignment horizontal="left" vertical="top"/>
    </xf>
  </cellXfs>
  <cellStyles count="13">
    <cellStyle name="Bad 2" xfId="10" xr:uid="{5DE55E84-684C-4E17-A66E-EDB007EAE969}"/>
    <cellStyle name="Good 2" xfId="11" xr:uid="{A97EF70A-D6CC-41E2-9038-D8BBF3FFE67A}"/>
    <cellStyle name="Hyperlink" xfId="1" builtinId="8"/>
    <cellStyle name="Normal" xfId="0" builtinId="0"/>
    <cellStyle name="Normal 2" xfId="3" xr:uid="{6207D209-5815-42ED-B2CB-8D9184247284}"/>
    <cellStyle name="Normal 3" xfId="4" xr:uid="{FF369619-9FE7-40A6-913E-2DE6F8CE51A7}"/>
    <cellStyle name="Normal 4" xfId="5" xr:uid="{28B3BA0D-D42F-466E-A506-F79EE37B1065}"/>
    <cellStyle name="Normal 5" xfId="6" xr:uid="{5E0F5F53-A56A-472C-9046-56C625F2D8F9}"/>
    <cellStyle name="Normal 6" xfId="7" xr:uid="{A9A2C055-287B-4C3D-A878-4AB814A8A8B8}"/>
    <cellStyle name="Normal 7" xfId="8" xr:uid="{BB1272EE-9B48-46D4-A40E-9782EEDF51BF}"/>
    <cellStyle name="Normal 8" xfId="9" xr:uid="{6CF1C71B-9F62-4E77-A49D-68F439033FF2}"/>
    <cellStyle name="Percent" xfId="12" builtinId="5"/>
    <cellStyle name="Percent 2" xfId="2" xr:uid="{27CCDF65-611C-4BB8-86D7-5F3A571DEDF4}"/>
  </cellStyles>
  <dxfs count="52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B5B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D94714-9B37-4671-8A04-8FBD53E53EDF}">
  <we:reference id="wa200005502" version="1.0.0.11" store="en-US" storeType="OMEX"/>
  <we:alternateReferences>
    <we:reference id="wa200005502" version="1.0.0.11" store="wa200005502" storeType="OMEX"/>
  </we:alternateReferences>
  <we:properties>
    <we:property name="docId" value="&quot;JjwEW0WgopoUrIFXccv-9&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E42F-1DA8-47D7-BEB7-6445F7F39BBE}">
  <dimension ref="A1:BM49"/>
  <sheetViews>
    <sheetView zoomScale="95" zoomScaleNormal="108" workbookViewId="0">
      <selection sqref="A1:J26"/>
    </sheetView>
  </sheetViews>
  <sheetFormatPr defaultRowHeight="15" customHeight="1"/>
  <cols>
    <col min="1" max="1" width="5.5703125" style="3" bestFit="1" customWidth="1"/>
    <col min="2" max="2" width="34.140625" style="3" bestFit="1" customWidth="1"/>
    <col min="3" max="3" width="28" style="3" customWidth="1"/>
    <col min="4" max="4" width="16.28515625" style="3" bestFit="1" customWidth="1"/>
    <col min="5" max="5" width="17.85546875" style="3" customWidth="1"/>
    <col min="6" max="6" width="17.28515625" style="3" customWidth="1"/>
    <col min="7" max="7" width="19.7109375" style="3" customWidth="1"/>
    <col min="8" max="8" width="18.7109375" style="3" customWidth="1"/>
    <col min="9" max="9" width="16.85546875" style="3" customWidth="1"/>
    <col min="10" max="10" width="19.85546875" style="3" customWidth="1"/>
    <col min="11" max="11" width="9.140625" style="3"/>
    <col min="12" max="12" width="26.7109375" style="3" customWidth="1"/>
    <col min="13" max="13" width="9.140625" style="3"/>
    <col min="14" max="15" width="24.85546875" style="3" customWidth="1"/>
    <col min="16" max="16" width="9.140625" style="3"/>
    <col min="17" max="17" width="18.140625" style="3" customWidth="1"/>
    <col min="18" max="18" width="21.7109375" style="3" customWidth="1"/>
    <col min="19" max="19" width="9.140625" style="3"/>
    <col min="20" max="21" width="24.85546875" style="3" customWidth="1"/>
    <col min="22" max="22" width="9.140625" style="3"/>
    <col min="23" max="24" width="20.140625" style="3" customWidth="1"/>
    <col min="25" max="25" width="13.140625" style="3" customWidth="1"/>
    <col min="26" max="26" width="20.140625" style="3" customWidth="1"/>
    <col min="27" max="27" width="15.85546875" style="3" customWidth="1"/>
    <col min="28" max="28" width="9.140625" style="3"/>
    <col min="29" max="30" width="17.28515625" style="3" customWidth="1"/>
    <col min="31" max="31" width="9.140625" style="3"/>
    <col min="32" max="36" width="19.42578125" style="3" customWidth="1"/>
    <col min="37" max="37" width="9.140625" style="3"/>
    <col min="38" max="39" width="20.28515625" style="3" customWidth="1"/>
    <col min="40" max="40" width="9.140625" style="3"/>
    <col min="41" max="42" width="27.85546875" style="3" customWidth="1"/>
    <col min="43" max="43" width="9.140625" style="3"/>
    <col min="44" max="48" width="23.7109375" style="3" customWidth="1"/>
    <col min="49" max="49" width="9.140625" style="3"/>
    <col min="50" max="50" width="18.42578125" style="3" customWidth="1"/>
    <col min="51" max="51" width="19.140625" style="3" customWidth="1"/>
    <col min="52" max="52" width="9.140625" style="3"/>
    <col min="53" max="54" width="23.140625" style="3" customWidth="1"/>
    <col min="55" max="55" width="9.140625" style="3"/>
    <col min="56" max="57" width="20.85546875" style="3" customWidth="1"/>
    <col min="58" max="58" width="9.140625" style="3"/>
    <col min="59" max="60" width="20.7109375" style="3" customWidth="1"/>
    <col min="61" max="61" width="9.140625" style="3"/>
    <col min="62" max="63" width="19.5703125" style="3" customWidth="1"/>
    <col min="64" max="64" width="9.140625" style="3"/>
    <col min="65" max="65" width="20.140625" style="3" customWidth="1"/>
    <col min="66" max="16384" width="9.140625" style="3"/>
  </cols>
  <sheetData>
    <row r="1" spans="1:65" ht="51" customHeight="1">
      <c r="A1" s="51" t="s">
        <v>0</v>
      </c>
      <c r="B1" s="51" t="s">
        <v>1</v>
      </c>
      <c r="C1" s="51" t="s">
        <v>2</v>
      </c>
      <c r="D1" s="53" t="s">
        <v>3</v>
      </c>
      <c r="E1" s="54"/>
      <c r="F1" s="54"/>
      <c r="G1" s="54"/>
      <c r="H1" s="54"/>
      <c r="I1" s="54"/>
      <c r="J1" s="54"/>
      <c r="L1" s="4" t="s">
        <v>4</v>
      </c>
      <c r="N1" s="49" t="s">
        <v>5</v>
      </c>
      <c r="O1" s="50"/>
      <c r="Q1" s="49" t="s">
        <v>6</v>
      </c>
      <c r="R1" s="50"/>
      <c r="T1" s="49" t="s">
        <v>7</v>
      </c>
      <c r="U1" s="50"/>
      <c r="W1" s="49" t="s">
        <v>8</v>
      </c>
      <c r="X1" s="50"/>
      <c r="Z1" s="49" t="s">
        <v>9</v>
      </c>
      <c r="AA1" s="50"/>
      <c r="AC1" s="49" t="s">
        <v>10</v>
      </c>
      <c r="AD1" s="50"/>
      <c r="AF1" s="49" t="s">
        <v>11</v>
      </c>
      <c r="AG1" s="50"/>
      <c r="AI1" s="49" t="s">
        <v>12</v>
      </c>
      <c r="AJ1" s="50"/>
      <c r="AL1" s="49" t="s">
        <v>13</v>
      </c>
      <c r="AM1" s="50"/>
      <c r="AO1" s="49" t="s">
        <v>14</v>
      </c>
      <c r="AP1" s="50"/>
      <c r="AR1" s="49" t="s">
        <v>15</v>
      </c>
      <c r="AS1" s="50"/>
      <c r="AU1" s="49" t="s">
        <v>16</v>
      </c>
      <c r="AV1" s="50"/>
      <c r="AX1" s="49" t="s">
        <v>17</v>
      </c>
      <c r="AY1" s="50"/>
      <c r="BA1" s="49" t="s">
        <v>18</v>
      </c>
      <c r="BB1" s="50"/>
      <c r="BD1" s="49" t="s">
        <v>19</v>
      </c>
      <c r="BE1" s="50"/>
      <c r="BG1" s="49" t="s">
        <v>20</v>
      </c>
      <c r="BH1" s="50"/>
      <c r="BJ1" s="49" t="s">
        <v>21</v>
      </c>
      <c r="BK1" s="50"/>
      <c r="BM1" s="4" t="s">
        <v>22</v>
      </c>
    </row>
    <row r="2" spans="1:65" ht="28.9" customHeight="1">
      <c r="A2" s="51"/>
      <c r="B2" s="51"/>
      <c r="C2" s="52"/>
      <c r="D2" s="5" t="s">
        <v>23</v>
      </c>
      <c r="E2" s="5" t="s">
        <v>24</v>
      </c>
      <c r="F2" s="5" t="s">
        <v>25</v>
      </c>
      <c r="G2" s="5" t="s">
        <v>26</v>
      </c>
      <c r="H2" s="5" t="s">
        <v>27</v>
      </c>
      <c r="I2" s="5" t="s">
        <v>28</v>
      </c>
      <c r="J2" s="5" t="s">
        <v>29</v>
      </c>
      <c r="L2" s="6" t="s">
        <v>30</v>
      </c>
      <c r="N2" s="6" t="s">
        <v>30</v>
      </c>
      <c r="O2" s="6" t="s">
        <v>31</v>
      </c>
      <c r="Q2" s="6" t="s">
        <v>30</v>
      </c>
      <c r="R2" s="6" t="s">
        <v>31</v>
      </c>
      <c r="T2" s="6" t="s">
        <v>30</v>
      </c>
      <c r="U2" s="6" t="s">
        <v>31</v>
      </c>
      <c r="W2" s="6" t="s">
        <v>30</v>
      </c>
      <c r="X2" s="6" t="s">
        <v>31</v>
      </c>
      <c r="Z2" s="6" t="s">
        <v>30</v>
      </c>
      <c r="AA2" s="6" t="s">
        <v>31</v>
      </c>
      <c r="AC2" s="6" t="s">
        <v>30</v>
      </c>
      <c r="AD2" s="6" t="s">
        <v>31</v>
      </c>
      <c r="AF2" s="6" t="s">
        <v>30</v>
      </c>
      <c r="AG2" s="6" t="s">
        <v>31</v>
      </c>
      <c r="AI2" s="6" t="s">
        <v>30</v>
      </c>
      <c r="AJ2" s="6" t="s">
        <v>31</v>
      </c>
      <c r="AL2" s="6" t="s">
        <v>30</v>
      </c>
      <c r="AM2" s="6" t="s">
        <v>31</v>
      </c>
      <c r="AO2" s="6" t="s">
        <v>30</v>
      </c>
      <c r="AP2" s="6" t="s">
        <v>31</v>
      </c>
      <c r="AR2" s="6" t="s">
        <v>30</v>
      </c>
      <c r="AS2" s="6" t="s">
        <v>31</v>
      </c>
      <c r="AU2" s="6" t="s">
        <v>30</v>
      </c>
      <c r="AV2" s="6" t="s">
        <v>31</v>
      </c>
      <c r="AX2" s="6" t="s">
        <v>30</v>
      </c>
      <c r="AY2" s="6" t="s">
        <v>31</v>
      </c>
      <c r="BA2" s="6" t="s">
        <v>30</v>
      </c>
      <c r="BB2" s="6" t="s">
        <v>31</v>
      </c>
      <c r="BD2" s="6" t="s">
        <v>30</v>
      </c>
      <c r="BE2" s="6" t="s">
        <v>31</v>
      </c>
      <c r="BG2" s="6" t="s">
        <v>30</v>
      </c>
      <c r="BH2" s="6" t="s">
        <v>31</v>
      </c>
      <c r="BJ2" s="6" t="s">
        <v>30</v>
      </c>
      <c r="BK2" s="6" t="s">
        <v>31</v>
      </c>
      <c r="BM2" s="6" t="s">
        <v>30</v>
      </c>
    </row>
    <row r="3" spans="1:65" ht="15.75">
      <c r="A3" s="7">
        <v>1</v>
      </c>
      <c r="B3" s="1" t="s">
        <v>32</v>
      </c>
      <c r="C3" s="2" t="s">
        <v>33</v>
      </c>
      <c r="D3" s="2" t="s">
        <v>33</v>
      </c>
      <c r="E3" s="2" t="s">
        <v>33</v>
      </c>
      <c r="F3" s="2" t="s">
        <v>33</v>
      </c>
      <c r="G3" s="2" t="s">
        <v>33</v>
      </c>
      <c r="H3" s="2" t="s">
        <v>33</v>
      </c>
      <c r="I3" s="2" t="s">
        <v>33</v>
      </c>
      <c r="J3" s="2" t="s">
        <v>33</v>
      </c>
      <c r="L3" s="8" t="s">
        <v>34</v>
      </c>
      <c r="N3" s="8" t="s">
        <v>35</v>
      </c>
      <c r="O3" s="9">
        <v>0.32840000000000003</v>
      </c>
      <c r="Q3" s="8" t="s">
        <v>34</v>
      </c>
      <c r="R3" s="9">
        <v>0.96440000000000003</v>
      </c>
      <c r="T3" s="8" t="s">
        <v>34</v>
      </c>
      <c r="U3" s="9">
        <v>0.96960000000000002</v>
      </c>
      <c r="W3" s="8" t="s">
        <v>34</v>
      </c>
      <c r="X3" s="9">
        <v>0.99060000000000004</v>
      </c>
      <c r="Z3" s="8" t="s">
        <v>34</v>
      </c>
      <c r="AA3" s="9">
        <v>1</v>
      </c>
      <c r="AC3" s="8" t="s">
        <v>34</v>
      </c>
      <c r="AD3" s="9">
        <v>0.99519999999999997</v>
      </c>
      <c r="AF3" s="8" t="s">
        <v>34</v>
      </c>
      <c r="AG3" s="9">
        <v>0.98980000000000001</v>
      </c>
      <c r="AI3" s="8" t="s">
        <v>34</v>
      </c>
      <c r="AJ3" s="9">
        <v>0.97619999999999996</v>
      </c>
      <c r="AL3" s="8" t="s">
        <v>35</v>
      </c>
      <c r="AM3" s="9">
        <v>0</v>
      </c>
      <c r="AO3" s="8" t="s">
        <v>34</v>
      </c>
      <c r="AP3" s="9">
        <v>0.99850000000000005</v>
      </c>
      <c r="AR3" s="8" t="s">
        <v>34</v>
      </c>
      <c r="AS3" s="9">
        <v>1</v>
      </c>
      <c r="AU3" s="8" t="s">
        <v>35</v>
      </c>
      <c r="AV3" s="9">
        <v>0</v>
      </c>
      <c r="AX3" s="8" t="s">
        <v>34</v>
      </c>
      <c r="AY3" s="9">
        <v>0.99270000000000003</v>
      </c>
      <c r="BA3" s="8" t="s">
        <v>35</v>
      </c>
      <c r="BB3" s="9">
        <v>0</v>
      </c>
      <c r="BD3" s="8" t="s">
        <v>34</v>
      </c>
      <c r="BE3" s="9">
        <v>0.62339999999999995</v>
      </c>
      <c r="BG3" s="8" t="s">
        <v>34</v>
      </c>
      <c r="BH3" s="9">
        <v>0.96689999999999998</v>
      </c>
      <c r="BJ3" s="8" t="s">
        <v>34</v>
      </c>
      <c r="BK3" s="9">
        <v>0.98060000000000003</v>
      </c>
      <c r="BM3" s="8" t="s">
        <v>34</v>
      </c>
    </row>
    <row r="4" spans="1:65" ht="15.75">
      <c r="A4" s="7">
        <v>2</v>
      </c>
      <c r="B4" s="1" t="s">
        <v>36</v>
      </c>
      <c r="C4" s="2" t="s">
        <v>33</v>
      </c>
      <c r="D4" s="2" t="s">
        <v>33</v>
      </c>
      <c r="E4" s="2" t="s">
        <v>33</v>
      </c>
      <c r="F4" s="2" t="s">
        <v>33</v>
      </c>
      <c r="G4" s="2" t="s">
        <v>33</v>
      </c>
      <c r="H4" s="2" t="s">
        <v>33</v>
      </c>
      <c r="I4" s="2" t="s">
        <v>33</v>
      </c>
      <c r="J4" s="2" t="s">
        <v>33</v>
      </c>
      <c r="L4" s="8" t="s">
        <v>34</v>
      </c>
      <c r="N4" s="8" t="s">
        <v>35</v>
      </c>
      <c r="O4" s="9">
        <v>0</v>
      </c>
      <c r="Q4" s="8" t="s">
        <v>35</v>
      </c>
      <c r="R4" s="9">
        <v>0.1308</v>
      </c>
      <c r="T4" s="8" t="s">
        <v>34</v>
      </c>
      <c r="U4" s="9">
        <v>0.8841</v>
      </c>
      <c r="W4" s="8" t="s">
        <v>34</v>
      </c>
      <c r="X4" s="9">
        <v>0.78990000000000005</v>
      </c>
      <c r="Z4" s="8" t="s">
        <v>34</v>
      </c>
      <c r="AA4" s="9">
        <v>0.83679999999999999</v>
      </c>
      <c r="AC4" s="8" t="s">
        <v>34</v>
      </c>
      <c r="AD4" s="9">
        <v>0.86780000000000002</v>
      </c>
      <c r="AF4" s="8" t="s">
        <v>35</v>
      </c>
      <c r="AG4" s="9">
        <v>0</v>
      </c>
      <c r="AI4" s="8" t="s">
        <v>34</v>
      </c>
      <c r="AJ4" s="9">
        <v>0.99319999999999997</v>
      </c>
      <c r="AL4" s="8" t="s">
        <v>35</v>
      </c>
      <c r="AM4" s="9">
        <v>0.45760000000000001</v>
      </c>
      <c r="AO4" s="8" t="s">
        <v>34</v>
      </c>
      <c r="AP4" s="9">
        <v>0.746</v>
      </c>
      <c r="AR4" s="8" t="s">
        <v>34</v>
      </c>
      <c r="AS4" s="9">
        <v>0.90180000000000005</v>
      </c>
      <c r="AU4" s="8" t="s">
        <v>34</v>
      </c>
      <c r="AV4" s="9">
        <v>0.6603</v>
      </c>
      <c r="AX4" s="8" t="s">
        <v>34</v>
      </c>
      <c r="AY4" s="9">
        <v>0.97270000000000001</v>
      </c>
      <c r="BA4" s="8" t="s">
        <v>34</v>
      </c>
      <c r="BB4" s="9">
        <v>0.6038</v>
      </c>
      <c r="BD4" s="8" t="s">
        <v>34</v>
      </c>
      <c r="BE4" s="9">
        <v>0.83240000000000003</v>
      </c>
      <c r="BG4" s="8" t="s">
        <v>34</v>
      </c>
      <c r="BH4" s="9">
        <v>0.83640000000000003</v>
      </c>
      <c r="BJ4" s="8" t="s">
        <v>34</v>
      </c>
      <c r="BK4" s="9">
        <v>0.98660000000000003</v>
      </c>
      <c r="BM4" s="8" t="s">
        <v>34</v>
      </c>
    </row>
    <row r="5" spans="1:65" ht="15.75">
      <c r="A5" s="7">
        <v>3</v>
      </c>
      <c r="B5" s="1" t="s">
        <v>37</v>
      </c>
      <c r="C5" s="2" t="s">
        <v>33</v>
      </c>
      <c r="D5" s="2" t="s">
        <v>33</v>
      </c>
      <c r="E5" s="2" t="s">
        <v>33</v>
      </c>
      <c r="F5" s="2" t="s">
        <v>33</v>
      </c>
      <c r="G5" s="2" t="s">
        <v>33</v>
      </c>
      <c r="H5" s="2" t="s">
        <v>33</v>
      </c>
      <c r="I5" s="2" t="s">
        <v>33</v>
      </c>
      <c r="J5" s="2" t="s">
        <v>33</v>
      </c>
      <c r="L5" s="8" t="s">
        <v>34</v>
      </c>
      <c r="N5" s="8" t="s">
        <v>34</v>
      </c>
      <c r="O5" s="9">
        <v>0.89019999999999999</v>
      </c>
      <c r="Q5" s="8" t="s">
        <v>34</v>
      </c>
      <c r="R5" s="9">
        <v>0.79690000000000005</v>
      </c>
      <c r="T5" s="8" t="s">
        <v>34</v>
      </c>
      <c r="U5" s="9">
        <v>0.59440000000000004</v>
      </c>
      <c r="W5" s="8" t="s">
        <v>34</v>
      </c>
      <c r="X5" s="9">
        <v>0.96730000000000005</v>
      </c>
      <c r="Z5" s="8" t="s">
        <v>34</v>
      </c>
      <c r="AA5" s="9">
        <v>0.6764</v>
      </c>
      <c r="AC5" s="8" t="s">
        <v>34</v>
      </c>
      <c r="AD5" s="9">
        <v>0.91539999999999999</v>
      </c>
      <c r="AF5" s="8" t="s">
        <v>34</v>
      </c>
      <c r="AG5" s="9">
        <v>0.8518</v>
      </c>
      <c r="AI5" s="8" t="s">
        <v>34</v>
      </c>
      <c r="AJ5" s="9">
        <v>0.86870000000000003</v>
      </c>
      <c r="AL5" s="8" t="s">
        <v>35</v>
      </c>
      <c r="AM5" s="9">
        <v>0.34520000000000001</v>
      </c>
      <c r="AO5" s="8" t="s">
        <v>35</v>
      </c>
      <c r="AP5" s="9">
        <v>0</v>
      </c>
      <c r="AR5" s="8" t="s">
        <v>34</v>
      </c>
      <c r="AS5" s="9">
        <v>0.87170000000000003</v>
      </c>
      <c r="AU5" s="8" t="s">
        <v>34</v>
      </c>
      <c r="AV5" s="9">
        <v>0.90029999999999999</v>
      </c>
      <c r="AX5" s="8" t="s">
        <v>34</v>
      </c>
      <c r="AY5" s="9">
        <v>0.96730000000000005</v>
      </c>
      <c r="BA5" s="8" t="s">
        <v>34</v>
      </c>
      <c r="BB5" s="9">
        <v>0.77100000000000002</v>
      </c>
      <c r="BD5" s="8" t="s">
        <v>34</v>
      </c>
      <c r="BE5" s="9">
        <v>0.70550000000000002</v>
      </c>
      <c r="BG5" s="8" t="s">
        <v>34</v>
      </c>
      <c r="BH5" s="9">
        <v>0.9143</v>
      </c>
      <c r="BJ5" s="8" t="s">
        <v>34</v>
      </c>
      <c r="BK5" s="9">
        <v>0.96709999999999996</v>
      </c>
      <c r="BM5" s="8" t="s">
        <v>34</v>
      </c>
    </row>
    <row r="6" spans="1:65" ht="15.75">
      <c r="A6" s="7">
        <v>4</v>
      </c>
      <c r="B6" s="1" t="s">
        <v>38</v>
      </c>
      <c r="C6" s="2" t="s">
        <v>33</v>
      </c>
      <c r="D6" s="2" t="s">
        <v>33</v>
      </c>
      <c r="E6" s="2" t="s">
        <v>33</v>
      </c>
      <c r="F6" s="2" t="s">
        <v>33</v>
      </c>
      <c r="G6" s="2" t="s">
        <v>33</v>
      </c>
      <c r="H6" s="2" t="s">
        <v>33</v>
      </c>
      <c r="I6" s="2" t="s">
        <v>33</v>
      </c>
      <c r="J6" s="2" t="s">
        <v>33</v>
      </c>
      <c r="L6" s="8" t="s">
        <v>34</v>
      </c>
      <c r="N6" s="8" t="s">
        <v>35</v>
      </c>
      <c r="O6" s="9">
        <v>0</v>
      </c>
      <c r="Q6" s="8" t="s">
        <v>34</v>
      </c>
      <c r="R6" s="9">
        <v>0.97160000000000002</v>
      </c>
      <c r="T6" s="8" t="s">
        <v>34</v>
      </c>
      <c r="U6" s="9">
        <v>0.96550000000000002</v>
      </c>
      <c r="W6" s="8" t="s">
        <v>34</v>
      </c>
      <c r="X6" s="9">
        <v>0.98909999999999998</v>
      </c>
      <c r="Z6" s="8" t="s">
        <v>35</v>
      </c>
      <c r="AA6" s="9">
        <v>0</v>
      </c>
      <c r="AC6" s="8" t="s">
        <v>34</v>
      </c>
      <c r="AD6" s="9">
        <v>0.96340000000000003</v>
      </c>
      <c r="AF6" s="8" t="s">
        <v>34</v>
      </c>
      <c r="AG6" s="9">
        <v>0.98470000000000002</v>
      </c>
      <c r="AI6" s="8" t="s">
        <v>34</v>
      </c>
      <c r="AJ6" s="9">
        <v>0.97640000000000005</v>
      </c>
      <c r="AL6" s="8" t="s">
        <v>34</v>
      </c>
      <c r="AM6" s="9">
        <v>0.97709999999999997</v>
      </c>
      <c r="AO6" s="8" t="s">
        <v>34</v>
      </c>
      <c r="AP6" s="9">
        <v>0.98540000000000005</v>
      </c>
      <c r="AR6" s="8" t="s">
        <v>34</v>
      </c>
      <c r="AS6" s="9">
        <v>0.97789999999999999</v>
      </c>
      <c r="AU6" s="8" t="s">
        <v>34</v>
      </c>
      <c r="AV6" s="9">
        <v>0.98629999999999995</v>
      </c>
      <c r="AX6" s="8" t="s">
        <v>35</v>
      </c>
      <c r="AY6" s="9">
        <v>0</v>
      </c>
      <c r="BA6" s="8" t="s">
        <v>34</v>
      </c>
      <c r="BB6" s="9">
        <v>0.98499999999999999</v>
      </c>
      <c r="BD6" s="8" t="s">
        <v>34</v>
      </c>
      <c r="BE6" s="9">
        <v>0.96399999999999997</v>
      </c>
      <c r="BG6" s="8" t="s">
        <v>34</v>
      </c>
      <c r="BH6" s="9">
        <v>0.96730000000000005</v>
      </c>
      <c r="BJ6" s="8" t="s">
        <v>34</v>
      </c>
      <c r="BK6" s="9">
        <v>0.96599999999999997</v>
      </c>
      <c r="BM6" s="8" t="s">
        <v>34</v>
      </c>
    </row>
    <row r="7" spans="1:65" ht="15.75">
      <c r="A7" s="7">
        <v>5</v>
      </c>
      <c r="B7" s="1" t="s">
        <v>39</v>
      </c>
      <c r="C7" s="2" t="s">
        <v>33</v>
      </c>
      <c r="D7" s="2" t="s">
        <v>33</v>
      </c>
      <c r="E7" s="2" t="s">
        <v>33</v>
      </c>
      <c r="F7" s="2" t="s">
        <v>33</v>
      </c>
      <c r="G7" s="2" t="s">
        <v>33</v>
      </c>
      <c r="H7" s="2" t="s">
        <v>33</v>
      </c>
      <c r="I7" s="2" t="s">
        <v>33</v>
      </c>
      <c r="J7" s="2" t="s">
        <v>33</v>
      </c>
      <c r="L7" s="8" t="s">
        <v>34</v>
      </c>
      <c r="N7" s="8" t="s">
        <v>34</v>
      </c>
      <c r="O7" s="9">
        <v>0.92820000000000003</v>
      </c>
      <c r="Q7" s="8" t="s">
        <v>34</v>
      </c>
      <c r="R7" s="9">
        <v>0.95979999999999999</v>
      </c>
      <c r="T7" s="8" t="s">
        <v>34</v>
      </c>
      <c r="U7" s="9">
        <v>0.93620000000000003</v>
      </c>
      <c r="W7" s="8" t="s">
        <v>34</v>
      </c>
      <c r="X7" s="9">
        <v>0.99890000000000001</v>
      </c>
      <c r="Z7" s="8" t="s">
        <v>34</v>
      </c>
      <c r="AA7" s="9">
        <v>0.82509999999999994</v>
      </c>
      <c r="AC7" s="8" t="s">
        <v>34</v>
      </c>
      <c r="AD7" s="9">
        <v>0.67359999999999998</v>
      </c>
      <c r="AF7" s="8" t="s">
        <v>34</v>
      </c>
      <c r="AG7" s="9">
        <v>0.99829999999999997</v>
      </c>
      <c r="AI7" s="8" t="s">
        <v>34</v>
      </c>
      <c r="AJ7" s="9">
        <v>0.91420000000000001</v>
      </c>
      <c r="AL7" s="8" t="s">
        <v>34</v>
      </c>
      <c r="AM7" s="9">
        <v>0.99299999999999999</v>
      </c>
      <c r="AO7" s="8" t="s">
        <v>34</v>
      </c>
      <c r="AP7" s="9">
        <v>1</v>
      </c>
      <c r="AR7" s="8" t="s">
        <v>34</v>
      </c>
      <c r="AS7" s="9">
        <v>0.96230000000000004</v>
      </c>
      <c r="AU7" s="8" t="s">
        <v>34</v>
      </c>
      <c r="AV7" s="9">
        <v>0.98470000000000002</v>
      </c>
      <c r="AX7" s="8" t="s">
        <v>34</v>
      </c>
      <c r="AY7" s="9">
        <v>0.99550000000000005</v>
      </c>
      <c r="BA7" s="8" t="s">
        <v>34</v>
      </c>
      <c r="BB7" s="9">
        <v>0.96740000000000004</v>
      </c>
      <c r="BD7" s="8" t="s">
        <v>34</v>
      </c>
      <c r="BE7" s="9">
        <v>0.99909999999999999</v>
      </c>
      <c r="BG7" s="8" t="s">
        <v>34</v>
      </c>
      <c r="BH7" s="9">
        <v>0.94850000000000001</v>
      </c>
      <c r="BJ7" s="8" t="s">
        <v>34</v>
      </c>
      <c r="BK7" s="9">
        <v>1</v>
      </c>
      <c r="BM7" s="8" t="s">
        <v>34</v>
      </c>
    </row>
    <row r="8" spans="1:65" ht="15.75">
      <c r="A8" s="7">
        <v>6</v>
      </c>
      <c r="B8" s="1" t="s">
        <v>40</v>
      </c>
      <c r="C8" s="2" t="s">
        <v>33</v>
      </c>
      <c r="D8" s="2" t="s">
        <v>33</v>
      </c>
      <c r="E8" s="2" t="s">
        <v>33</v>
      </c>
      <c r="F8" s="2" t="s">
        <v>33</v>
      </c>
      <c r="G8" s="2" t="s">
        <v>33</v>
      </c>
      <c r="H8" s="2" t="s">
        <v>33</v>
      </c>
      <c r="I8" s="2" t="s">
        <v>33</v>
      </c>
      <c r="J8" s="2" t="s">
        <v>33</v>
      </c>
      <c r="L8" s="8" t="s">
        <v>34</v>
      </c>
      <c r="N8" s="8" t="s">
        <v>34</v>
      </c>
      <c r="O8" s="9">
        <v>0.93089999999999995</v>
      </c>
      <c r="Q8" s="8" t="s">
        <v>34</v>
      </c>
      <c r="R8" s="9">
        <v>0.90939999999999999</v>
      </c>
      <c r="T8" s="8" t="s">
        <v>34</v>
      </c>
      <c r="U8" s="9">
        <v>0.89780000000000004</v>
      </c>
      <c r="W8" s="8" t="s">
        <v>34</v>
      </c>
      <c r="X8" s="9">
        <v>0.99570000000000003</v>
      </c>
      <c r="Z8" s="8" t="s">
        <v>34</v>
      </c>
      <c r="AA8" s="9">
        <v>0.86780000000000002</v>
      </c>
      <c r="AC8" s="8" t="s">
        <v>35</v>
      </c>
      <c r="AD8" s="9">
        <v>0.3947</v>
      </c>
      <c r="AF8" s="8" t="s">
        <v>34</v>
      </c>
      <c r="AG8" s="9">
        <v>0.87009999999999998</v>
      </c>
      <c r="AI8" s="8" t="s">
        <v>34</v>
      </c>
      <c r="AJ8" s="9">
        <v>0.74419999999999997</v>
      </c>
      <c r="AL8" s="8" t="s">
        <v>34</v>
      </c>
      <c r="AM8" s="9">
        <v>0.94110000000000005</v>
      </c>
      <c r="AO8" s="8" t="s">
        <v>34</v>
      </c>
      <c r="AP8" s="9">
        <v>0.9022</v>
      </c>
      <c r="AR8" s="8" t="s">
        <v>34</v>
      </c>
      <c r="AS8" s="9">
        <v>0.83550000000000002</v>
      </c>
      <c r="AU8" s="8" t="s">
        <v>34</v>
      </c>
      <c r="AV8" s="9">
        <v>0.93789999999999996</v>
      </c>
      <c r="AX8" s="8" t="s">
        <v>34</v>
      </c>
      <c r="AY8" s="9">
        <v>0.97340000000000004</v>
      </c>
      <c r="BA8" s="8" t="s">
        <v>34</v>
      </c>
      <c r="BB8" s="9">
        <v>0.94769999999999999</v>
      </c>
      <c r="BD8" s="8" t="s">
        <v>34</v>
      </c>
      <c r="BE8" s="9">
        <v>0.9718</v>
      </c>
      <c r="BG8" s="8" t="s">
        <v>34</v>
      </c>
      <c r="BH8" s="9">
        <v>0.98370000000000002</v>
      </c>
      <c r="BJ8" s="8" t="s">
        <v>34</v>
      </c>
      <c r="BK8" s="9">
        <v>0.9829</v>
      </c>
      <c r="BM8" s="8" t="s">
        <v>34</v>
      </c>
    </row>
    <row r="9" spans="1:65" ht="15.75">
      <c r="A9" s="7">
        <v>7</v>
      </c>
      <c r="B9" s="1" t="s">
        <v>41</v>
      </c>
      <c r="C9" s="2" t="s">
        <v>33</v>
      </c>
      <c r="D9" s="2" t="s">
        <v>33</v>
      </c>
      <c r="E9" s="2" t="s">
        <v>33</v>
      </c>
      <c r="F9" s="2" t="s">
        <v>33</v>
      </c>
      <c r="G9" s="2" t="s">
        <v>33</v>
      </c>
      <c r="H9" s="2" t="s">
        <v>33</v>
      </c>
      <c r="I9" s="2" t="s">
        <v>33</v>
      </c>
      <c r="J9" s="2" t="s">
        <v>33</v>
      </c>
      <c r="L9" s="8" t="s">
        <v>34</v>
      </c>
      <c r="N9" s="8" t="s">
        <v>34</v>
      </c>
      <c r="O9" s="9">
        <v>0.95030000000000003</v>
      </c>
      <c r="Q9" s="8" t="s">
        <v>34</v>
      </c>
      <c r="R9" s="9">
        <v>0.95909999999999995</v>
      </c>
      <c r="T9" s="8" t="s">
        <v>34</v>
      </c>
      <c r="U9" s="9">
        <v>0.95989999999999998</v>
      </c>
      <c r="W9" s="8" t="s">
        <v>34</v>
      </c>
      <c r="X9" s="9">
        <v>0.94550000000000001</v>
      </c>
      <c r="Z9" s="8" t="s">
        <v>34</v>
      </c>
      <c r="AA9" s="9">
        <v>0.98409999999999997</v>
      </c>
      <c r="AC9" s="8" t="s">
        <v>34</v>
      </c>
      <c r="AD9" s="9">
        <v>0.98729999999999996</v>
      </c>
      <c r="AF9" s="8" t="s">
        <v>34</v>
      </c>
      <c r="AG9" s="9">
        <v>0.9778</v>
      </c>
      <c r="AI9" s="8" t="s">
        <v>35</v>
      </c>
      <c r="AJ9" s="9">
        <v>0.27189999999999998</v>
      </c>
      <c r="AL9" s="8" t="s">
        <v>35</v>
      </c>
      <c r="AM9" s="9">
        <v>0</v>
      </c>
      <c r="AO9" s="8" t="s">
        <v>34</v>
      </c>
      <c r="AP9" s="9">
        <v>0.92669999999999997</v>
      </c>
      <c r="AR9" s="8" t="s">
        <v>34</v>
      </c>
      <c r="AS9" s="9">
        <v>0.70099999999999996</v>
      </c>
      <c r="AU9" s="8" t="s">
        <v>34</v>
      </c>
      <c r="AV9" s="9">
        <v>0.99129999999999996</v>
      </c>
      <c r="AX9" s="8" t="s">
        <v>34</v>
      </c>
      <c r="AY9" s="9">
        <v>0.97629999999999995</v>
      </c>
      <c r="BA9" s="8" t="s">
        <v>34</v>
      </c>
      <c r="BB9" s="9">
        <v>0.98629999999999995</v>
      </c>
      <c r="BD9" s="8" t="s">
        <v>34</v>
      </c>
      <c r="BE9" s="9">
        <v>0.84940000000000004</v>
      </c>
      <c r="BG9" s="8" t="s">
        <v>34</v>
      </c>
      <c r="BH9" s="9">
        <v>0.99480000000000002</v>
      </c>
      <c r="BJ9" s="8" t="s">
        <v>34</v>
      </c>
      <c r="BK9" s="9">
        <v>0.93840000000000001</v>
      </c>
      <c r="BM9" s="8" t="s">
        <v>34</v>
      </c>
    </row>
    <row r="10" spans="1:65" ht="15.75">
      <c r="A10" s="7">
        <v>8</v>
      </c>
      <c r="B10" s="1" t="s">
        <v>42</v>
      </c>
      <c r="C10" s="2" t="s">
        <v>33</v>
      </c>
      <c r="D10" s="2" t="s">
        <v>33</v>
      </c>
      <c r="E10" s="2" t="s">
        <v>33</v>
      </c>
      <c r="F10" s="2" t="s">
        <v>33</v>
      </c>
      <c r="G10" s="2" t="s">
        <v>33</v>
      </c>
      <c r="H10" s="2" t="s">
        <v>33</v>
      </c>
      <c r="I10" s="2" t="s">
        <v>33</v>
      </c>
      <c r="J10" s="2" t="s">
        <v>33</v>
      </c>
      <c r="L10" s="8" t="s">
        <v>34</v>
      </c>
      <c r="N10" s="8" t="s">
        <v>34</v>
      </c>
      <c r="O10" s="9">
        <v>0.94569999999999999</v>
      </c>
      <c r="Q10" s="8" t="s">
        <v>34</v>
      </c>
      <c r="R10" s="9">
        <v>0.78400000000000003</v>
      </c>
      <c r="T10" s="8" t="s">
        <v>34</v>
      </c>
      <c r="U10" s="9">
        <v>0.95850000000000002</v>
      </c>
      <c r="W10" s="8" t="s">
        <v>35</v>
      </c>
      <c r="X10" s="9">
        <v>0.37919999999999998</v>
      </c>
      <c r="Z10" s="8" t="s">
        <v>34</v>
      </c>
      <c r="AA10" s="9">
        <v>0.98199999999999998</v>
      </c>
      <c r="AC10" s="8" t="s">
        <v>34</v>
      </c>
      <c r="AD10" s="9">
        <v>0.92630000000000001</v>
      </c>
      <c r="AF10" s="8" t="s">
        <v>34</v>
      </c>
      <c r="AG10" s="9">
        <v>0.97719999999999996</v>
      </c>
      <c r="AI10" s="8" t="s">
        <v>34</v>
      </c>
      <c r="AJ10" s="9">
        <v>0.84040000000000004</v>
      </c>
      <c r="AL10" s="8" t="s">
        <v>34</v>
      </c>
      <c r="AM10" s="9">
        <v>0.85670000000000002</v>
      </c>
      <c r="AO10" s="8" t="s">
        <v>34</v>
      </c>
      <c r="AP10" s="9">
        <v>0.98199999999999998</v>
      </c>
      <c r="AR10" s="8" t="s">
        <v>34</v>
      </c>
      <c r="AS10" s="9">
        <v>0.99480000000000002</v>
      </c>
      <c r="AU10" s="8" t="s">
        <v>34</v>
      </c>
      <c r="AV10" s="9">
        <v>0.82640000000000002</v>
      </c>
      <c r="AX10" s="8" t="s">
        <v>34</v>
      </c>
      <c r="AY10" s="9">
        <v>0.80359999999999998</v>
      </c>
      <c r="BA10" s="8" t="s">
        <v>35</v>
      </c>
      <c r="BB10" s="9">
        <v>0</v>
      </c>
      <c r="BD10" s="8" t="s">
        <v>34</v>
      </c>
      <c r="BE10" s="9">
        <v>0.74529999999999996</v>
      </c>
      <c r="BG10" s="8" t="s">
        <v>34</v>
      </c>
      <c r="BH10" s="9">
        <v>0.57169999999999999</v>
      </c>
      <c r="BJ10" s="8" t="s">
        <v>35</v>
      </c>
      <c r="BK10" s="9">
        <v>0</v>
      </c>
      <c r="BM10" s="8" t="s">
        <v>35</v>
      </c>
    </row>
    <row r="11" spans="1:65" ht="15.75">
      <c r="A11" s="7">
        <v>9</v>
      </c>
      <c r="B11" s="1" t="s">
        <v>43</v>
      </c>
      <c r="C11" s="2" t="s">
        <v>33</v>
      </c>
      <c r="D11" s="2" t="s">
        <v>44</v>
      </c>
      <c r="E11" s="2" t="s">
        <v>44</v>
      </c>
      <c r="F11" s="2" t="s">
        <v>44</v>
      </c>
      <c r="G11" s="2" t="s">
        <v>44</v>
      </c>
      <c r="H11" s="2" t="s">
        <v>44</v>
      </c>
      <c r="I11" s="2" t="s">
        <v>44</v>
      </c>
      <c r="J11" s="2" t="s">
        <v>44</v>
      </c>
      <c r="L11" s="8" t="s">
        <v>34</v>
      </c>
      <c r="N11" s="8" t="s">
        <v>35</v>
      </c>
      <c r="O11" s="9">
        <v>0</v>
      </c>
      <c r="Q11" s="8" t="s">
        <v>34</v>
      </c>
      <c r="R11" s="9">
        <v>0.96009999999999995</v>
      </c>
      <c r="T11" s="8" t="s">
        <v>34</v>
      </c>
      <c r="U11" s="9">
        <v>0.96689999999999998</v>
      </c>
      <c r="W11" s="8" t="s">
        <v>34</v>
      </c>
      <c r="X11" s="9">
        <v>0.99929999999999997</v>
      </c>
      <c r="Z11" s="8" t="s">
        <v>34</v>
      </c>
      <c r="AA11" s="9">
        <v>0.99560000000000004</v>
      </c>
      <c r="AC11" s="8" t="s">
        <v>34</v>
      </c>
      <c r="AD11" s="9">
        <v>1</v>
      </c>
      <c r="AF11" s="8" t="s">
        <v>34</v>
      </c>
      <c r="AG11" s="9">
        <v>0.97299999999999998</v>
      </c>
      <c r="AI11" s="8" t="s">
        <v>35</v>
      </c>
      <c r="AJ11" s="9">
        <v>0</v>
      </c>
      <c r="AL11" s="8" t="s">
        <v>35</v>
      </c>
      <c r="AM11" s="9">
        <v>0</v>
      </c>
      <c r="AO11" s="8" t="s">
        <v>35</v>
      </c>
      <c r="AP11" s="9">
        <v>0</v>
      </c>
      <c r="AR11" s="8" t="s">
        <v>35</v>
      </c>
      <c r="AS11" s="9">
        <v>0</v>
      </c>
      <c r="AU11" s="8" t="s">
        <v>35</v>
      </c>
      <c r="AV11" s="9">
        <v>0</v>
      </c>
      <c r="AX11" s="8" t="s">
        <v>35</v>
      </c>
      <c r="AY11" s="9">
        <v>0</v>
      </c>
      <c r="BA11" s="8" t="s">
        <v>35</v>
      </c>
      <c r="BB11" s="9">
        <v>0</v>
      </c>
      <c r="BD11" s="8" t="s">
        <v>35</v>
      </c>
      <c r="BE11" s="9">
        <v>0</v>
      </c>
      <c r="BG11" s="8" t="s">
        <v>35</v>
      </c>
      <c r="BH11" s="9">
        <v>0</v>
      </c>
      <c r="BJ11" s="8" t="s">
        <v>35</v>
      </c>
      <c r="BK11" s="9">
        <v>0</v>
      </c>
      <c r="BM11" s="8" t="s">
        <v>35</v>
      </c>
    </row>
    <row r="12" spans="1:65" ht="15.75">
      <c r="A12" s="7">
        <v>10</v>
      </c>
      <c r="B12" s="1" t="s">
        <v>45</v>
      </c>
      <c r="C12" s="2" t="s">
        <v>33</v>
      </c>
      <c r="D12" s="2" t="s">
        <v>33</v>
      </c>
      <c r="E12" s="2" t="s">
        <v>33</v>
      </c>
      <c r="F12" s="2" t="s">
        <v>33</v>
      </c>
      <c r="G12" s="2" t="s">
        <v>33</v>
      </c>
      <c r="H12" s="2" t="s">
        <v>33</v>
      </c>
      <c r="I12" s="2" t="s">
        <v>33</v>
      </c>
      <c r="J12" s="2" t="s">
        <v>33</v>
      </c>
      <c r="L12" s="8" t="s">
        <v>34</v>
      </c>
      <c r="N12" s="8" t="s">
        <v>35</v>
      </c>
      <c r="O12" s="9">
        <v>0</v>
      </c>
      <c r="Q12" s="8" t="s">
        <v>34</v>
      </c>
      <c r="R12" s="9">
        <v>0.89470000000000005</v>
      </c>
      <c r="T12" s="8" t="s">
        <v>34</v>
      </c>
      <c r="U12" s="9">
        <v>0.61360000000000003</v>
      </c>
      <c r="W12" s="8" t="s">
        <v>34</v>
      </c>
      <c r="X12" s="9">
        <v>0.75670000000000004</v>
      </c>
      <c r="Z12" s="8" t="s">
        <v>35</v>
      </c>
      <c r="AA12" s="9">
        <v>0</v>
      </c>
      <c r="AC12" s="8" t="s">
        <v>35</v>
      </c>
      <c r="AD12" s="9">
        <v>0</v>
      </c>
      <c r="AF12" s="8" t="s">
        <v>35</v>
      </c>
      <c r="AG12" s="9">
        <v>0</v>
      </c>
      <c r="AI12" s="8" t="s">
        <v>35</v>
      </c>
      <c r="AJ12" s="9">
        <v>0</v>
      </c>
      <c r="AL12" s="8" t="s">
        <v>35</v>
      </c>
      <c r="AM12" s="9">
        <v>0</v>
      </c>
      <c r="AO12" s="8" t="s">
        <v>34</v>
      </c>
      <c r="AP12" s="9">
        <v>0.98870000000000002</v>
      </c>
      <c r="AR12" s="8" t="s">
        <v>35</v>
      </c>
      <c r="AS12" s="9">
        <v>0</v>
      </c>
      <c r="AU12" s="8" t="s">
        <v>35</v>
      </c>
      <c r="AV12" s="9">
        <v>0</v>
      </c>
      <c r="AX12" s="8" t="s">
        <v>35</v>
      </c>
      <c r="AY12" s="9">
        <v>0</v>
      </c>
      <c r="BA12" s="8" t="s">
        <v>35</v>
      </c>
      <c r="BB12" s="9">
        <v>0</v>
      </c>
      <c r="BD12" s="8" t="s">
        <v>35</v>
      </c>
      <c r="BE12" s="9">
        <v>0</v>
      </c>
      <c r="BG12" s="8" t="s">
        <v>35</v>
      </c>
      <c r="BH12" s="9">
        <v>0</v>
      </c>
      <c r="BJ12" s="8" t="s">
        <v>35</v>
      </c>
      <c r="BK12" s="9">
        <v>0</v>
      </c>
      <c r="BM12" s="8" t="s">
        <v>35</v>
      </c>
    </row>
    <row r="13" spans="1:65" ht="15.75">
      <c r="A13" s="7">
        <v>11</v>
      </c>
      <c r="B13" s="1" t="s">
        <v>46</v>
      </c>
      <c r="C13" s="2" t="s">
        <v>33</v>
      </c>
      <c r="D13" s="2" t="s">
        <v>33</v>
      </c>
      <c r="E13" s="2" t="s">
        <v>33</v>
      </c>
      <c r="F13" s="2" t="s">
        <v>33</v>
      </c>
      <c r="G13" s="2" t="s">
        <v>33</v>
      </c>
      <c r="H13" s="2" t="s">
        <v>33</v>
      </c>
      <c r="I13" s="2" t="s">
        <v>33</v>
      </c>
      <c r="J13" s="2" t="s">
        <v>33</v>
      </c>
      <c r="L13" s="8" t="s">
        <v>35</v>
      </c>
      <c r="N13" s="8" t="s">
        <v>35</v>
      </c>
      <c r="O13" s="9">
        <v>0</v>
      </c>
      <c r="Q13" s="8" t="s">
        <v>35</v>
      </c>
      <c r="R13" s="9">
        <v>0</v>
      </c>
      <c r="T13" s="8" t="s">
        <v>35</v>
      </c>
      <c r="U13" s="9">
        <v>0</v>
      </c>
      <c r="W13" s="8" t="s">
        <v>34</v>
      </c>
      <c r="X13" s="9">
        <v>0.9869</v>
      </c>
      <c r="Z13" s="8" t="s">
        <v>34</v>
      </c>
      <c r="AA13" s="9">
        <v>0.97050000000000003</v>
      </c>
      <c r="AC13" s="8" t="s">
        <v>34</v>
      </c>
      <c r="AD13" s="9">
        <v>0.9204</v>
      </c>
      <c r="AF13" s="8" t="s">
        <v>35</v>
      </c>
      <c r="AG13" s="9">
        <v>0</v>
      </c>
      <c r="AI13" s="8" t="s">
        <v>34</v>
      </c>
      <c r="AJ13" s="9">
        <v>0.97570000000000001</v>
      </c>
      <c r="AL13" s="8" t="s">
        <v>35</v>
      </c>
      <c r="AM13" s="9">
        <v>0.48299999999999998</v>
      </c>
      <c r="AO13" s="8" t="s">
        <v>34</v>
      </c>
      <c r="AP13" s="9">
        <v>0.61040000000000005</v>
      </c>
      <c r="AR13" s="8" t="s">
        <v>35</v>
      </c>
      <c r="AS13" s="9">
        <v>7.5700000000000003E-2</v>
      </c>
      <c r="AU13" s="8" t="s">
        <v>35</v>
      </c>
      <c r="AV13" s="9">
        <v>0</v>
      </c>
      <c r="AX13" s="8" t="s">
        <v>35</v>
      </c>
      <c r="AY13" s="9">
        <v>0.47220000000000001</v>
      </c>
      <c r="BA13" s="8" t="s">
        <v>35</v>
      </c>
      <c r="BB13" s="9">
        <v>0.27010000000000001</v>
      </c>
      <c r="BD13" s="8" t="s">
        <v>34</v>
      </c>
      <c r="BE13" s="9">
        <v>0.68310000000000004</v>
      </c>
      <c r="BG13" s="8" t="s">
        <v>34</v>
      </c>
      <c r="BH13" s="9">
        <v>0.51</v>
      </c>
      <c r="BJ13" s="8" t="s">
        <v>34</v>
      </c>
      <c r="BK13" s="9">
        <v>0.97260000000000002</v>
      </c>
      <c r="BM13" s="8" t="s">
        <v>34</v>
      </c>
    </row>
    <row r="14" spans="1:65" ht="15.75">
      <c r="A14" s="7">
        <v>12</v>
      </c>
      <c r="B14" s="1" t="s">
        <v>47</v>
      </c>
      <c r="C14" s="2" t="s">
        <v>33</v>
      </c>
      <c r="D14" s="2" t="s">
        <v>33</v>
      </c>
      <c r="E14" s="2" t="s">
        <v>33</v>
      </c>
      <c r="F14" s="2" t="s">
        <v>33</v>
      </c>
      <c r="G14" s="2" t="s">
        <v>33</v>
      </c>
      <c r="H14" s="2" t="s">
        <v>33</v>
      </c>
      <c r="I14" s="2" t="s">
        <v>33</v>
      </c>
      <c r="J14" s="2" t="s">
        <v>33</v>
      </c>
      <c r="L14" s="8" t="s">
        <v>34</v>
      </c>
      <c r="N14" s="8" t="s">
        <v>35</v>
      </c>
      <c r="O14" s="9">
        <v>0.3024</v>
      </c>
      <c r="Q14" s="8" t="s">
        <v>34</v>
      </c>
      <c r="R14" s="9">
        <v>0.92989999999999995</v>
      </c>
      <c r="T14" s="8" t="s">
        <v>34</v>
      </c>
      <c r="U14" s="9">
        <v>0.95430000000000004</v>
      </c>
      <c r="W14" s="8" t="s">
        <v>34</v>
      </c>
      <c r="X14" s="9">
        <v>0.98909999999999998</v>
      </c>
      <c r="Z14" s="8" t="s">
        <v>34</v>
      </c>
      <c r="AA14" s="9">
        <v>0.98519999999999996</v>
      </c>
      <c r="AC14" s="8" t="s">
        <v>34</v>
      </c>
      <c r="AD14" s="9">
        <v>0.99329999999999996</v>
      </c>
      <c r="AF14" s="8" t="s">
        <v>34</v>
      </c>
      <c r="AG14" s="9">
        <v>0.97899999999999998</v>
      </c>
      <c r="AI14" s="8" t="s">
        <v>34</v>
      </c>
      <c r="AJ14" s="9">
        <v>0.99350000000000005</v>
      </c>
      <c r="AL14" s="8" t="s">
        <v>34</v>
      </c>
      <c r="AM14" s="9">
        <v>0.95550000000000002</v>
      </c>
      <c r="AO14" s="8" t="s">
        <v>34</v>
      </c>
      <c r="AP14" s="9">
        <v>0.97130000000000005</v>
      </c>
      <c r="AR14" s="8" t="s">
        <v>35</v>
      </c>
      <c r="AS14" s="9">
        <v>0</v>
      </c>
      <c r="AU14" s="8" t="s">
        <v>34</v>
      </c>
      <c r="AV14" s="9">
        <v>0.91749999999999998</v>
      </c>
      <c r="AX14" s="8" t="s">
        <v>34</v>
      </c>
      <c r="AY14" s="9">
        <v>0.98750000000000004</v>
      </c>
      <c r="BA14" s="8" t="s">
        <v>34</v>
      </c>
      <c r="BB14" s="9">
        <v>0.98219999999999996</v>
      </c>
      <c r="BD14" s="8" t="s">
        <v>34</v>
      </c>
      <c r="BE14" s="9">
        <v>0.99839999999999995</v>
      </c>
      <c r="BG14" s="8" t="s">
        <v>34</v>
      </c>
      <c r="BH14" s="9">
        <v>0.96630000000000005</v>
      </c>
      <c r="BJ14" s="8" t="s">
        <v>34</v>
      </c>
      <c r="BK14" s="9">
        <v>0.97640000000000005</v>
      </c>
      <c r="BM14" s="8" t="s">
        <v>34</v>
      </c>
    </row>
    <row r="15" spans="1:65" ht="15.75">
      <c r="A15" s="7">
        <v>13</v>
      </c>
      <c r="B15" s="1" t="s">
        <v>48</v>
      </c>
      <c r="C15" s="2" t="s">
        <v>33</v>
      </c>
      <c r="D15" s="2" t="s">
        <v>33</v>
      </c>
      <c r="E15" s="2" t="s">
        <v>33</v>
      </c>
      <c r="F15" s="2" t="s">
        <v>33</v>
      </c>
      <c r="G15" s="2" t="s">
        <v>33</v>
      </c>
      <c r="H15" s="2" t="s">
        <v>33</v>
      </c>
      <c r="I15" s="2" t="s">
        <v>33</v>
      </c>
      <c r="J15" s="2" t="s">
        <v>33</v>
      </c>
      <c r="L15" s="8" t="s">
        <v>34</v>
      </c>
      <c r="N15" s="8" t="s">
        <v>35</v>
      </c>
      <c r="O15" s="9">
        <v>0</v>
      </c>
      <c r="Q15" s="8" t="s">
        <v>34</v>
      </c>
      <c r="R15" s="9">
        <v>0.96220000000000006</v>
      </c>
      <c r="T15" s="8" t="s">
        <v>34</v>
      </c>
      <c r="U15" s="9">
        <v>0.97430000000000005</v>
      </c>
      <c r="W15" s="8" t="s">
        <v>34</v>
      </c>
      <c r="X15" s="9">
        <v>0.86580000000000001</v>
      </c>
      <c r="Z15" s="8" t="s">
        <v>35</v>
      </c>
      <c r="AA15" s="9">
        <v>0</v>
      </c>
      <c r="AC15" s="8" t="s">
        <v>35</v>
      </c>
      <c r="AD15" s="9">
        <v>0</v>
      </c>
      <c r="AF15" s="8" t="s">
        <v>35</v>
      </c>
      <c r="AG15" s="9">
        <v>0</v>
      </c>
      <c r="AI15" s="8" t="s">
        <v>35</v>
      </c>
      <c r="AJ15" s="9">
        <v>0</v>
      </c>
      <c r="AL15" s="8" t="s">
        <v>34</v>
      </c>
      <c r="AM15" s="9">
        <v>0.71950000000000003</v>
      </c>
      <c r="AO15" s="8" t="s">
        <v>34</v>
      </c>
      <c r="AP15" s="9">
        <v>0.98040000000000005</v>
      </c>
      <c r="AR15" s="8" t="s">
        <v>34</v>
      </c>
      <c r="AS15" s="9">
        <v>0.98380000000000001</v>
      </c>
      <c r="AU15" s="8" t="s">
        <v>34</v>
      </c>
      <c r="AV15" s="9">
        <v>0.97109999999999996</v>
      </c>
      <c r="AX15" s="8" t="s">
        <v>34</v>
      </c>
      <c r="AY15" s="9">
        <v>0.93559999999999999</v>
      </c>
      <c r="BA15" s="8" t="s">
        <v>34</v>
      </c>
      <c r="BB15" s="9">
        <v>0.98929999999999996</v>
      </c>
      <c r="BD15" s="8" t="s">
        <v>34</v>
      </c>
      <c r="BE15" s="9">
        <v>0.99660000000000004</v>
      </c>
      <c r="BG15" s="8" t="s">
        <v>34</v>
      </c>
      <c r="BH15" s="9">
        <v>0.97660000000000002</v>
      </c>
      <c r="BJ15" s="8" t="s">
        <v>34</v>
      </c>
      <c r="BK15" s="9">
        <v>0.99380000000000002</v>
      </c>
      <c r="BM15" s="8" t="s">
        <v>34</v>
      </c>
    </row>
    <row r="16" spans="1:65" ht="15.75">
      <c r="A16" s="7">
        <v>14</v>
      </c>
      <c r="B16" s="1" t="s">
        <v>49</v>
      </c>
      <c r="C16" s="2" t="s">
        <v>33</v>
      </c>
      <c r="D16" s="2" t="s">
        <v>33</v>
      </c>
      <c r="E16" s="2" t="s">
        <v>33</v>
      </c>
      <c r="F16" s="2" t="s">
        <v>33</v>
      </c>
      <c r="G16" s="2" t="s">
        <v>33</v>
      </c>
      <c r="H16" s="2" t="s">
        <v>33</v>
      </c>
      <c r="I16" s="2" t="s">
        <v>33</v>
      </c>
      <c r="J16" s="2" t="s">
        <v>33</v>
      </c>
      <c r="L16" s="8" t="s">
        <v>34</v>
      </c>
      <c r="N16" s="8" t="s">
        <v>35</v>
      </c>
      <c r="O16" s="9">
        <v>0</v>
      </c>
      <c r="Q16" s="8" t="s">
        <v>34</v>
      </c>
      <c r="R16" s="9">
        <v>0.9587</v>
      </c>
      <c r="T16" s="8" t="s">
        <v>34</v>
      </c>
      <c r="U16" s="9">
        <v>0.93149999999999999</v>
      </c>
      <c r="W16" s="8" t="s">
        <v>34</v>
      </c>
      <c r="X16" s="9">
        <v>0.99470000000000003</v>
      </c>
      <c r="Z16" s="8" t="s">
        <v>35</v>
      </c>
      <c r="AA16" s="9">
        <v>0</v>
      </c>
      <c r="AC16" s="8" t="s">
        <v>34</v>
      </c>
      <c r="AD16" s="9">
        <v>0.73040000000000005</v>
      </c>
      <c r="AF16" s="8" t="s">
        <v>34</v>
      </c>
      <c r="AG16" s="9">
        <v>0.69740000000000002</v>
      </c>
      <c r="AI16" s="8" t="s">
        <v>34</v>
      </c>
      <c r="AJ16" s="9">
        <v>0.98929999999999996</v>
      </c>
      <c r="AL16" s="8" t="s">
        <v>34</v>
      </c>
      <c r="AM16" s="9">
        <v>0.99219999999999997</v>
      </c>
      <c r="AO16" s="8" t="s">
        <v>35</v>
      </c>
      <c r="AP16" s="9">
        <v>0</v>
      </c>
      <c r="AR16" s="8" t="s">
        <v>34</v>
      </c>
      <c r="AS16" s="9">
        <v>0.80469999999999997</v>
      </c>
      <c r="AU16" s="8" t="s">
        <v>34</v>
      </c>
      <c r="AV16" s="9">
        <v>0.56740000000000002</v>
      </c>
      <c r="AX16" s="8" t="s">
        <v>35</v>
      </c>
      <c r="AY16" s="9">
        <v>0</v>
      </c>
      <c r="BA16" s="8" t="s">
        <v>34</v>
      </c>
      <c r="BB16" s="9">
        <v>0.92349999999999999</v>
      </c>
      <c r="BD16" s="8" t="s">
        <v>34</v>
      </c>
      <c r="BE16" s="9">
        <v>0.70620000000000005</v>
      </c>
      <c r="BG16" s="8" t="s">
        <v>34</v>
      </c>
      <c r="BH16" s="9">
        <v>0.77759999999999996</v>
      </c>
      <c r="BJ16" s="8" t="s">
        <v>35</v>
      </c>
      <c r="BK16" s="9">
        <v>8.6E-3</v>
      </c>
      <c r="BM16" s="8" t="s">
        <v>34</v>
      </c>
    </row>
    <row r="17" spans="1:65" ht="15.75">
      <c r="A17" s="7">
        <v>15</v>
      </c>
      <c r="B17" s="1" t="s">
        <v>50</v>
      </c>
      <c r="C17" s="2" t="s">
        <v>33</v>
      </c>
      <c r="D17" s="2" t="s">
        <v>33</v>
      </c>
      <c r="E17" s="2" t="s">
        <v>33</v>
      </c>
      <c r="F17" s="2" t="s">
        <v>33</v>
      </c>
      <c r="G17" s="2" t="s">
        <v>33</v>
      </c>
      <c r="H17" s="2" t="s">
        <v>33</v>
      </c>
      <c r="I17" s="2" t="s">
        <v>33</v>
      </c>
      <c r="J17" s="2" t="s">
        <v>33</v>
      </c>
      <c r="L17" s="8" t="s">
        <v>34</v>
      </c>
      <c r="N17" s="8" t="s">
        <v>34</v>
      </c>
      <c r="O17" s="9">
        <v>0.80249999999999999</v>
      </c>
      <c r="Q17" s="8" t="s">
        <v>34</v>
      </c>
      <c r="R17" s="9">
        <v>0.94730000000000003</v>
      </c>
      <c r="T17" s="8" t="s">
        <v>34</v>
      </c>
      <c r="U17" s="9">
        <v>0.95089999999999997</v>
      </c>
      <c r="W17" s="8" t="s">
        <v>34</v>
      </c>
      <c r="X17" s="9">
        <v>0.97629999999999995</v>
      </c>
      <c r="Z17" s="8" t="s">
        <v>34</v>
      </c>
      <c r="AA17" s="9">
        <v>0.99439999999999995</v>
      </c>
      <c r="AC17" s="8" t="s">
        <v>34</v>
      </c>
      <c r="AD17" s="9">
        <v>0.88790000000000002</v>
      </c>
      <c r="AF17" s="8" t="s">
        <v>34</v>
      </c>
      <c r="AG17" s="9">
        <v>0.96360000000000001</v>
      </c>
      <c r="AI17" s="8" t="s">
        <v>35</v>
      </c>
      <c r="AJ17" s="9">
        <v>0</v>
      </c>
      <c r="AL17" s="8" t="s">
        <v>34</v>
      </c>
      <c r="AM17" s="9">
        <v>0.97919999999999996</v>
      </c>
      <c r="AO17" s="8" t="s">
        <v>34</v>
      </c>
      <c r="AP17" s="9">
        <v>0.95289999999999997</v>
      </c>
      <c r="AR17" s="8" t="s">
        <v>34</v>
      </c>
      <c r="AS17" s="9">
        <v>0.99119999999999997</v>
      </c>
      <c r="AU17" s="8" t="s">
        <v>34</v>
      </c>
      <c r="AV17" s="9">
        <v>0.99099999999999999</v>
      </c>
      <c r="AX17" s="8" t="s">
        <v>34</v>
      </c>
      <c r="AY17" s="9">
        <v>0.99570000000000003</v>
      </c>
      <c r="BA17" s="8" t="s">
        <v>34</v>
      </c>
      <c r="BB17" s="9">
        <v>0.98260000000000003</v>
      </c>
      <c r="BD17" s="8" t="s">
        <v>34</v>
      </c>
      <c r="BE17" s="9">
        <v>0.97860000000000003</v>
      </c>
      <c r="BG17" s="8" t="s">
        <v>34</v>
      </c>
      <c r="BH17" s="9">
        <v>0.95989999999999998</v>
      </c>
      <c r="BJ17" s="8" t="s">
        <v>34</v>
      </c>
      <c r="BK17" s="9">
        <v>0.96319999999999995</v>
      </c>
      <c r="BM17" s="8" t="s">
        <v>34</v>
      </c>
    </row>
    <row r="18" spans="1:65" ht="15.75">
      <c r="A18" s="7">
        <v>16</v>
      </c>
      <c r="B18" s="1" t="s">
        <v>51</v>
      </c>
      <c r="C18" s="2" t="s">
        <v>33</v>
      </c>
      <c r="D18" s="2" t="s">
        <v>33</v>
      </c>
      <c r="E18" s="2" t="s">
        <v>33</v>
      </c>
      <c r="F18" s="2" t="s">
        <v>33</v>
      </c>
      <c r="G18" s="2" t="s">
        <v>33</v>
      </c>
      <c r="H18" s="2" t="s">
        <v>33</v>
      </c>
      <c r="I18" s="2" t="s">
        <v>33</v>
      </c>
      <c r="J18" s="2" t="s">
        <v>33</v>
      </c>
      <c r="L18" s="8" t="s">
        <v>34</v>
      </c>
      <c r="N18" s="8" t="s">
        <v>35</v>
      </c>
      <c r="O18" s="9">
        <v>0</v>
      </c>
      <c r="Q18" s="8" t="s">
        <v>34</v>
      </c>
      <c r="R18" s="9">
        <v>0.96289999999999998</v>
      </c>
      <c r="T18" s="8" t="s">
        <v>34</v>
      </c>
      <c r="U18" s="9">
        <v>0.95130000000000003</v>
      </c>
      <c r="W18" s="8" t="s">
        <v>34</v>
      </c>
      <c r="X18" s="9">
        <v>0.95320000000000005</v>
      </c>
      <c r="Z18" s="8" t="s">
        <v>34</v>
      </c>
      <c r="AA18" s="9">
        <v>0.98729999999999996</v>
      </c>
      <c r="AC18" s="8" t="s">
        <v>34</v>
      </c>
      <c r="AD18" s="9">
        <v>0.98580000000000001</v>
      </c>
      <c r="AF18" s="8" t="s">
        <v>34</v>
      </c>
      <c r="AG18" s="9">
        <v>0.95209999999999995</v>
      </c>
      <c r="AI18" s="8" t="s">
        <v>34</v>
      </c>
      <c r="AJ18" s="9">
        <v>1</v>
      </c>
      <c r="AL18" s="8" t="s">
        <v>34</v>
      </c>
      <c r="AM18" s="9">
        <v>0.96220000000000006</v>
      </c>
      <c r="AO18" s="8" t="s">
        <v>34</v>
      </c>
      <c r="AP18" s="9">
        <v>0.98740000000000006</v>
      </c>
      <c r="AR18" s="8" t="s">
        <v>34</v>
      </c>
      <c r="AS18" s="9">
        <v>0.94610000000000005</v>
      </c>
      <c r="AU18" s="8" t="s">
        <v>34</v>
      </c>
      <c r="AV18" s="9">
        <v>0.999</v>
      </c>
      <c r="AX18" s="8" t="s">
        <v>34</v>
      </c>
      <c r="AY18" s="9">
        <v>0.92</v>
      </c>
      <c r="BA18" s="8" t="s">
        <v>34</v>
      </c>
      <c r="BB18" s="9">
        <v>0.99709999999999999</v>
      </c>
      <c r="BD18" s="8" t="s">
        <v>34</v>
      </c>
      <c r="BE18" s="9">
        <v>0.93179999999999996</v>
      </c>
      <c r="BG18" s="8" t="s">
        <v>34</v>
      </c>
      <c r="BH18" s="9">
        <v>0.94910000000000005</v>
      </c>
      <c r="BJ18" s="8" t="s">
        <v>34</v>
      </c>
      <c r="BK18" s="9">
        <v>0.98089999999999999</v>
      </c>
      <c r="BM18" s="8" t="s">
        <v>34</v>
      </c>
    </row>
    <row r="19" spans="1:65" ht="15" customHeight="1">
      <c r="A19" s="7">
        <v>17</v>
      </c>
      <c r="B19" s="1" t="s">
        <v>52</v>
      </c>
      <c r="C19" s="2" t="s">
        <v>33</v>
      </c>
      <c r="D19" s="2" t="s">
        <v>33</v>
      </c>
      <c r="E19" s="2" t="s">
        <v>33</v>
      </c>
      <c r="F19" s="2" t="s">
        <v>33</v>
      </c>
      <c r="G19" s="2" t="s">
        <v>33</v>
      </c>
      <c r="H19" s="2" t="s">
        <v>33</v>
      </c>
      <c r="I19" s="2" t="s">
        <v>33</v>
      </c>
      <c r="J19" s="2" t="s">
        <v>33</v>
      </c>
      <c r="L19" s="8" t="s">
        <v>35</v>
      </c>
      <c r="N19" s="8" t="s">
        <v>35</v>
      </c>
      <c r="O19" s="9">
        <v>0</v>
      </c>
      <c r="Q19" s="8" t="s">
        <v>35</v>
      </c>
      <c r="R19" s="9">
        <v>0</v>
      </c>
      <c r="T19" s="8" t="s">
        <v>35</v>
      </c>
      <c r="U19" s="9">
        <v>0</v>
      </c>
      <c r="W19" s="8" t="s">
        <v>34</v>
      </c>
      <c r="X19" s="9">
        <v>0.96130000000000004</v>
      </c>
      <c r="Z19" s="8" t="s">
        <v>34</v>
      </c>
      <c r="AA19" s="9">
        <v>0.94140000000000001</v>
      </c>
      <c r="AC19" s="8" t="s">
        <v>34</v>
      </c>
      <c r="AD19" s="9">
        <v>0.93289999999999995</v>
      </c>
      <c r="AF19" s="8" t="s">
        <v>34</v>
      </c>
      <c r="AG19" s="9">
        <v>0.96030000000000004</v>
      </c>
      <c r="AI19" s="8" t="s">
        <v>34</v>
      </c>
      <c r="AJ19" s="9">
        <v>0.95499999999999996</v>
      </c>
      <c r="AL19" s="8" t="s">
        <v>35</v>
      </c>
      <c r="AM19" s="9">
        <v>0</v>
      </c>
      <c r="AO19" s="8" t="s">
        <v>34</v>
      </c>
      <c r="AP19" s="9">
        <v>0.95889999999999997</v>
      </c>
      <c r="AR19" s="8" t="s">
        <v>34</v>
      </c>
      <c r="AS19" s="9">
        <v>0.68479999999999996</v>
      </c>
      <c r="AU19" s="8" t="s">
        <v>35</v>
      </c>
      <c r="AV19" s="9">
        <v>0</v>
      </c>
      <c r="AX19" s="8" t="s">
        <v>34</v>
      </c>
      <c r="AY19" s="9">
        <v>0.97199999999999998</v>
      </c>
      <c r="BA19" s="8" t="s">
        <v>34</v>
      </c>
      <c r="BB19" s="9">
        <v>0.96460000000000001</v>
      </c>
      <c r="BD19" s="8" t="s">
        <v>34</v>
      </c>
      <c r="BE19" s="9">
        <v>0.96960000000000002</v>
      </c>
      <c r="BG19" s="8" t="s">
        <v>34</v>
      </c>
      <c r="BH19" s="9">
        <v>0.91949999999999998</v>
      </c>
      <c r="BJ19" s="8" t="s">
        <v>34</v>
      </c>
      <c r="BK19" s="9">
        <v>0.94669999999999999</v>
      </c>
      <c r="BM19" s="8" t="s">
        <v>34</v>
      </c>
    </row>
    <row r="20" spans="1:65" ht="15" customHeight="1">
      <c r="A20" s="7">
        <v>18</v>
      </c>
      <c r="B20" s="1" t="s">
        <v>53</v>
      </c>
      <c r="C20" s="2" t="s">
        <v>33</v>
      </c>
      <c r="D20" s="2" t="s">
        <v>33</v>
      </c>
      <c r="E20" s="2" t="s">
        <v>33</v>
      </c>
      <c r="F20" s="2" t="s">
        <v>33</v>
      </c>
      <c r="G20" s="2" t="s">
        <v>33</v>
      </c>
      <c r="H20" s="2" t="s">
        <v>33</v>
      </c>
      <c r="I20" s="2" t="s">
        <v>33</v>
      </c>
      <c r="J20" s="2" t="s">
        <v>33</v>
      </c>
      <c r="L20" s="8" t="s">
        <v>35</v>
      </c>
      <c r="N20" s="8" t="s">
        <v>35</v>
      </c>
      <c r="O20" s="9">
        <v>0</v>
      </c>
      <c r="Q20" s="8" t="s">
        <v>34</v>
      </c>
      <c r="R20" s="9">
        <v>0.95320000000000005</v>
      </c>
      <c r="T20" s="8" t="s">
        <v>34</v>
      </c>
      <c r="U20" s="9">
        <v>0.95830000000000004</v>
      </c>
      <c r="W20" s="8" t="s">
        <v>34</v>
      </c>
      <c r="X20" s="9">
        <v>0.98419999999999996</v>
      </c>
      <c r="Z20" s="8" t="s">
        <v>34</v>
      </c>
      <c r="AA20" s="9">
        <v>0.73140000000000005</v>
      </c>
      <c r="AC20" s="8" t="s">
        <v>34</v>
      </c>
      <c r="AD20" s="9">
        <v>0.91930000000000001</v>
      </c>
      <c r="AF20" s="8" t="s">
        <v>35</v>
      </c>
      <c r="AG20" s="9">
        <v>0</v>
      </c>
      <c r="AI20" s="8" t="s">
        <v>35</v>
      </c>
      <c r="AJ20" s="9">
        <v>7.3000000000000001E-3</v>
      </c>
      <c r="AL20" s="8" t="s">
        <v>34</v>
      </c>
      <c r="AM20" s="9">
        <v>0.88029999999999997</v>
      </c>
      <c r="AO20" s="8" t="s">
        <v>34</v>
      </c>
      <c r="AP20" s="9">
        <v>0.75439999999999996</v>
      </c>
      <c r="AR20" s="8" t="s">
        <v>34</v>
      </c>
      <c r="AS20" s="9">
        <v>0.96579999999999999</v>
      </c>
      <c r="AU20" s="8" t="s">
        <v>34</v>
      </c>
      <c r="AV20" s="9">
        <v>0.93840000000000001</v>
      </c>
      <c r="AX20" s="8" t="s">
        <v>34</v>
      </c>
      <c r="AY20" s="9">
        <v>0.85140000000000005</v>
      </c>
      <c r="BA20" s="8" t="s">
        <v>35</v>
      </c>
      <c r="BB20" s="9">
        <v>0</v>
      </c>
      <c r="BD20" s="8" t="s">
        <v>34</v>
      </c>
      <c r="BE20" s="9">
        <v>0.98740000000000006</v>
      </c>
      <c r="BG20" s="8" t="s">
        <v>34</v>
      </c>
      <c r="BH20" s="9">
        <v>0.88929999999999998</v>
      </c>
      <c r="BJ20" s="8" t="s">
        <v>34</v>
      </c>
      <c r="BK20" s="9">
        <v>0.93289999999999995</v>
      </c>
      <c r="BM20" s="8" t="s">
        <v>34</v>
      </c>
    </row>
    <row r="21" spans="1:65" ht="15" customHeight="1">
      <c r="A21" s="7">
        <v>19</v>
      </c>
      <c r="B21" s="1" t="s">
        <v>54</v>
      </c>
      <c r="C21" s="2" t="s">
        <v>33</v>
      </c>
      <c r="D21" s="2" t="s">
        <v>33</v>
      </c>
      <c r="E21" s="2" t="s">
        <v>33</v>
      </c>
      <c r="F21" s="2" t="s">
        <v>33</v>
      </c>
      <c r="G21" s="2" t="s">
        <v>33</v>
      </c>
      <c r="H21" s="2" t="s">
        <v>33</v>
      </c>
      <c r="I21" s="2" t="s">
        <v>33</v>
      </c>
      <c r="J21" s="2" t="s">
        <v>33</v>
      </c>
      <c r="L21" s="8" t="s">
        <v>35</v>
      </c>
      <c r="N21" s="8" t="s">
        <v>34</v>
      </c>
      <c r="O21" s="9">
        <v>0.57850000000000001</v>
      </c>
      <c r="Q21" s="8" t="s">
        <v>34</v>
      </c>
      <c r="R21" s="9">
        <v>0.94810000000000005</v>
      </c>
      <c r="T21" s="8" t="s">
        <v>34</v>
      </c>
      <c r="U21" s="9">
        <v>0.87729999999999997</v>
      </c>
      <c r="W21" s="8" t="s">
        <v>34</v>
      </c>
      <c r="X21" s="9">
        <v>0.98870000000000002</v>
      </c>
      <c r="Z21" s="8" t="s">
        <v>34</v>
      </c>
      <c r="AA21" s="9">
        <v>0.9798</v>
      </c>
      <c r="AC21" s="8" t="s">
        <v>34</v>
      </c>
      <c r="AD21" s="9">
        <v>0.95550000000000002</v>
      </c>
      <c r="AF21" s="8" t="s">
        <v>34</v>
      </c>
      <c r="AG21" s="9">
        <v>0.96250000000000002</v>
      </c>
      <c r="AI21" s="8" t="s">
        <v>34</v>
      </c>
      <c r="AJ21" s="9">
        <v>0.98370000000000002</v>
      </c>
      <c r="AL21" s="8" t="s">
        <v>34</v>
      </c>
      <c r="AM21" s="9">
        <v>0.99360000000000004</v>
      </c>
      <c r="AO21" s="8" t="s">
        <v>34</v>
      </c>
      <c r="AP21" s="9">
        <v>0.99419999999999997</v>
      </c>
      <c r="AR21" s="8" t="s">
        <v>34</v>
      </c>
      <c r="AS21" s="9">
        <v>0.9839</v>
      </c>
      <c r="AU21" s="8" t="s">
        <v>34</v>
      </c>
      <c r="AV21" s="9">
        <v>1</v>
      </c>
      <c r="AX21" s="8" t="s">
        <v>34</v>
      </c>
      <c r="AY21" s="9">
        <v>0.99639999999999995</v>
      </c>
      <c r="BA21" s="8" t="s">
        <v>34</v>
      </c>
      <c r="BB21" s="9">
        <v>0.98880000000000001</v>
      </c>
      <c r="BD21" s="8" t="s">
        <v>34</v>
      </c>
      <c r="BE21" s="9">
        <v>0.98870000000000002</v>
      </c>
      <c r="BG21" s="8" t="s">
        <v>34</v>
      </c>
      <c r="BH21" s="9">
        <v>0.98109999999999997</v>
      </c>
      <c r="BJ21" s="8" t="s">
        <v>34</v>
      </c>
      <c r="BK21" s="9">
        <v>0.98080000000000001</v>
      </c>
      <c r="BM21" s="8" t="s">
        <v>34</v>
      </c>
    </row>
    <row r="22" spans="1:65" ht="15" customHeight="1">
      <c r="A22" s="7">
        <v>20</v>
      </c>
      <c r="B22" s="1" t="s">
        <v>55</v>
      </c>
      <c r="C22" s="2" t="s">
        <v>33</v>
      </c>
      <c r="D22" s="2" t="s">
        <v>33</v>
      </c>
      <c r="E22" s="2" t="s">
        <v>33</v>
      </c>
      <c r="F22" s="2" t="s">
        <v>33</v>
      </c>
      <c r="G22" s="2" t="s">
        <v>33</v>
      </c>
      <c r="H22" s="2" t="s">
        <v>33</v>
      </c>
      <c r="I22" s="2" t="s">
        <v>33</v>
      </c>
      <c r="J22" s="2" t="s">
        <v>33</v>
      </c>
      <c r="L22" s="8" t="s">
        <v>34</v>
      </c>
      <c r="N22" s="8" t="s">
        <v>34</v>
      </c>
      <c r="O22" s="9">
        <v>0.97840000000000005</v>
      </c>
      <c r="Q22" s="8" t="s">
        <v>34</v>
      </c>
      <c r="R22" s="9">
        <v>0.90069999999999995</v>
      </c>
      <c r="T22" s="8" t="s">
        <v>34</v>
      </c>
      <c r="U22" s="9">
        <v>0.94750000000000001</v>
      </c>
      <c r="W22" s="8" t="s">
        <v>34</v>
      </c>
      <c r="X22" s="9">
        <v>0.95079999999999998</v>
      </c>
      <c r="Z22" s="8" t="s">
        <v>34</v>
      </c>
      <c r="AA22" s="9">
        <v>0.98709999999999998</v>
      </c>
      <c r="AC22" s="8" t="s">
        <v>34</v>
      </c>
      <c r="AD22" s="9">
        <v>0.98839999999999995</v>
      </c>
      <c r="AF22" s="8" t="s">
        <v>34</v>
      </c>
      <c r="AG22" s="9">
        <v>0.9778</v>
      </c>
      <c r="AI22" s="8" t="s">
        <v>34</v>
      </c>
      <c r="AJ22" s="9">
        <v>0.91890000000000005</v>
      </c>
      <c r="AL22" s="8" t="s">
        <v>34</v>
      </c>
      <c r="AM22" s="9">
        <v>0.9849</v>
      </c>
      <c r="AO22" s="8" t="s">
        <v>34</v>
      </c>
      <c r="AP22" s="9">
        <v>0.93810000000000004</v>
      </c>
      <c r="AR22" s="8" t="s">
        <v>34</v>
      </c>
      <c r="AS22" s="9">
        <v>0.99050000000000005</v>
      </c>
      <c r="AU22" s="8" t="s">
        <v>34</v>
      </c>
      <c r="AV22" s="9">
        <v>0.96879999999999999</v>
      </c>
      <c r="AX22" s="8" t="s">
        <v>34</v>
      </c>
      <c r="AY22" s="9">
        <v>0.97270000000000001</v>
      </c>
      <c r="BA22" s="8" t="s">
        <v>34</v>
      </c>
      <c r="BB22" s="9">
        <v>0.92969999999999997</v>
      </c>
      <c r="BD22" s="8" t="s">
        <v>34</v>
      </c>
      <c r="BE22" s="9">
        <v>0.96479999999999999</v>
      </c>
      <c r="BG22" s="8" t="s">
        <v>34</v>
      </c>
      <c r="BH22" s="9">
        <v>0.87409999999999999</v>
      </c>
      <c r="BJ22" s="8" t="s">
        <v>34</v>
      </c>
      <c r="BK22" s="9">
        <v>0.95940000000000003</v>
      </c>
      <c r="BM22" s="8" t="s">
        <v>34</v>
      </c>
    </row>
    <row r="23" spans="1:65" ht="15" customHeight="1">
      <c r="A23" s="7">
        <v>21</v>
      </c>
      <c r="B23" s="1" t="s">
        <v>56</v>
      </c>
      <c r="C23" s="2" t="s">
        <v>33</v>
      </c>
      <c r="D23" s="2" t="s">
        <v>33</v>
      </c>
      <c r="E23" s="2" t="s">
        <v>33</v>
      </c>
      <c r="F23" s="2" t="s">
        <v>33</v>
      </c>
      <c r="G23" s="2" t="s">
        <v>33</v>
      </c>
      <c r="H23" s="2" t="s">
        <v>33</v>
      </c>
      <c r="I23" s="2" t="s">
        <v>33</v>
      </c>
      <c r="J23" s="2" t="s">
        <v>33</v>
      </c>
      <c r="L23" s="8" t="s">
        <v>34</v>
      </c>
      <c r="N23" s="8" t="s">
        <v>35</v>
      </c>
      <c r="O23" s="9">
        <v>0</v>
      </c>
      <c r="Q23" s="8" t="s">
        <v>35</v>
      </c>
      <c r="R23" s="9">
        <v>0</v>
      </c>
      <c r="T23" s="8" t="s">
        <v>35</v>
      </c>
      <c r="U23" s="9">
        <v>0</v>
      </c>
      <c r="W23" s="8" t="s">
        <v>34</v>
      </c>
      <c r="X23" s="9">
        <v>0.84019999999999995</v>
      </c>
      <c r="Z23" s="8" t="s">
        <v>34</v>
      </c>
      <c r="AA23" s="9">
        <v>0.94489999999999996</v>
      </c>
      <c r="AC23" s="8" t="s">
        <v>34</v>
      </c>
      <c r="AD23" s="9">
        <v>0.83840000000000003</v>
      </c>
      <c r="AF23" s="8" t="s">
        <v>35</v>
      </c>
      <c r="AG23" s="9">
        <v>0</v>
      </c>
      <c r="AI23" s="8" t="s">
        <v>34</v>
      </c>
      <c r="AJ23" s="9">
        <v>0.998</v>
      </c>
      <c r="AL23" s="8" t="s">
        <v>35</v>
      </c>
      <c r="AM23" s="9">
        <v>0.377</v>
      </c>
      <c r="AO23" s="8" t="s">
        <v>34</v>
      </c>
      <c r="AP23" s="9">
        <v>0.97529999999999994</v>
      </c>
      <c r="AR23" s="8" t="s">
        <v>34</v>
      </c>
      <c r="AS23" s="9">
        <v>0.95469999999999999</v>
      </c>
      <c r="AU23" s="8" t="s">
        <v>34</v>
      </c>
      <c r="AV23" s="9">
        <v>0.85829999999999995</v>
      </c>
      <c r="AX23" s="8" t="s">
        <v>34</v>
      </c>
      <c r="AY23" s="9">
        <v>0.97270000000000001</v>
      </c>
      <c r="BA23" s="8" t="s">
        <v>34</v>
      </c>
      <c r="BB23" s="9">
        <v>0.96240000000000003</v>
      </c>
      <c r="BD23" s="8" t="s">
        <v>34</v>
      </c>
      <c r="BE23" s="9">
        <v>0.97499999999999998</v>
      </c>
      <c r="BG23" s="8" t="s">
        <v>34</v>
      </c>
      <c r="BH23" s="9">
        <v>0.95660000000000001</v>
      </c>
      <c r="BJ23" s="8" t="s">
        <v>34</v>
      </c>
      <c r="BK23" s="9">
        <v>0.98250000000000004</v>
      </c>
      <c r="BM23" s="8" t="s">
        <v>34</v>
      </c>
    </row>
    <row r="24" spans="1:65" ht="15" customHeight="1">
      <c r="A24" s="7">
        <v>22</v>
      </c>
      <c r="B24" s="1" t="s">
        <v>57</v>
      </c>
      <c r="C24" s="2" t="s">
        <v>33</v>
      </c>
      <c r="D24" s="2" t="s">
        <v>33</v>
      </c>
      <c r="E24" s="2" t="s">
        <v>44</v>
      </c>
      <c r="F24" s="2" t="s">
        <v>44</v>
      </c>
      <c r="G24" s="2" t="s">
        <v>44</v>
      </c>
      <c r="H24" s="2" t="s">
        <v>44</v>
      </c>
      <c r="I24" s="2" t="s">
        <v>44</v>
      </c>
      <c r="J24" s="2" t="s">
        <v>44</v>
      </c>
      <c r="L24" s="8" t="s">
        <v>34</v>
      </c>
      <c r="N24" s="8" t="s">
        <v>35</v>
      </c>
      <c r="O24" s="9">
        <v>0.25309999999999999</v>
      </c>
      <c r="Q24" s="8" t="s">
        <v>34</v>
      </c>
      <c r="R24" s="9">
        <v>0.93359999999999999</v>
      </c>
      <c r="T24" s="8" t="s">
        <v>34</v>
      </c>
      <c r="U24" s="9">
        <v>0.51</v>
      </c>
      <c r="W24" s="8" t="s">
        <v>34</v>
      </c>
      <c r="X24" s="9">
        <v>0.99550000000000005</v>
      </c>
      <c r="Z24" s="8" t="s">
        <v>34</v>
      </c>
      <c r="AA24" s="9">
        <v>0.99280000000000002</v>
      </c>
      <c r="AC24" s="8" t="s">
        <v>34</v>
      </c>
      <c r="AD24" s="9">
        <v>0.96009999999999995</v>
      </c>
      <c r="AF24" s="8" t="s">
        <v>35</v>
      </c>
      <c r="AG24" s="9">
        <v>0</v>
      </c>
      <c r="AI24" s="8" t="s">
        <v>34</v>
      </c>
      <c r="AJ24" s="9">
        <v>0.97509999999999997</v>
      </c>
      <c r="AL24" s="8" t="s">
        <v>34</v>
      </c>
      <c r="AM24" s="9">
        <v>0.98109999999999997</v>
      </c>
      <c r="AO24" s="8" t="s">
        <v>34</v>
      </c>
      <c r="AP24" s="9">
        <v>0.9839</v>
      </c>
      <c r="AR24" s="8" t="s">
        <v>34</v>
      </c>
      <c r="AS24" s="9">
        <v>0.96830000000000005</v>
      </c>
      <c r="AU24" s="8" t="s">
        <v>34</v>
      </c>
      <c r="AV24" s="9">
        <v>0.99990000000000001</v>
      </c>
      <c r="AX24" s="8" t="s">
        <v>34</v>
      </c>
      <c r="AY24" s="9">
        <v>0.99670000000000003</v>
      </c>
      <c r="BA24" s="8" t="s">
        <v>34</v>
      </c>
      <c r="BB24" s="9">
        <v>0.9647</v>
      </c>
      <c r="BD24" s="8" t="s">
        <v>34</v>
      </c>
      <c r="BE24" s="9">
        <v>0.9728</v>
      </c>
      <c r="BG24" s="8" t="s">
        <v>34</v>
      </c>
      <c r="BH24" s="9">
        <v>1</v>
      </c>
      <c r="BJ24" s="8" t="s">
        <v>34</v>
      </c>
      <c r="BK24" s="9">
        <v>0.98260000000000003</v>
      </c>
      <c r="BM24" s="8" t="s">
        <v>34</v>
      </c>
    </row>
    <row r="25" spans="1:65" ht="15" customHeight="1">
      <c r="A25" s="7">
        <v>23</v>
      </c>
      <c r="B25" s="1" t="s">
        <v>58</v>
      </c>
      <c r="C25" s="2" t="s">
        <v>33</v>
      </c>
      <c r="D25" s="2" t="s">
        <v>33</v>
      </c>
      <c r="E25" s="2" t="s">
        <v>33</v>
      </c>
      <c r="F25" s="2" t="s">
        <v>33</v>
      </c>
      <c r="G25" s="2" t="s">
        <v>33</v>
      </c>
      <c r="H25" s="2" t="s">
        <v>33</v>
      </c>
      <c r="I25" s="2" t="s">
        <v>33</v>
      </c>
      <c r="J25" s="2" t="s">
        <v>33</v>
      </c>
      <c r="L25" s="8" t="s">
        <v>34</v>
      </c>
      <c r="N25" s="8" t="s">
        <v>34</v>
      </c>
      <c r="O25" s="9">
        <v>0.91890000000000005</v>
      </c>
      <c r="Q25" s="8" t="s">
        <v>34</v>
      </c>
      <c r="R25" s="9">
        <v>0.91849999999999998</v>
      </c>
      <c r="T25" s="8" t="s">
        <v>35</v>
      </c>
      <c r="U25" s="9">
        <v>0</v>
      </c>
      <c r="W25" s="8" t="s">
        <v>34</v>
      </c>
      <c r="X25" s="9">
        <v>0.99539999999999995</v>
      </c>
      <c r="Z25" s="8" t="s">
        <v>34</v>
      </c>
      <c r="AA25" s="9">
        <v>0.87549999999999994</v>
      </c>
      <c r="AC25" s="8" t="s">
        <v>35</v>
      </c>
      <c r="AD25" s="9">
        <v>0.46010000000000001</v>
      </c>
      <c r="AF25" s="8" t="s">
        <v>35</v>
      </c>
      <c r="AG25" s="9">
        <v>0.16520000000000001</v>
      </c>
      <c r="AI25" s="8" t="s">
        <v>34</v>
      </c>
      <c r="AJ25" s="9">
        <v>0.74750000000000005</v>
      </c>
      <c r="AL25" s="8" t="s">
        <v>35</v>
      </c>
      <c r="AM25" s="9">
        <v>0</v>
      </c>
      <c r="AO25" s="8" t="s">
        <v>35</v>
      </c>
      <c r="AP25" s="9">
        <v>0</v>
      </c>
      <c r="AR25" s="8" t="s">
        <v>35</v>
      </c>
      <c r="AS25" s="9">
        <v>0</v>
      </c>
      <c r="AU25" s="8" t="s">
        <v>35</v>
      </c>
      <c r="AV25" s="9">
        <v>0</v>
      </c>
      <c r="AX25" s="8" t="s">
        <v>35</v>
      </c>
      <c r="AY25" s="9">
        <v>0</v>
      </c>
      <c r="BA25" s="8" t="s">
        <v>35</v>
      </c>
      <c r="BB25" s="9">
        <v>0</v>
      </c>
      <c r="BD25" s="8" t="s">
        <v>35</v>
      </c>
      <c r="BE25" s="9">
        <v>0</v>
      </c>
      <c r="BG25" s="8" t="s">
        <v>35</v>
      </c>
      <c r="BH25" s="9">
        <v>0</v>
      </c>
      <c r="BJ25" s="8" t="s">
        <v>35</v>
      </c>
      <c r="BK25" s="9">
        <v>0</v>
      </c>
      <c r="BM25" s="8" t="s">
        <v>35</v>
      </c>
    </row>
    <row r="26" spans="1:65" ht="15" customHeight="1">
      <c r="A26" s="7">
        <v>24</v>
      </c>
      <c r="B26" s="1" t="s">
        <v>59</v>
      </c>
      <c r="C26" s="2" t="s">
        <v>33</v>
      </c>
      <c r="D26" s="2" t="s">
        <v>33</v>
      </c>
      <c r="E26" s="2" t="s">
        <v>33</v>
      </c>
      <c r="F26" s="2" t="s">
        <v>33</v>
      </c>
      <c r="G26" s="2" t="s">
        <v>33</v>
      </c>
      <c r="H26" s="2" t="s">
        <v>33</v>
      </c>
      <c r="I26" s="2" t="s">
        <v>33</v>
      </c>
      <c r="J26" s="2" t="s">
        <v>33</v>
      </c>
      <c r="L26" s="8" t="s">
        <v>34</v>
      </c>
      <c r="N26" s="8" t="s">
        <v>34</v>
      </c>
      <c r="O26" s="9">
        <v>0.92869999999999997</v>
      </c>
      <c r="Q26" s="8" t="s">
        <v>34</v>
      </c>
      <c r="R26" s="9">
        <v>0.94399999999999995</v>
      </c>
      <c r="T26" s="8" t="s">
        <v>34</v>
      </c>
      <c r="U26" s="9">
        <v>0.95009999999999994</v>
      </c>
      <c r="W26" s="8" t="s">
        <v>34</v>
      </c>
      <c r="X26" s="9">
        <v>0.97350000000000003</v>
      </c>
      <c r="Z26" s="8" t="s">
        <v>34</v>
      </c>
      <c r="AA26" s="9">
        <v>0.96530000000000005</v>
      </c>
      <c r="AC26" s="8" t="s">
        <v>34</v>
      </c>
      <c r="AD26" s="9">
        <v>0.97709999999999997</v>
      </c>
      <c r="AF26" s="8" t="s">
        <v>34</v>
      </c>
      <c r="AG26" s="9">
        <v>0.98460000000000003</v>
      </c>
      <c r="AI26" s="8" t="s">
        <v>34</v>
      </c>
      <c r="AJ26" s="9">
        <v>0.97209999999999996</v>
      </c>
      <c r="AL26" s="8" t="s">
        <v>34</v>
      </c>
      <c r="AM26" s="9">
        <v>1</v>
      </c>
      <c r="AO26" s="8" t="s">
        <v>34</v>
      </c>
      <c r="AP26" s="9">
        <v>0.9929</v>
      </c>
      <c r="AR26" s="8" t="s">
        <v>34</v>
      </c>
      <c r="AS26" s="9">
        <v>0.99790000000000001</v>
      </c>
      <c r="AU26" s="8" t="s">
        <v>34</v>
      </c>
      <c r="AV26" s="9">
        <v>0.999</v>
      </c>
      <c r="AX26" s="8" t="s">
        <v>34</v>
      </c>
      <c r="AY26" s="9">
        <v>0.99460000000000004</v>
      </c>
      <c r="BA26" s="8" t="s">
        <v>34</v>
      </c>
      <c r="BB26" s="9">
        <v>0.99719999999999998</v>
      </c>
      <c r="BD26" s="8" t="s">
        <v>34</v>
      </c>
      <c r="BE26" s="9">
        <v>0.9849</v>
      </c>
      <c r="BG26" s="8" t="s">
        <v>34</v>
      </c>
      <c r="BH26" s="9">
        <v>0.99719999999999998</v>
      </c>
      <c r="BJ26" s="8" t="s">
        <v>34</v>
      </c>
      <c r="BK26" s="9">
        <v>0.98450000000000004</v>
      </c>
      <c r="BM26" s="8" t="s">
        <v>34</v>
      </c>
    </row>
    <row r="28" spans="1:65" ht="15" customHeight="1">
      <c r="B28" s="33"/>
    </row>
    <row r="29" spans="1:65" ht="15" customHeight="1">
      <c r="B29" s="33"/>
    </row>
    <row r="30" spans="1:65" ht="15" customHeight="1">
      <c r="B30" s="33"/>
    </row>
    <row r="31" spans="1:65" ht="15" customHeight="1">
      <c r="B31" s="33"/>
    </row>
    <row r="32" spans="1:65" ht="15" customHeight="1">
      <c r="B32" s="33"/>
    </row>
    <row r="33" spans="2:2" ht="15" customHeight="1">
      <c r="B33" s="33"/>
    </row>
    <row r="34" spans="2:2" ht="15" customHeight="1">
      <c r="B34" s="33"/>
    </row>
    <row r="35" spans="2:2" ht="15" customHeight="1">
      <c r="B35" s="33"/>
    </row>
    <row r="36" spans="2:2" ht="15" customHeight="1">
      <c r="B36" s="33"/>
    </row>
    <row r="37" spans="2:2" ht="15" customHeight="1">
      <c r="B37" s="33"/>
    </row>
    <row r="38" spans="2:2" ht="15" customHeight="1">
      <c r="B38" s="33"/>
    </row>
    <row r="39" spans="2:2" ht="15" customHeight="1">
      <c r="B39" s="33"/>
    </row>
    <row r="40" spans="2:2" ht="15" customHeight="1">
      <c r="B40" s="33"/>
    </row>
    <row r="41" spans="2:2" ht="15" customHeight="1">
      <c r="B41" s="33"/>
    </row>
    <row r="42" spans="2:2" ht="15" customHeight="1">
      <c r="B42" s="33"/>
    </row>
    <row r="43" spans="2:2" ht="15" customHeight="1">
      <c r="B43" s="33"/>
    </row>
    <row r="44" spans="2:2" ht="15" customHeight="1">
      <c r="B44" s="33"/>
    </row>
    <row r="45" spans="2:2" ht="15" customHeight="1">
      <c r="B45" s="33"/>
    </row>
    <row r="46" spans="2:2" ht="15" customHeight="1">
      <c r="B46" s="33"/>
    </row>
    <row r="47" spans="2:2" ht="15" customHeight="1">
      <c r="B47" s="33"/>
    </row>
    <row r="48" spans="2:2" ht="15" customHeight="1">
      <c r="B48" s="33"/>
    </row>
    <row r="49" spans="2:2" ht="15" customHeight="1">
      <c r="B49" s="33"/>
    </row>
  </sheetData>
  <autoFilter ref="A1:J26" xr:uid="{3CBDE42F-1DA8-47D7-BEB7-6445F7F39BBE}">
    <filterColumn colId="3" showButton="0"/>
    <filterColumn colId="4" showButton="0"/>
    <filterColumn colId="5" showButton="0"/>
    <filterColumn colId="6" showButton="0"/>
    <filterColumn colId="7" showButton="0"/>
    <filterColumn colId="8" showButton="0"/>
  </autoFilter>
  <sortState xmlns:xlrd2="http://schemas.microsoft.com/office/spreadsheetml/2017/richdata2" ref="B3:B5">
    <sortCondition ref="B2:B5"/>
  </sortState>
  <mergeCells count="21">
    <mergeCell ref="BA1:BB1"/>
    <mergeCell ref="AX1:AY1"/>
    <mergeCell ref="AR1:AS1"/>
    <mergeCell ref="AU1:AV1"/>
    <mergeCell ref="AO1:AP1"/>
    <mergeCell ref="BJ1:BK1"/>
    <mergeCell ref="A1:A2"/>
    <mergeCell ref="B1:B2"/>
    <mergeCell ref="C1:C2"/>
    <mergeCell ref="D1:J1"/>
    <mergeCell ref="AC1:AD1"/>
    <mergeCell ref="W1:X1"/>
    <mergeCell ref="Z1:AA1"/>
    <mergeCell ref="T1:U1"/>
    <mergeCell ref="Q1:R1"/>
    <mergeCell ref="N1:O1"/>
    <mergeCell ref="BG1:BH1"/>
    <mergeCell ref="AL1:AM1"/>
    <mergeCell ref="AF1:AG1"/>
    <mergeCell ref="BD1:BE1"/>
    <mergeCell ref="AI1:AJ1"/>
  </mergeCells>
  <conditionalFormatting sqref="A1">
    <cfRule type="duplicateValues" dxfId="524" priority="2980"/>
  </conditionalFormatting>
  <conditionalFormatting sqref="B50:B1048576 B1:B27">
    <cfRule type="duplicateValues" dxfId="523" priority="689"/>
  </conditionalFormatting>
  <conditionalFormatting sqref="D14:J23 D6:J6 D11:J11 C3:C26">
    <cfRule type="cellIs" dxfId="522" priority="688" operator="equal">
      <formula>"Completed"</formula>
    </cfRule>
  </conditionalFormatting>
  <conditionalFormatting sqref="D14:J23 D6:J6 D11:J11 C3:C26">
    <cfRule type="cellIs" dxfId="521" priority="687" operator="equal">
      <formula>"Pending "</formula>
    </cfRule>
  </conditionalFormatting>
  <conditionalFormatting sqref="N3:N4 Q4 AF4 Q6 AL3:AL5 AO5 Z6 T6 L6:L10 W6:W9 N6:N16 AI11 AL11:AL13 AO11 AR11:AR14 AU6:AU13 N23:N24 AF23:AF25">
    <cfRule type="containsText" dxfId="520" priority="667" operator="containsText" text="No">
      <formula>NOT(ISERROR(SEARCH("No",L3)))</formula>
    </cfRule>
  </conditionalFormatting>
  <conditionalFormatting sqref="O3:O26 R3:R26 U3:U26 X3:X26 AA3:AA26 AD3:AD26 AG3:AG26 AJ3:AJ26 AM3:AM26 AP3:AP26 AS3:AS26 AV3:AV26">
    <cfRule type="cellIs" dxfId="519" priority="668" operator="lessThan">
      <formula>0.51</formula>
    </cfRule>
  </conditionalFormatting>
  <conditionalFormatting sqref="N18:N20">
    <cfRule type="containsText" dxfId="518" priority="664" operator="containsText" text="No">
      <formula>NOT(ISERROR(SEARCH("No",N18)))</formula>
    </cfRule>
  </conditionalFormatting>
  <conditionalFormatting sqref="N5">
    <cfRule type="containsText" dxfId="517" priority="662" operator="containsText" text="No">
      <formula>NOT(ISERROR(SEARCH("No",N5)))</formula>
    </cfRule>
  </conditionalFormatting>
  <conditionalFormatting sqref="N17">
    <cfRule type="containsText" dxfId="516" priority="660" operator="containsText" text="No">
      <formula>NOT(ISERROR(SEARCH("No",N17)))</formula>
    </cfRule>
  </conditionalFormatting>
  <conditionalFormatting sqref="N21:N22">
    <cfRule type="containsText" dxfId="515" priority="659" operator="containsText" text="No">
      <formula>NOT(ISERROR(SEARCH("No",N21)))</formula>
    </cfRule>
  </conditionalFormatting>
  <conditionalFormatting sqref="N25:N26">
    <cfRule type="containsText" dxfId="514" priority="658" operator="containsText" text="No">
      <formula>NOT(ISERROR(SEARCH("No",N25)))</formula>
    </cfRule>
  </conditionalFormatting>
  <conditionalFormatting sqref="Q23">
    <cfRule type="containsText" dxfId="513" priority="636" operator="containsText" text="No">
      <formula>NOT(ISERROR(SEARCH("No",Q23)))</formula>
    </cfRule>
  </conditionalFormatting>
  <conditionalFormatting sqref="Q19">
    <cfRule type="containsText" dxfId="512" priority="634" operator="containsText" text="No">
      <formula>NOT(ISERROR(SEARCH("No",Q19)))</formula>
    </cfRule>
  </conditionalFormatting>
  <conditionalFormatting sqref="Q13">
    <cfRule type="containsText" dxfId="511" priority="632" operator="containsText" text="No">
      <formula>NOT(ISERROR(SEARCH("No",Q13)))</formula>
    </cfRule>
  </conditionalFormatting>
  <conditionalFormatting sqref="Q3">
    <cfRule type="containsText" dxfId="510" priority="626" operator="containsText" text="No">
      <formula>NOT(ISERROR(SEARCH("No",Q3)))</formula>
    </cfRule>
  </conditionalFormatting>
  <conditionalFormatting sqref="Q5">
    <cfRule type="containsText" dxfId="509" priority="625" operator="containsText" text="No">
      <formula>NOT(ISERROR(SEARCH("No",Q5)))</formula>
    </cfRule>
  </conditionalFormatting>
  <conditionalFormatting sqref="Q7:Q9">
    <cfRule type="containsText" dxfId="508" priority="622" operator="containsText" text="No">
      <formula>NOT(ISERROR(SEARCH("No",Q7)))</formula>
    </cfRule>
  </conditionalFormatting>
  <conditionalFormatting sqref="Q10">
    <cfRule type="containsText" dxfId="507" priority="621" operator="containsText" text="No">
      <formula>NOT(ISERROR(SEARCH("No",Q10)))</formula>
    </cfRule>
  </conditionalFormatting>
  <conditionalFormatting sqref="Q11:Q12">
    <cfRule type="containsText" dxfId="506" priority="620" operator="containsText" text="No">
      <formula>NOT(ISERROR(SEARCH("No",Q11)))</formula>
    </cfRule>
  </conditionalFormatting>
  <conditionalFormatting sqref="Q14:Q16">
    <cfRule type="containsText" dxfId="505" priority="619" operator="containsText" text="No">
      <formula>NOT(ISERROR(SEARCH("No",Q14)))</formula>
    </cfRule>
  </conditionalFormatting>
  <conditionalFormatting sqref="Q17">
    <cfRule type="containsText" dxfId="504" priority="618" operator="containsText" text="No">
      <formula>NOT(ISERROR(SEARCH("No",Q17)))</formula>
    </cfRule>
  </conditionalFormatting>
  <conditionalFormatting sqref="Q18">
    <cfRule type="containsText" dxfId="503" priority="617" operator="containsText" text="No">
      <formula>NOT(ISERROR(SEARCH("No",Q18)))</formula>
    </cfRule>
  </conditionalFormatting>
  <conditionalFormatting sqref="Q20">
    <cfRule type="containsText" dxfId="502" priority="616" operator="containsText" text="No">
      <formula>NOT(ISERROR(SEARCH("No",Q20)))</formula>
    </cfRule>
  </conditionalFormatting>
  <conditionalFormatting sqref="Q21:Q22">
    <cfRule type="containsText" dxfId="501" priority="615" operator="containsText" text="No">
      <formula>NOT(ISERROR(SEARCH("No",Q21)))</formula>
    </cfRule>
  </conditionalFormatting>
  <conditionalFormatting sqref="Q24:Q26">
    <cfRule type="containsText" dxfId="500" priority="614" operator="containsText" text="No">
      <formula>NOT(ISERROR(SEARCH("No",Q24)))</formula>
    </cfRule>
  </conditionalFormatting>
  <conditionalFormatting sqref="L3:L4">
    <cfRule type="containsText" dxfId="499" priority="465" operator="containsText" text="No">
      <formula>NOT(ISERROR(SEARCH("No",L3)))</formula>
    </cfRule>
  </conditionalFormatting>
  <conditionalFormatting sqref="L5">
    <cfRule type="containsText" dxfId="498" priority="464" operator="containsText" text="No">
      <formula>NOT(ISERROR(SEARCH("No",L5)))</formula>
    </cfRule>
  </conditionalFormatting>
  <conditionalFormatting sqref="L11:L12">
    <cfRule type="containsText" dxfId="497" priority="462" operator="containsText" text="No">
      <formula>NOT(ISERROR(SEARCH("No",L11)))</formula>
    </cfRule>
  </conditionalFormatting>
  <conditionalFormatting sqref="L14:L18">
    <cfRule type="containsText" dxfId="496" priority="461" operator="containsText" text="No">
      <formula>NOT(ISERROR(SEARCH("No",L14)))</formula>
    </cfRule>
  </conditionalFormatting>
  <conditionalFormatting sqref="L22:L23">
    <cfRule type="containsText" dxfId="495" priority="459" operator="containsText" text="No">
      <formula>NOT(ISERROR(SEARCH("No",L22)))</formula>
    </cfRule>
  </conditionalFormatting>
  <conditionalFormatting sqref="L24:L26">
    <cfRule type="containsText" dxfId="494" priority="458" operator="containsText" text="No">
      <formula>NOT(ISERROR(SEARCH("No",L24)))</formula>
    </cfRule>
  </conditionalFormatting>
  <conditionalFormatting sqref="L21">
    <cfRule type="containsText" dxfId="493" priority="456" operator="containsText" text="No">
      <formula>NOT(ISERROR(SEARCH("No",L21)))</formula>
    </cfRule>
  </conditionalFormatting>
  <conditionalFormatting sqref="L19:L20">
    <cfRule type="containsText" dxfId="492" priority="455" operator="containsText" text="No">
      <formula>NOT(ISERROR(SEARCH("No",L19)))</formula>
    </cfRule>
  </conditionalFormatting>
  <conditionalFormatting sqref="L13">
    <cfRule type="containsText" dxfId="491" priority="454" operator="containsText" text="No">
      <formula>NOT(ISERROR(SEARCH("No",L13)))</formula>
    </cfRule>
  </conditionalFormatting>
  <conditionalFormatting sqref="T25">
    <cfRule type="containsText" dxfId="490" priority="439" operator="containsText" text="No">
      <formula>NOT(ISERROR(SEARCH("No",T25)))</formula>
    </cfRule>
  </conditionalFormatting>
  <conditionalFormatting sqref="T23">
    <cfRule type="containsText" dxfId="489" priority="438" operator="containsText" text="No">
      <formula>NOT(ISERROR(SEARCH("No",T23)))</formula>
    </cfRule>
  </conditionalFormatting>
  <conditionalFormatting sqref="T19">
    <cfRule type="containsText" dxfId="488" priority="436" operator="containsText" text="No">
      <formula>NOT(ISERROR(SEARCH("No",T19)))</formula>
    </cfRule>
  </conditionalFormatting>
  <conditionalFormatting sqref="T13">
    <cfRule type="containsText" dxfId="487" priority="435" operator="containsText" text="No">
      <formula>NOT(ISERROR(SEARCH("No",T13)))</formula>
    </cfRule>
  </conditionalFormatting>
  <conditionalFormatting sqref="T3:T4">
    <cfRule type="containsText" dxfId="486" priority="430" operator="containsText" text="No">
      <formula>NOT(ISERROR(SEARCH("No",T3)))</formula>
    </cfRule>
  </conditionalFormatting>
  <conditionalFormatting sqref="T5">
    <cfRule type="containsText" dxfId="485" priority="429" operator="containsText" text="No">
      <formula>NOT(ISERROR(SEARCH("No",T5)))</formula>
    </cfRule>
  </conditionalFormatting>
  <conditionalFormatting sqref="T7:T10">
    <cfRule type="containsText" dxfId="484" priority="427" operator="containsText" text="No">
      <formula>NOT(ISERROR(SEARCH("No",T7)))</formula>
    </cfRule>
  </conditionalFormatting>
  <conditionalFormatting sqref="T11:T12">
    <cfRule type="containsText" dxfId="483" priority="426" operator="containsText" text="No">
      <formula>NOT(ISERROR(SEARCH("No",T11)))</formula>
    </cfRule>
  </conditionalFormatting>
  <conditionalFormatting sqref="T14:T18">
    <cfRule type="containsText" dxfId="482" priority="425" operator="containsText" text="No">
      <formula>NOT(ISERROR(SEARCH("No",T14)))</formula>
    </cfRule>
  </conditionalFormatting>
  <conditionalFormatting sqref="T20">
    <cfRule type="containsText" dxfId="481" priority="424" operator="containsText" text="No">
      <formula>NOT(ISERROR(SEARCH("No",T20)))</formula>
    </cfRule>
  </conditionalFormatting>
  <conditionalFormatting sqref="T21:T22">
    <cfRule type="containsText" dxfId="480" priority="423" operator="containsText" text="No">
      <formula>NOT(ISERROR(SEARCH("No",T21)))</formula>
    </cfRule>
  </conditionalFormatting>
  <conditionalFormatting sqref="T24">
    <cfRule type="containsText" dxfId="479" priority="422" operator="containsText" text="No">
      <formula>NOT(ISERROR(SEARCH("No",T24)))</formula>
    </cfRule>
  </conditionalFormatting>
  <conditionalFormatting sqref="T26">
    <cfRule type="containsText" dxfId="478" priority="421" operator="containsText" text="No">
      <formula>NOT(ISERROR(SEARCH("No",T26)))</formula>
    </cfRule>
  </conditionalFormatting>
  <conditionalFormatting sqref="W10">
    <cfRule type="containsText" dxfId="477" priority="390" operator="containsText" text="No">
      <formula>NOT(ISERROR(SEARCH("No",W10)))</formula>
    </cfRule>
  </conditionalFormatting>
  <conditionalFormatting sqref="W3:W4">
    <cfRule type="containsText" dxfId="476" priority="386" operator="containsText" text="No">
      <formula>NOT(ISERROR(SEARCH("No",W3)))</formula>
    </cfRule>
  </conditionalFormatting>
  <conditionalFormatting sqref="W5">
    <cfRule type="containsText" dxfId="475" priority="385" operator="containsText" text="No">
      <formula>NOT(ISERROR(SEARCH("No",W5)))</formula>
    </cfRule>
  </conditionalFormatting>
  <conditionalFormatting sqref="W11:W20">
    <cfRule type="containsText" dxfId="474" priority="383" operator="containsText" text="No">
      <formula>NOT(ISERROR(SEARCH("No",W11)))</formula>
    </cfRule>
  </conditionalFormatting>
  <conditionalFormatting sqref="W21:W22">
    <cfRule type="containsText" dxfId="473" priority="382" operator="containsText" text="No">
      <formula>NOT(ISERROR(SEARCH("No",W21)))</formula>
    </cfRule>
  </conditionalFormatting>
  <conditionalFormatting sqref="W23">
    <cfRule type="containsText" dxfId="472" priority="381" operator="containsText" text="No">
      <formula>NOT(ISERROR(SEARCH("No",W23)))</formula>
    </cfRule>
  </conditionalFormatting>
  <conditionalFormatting sqref="W24:W26">
    <cfRule type="containsText" dxfId="471" priority="380" operator="containsText" text="No">
      <formula>NOT(ISERROR(SEARCH("No",W24)))</formula>
    </cfRule>
  </conditionalFormatting>
  <conditionalFormatting sqref="Z15:Z16">
    <cfRule type="containsText" dxfId="470" priority="376" operator="containsText" text="No">
      <formula>NOT(ISERROR(SEARCH("No",Z15)))</formula>
    </cfRule>
  </conditionalFormatting>
  <conditionalFormatting sqref="Z12">
    <cfRule type="containsText" dxfId="469" priority="375" operator="containsText" text="No">
      <formula>NOT(ISERROR(SEARCH("No",Z12)))</formula>
    </cfRule>
  </conditionalFormatting>
  <conditionalFormatting sqref="Z3:Z4">
    <cfRule type="containsText" dxfId="468" priority="371" operator="containsText" text="No">
      <formula>NOT(ISERROR(SEARCH("No",Z3)))</formula>
    </cfRule>
  </conditionalFormatting>
  <conditionalFormatting sqref="Z5">
    <cfRule type="containsText" dxfId="467" priority="370" operator="containsText" text="No">
      <formula>NOT(ISERROR(SEARCH("No",Z5)))</formula>
    </cfRule>
  </conditionalFormatting>
  <conditionalFormatting sqref="Z7:Z10">
    <cfRule type="containsText" dxfId="466" priority="369" operator="containsText" text="No">
      <formula>NOT(ISERROR(SEARCH("No",Z7)))</formula>
    </cfRule>
  </conditionalFormatting>
  <conditionalFormatting sqref="Z11">
    <cfRule type="containsText" dxfId="465" priority="368" operator="containsText" text="No">
      <formula>NOT(ISERROR(SEARCH("No",Z11)))</formula>
    </cfRule>
  </conditionalFormatting>
  <conditionalFormatting sqref="Z13:Z14">
    <cfRule type="containsText" dxfId="464" priority="367" operator="containsText" text="No">
      <formula>NOT(ISERROR(SEARCH("No",Z13)))</formula>
    </cfRule>
  </conditionalFormatting>
  <conditionalFormatting sqref="Z17:Z19">
    <cfRule type="containsText" dxfId="463" priority="366" operator="containsText" text="No">
      <formula>NOT(ISERROR(SEARCH("No",Z17)))</formula>
    </cfRule>
  </conditionalFormatting>
  <conditionalFormatting sqref="Z20">
    <cfRule type="containsText" dxfId="462" priority="365" operator="containsText" text="No">
      <formula>NOT(ISERROR(SEARCH("No",Z20)))</formula>
    </cfRule>
  </conditionalFormatting>
  <conditionalFormatting sqref="Z21:Z23">
    <cfRule type="containsText" dxfId="461" priority="364" operator="containsText" text="No">
      <formula>NOT(ISERROR(SEARCH("No",Z21)))</formula>
    </cfRule>
  </conditionalFormatting>
  <conditionalFormatting sqref="Z24:Z26">
    <cfRule type="containsText" dxfId="460" priority="363" operator="containsText" text="No">
      <formula>NOT(ISERROR(SEARCH("No",Z24)))</formula>
    </cfRule>
  </conditionalFormatting>
  <conditionalFormatting sqref="AC8">
    <cfRule type="containsText" dxfId="459" priority="310" operator="containsText" text="No">
      <formula>NOT(ISERROR(SEARCH("No",AC8)))</formula>
    </cfRule>
  </conditionalFormatting>
  <conditionalFormatting sqref="AC12">
    <cfRule type="containsText" dxfId="458" priority="308" operator="containsText" text="No">
      <formula>NOT(ISERROR(SEARCH("No",AC12)))</formula>
    </cfRule>
  </conditionalFormatting>
  <conditionalFormatting sqref="AC15">
    <cfRule type="containsText" dxfId="457" priority="307" operator="containsText" text="No">
      <formula>NOT(ISERROR(SEARCH("No",AC15)))</formula>
    </cfRule>
  </conditionalFormatting>
  <conditionalFormatting sqref="AC25">
    <cfRule type="containsText" dxfId="456" priority="304" operator="containsText" text="No">
      <formula>NOT(ISERROR(SEARCH("No",AC25)))</formula>
    </cfRule>
  </conditionalFormatting>
  <conditionalFormatting sqref="AC26">
    <cfRule type="containsText" dxfId="455" priority="303" operator="containsText" text="No">
      <formula>NOT(ISERROR(SEARCH("No",AC26)))</formula>
    </cfRule>
  </conditionalFormatting>
  <conditionalFormatting sqref="AC24">
    <cfRule type="containsText" dxfId="454" priority="302" operator="containsText" text="No">
      <formula>NOT(ISERROR(SEARCH("No",AC24)))</formula>
    </cfRule>
  </conditionalFormatting>
  <conditionalFormatting sqref="AC21:AC22">
    <cfRule type="containsText" dxfId="453" priority="301" operator="containsText" text="No">
      <formula>NOT(ISERROR(SEARCH("No",AC21)))</formula>
    </cfRule>
  </conditionalFormatting>
  <conditionalFormatting sqref="AC23">
    <cfRule type="containsText" dxfId="452" priority="300" operator="containsText" text="No">
      <formula>NOT(ISERROR(SEARCH("No",AC23)))</formula>
    </cfRule>
  </conditionalFormatting>
  <conditionalFormatting sqref="AC16:AC20">
    <cfRule type="containsText" dxfId="451" priority="299" operator="containsText" text="No">
      <formula>NOT(ISERROR(SEARCH("No",AC16)))</formula>
    </cfRule>
  </conditionalFormatting>
  <conditionalFormatting sqref="AC13:AC14">
    <cfRule type="containsText" dxfId="450" priority="298" operator="containsText" text="No">
      <formula>NOT(ISERROR(SEARCH("No",AC13)))</formula>
    </cfRule>
  </conditionalFormatting>
  <conditionalFormatting sqref="AC11">
    <cfRule type="containsText" dxfId="449" priority="297" operator="containsText" text="No">
      <formula>NOT(ISERROR(SEARCH("No",AC11)))</formula>
    </cfRule>
  </conditionalFormatting>
  <conditionalFormatting sqref="AC9:AC10">
    <cfRule type="containsText" dxfId="448" priority="296" operator="containsText" text="No">
      <formula>NOT(ISERROR(SEARCH("No",AC9)))</formula>
    </cfRule>
  </conditionalFormatting>
  <conditionalFormatting sqref="AC7">
    <cfRule type="containsText" dxfId="447" priority="295" operator="containsText" text="No">
      <formula>NOT(ISERROR(SEARCH("No",AC7)))</formula>
    </cfRule>
  </conditionalFormatting>
  <conditionalFormatting sqref="AC6">
    <cfRule type="containsText" dxfId="446" priority="294" operator="containsText" text="No">
      <formula>NOT(ISERROR(SEARCH("No",AC6)))</formula>
    </cfRule>
  </conditionalFormatting>
  <conditionalFormatting sqref="AC5">
    <cfRule type="containsText" dxfId="445" priority="293" operator="containsText" text="No">
      <formula>NOT(ISERROR(SEARCH("No",AC5)))</formula>
    </cfRule>
  </conditionalFormatting>
  <conditionalFormatting sqref="AC3:AC4">
    <cfRule type="containsText" dxfId="444" priority="292" operator="containsText" text="No">
      <formula>NOT(ISERROR(SEARCH("No",AC3)))</formula>
    </cfRule>
  </conditionalFormatting>
  <conditionalFormatting sqref="D3:J3">
    <cfRule type="cellIs" dxfId="443" priority="285" operator="equal">
      <formula>"Completed"</formula>
    </cfRule>
  </conditionalFormatting>
  <conditionalFormatting sqref="D3:J3">
    <cfRule type="cellIs" dxfId="442" priority="284" operator="equal">
      <formula>"Pending "</formula>
    </cfRule>
  </conditionalFormatting>
  <conditionalFormatting sqref="D5:J5">
    <cfRule type="cellIs" dxfId="441" priority="281" operator="equal">
      <formula>"Completed"</formula>
    </cfRule>
  </conditionalFormatting>
  <conditionalFormatting sqref="D5:J5">
    <cfRule type="cellIs" dxfId="440" priority="280" operator="equal">
      <formula>"Pending "</formula>
    </cfRule>
  </conditionalFormatting>
  <conditionalFormatting sqref="D7:D10">
    <cfRule type="cellIs" dxfId="439" priority="277" operator="equal">
      <formula>"Completed"</formula>
    </cfRule>
  </conditionalFormatting>
  <conditionalFormatting sqref="D7:D10">
    <cfRule type="cellIs" dxfId="438" priority="276" operator="equal">
      <formula>"Pending "</formula>
    </cfRule>
  </conditionalFormatting>
  <conditionalFormatting sqref="D12:J12">
    <cfRule type="cellIs" dxfId="437" priority="275" operator="equal">
      <formula>"Completed"</formula>
    </cfRule>
  </conditionalFormatting>
  <conditionalFormatting sqref="D12:J12">
    <cfRule type="cellIs" dxfId="436" priority="274" operator="equal">
      <formula>"Pending "</formula>
    </cfRule>
  </conditionalFormatting>
  <conditionalFormatting sqref="D25:D26">
    <cfRule type="cellIs" dxfId="435" priority="271" operator="equal">
      <formula>"Completed"</formula>
    </cfRule>
  </conditionalFormatting>
  <conditionalFormatting sqref="D25:D26">
    <cfRule type="cellIs" dxfId="434" priority="270" operator="equal">
      <formula>"Pending "</formula>
    </cfRule>
  </conditionalFormatting>
  <conditionalFormatting sqref="E24:J24">
    <cfRule type="cellIs" dxfId="433" priority="267" operator="equal">
      <formula>"Completed"</formula>
    </cfRule>
  </conditionalFormatting>
  <conditionalFormatting sqref="E24:J24">
    <cfRule type="cellIs" dxfId="432" priority="266" operator="equal">
      <formula>"Pending "</formula>
    </cfRule>
  </conditionalFormatting>
  <conditionalFormatting sqref="E7:E10">
    <cfRule type="cellIs" dxfId="431" priority="251" operator="equal">
      <formula>"Completed"</formula>
    </cfRule>
  </conditionalFormatting>
  <conditionalFormatting sqref="E7:E10">
    <cfRule type="cellIs" dxfId="430" priority="250" operator="equal">
      <formula>"Pending "</formula>
    </cfRule>
  </conditionalFormatting>
  <conditionalFormatting sqref="E25:E26">
    <cfRule type="cellIs" dxfId="429" priority="247" operator="equal">
      <formula>"Completed"</formula>
    </cfRule>
  </conditionalFormatting>
  <conditionalFormatting sqref="E25:E26">
    <cfRule type="cellIs" dxfId="428" priority="246" operator="equal">
      <formula>"Pending "</formula>
    </cfRule>
  </conditionalFormatting>
  <conditionalFormatting sqref="F7:F10">
    <cfRule type="cellIs" dxfId="427" priority="241" operator="equal">
      <formula>"Completed"</formula>
    </cfRule>
  </conditionalFormatting>
  <conditionalFormatting sqref="F7:F10">
    <cfRule type="cellIs" dxfId="426" priority="240" operator="equal">
      <formula>"Pending "</formula>
    </cfRule>
  </conditionalFormatting>
  <conditionalFormatting sqref="F25:F26">
    <cfRule type="cellIs" dxfId="425" priority="237" operator="equal">
      <formula>"Completed"</formula>
    </cfRule>
  </conditionalFormatting>
  <conditionalFormatting sqref="F25:F26">
    <cfRule type="cellIs" dxfId="424" priority="236" operator="equal">
      <formula>"Pending "</formula>
    </cfRule>
  </conditionalFormatting>
  <conditionalFormatting sqref="B50:B1048576">
    <cfRule type="duplicateValues" dxfId="423" priority="233"/>
  </conditionalFormatting>
  <conditionalFormatting sqref="G7:G10">
    <cfRule type="cellIs" dxfId="422" priority="230" operator="equal">
      <formula>"Completed"</formula>
    </cfRule>
  </conditionalFormatting>
  <conditionalFormatting sqref="G7:G10">
    <cfRule type="cellIs" dxfId="421" priority="229" operator="equal">
      <formula>"Pending "</formula>
    </cfRule>
  </conditionalFormatting>
  <conditionalFormatting sqref="G25:G26">
    <cfRule type="cellIs" dxfId="420" priority="226" operator="equal">
      <formula>"Completed"</formula>
    </cfRule>
  </conditionalFormatting>
  <conditionalFormatting sqref="G25:G26">
    <cfRule type="cellIs" dxfId="419" priority="225" operator="equal">
      <formula>"Pending "</formula>
    </cfRule>
  </conditionalFormatting>
  <conditionalFormatting sqref="H7:H10">
    <cfRule type="cellIs" dxfId="418" priority="220" operator="equal">
      <formula>"Completed"</formula>
    </cfRule>
  </conditionalFormatting>
  <conditionalFormatting sqref="H7:H10">
    <cfRule type="cellIs" dxfId="417" priority="219" operator="equal">
      <formula>"Pending "</formula>
    </cfRule>
  </conditionalFormatting>
  <conditionalFormatting sqref="H25:H26">
    <cfRule type="cellIs" dxfId="416" priority="216" operator="equal">
      <formula>"Completed"</formula>
    </cfRule>
  </conditionalFormatting>
  <conditionalFormatting sqref="H25:H26">
    <cfRule type="cellIs" dxfId="415" priority="215" operator="equal">
      <formula>"Pending "</formula>
    </cfRule>
  </conditionalFormatting>
  <conditionalFormatting sqref="I7:I10">
    <cfRule type="cellIs" dxfId="414" priority="210" operator="equal">
      <formula>"Completed"</formula>
    </cfRule>
  </conditionalFormatting>
  <conditionalFormatting sqref="I7:I10">
    <cfRule type="cellIs" dxfId="413" priority="209" operator="equal">
      <formula>"Pending "</formula>
    </cfRule>
  </conditionalFormatting>
  <conditionalFormatting sqref="I25:I26">
    <cfRule type="cellIs" dxfId="412" priority="206" operator="equal">
      <formula>"Completed"</formula>
    </cfRule>
  </conditionalFormatting>
  <conditionalFormatting sqref="I25:I26">
    <cfRule type="cellIs" dxfId="411" priority="205" operator="equal">
      <formula>"Pending "</formula>
    </cfRule>
  </conditionalFormatting>
  <conditionalFormatting sqref="J7:J10">
    <cfRule type="cellIs" dxfId="410" priority="200" operator="equal">
      <formula>"Completed"</formula>
    </cfRule>
  </conditionalFormatting>
  <conditionalFormatting sqref="J7:J10">
    <cfRule type="cellIs" dxfId="409" priority="199" operator="equal">
      <formula>"Pending "</formula>
    </cfRule>
  </conditionalFormatting>
  <conditionalFormatting sqref="J25:J26">
    <cfRule type="cellIs" dxfId="408" priority="196" operator="equal">
      <formula>"Completed"</formula>
    </cfRule>
  </conditionalFormatting>
  <conditionalFormatting sqref="J25:J26">
    <cfRule type="cellIs" dxfId="407" priority="195" operator="equal">
      <formula>"Pending "</formula>
    </cfRule>
  </conditionalFormatting>
  <conditionalFormatting sqref="AF12:AF13">
    <cfRule type="containsText" dxfId="406" priority="187" operator="containsText" text="No">
      <formula>NOT(ISERROR(SEARCH("No",AF12)))</formula>
    </cfRule>
  </conditionalFormatting>
  <conditionalFormatting sqref="AF15">
    <cfRule type="containsText" dxfId="405" priority="186" operator="containsText" text="No">
      <formula>NOT(ISERROR(SEARCH("No",AF15)))</formula>
    </cfRule>
  </conditionalFormatting>
  <conditionalFormatting sqref="AF20">
    <cfRule type="containsText" dxfId="404" priority="185" operator="containsText" text="No">
      <formula>NOT(ISERROR(SEARCH("No",AF20)))</formula>
    </cfRule>
  </conditionalFormatting>
  <conditionalFormatting sqref="AF26">
    <cfRule type="containsText" dxfId="403" priority="183" operator="containsText" text="No">
      <formula>NOT(ISERROR(SEARCH("No",AF26)))</formula>
    </cfRule>
  </conditionalFormatting>
  <conditionalFormatting sqref="AF21:AF22">
    <cfRule type="containsText" dxfId="402" priority="182" operator="containsText" text="No">
      <formula>NOT(ISERROR(SEARCH("No",AF21)))</formula>
    </cfRule>
  </conditionalFormatting>
  <conditionalFormatting sqref="AF16:AF19">
    <cfRule type="containsText" dxfId="401" priority="181" operator="containsText" text="No">
      <formula>NOT(ISERROR(SEARCH("No",AF16)))</formula>
    </cfRule>
  </conditionalFormatting>
  <conditionalFormatting sqref="AF14">
    <cfRule type="containsText" dxfId="400" priority="180" operator="containsText" text="No">
      <formula>NOT(ISERROR(SEARCH("No",AF14)))</formula>
    </cfRule>
  </conditionalFormatting>
  <conditionalFormatting sqref="AF11">
    <cfRule type="containsText" dxfId="399" priority="179" operator="containsText" text="No">
      <formula>NOT(ISERROR(SEARCH("No",AF11)))</formula>
    </cfRule>
  </conditionalFormatting>
  <conditionalFormatting sqref="AF7:AF10">
    <cfRule type="containsText" dxfId="398" priority="178" operator="containsText" text="No">
      <formula>NOT(ISERROR(SEARCH("No",AF7)))</formula>
    </cfRule>
  </conditionalFormatting>
  <conditionalFormatting sqref="AF6">
    <cfRule type="containsText" dxfId="397" priority="177" operator="containsText" text="No">
      <formula>NOT(ISERROR(SEARCH("No",AF6)))</formula>
    </cfRule>
  </conditionalFormatting>
  <conditionalFormatting sqref="AF5">
    <cfRule type="containsText" dxfId="396" priority="176" operator="containsText" text="No">
      <formula>NOT(ISERROR(SEARCH("No",AF5)))</formula>
    </cfRule>
  </conditionalFormatting>
  <conditionalFormatting sqref="AF3">
    <cfRule type="containsText" dxfId="395" priority="175" operator="containsText" text="No">
      <formula>NOT(ISERROR(SEARCH("No",AF3)))</formula>
    </cfRule>
  </conditionalFormatting>
  <conditionalFormatting sqref="AI9">
    <cfRule type="containsText" dxfId="394" priority="170" operator="containsText" text="No">
      <formula>NOT(ISERROR(SEARCH("No",AI9)))</formula>
    </cfRule>
  </conditionalFormatting>
  <conditionalFormatting sqref="AI12">
    <cfRule type="containsText" dxfId="393" priority="168" operator="containsText" text="No">
      <formula>NOT(ISERROR(SEARCH("No",AI12)))</formula>
    </cfRule>
  </conditionalFormatting>
  <conditionalFormatting sqref="AI15">
    <cfRule type="containsText" dxfId="392" priority="167" operator="containsText" text="No">
      <formula>NOT(ISERROR(SEARCH("No",AI15)))</formula>
    </cfRule>
  </conditionalFormatting>
  <conditionalFormatting sqref="AI17">
    <cfRule type="containsText" dxfId="391" priority="166" operator="containsText" text="No">
      <formula>NOT(ISERROR(SEARCH("No",AI17)))</formula>
    </cfRule>
  </conditionalFormatting>
  <conditionalFormatting sqref="AI20">
    <cfRule type="containsText" dxfId="390" priority="165" operator="containsText" text="No">
      <formula>NOT(ISERROR(SEARCH("No",AI20)))</formula>
    </cfRule>
  </conditionalFormatting>
  <conditionalFormatting sqref="AI24:AI26">
    <cfRule type="containsText" dxfId="389" priority="163" operator="containsText" text="No">
      <formula>NOT(ISERROR(SEARCH("No",AI24)))</formula>
    </cfRule>
  </conditionalFormatting>
  <conditionalFormatting sqref="AI21:AI23">
    <cfRule type="containsText" dxfId="388" priority="162" operator="containsText" text="No">
      <formula>NOT(ISERROR(SEARCH("No",AI21)))</formula>
    </cfRule>
  </conditionalFormatting>
  <conditionalFormatting sqref="AI18:AI19">
    <cfRule type="containsText" dxfId="387" priority="161" operator="containsText" text="No">
      <formula>NOT(ISERROR(SEARCH("No",AI18)))</formula>
    </cfRule>
  </conditionalFormatting>
  <conditionalFormatting sqref="AI16">
    <cfRule type="containsText" dxfId="386" priority="160" operator="containsText" text="No">
      <formula>NOT(ISERROR(SEARCH("No",AI16)))</formula>
    </cfRule>
  </conditionalFormatting>
  <conditionalFormatting sqref="AI13:AI14">
    <cfRule type="containsText" dxfId="385" priority="159" operator="containsText" text="No">
      <formula>NOT(ISERROR(SEARCH("No",AI13)))</formula>
    </cfRule>
  </conditionalFormatting>
  <conditionalFormatting sqref="AI10">
    <cfRule type="containsText" dxfId="384" priority="158" operator="containsText" text="No">
      <formula>NOT(ISERROR(SEARCH("No",AI10)))</formula>
    </cfRule>
  </conditionalFormatting>
  <conditionalFormatting sqref="AI7:AI8">
    <cfRule type="containsText" dxfId="383" priority="157" operator="containsText" text="No">
      <formula>NOT(ISERROR(SEARCH("No",AI7)))</formula>
    </cfRule>
  </conditionalFormatting>
  <conditionalFormatting sqref="AI6">
    <cfRule type="containsText" dxfId="382" priority="156" operator="containsText" text="No">
      <formula>NOT(ISERROR(SEARCH("No",AI6)))</formula>
    </cfRule>
  </conditionalFormatting>
  <conditionalFormatting sqref="AI5">
    <cfRule type="containsText" dxfId="381" priority="155" operator="containsText" text="No">
      <formula>NOT(ISERROR(SEARCH("No",AI5)))</formula>
    </cfRule>
  </conditionalFormatting>
  <conditionalFormatting sqref="AI3:AI4">
    <cfRule type="containsText" dxfId="380" priority="154" operator="containsText" text="No">
      <formula>NOT(ISERROR(SEARCH("No",AI3)))</formula>
    </cfRule>
  </conditionalFormatting>
  <conditionalFormatting sqref="AL9">
    <cfRule type="containsText" dxfId="379" priority="150" operator="containsText" text="No">
      <formula>NOT(ISERROR(SEARCH("No",AL9)))</formula>
    </cfRule>
  </conditionalFormatting>
  <conditionalFormatting sqref="AL19">
    <cfRule type="containsText" dxfId="378" priority="148" operator="containsText" text="No">
      <formula>NOT(ISERROR(SEARCH("No",AL19)))</formula>
    </cfRule>
  </conditionalFormatting>
  <conditionalFormatting sqref="AL23">
    <cfRule type="containsText" dxfId="377" priority="146" operator="containsText" text="No">
      <formula>NOT(ISERROR(SEARCH("No",AL23)))</formula>
    </cfRule>
  </conditionalFormatting>
  <conditionalFormatting sqref="AL25">
    <cfRule type="containsText" dxfId="376" priority="145" operator="containsText" text="No">
      <formula>NOT(ISERROR(SEARCH("No",AL25)))</formula>
    </cfRule>
  </conditionalFormatting>
  <conditionalFormatting sqref="AL26">
    <cfRule type="containsText" dxfId="375" priority="144" operator="containsText" text="No">
      <formula>NOT(ISERROR(SEARCH("No",AL26)))</formula>
    </cfRule>
  </conditionalFormatting>
  <conditionalFormatting sqref="AL24">
    <cfRule type="containsText" dxfId="374" priority="143" operator="containsText" text="No">
      <formula>NOT(ISERROR(SEARCH("No",AL24)))</formula>
    </cfRule>
  </conditionalFormatting>
  <conditionalFormatting sqref="AL21:AL22">
    <cfRule type="containsText" dxfId="373" priority="142" operator="containsText" text="No">
      <formula>NOT(ISERROR(SEARCH("No",AL21)))</formula>
    </cfRule>
  </conditionalFormatting>
  <conditionalFormatting sqref="AL20">
    <cfRule type="containsText" dxfId="372" priority="141" operator="containsText" text="No">
      <formula>NOT(ISERROR(SEARCH("No",AL20)))</formula>
    </cfRule>
  </conditionalFormatting>
  <conditionalFormatting sqref="AL14:AL18">
    <cfRule type="containsText" dxfId="371" priority="140" operator="containsText" text="No">
      <formula>NOT(ISERROR(SEARCH("No",AL14)))</formula>
    </cfRule>
  </conditionalFormatting>
  <conditionalFormatting sqref="AL10">
    <cfRule type="containsText" dxfId="370" priority="139" operator="containsText" text="No">
      <formula>NOT(ISERROR(SEARCH("No",AL10)))</formula>
    </cfRule>
  </conditionalFormatting>
  <conditionalFormatting sqref="AL7:AL8">
    <cfRule type="containsText" dxfId="369" priority="138" operator="containsText" text="No">
      <formula>NOT(ISERROR(SEARCH("No",AL7)))</formula>
    </cfRule>
  </conditionalFormatting>
  <conditionalFormatting sqref="AL6">
    <cfRule type="containsText" dxfId="368" priority="137" operator="containsText" text="No">
      <formula>NOT(ISERROR(SEARCH("No",AL6)))</formula>
    </cfRule>
  </conditionalFormatting>
  <conditionalFormatting sqref="AO16">
    <cfRule type="containsText" dxfId="367" priority="130" operator="containsText" text="No">
      <formula>NOT(ISERROR(SEARCH("No",AO16)))</formula>
    </cfRule>
  </conditionalFormatting>
  <conditionalFormatting sqref="AO25">
    <cfRule type="containsText" dxfId="366" priority="128" operator="containsText" text="No">
      <formula>NOT(ISERROR(SEARCH("No",AO25)))</formula>
    </cfRule>
  </conditionalFormatting>
  <conditionalFormatting sqref="AO26">
    <cfRule type="containsText" dxfId="365" priority="127" operator="containsText" text="No">
      <formula>NOT(ISERROR(SEARCH("No",AO26)))</formula>
    </cfRule>
  </conditionalFormatting>
  <conditionalFormatting sqref="AO24">
    <cfRule type="containsText" dxfId="364" priority="126" operator="containsText" text="No">
      <formula>NOT(ISERROR(SEARCH("No",AO24)))</formula>
    </cfRule>
  </conditionalFormatting>
  <conditionalFormatting sqref="AO17:AO23">
    <cfRule type="containsText" dxfId="363" priority="125" operator="containsText" text="No">
      <formula>NOT(ISERROR(SEARCH("No",AO17)))</formula>
    </cfRule>
  </conditionalFormatting>
  <conditionalFormatting sqref="AO12:AO15">
    <cfRule type="containsText" dxfId="362" priority="124" operator="containsText" text="No">
      <formula>NOT(ISERROR(SEARCH("No",AO12)))</formula>
    </cfRule>
  </conditionalFormatting>
  <conditionalFormatting sqref="AO7:AO9">
    <cfRule type="containsText" dxfId="361" priority="123" operator="containsText" text="No">
      <formula>NOT(ISERROR(SEARCH("No",AO7)))</formula>
    </cfRule>
  </conditionalFormatting>
  <conditionalFormatting sqref="AO10">
    <cfRule type="containsText" dxfId="360" priority="122" operator="containsText" text="No">
      <formula>NOT(ISERROR(SEARCH("No",AO10)))</formula>
    </cfRule>
  </conditionalFormatting>
  <conditionalFormatting sqref="AO6">
    <cfRule type="containsText" dxfId="359" priority="121" operator="containsText" text="No">
      <formula>NOT(ISERROR(SEARCH("No",AO6)))</formula>
    </cfRule>
  </conditionalFormatting>
  <conditionalFormatting sqref="AO3:AO4">
    <cfRule type="containsText" dxfId="358" priority="120" operator="containsText" text="No">
      <formula>NOT(ISERROR(SEARCH("No",AO3)))</formula>
    </cfRule>
  </conditionalFormatting>
  <conditionalFormatting sqref="B1:B1048576">
    <cfRule type="duplicateValues" dxfId="357" priority="118"/>
  </conditionalFormatting>
  <conditionalFormatting sqref="AR25">
    <cfRule type="containsText" dxfId="356" priority="111" operator="containsText" text="No">
      <formula>NOT(ISERROR(SEARCH("No",AR25)))</formula>
    </cfRule>
  </conditionalFormatting>
  <conditionalFormatting sqref="AR26">
    <cfRule type="containsText" dxfId="355" priority="110" operator="containsText" text="No">
      <formula>NOT(ISERROR(SEARCH("No",AR26)))</formula>
    </cfRule>
  </conditionalFormatting>
  <conditionalFormatting sqref="AR24">
    <cfRule type="containsText" dxfId="354" priority="109" operator="containsText" text="No">
      <formula>NOT(ISERROR(SEARCH("No",AR24)))</formula>
    </cfRule>
  </conditionalFormatting>
  <conditionalFormatting sqref="AR15:AR23">
    <cfRule type="containsText" dxfId="353" priority="108" operator="containsText" text="No">
      <formula>NOT(ISERROR(SEARCH("No",AR15)))</formula>
    </cfRule>
  </conditionalFormatting>
  <conditionalFormatting sqref="AR7:AR10">
    <cfRule type="containsText" dxfId="352" priority="107" operator="containsText" text="No">
      <formula>NOT(ISERROR(SEARCH("No",AR7)))</formula>
    </cfRule>
  </conditionalFormatting>
  <conditionalFormatting sqref="AR6">
    <cfRule type="containsText" dxfId="351" priority="106" operator="containsText" text="No">
      <formula>NOT(ISERROR(SEARCH("No",AR6)))</formula>
    </cfRule>
  </conditionalFormatting>
  <conditionalFormatting sqref="AR5">
    <cfRule type="containsText" dxfId="350" priority="105" operator="containsText" text="No">
      <formula>NOT(ISERROR(SEARCH("No",AR5)))</formula>
    </cfRule>
  </conditionalFormatting>
  <conditionalFormatting sqref="AR3:AR4">
    <cfRule type="containsText" dxfId="349" priority="104" operator="containsText" text="No">
      <formula>NOT(ISERROR(SEARCH("No",AR3)))</formula>
    </cfRule>
  </conditionalFormatting>
  <conditionalFormatting sqref="AU3">
    <cfRule type="containsText" dxfId="348" priority="102" operator="containsText" text="No">
      <formula>NOT(ISERROR(SEARCH("No",AU3)))</formula>
    </cfRule>
  </conditionalFormatting>
  <conditionalFormatting sqref="AU19">
    <cfRule type="containsText" dxfId="347" priority="98" operator="containsText" text="No">
      <formula>NOT(ISERROR(SEARCH("No",AU19)))</formula>
    </cfRule>
  </conditionalFormatting>
  <conditionalFormatting sqref="AU25">
    <cfRule type="containsText" dxfId="346" priority="96" operator="containsText" text="No">
      <formula>NOT(ISERROR(SEARCH("No",AU25)))</formula>
    </cfRule>
  </conditionalFormatting>
  <conditionalFormatting sqref="AU26">
    <cfRule type="containsText" dxfId="345" priority="95" operator="containsText" text="No">
      <formula>NOT(ISERROR(SEARCH("No",AU26)))</formula>
    </cfRule>
  </conditionalFormatting>
  <conditionalFormatting sqref="AU24">
    <cfRule type="containsText" dxfId="344" priority="94" operator="containsText" text="No">
      <formula>NOT(ISERROR(SEARCH("No",AU24)))</formula>
    </cfRule>
  </conditionalFormatting>
  <conditionalFormatting sqref="AU20:AU23">
    <cfRule type="containsText" dxfId="343" priority="93" operator="containsText" text="No">
      <formula>NOT(ISERROR(SEARCH("No",AU20)))</formula>
    </cfRule>
  </conditionalFormatting>
  <conditionalFormatting sqref="AU14:AU18">
    <cfRule type="containsText" dxfId="342" priority="92" operator="containsText" text="No">
      <formula>NOT(ISERROR(SEARCH("No",AU14)))</formula>
    </cfRule>
  </conditionalFormatting>
  <conditionalFormatting sqref="AU5">
    <cfRule type="containsText" dxfId="341" priority="90" operator="containsText" text="No">
      <formula>NOT(ISERROR(SEARCH("No",AU5)))</formula>
    </cfRule>
  </conditionalFormatting>
  <conditionalFormatting sqref="AU4">
    <cfRule type="containsText" dxfId="340" priority="89" operator="containsText" text="No">
      <formula>NOT(ISERROR(SEARCH("No",AU4)))</formula>
    </cfRule>
  </conditionalFormatting>
  <conditionalFormatting sqref="A3:A26">
    <cfRule type="duplicateValues" dxfId="339" priority="3527"/>
  </conditionalFormatting>
  <conditionalFormatting sqref="AY3:AY26">
    <cfRule type="cellIs" dxfId="338" priority="88" operator="lessThan">
      <formula>0.51</formula>
    </cfRule>
  </conditionalFormatting>
  <conditionalFormatting sqref="AX6">
    <cfRule type="containsText" dxfId="337" priority="87" operator="containsText" text="No">
      <formula>NOT(ISERROR(SEARCH("No",AX6)))</formula>
    </cfRule>
  </conditionalFormatting>
  <conditionalFormatting sqref="AX11:AX13">
    <cfRule type="containsText" dxfId="336" priority="86" operator="containsText" text="No">
      <formula>NOT(ISERROR(SEARCH("No",AX11)))</formula>
    </cfRule>
  </conditionalFormatting>
  <conditionalFormatting sqref="AX16">
    <cfRule type="containsText" dxfId="335" priority="85" operator="containsText" text="No">
      <formula>NOT(ISERROR(SEARCH("No",AX16)))</formula>
    </cfRule>
  </conditionalFormatting>
  <conditionalFormatting sqref="AX25">
    <cfRule type="containsText" dxfId="334" priority="84" operator="containsText" text="No">
      <formula>NOT(ISERROR(SEARCH("No",AX25)))</formula>
    </cfRule>
  </conditionalFormatting>
  <conditionalFormatting sqref="AX17:AX24">
    <cfRule type="containsText" dxfId="333" priority="83" operator="containsText" text="No">
      <formula>NOT(ISERROR(SEARCH("No",AX17)))</formula>
    </cfRule>
  </conditionalFormatting>
  <conditionalFormatting sqref="AX26">
    <cfRule type="containsText" dxfId="332" priority="82" operator="containsText" text="No">
      <formula>NOT(ISERROR(SEARCH("No",AX26)))</formula>
    </cfRule>
  </conditionalFormatting>
  <conditionalFormatting sqref="AX14:AX15">
    <cfRule type="containsText" dxfId="331" priority="81" operator="containsText" text="No">
      <formula>NOT(ISERROR(SEARCH("No",AX14)))</formula>
    </cfRule>
  </conditionalFormatting>
  <conditionalFormatting sqref="AX7:AX10">
    <cfRule type="containsText" dxfId="330" priority="80" operator="containsText" text="No">
      <formula>NOT(ISERROR(SEARCH("No",AX7)))</formula>
    </cfRule>
  </conditionalFormatting>
  <conditionalFormatting sqref="AX3:AX5">
    <cfRule type="containsText" dxfId="329" priority="79" operator="containsText" text="No">
      <formula>NOT(ISERROR(SEARCH("No",AX3)))</formula>
    </cfRule>
  </conditionalFormatting>
  <conditionalFormatting sqref="BB3:BB26">
    <cfRule type="cellIs" dxfId="328" priority="78" operator="lessThan">
      <formula>0.51</formula>
    </cfRule>
  </conditionalFormatting>
  <conditionalFormatting sqref="BA3">
    <cfRule type="containsText" dxfId="327" priority="77" operator="containsText" text="No">
      <formula>NOT(ISERROR(SEARCH("No",BA3)))</formula>
    </cfRule>
  </conditionalFormatting>
  <conditionalFormatting sqref="BA10:BA13">
    <cfRule type="containsText" dxfId="326" priority="76" operator="containsText" text="No">
      <formula>NOT(ISERROR(SEARCH("No",BA10)))</formula>
    </cfRule>
  </conditionalFormatting>
  <conditionalFormatting sqref="BA20">
    <cfRule type="containsText" dxfId="325" priority="75" operator="containsText" text="No">
      <formula>NOT(ISERROR(SEARCH("No",BA20)))</formula>
    </cfRule>
  </conditionalFormatting>
  <conditionalFormatting sqref="BA25">
    <cfRule type="containsText" dxfId="324" priority="74" operator="containsText" text="No">
      <formula>NOT(ISERROR(SEARCH("No",BA25)))</formula>
    </cfRule>
  </conditionalFormatting>
  <conditionalFormatting sqref="BA4:BA8">
    <cfRule type="containsText" dxfId="323" priority="73" operator="containsText" text="No">
      <formula>NOT(ISERROR(SEARCH("No",BA4)))</formula>
    </cfRule>
  </conditionalFormatting>
  <conditionalFormatting sqref="BA9">
    <cfRule type="containsText" dxfId="322" priority="72" operator="containsText" text="No">
      <formula>NOT(ISERROR(SEARCH("No",BA9)))</formula>
    </cfRule>
  </conditionalFormatting>
  <conditionalFormatting sqref="BA14:BA19">
    <cfRule type="containsText" dxfId="321" priority="71" operator="containsText" text="No">
      <formula>NOT(ISERROR(SEARCH("No",BA14)))</formula>
    </cfRule>
  </conditionalFormatting>
  <conditionalFormatting sqref="BA21:BA24">
    <cfRule type="containsText" dxfId="320" priority="70" operator="containsText" text="No">
      <formula>NOT(ISERROR(SEARCH("No",BA21)))</formula>
    </cfRule>
  </conditionalFormatting>
  <conditionalFormatting sqref="BA26">
    <cfRule type="containsText" dxfId="319" priority="69" operator="containsText" text="No">
      <formula>NOT(ISERROR(SEARCH("No",BA26)))</formula>
    </cfRule>
  </conditionalFormatting>
  <conditionalFormatting sqref="BE3:BE26">
    <cfRule type="cellIs" dxfId="318" priority="68" operator="lessThan">
      <formula>0.51</formula>
    </cfRule>
  </conditionalFormatting>
  <conditionalFormatting sqref="BD11:BD12">
    <cfRule type="containsText" dxfId="317" priority="67" operator="containsText" text="No">
      <formula>NOT(ISERROR(SEARCH("No",BD11)))</formula>
    </cfRule>
  </conditionalFormatting>
  <conditionalFormatting sqref="BD25">
    <cfRule type="containsText" dxfId="316" priority="66" operator="containsText" text="No">
      <formula>NOT(ISERROR(SEARCH("No",BD25)))</formula>
    </cfRule>
  </conditionalFormatting>
  <conditionalFormatting sqref="BD3:BD10">
    <cfRule type="containsText" dxfId="315" priority="65" operator="containsText" text="No">
      <formula>NOT(ISERROR(SEARCH("No",BD3)))</formula>
    </cfRule>
  </conditionalFormatting>
  <conditionalFormatting sqref="BD13:BD24">
    <cfRule type="containsText" dxfId="314" priority="64" operator="containsText" text="No">
      <formula>NOT(ISERROR(SEARCH("No",BD13)))</formula>
    </cfRule>
  </conditionalFormatting>
  <conditionalFormatting sqref="BD26">
    <cfRule type="containsText" dxfId="313" priority="63" operator="containsText" text="No">
      <formula>NOT(ISERROR(SEARCH("No",BD26)))</formula>
    </cfRule>
  </conditionalFormatting>
  <conditionalFormatting sqref="D24">
    <cfRule type="cellIs" dxfId="312" priority="62" operator="equal">
      <formula>"Completed"</formula>
    </cfRule>
  </conditionalFormatting>
  <conditionalFormatting sqref="D24">
    <cfRule type="cellIs" dxfId="311" priority="61" operator="equal">
      <formula>"Pending "</formula>
    </cfRule>
  </conditionalFormatting>
  <conditionalFormatting sqref="BH3:BH10 BH13:BH24 BH26">
    <cfRule type="cellIs" dxfId="310" priority="60" operator="lessThan">
      <formula>0.51</formula>
    </cfRule>
  </conditionalFormatting>
  <conditionalFormatting sqref="BH11:BH12">
    <cfRule type="cellIs" dxfId="309" priority="59" operator="lessThan">
      <formula>0.51</formula>
    </cfRule>
  </conditionalFormatting>
  <conditionalFormatting sqref="BG11:BG12">
    <cfRule type="containsText" dxfId="308" priority="58" operator="containsText" text="No">
      <formula>NOT(ISERROR(SEARCH("No",BG11)))</formula>
    </cfRule>
  </conditionalFormatting>
  <conditionalFormatting sqref="BH25">
    <cfRule type="cellIs" dxfId="307" priority="57" operator="lessThan">
      <formula>0.51</formula>
    </cfRule>
  </conditionalFormatting>
  <conditionalFormatting sqref="BG25">
    <cfRule type="containsText" dxfId="306" priority="56" operator="containsText" text="No">
      <formula>NOT(ISERROR(SEARCH("No",BG25)))</formula>
    </cfRule>
  </conditionalFormatting>
  <conditionalFormatting sqref="BG3:BG10">
    <cfRule type="containsText" dxfId="305" priority="55" operator="containsText" text="No">
      <formula>NOT(ISERROR(SEARCH("No",BG3)))</formula>
    </cfRule>
  </conditionalFormatting>
  <conditionalFormatting sqref="BG13:BG24">
    <cfRule type="containsText" dxfId="304" priority="54" operator="containsText" text="No">
      <formula>NOT(ISERROR(SEARCH("No",BG13)))</formula>
    </cfRule>
  </conditionalFormatting>
  <conditionalFormatting sqref="BG26">
    <cfRule type="containsText" dxfId="303" priority="53" operator="containsText" text="No">
      <formula>NOT(ISERROR(SEARCH("No",BG26)))</formula>
    </cfRule>
  </conditionalFormatting>
  <conditionalFormatting sqref="BK3:BK9 BK13:BK24 BK26">
    <cfRule type="cellIs" dxfId="302" priority="52" operator="lessThan">
      <formula>0.51</formula>
    </cfRule>
  </conditionalFormatting>
  <conditionalFormatting sqref="BK10:BK12">
    <cfRule type="cellIs" dxfId="301" priority="51" operator="lessThan">
      <formula>0.51</formula>
    </cfRule>
  </conditionalFormatting>
  <conditionalFormatting sqref="BJ10:BJ11">
    <cfRule type="containsText" dxfId="300" priority="50" operator="containsText" text="No">
      <formula>NOT(ISERROR(SEARCH("No",BJ10)))</formula>
    </cfRule>
  </conditionalFormatting>
  <conditionalFormatting sqref="BK25">
    <cfRule type="cellIs" dxfId="299" priority="49" operator="lessThan">
      <formula>0.51</formula>
    </cfRule>
  </conditionalFormatting>
  <conditionalFormatting sqref="BJ16">
    <cfRule type="containsText" dxfId="298" priority="48" operator="containsText" text="No">
      <formula>NOT(ISERROR(SEARCH("No",BJ16)))</formula>
    </cfRule>
  </conditionalFormatting>
  <conditionalFormatting sqref="BJ25">
    <cfRule type="containsText" dxfId="297" priority="47" operator="containsText" text="No">
      <formula>NOT(ISERROR(SEARCH("No",BJ25)))</formula>
    </cfRule>
  </conditionalFormatting>
  <conditionalFormatting sqref="BJ3:BJ9">
    <cfRule type="containsText" dxfId="296" priority="46" operator="containsText" text="No">
      <formula>NOT(ISERROR(SEARCH("No",BJ3)))</formula>
    </cfRule>
  </conditionalFormatting>
  <conditionalFormatting sqref="BJ13:BJ15">
    <cfRule type="containsText" dxfId="295" priority="45" operator="containsText" text="No">
      <formula>NOT(ISERROR(SEARCH("No",BJ13)))</formula>
    </cfRule>
  </conditionalFormatting>
  <conditionalFormatting sqref="BJ17:BJ24">
    <cfRule type="containsText" dxfId="294" priority="44" operator="containsText" text="No">
      <formula>NOT(ISERROR(SEARCH("No",BJ17)))</formula>
    </cfRule>
  </conditionalFormatting>
  <conditionalFormatting sqref="BJ26">
    <cfRule type="containsText" dxfId="293" priority="43" operator="containsText" text="No">
      <formula>NOT(ISERROR(SEARCH("No",BJ26)))</formula>
    </cfRule>
  </conditionalFormatting>
  <conditionalFormatting sqref="BM3:BM9">
    <cfRule type="containsText" dxfId="292" priority="42" operator="containsText" text="No">
      <formula>NOT(ISERROR(SEARCH("No",BM3)))</formula>
    </cfRule>
  </conditionalFormatting>
  <conditionalFormatting sqref="BM13:BM24">
    <cfRule type="containsText" dxfId="291" priority="41" operator="containsText" text="No">
      <formula>NOT(ISERROR(SEARCH("No",BM13)))</formula>
    </cfRule>
  </conditionalFormatting>
  <conditionalFormatting sqref="BM26">
    <cfRule type="containsText" dxfId="290" priority="40" operator="containsText" text="No">
      <formula>NOT(ISERROR(SEARCH("No",BM26)))</formula>
    </cfRule>
  </conditionalFormatting>
  <conditionalFormatting sqref="BM10:BM12">
    <cfRule type="containsText" dxfId="289" priority="39" operator="containsText" text="No">
      <formula>NOT(ISERROR(SEARCH("No",BM10)))</formula>
    </cfRule>
  </conditionalFormatting>
  <conditionalFormatting sqref="BJ12">
    <cfRule type="containsText" dxfId="288" priority="38" operator="containsText" text="No">
      <formula>NOT(ISERROR(SEARCH("No",BJ12)))</formula>
    </cfRule>
  </conditionalFormatting>
  <conditionalFormatting sqref="BM25">
    <cfRule type="containsText" dxfId="287" priority="37" operator="containsText" text="No">
      <formula>NOT(ISERROR(SEARCH("No",BM25)))</formula>
    </cfRule>
  </conditionalFormatting>
  <conditionalFormatting sqref="D4">
    <cfRule type="cellIs" dxfId="286" priority="36" operator="equal">
      <formula>"Completed"</formula>
    </cfRule>
  </conditionalFormatting>
  <conditionalFormatting sqref="D4">
    <cfRule type="cellIs" dxfId="285" priority="35" operator="equal">
      <formula>"Pending "</formula>
    </cfRule>
  </conditionalFormatting>
  <conditionalFormatting sqref="D13">
    <cfRule type="cellIs" dxfId="284" priority="34" operator="equal">
      <formula>"Completed"</formula>
    </cfRule>
  </conditionalFormatting>
  <conditionalFormatting sqref="D13">
    <cfRule type="cellIs" dxfId="283" priority="33" operator="equal">
      <formula>"Pending "</formula>
    </cfRule>
  </conditionalFormatting>
  <conditionalFormatting sqref="E4">
    <cfRule type="cellIs" dxfId="282" priority="32" operator="equal">
      <formula>"Completed"</formula>
    </cfRule>
  </conditionalFormatting>
  <conditionalFormatting sqref="E4">
    <cfRule type="cellIs" dxfId="281" priority="31" operator="equal">
      <formula>"Pending "</formula>
    </cfRule>
  </conditionalFormatting>
  <conditionalFormatting sqref="E13">
    <cfRule type="cellIs" dxfId="280" priority="30" operator="equal">
      <formula>"Completed"</formula>
    </cfRule>
  </conditionalFormatting>
  <conditionalFormatting sqref="E13">
    <cfRule type="cellIs" dxfId="279" priority="29" operator="equal">
      <formula>"Pending "</formula>
    </cfRule>
  </conditionalFormatting>
  <conditionalFormatting sqref="F4">
    <cfRule type="cellIs" dxfId="278" priority="28" operator="equal">
      <formula>"Completed"</formula>
    </cfRule>
  </conditionalFormatting>
  <conditionalFormatting sqref="F4">
    <cfRule type="cellIs" dxfId="277" priority="27" operator="equal">
      <formula>"Pending "</formula>
    </cfRule>
  </conditionalFormatting>
  <conditionalFormatting sqref="F13">
    <cfRule type="cellIs" dxfId="276" priority="22" operator="equal">
      <formula>"Completed"</formula>
    </cfRule>
  </conditionalFormatting>
  <conditionalFormatting sqref="F13">
    <cfRule type="cellIs" dxfId="275" priority="21" operator="equal">
      <formula>"Pending "</formula>
    </cfRule>
  </conditionalFormatting>
  <conditionalFormatting sqref="G4">
    <cfRule type="cellIs" dxfId="274" priority="20" operator="equal">
      <formula>"Completed"</formula>
    </cfRule>
  </conditionalFormatting>
  <conditionalFormatting sqref="G4">
    <cfRule type="cellIs" dxfId="273" priority="19" operator="equal">
      <formula>"Pending "</formula>
    </cfRule>
  </conditionalFormatting>
  <conditionalFormatting sqref="H4">
    <cfRule type="cellIs" dxfId="272" priority="18" operator="equal">
      <formula>"Completed"</formula>
    </cfRule>
  </conditionalFormatting>
  <conditionalFormatting sqref="H4">
    <cfRule type="cellIs" dxfId="271" priority="17" operator="equal">
      <formula>"Pending "</formula>
    </cfRule>
  </conditionalFormatting>
  <conditionalFormatting sqref="I4">
    <cfRule type="cellIs" dxfId="270" priority="16" operator="equal">
      <formula>"Completed"</formula>
    </cfRule>
  </conditionalFormatting>
  <conditionalFormatting sqref="I4">
    <cfRule type="cellIs" dxfId="269" priority="15" operator="equal">
      <formula>"Pending "</formula>
    </cfRule>
  </conditionalFormatting>
  <conditionalFormatting sqref="J4">
    <cfRule type="cellIs" dxfId="268" priority="12" operator="equal">
      <formula>"Completed"</formula>
    </cfRule>
  </conditionalFormatting>
  <conditionalFormatting sqref="J4">
    <cfRule type="cellIs" dxfId="267" priority="11" operator="equal">
      <formula>"Pending "</formula>
    </cfRule>
  </conditionalFormatting>
  <conditionalFormatting sqref="G13">
    <cfRule type="cellIs" dxfId="266" priority="8" operator="equal">
      <formula>"Completed"</formula>
    </cfRule>
  </conditionalFormatting>
  <conditionalFormatting sqref="G13">
    <cfRule type="cellIs" dxfId="265" priority="7" operator="equal">
      <formula>"Pending "</formula>
    </cfRule>
  </conditionalFormatting>
  <conditionalFormatting sqref="H13">
    <cfRule type="cellIs" dxfId="264" priority="6" operator="equal">
      <formula>"Completed"</formula>
    </cfRule>
  </conditionalFormatting>
  <conditionalFormatting sqref="H13">
    <cfRule type="cellIs" dxfId="263" priority="5" operator="equal">
      <formula>"Pending "</formula>
    </cfRule>
  </conditionalFormatting>
  <conditionalFormatting sqref="I13">
    <cfRule type="cellIs" dxfId="262" priority="4" operator="equal">
      <formula>"Completed"</formula>
    </cfRule>
  </conditionalFormatting>
  <conditionalFormatting sqref="I13">
    <cfRule type="cellIs" dxfId="261" priority="3" operator="equal">
      <formula>"Pending "</formula>
    </cfRule>
  </conditionalFormatting>
  <conditionalFormatting sqref="J13">
    <cfRule type="cellIs" dxfId="260" priority="2" operator="equal">
      <formula>"Completed"</formula>
    </cfRule>
  </conditionalFormatting>
  <conditionalFormatting sqref="J13">
    <cfRule type="cellIs" dxfId="259" priority="1" operator="equal">
      <formula>"Pending "</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6A17B-33D2-4C93-8F5A-836A1DA33B04}">
  <dimension ref="A1:Y26"/>
  <sheetViews>
    <sheetView topLeftCell="A2" zoomScale="85" zoomScaleNormal="85" workbookViewId="0">
      <selection activeCell="E3" sqref="E3:E26"/>
    </sheetView>
  </sheetViews>
  <sheetFormatPr defaultRowHeight="15" customHeight="1"/>
  <cols>
    <col min="1" max="1" width="5" style="3" bestFit="1" customWidth="1"/>
    <col min="2" max="2" width="31.140625" style="3" customWidth="1"/>
    <col min="3" max="3" width="14.42578125" style="3" customWidth="1"/>
    <col min="4" max="5" width="11.140625" style="3" customWidth="1"/>
    <col min="6" max="6" width="9.140625" style="3" customWidth="1"/>
    <col min="7" max="7" width="24" style="3" customWidth="1"/>
    <col min="8" max="8" width="34.28515625" style="3" customWidth="1"/>
    <col min="9" max="9" width="29.140625" style="3" customWidth="1"/>
    <col min="10" max="10" width="28.85546875" style="3" customWidth="1"/>
    <col min="11" max="11" width="33.85546875" style="3" customWidth="1"/>
    <col min="12" max="12" width="31.42578125" style="3" customWidth="1"/>
    <col min="13" max="13" width="27.7109375" style="3" customWidth="1"/>
    <col min="14" max="14" width="26.5703125" style="3" customWidth="1"/>
    <col min="15" max="15" width="27.42578125" style="3" customWidth="1"/>
    <col min="16" max="16" width="25.28515625" style="3" customWidth="1"/>
    <col min="17" max="17" width="28.140625" style="3" customWidth="1"/>
    <col min="18" max="18" width="30.7109375" style="3" customWidth="1"/>
    <col min="19" max="19" width="21.7109375" style="3" customWidth="1"/>
    <col min="20" max="20" width="20.42578125" style="3" customWidth="1"/>
    <col min="21" max="21" width="27.7109375" style="3" customWidth="1"/>
    <col min="22" max="22" width="21.85546875" style="3" customWidth="1"/>
    <col min="23" max="23" width="29.140625" style="3" customWidth="1"/>
    <col min="24" max="24" width="20.42578125" style="3" customWidth="1"/>
    <col min="25" max="25" width="20.85546875" style="3" customWidth="1"/>
    <col min="26" max="16384" width="9.140625" style="3"/>
  </cols>
  <sheetData>
    <row r="1" spans="1:25" s="11" customFormat="1" ht="135.94999999999999" customHeight="1">
      <c r="A1" s="55" t="s">
        <v>60</v>
      </c>
      <c r="B1" s="55" t="s">
        <v>61</v>
      </c>
      <c r="C1" s="55" t="s">
        <v>62</v>
      </c>
      <c r="D1" s="55" t="s">
        <v>63</v>
      </c>
      <c r="E1" s="10" t="s">
        <v>64</v>
      </c>
      <c r="G1" s="4" t="s">
        <v>4</v>
      </c>
      <c r="H1" s="4" t="s">
        <v>5</v>
      </c>
      <c r="I1" s="4" t="s">
        <v>65</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21</v>
      </c>
      <c r="Y1" s="42" t="s">
        <v>22</v>
      </c>
    </row>
    <row r="2" spans="1:25" s="13" customFormat="1" ht="29.25">
      <c r="A2" s="55"/>
      <c r="B2" s="55"/>
      <c r="C2" s="55"/>
      <c r="D2" s="55"/>
      <c r="E2" s="12" t="s">
        <v>66</v>
      </c>
      <c r="G2" s="6" t="s">
        <v>30</v>
      </c>
      <c r="H2" s="6" t="s">
        <v>30</v>
      </c>
      <c r="I2" s="6" t="s">
        <v>30</v>
      </c>
      <c r="J2" s="6" t="s">
        <v>30</v>
      </c>
      <c r="K2" s="6" t="s">
        <v>30</v>
      </c>
      <c r="L2" s="6" t="s">
        <v>30</v>
      </c>
      <c r="M2" s="6" t="s">
        <v>30</v>
      </c>
      <c r="N2" s="6" t="s">
        <v>30</v>
      </c>
      <c r="O2" s="6" t="s">
        <v>30</v>
      </c>
      <c r="P2" s="6" t="s">
        <v>30</v>
      </c>
      <c r="Q2" s="6" t="s">
        <v>30</v>
      </c>
      <c r="R2" s="6" t="s">
        <v>30</v>
      </c>
      <c r="S2" s="6" t="s">
        <v>30</v>
      </c>
      <c r="T2" s="6" t="s">
        <v>30</v>
      </c>
      <c r="U2" s="6" t="s">
        <v>30</v>
      </c>
      <c r="V2" s="6" t="s">
        <v>30</v>
      </c>
      <c r="W2" s="6" t="s">
        <v>30</v>
      </c>
      <c r="X2" s="6" t="s">
        <v>30</v>
      </c>
      <c r="Y2" s="43" t="s">
        <v>30</v>
      </c>
    </row>
    <row r="3" spans="1:25" ht="15.75">
      <c r="A3" s="7">
        <v>1</v>
      </c>
      <c r="B3" s="1" t="s">
        <v>32</v>
      </c>
      <c r="C3" s="14">
        <f>COUNTIF($G$2:$XFD$2,"Attendance")</f>
        <v>19</v>
      </c>
      <c r="D3" s="15">
        <f>COUNTIF(F3:WTX3,"Yes")</f>
        <v>15</v>
      </c>
      <c r="E3" s="16">
        <f t="shared" ref="E3:E5" si="0">D3/C3</f>
        <v>0.78947368421052633</v>
      </c>
      <c r="G3" s="8" t="s">
        <v>34</v>
      </c>
      <c r="H3" s="8" t="s">
        <v>35</v>
      </c>
      <c r="I3" s="8" t="s">
        <v>34</v>
      </c>
      <c r="J3" s="8" t="s">
        <v>34</v>
      </c>
      <c r="K3" s="8" t="s">
        <v>34</v>
      </c>
      <c r="L3" s="8" t="s">
        <v>34</v>
      </c>
      <c r="M3" s="8" t="s">
        <v>34</v>
      </c>
      <c r="N3" s="8" t="s">
        <v>34</v>
      </c>
      <c r="O3" s="8" t="s">
        <v>34</v>
      </c>
      <c r="P3" s="8" t="s">
        <v>35</v>
      </c>
      <c r="Q3" s="8" t="s">
        <v>34</v>
      </c>
      <c r="R3" s="8" t="s">
        <v>34</v>
      </c>
      <c r="S3" s="8" t="s">
        <v>35</v>
      </c>
      <c r="T3" s="8" t="s">
        <v>34</v>
      </c>
      <c r="U3" s="8" t="s">
        <v>35</v>
      </c>
      <c r="V3" s="8" t="s">
        <v>34</v>
      </c>
      <c r="W3" s="8" t="s">
        <v>34</v>
      </c>
      <c r="X3" s="8" t="s">
        <v>34</v>
      </c>
      <c r="Y3" s="8" t="s">
        <v>34</v>
      </c>
    </row>
    <row r="4" spans="1:25" ht="15.75">
      <c r="A4" s="7">
        <v>2</v>
      </c>
      <c r="B4" s="1" t="s">
        <v>36</v>
      </c>
      <c r="C4" s="14">
        <f>COUNTIF($F$2:$XFD$2,"Attendance")</f>
        <v>19</v>
      </c>
      <c r="D4" s="15">
        <f>COUNTIF(F4:WTX4,"Yes")</f>
        <v>15</v>
      </c>
      <c r="E4" s="16">
        <f t="shared" si="0"/>
        <v>0.78947368421052633</v>
      </c>
      <c r="G4" s="8" t="s">
        <v>34</v>
      </c>
      <c r="H4" s="8" t="s">
        <v>35</v>
      </c>
      <c r="I4" s="8" t="s">
        <v>35</v>
      </c>
      <c r="J4" s="8" t="s">
        <v>34</v>
      </c>
      <c r="K4" s="8" t="s">
        <v>34</v>
      </c>
      <c r="L4" s="8" t="s">
        <v>34</v>
      </c>
      <c r="M4" s="8" t="s">
        <v>34</v>
      </c>
      <c r="N4" s="8" t="s">
        <v>35</v>
      </c>
      <c r="O4" s="8" t="s">
        <v>34</v>
      </c>
      <c r="P4" s="8" t="s">
        <v>35</v>
      </c>
      <c r="Q4" s="8" t="s">
        <v>34</v>
      </c>
      <c r="R4" s="8" t="s">
        <v>34</v>
      </c>
      <c r="S4" s="8" t="s">
        <v>34</v>
      </c>
      <c r="T4" s="8" t="s">
        <v>34</v>
      </c>
      <c r="U4" s="8" t="s">
        <v>34</v>
      </c>
      <c r="V4" s="8" t="s">
        <v>34</v>
      </c>
      <c r="W4" s="8" t="s">
        <v>34</v>
      </c>
      <c r="X4" s="8" t="s">
        <v>34</v>
      </c>
      <c r="Y4" s="8" t="s">
        <v>34</v>
      </c>
    </row>
    <row r="5" spans="1:25" ht="15.75">
      <c r="A5" s="7">
        <v>3</v>
      </c>
      <c r="B5" s="1" t="s">
        <v>37</v>
      </c>
      <c r="C5" s="14">
        <f>COUNTIF($F$2:$XFD$2,"Attendance")</f>
        <v>19</v>
      </c>
      <c r="D5" s="15">
        <f>COUNTIF(F5:WTX5,"Yes")</f>
        <v>17</v>
      </c>
      <c r="E5" s="16">
        <f t="shared" si="0"/>
        <v>0.89473684210526316</v>
      </c>
      <c r="G5" s="8" t="s">
        <v>34</v>
      </c>
      <c r="H5" s="8" t="s">
        <v>34</v>
      </c>
      <c r="I5" s="8" t="s">
        <v>34</v>
      </c>
      <c r="J5" s="8" t="s">
        <v>34</v>
      </c>
      <c r="K5" s="8" t="s">
        <v>34</v>
      </c>
      <c r="L5" s="8" t="s">
        <v>34</v>
      </c>
      <c r="M5" s="8" t="s">
        <v>34</v>
      </c>
      <c r="N5" s="8" t="s">
        <v>34</v>
      </c>
      <c r="O5" s="8" t="s">
        <v>34</v>
      </c>
      <c r="P5" s="8" t="s">
        <v>35</v>
      </c>
      <c r="Q5" s="8" t="s">
        <v>35</v>
      </c>
      <c r="R5" s="8" t="s">
        <v>34</v>
      </c>
      <c r="S5" s="8" t="s">
        <v>34</v>
      </c>
      <c r="T5" s="8" t="s">
        <v>34</v>
      </c>
      <c r="U5" s="8" t="s">
        <v>34</v>
      </c>
      <c r="V5" s="8" t="s">
        <v>34</v>
      </c>
      <c r="W5" s="8" t="s">
        <v>34</v>
      </c>
      <c r="X5" s="8" t="s">
        <v>34</v>
      </c>
      <c r="Y5" s="8" t="s">
        <v>34</v>
      </c>
    </row>
    <row r="6" spans="1:25" ht="15.75">
      <c r="A6" s="7">
        <v>4</v>
      </c>
      <c r="B6" s="1" t="s">
        <v>38</v>
      </c>
      <c r="C6" s="14">
        <f>COUNTIF($F$2:$XFD$2,"Attendance")</f>
        <v>19</v>
      </c>
      <c r="D6" s="15">
        <f>COUNTIF(F6:WTX6,"Yes")</f>
        <v>16</v>
      </c>
      <c r="E6" s="16">
        <f t="shared" ref="E6" si="1">D6/C6</f>
        <v>0.84210526315789469</v>
      </c>
      <c r="G6" s="8" t="s">
        <v>34</v>
      </c>
      <c r="H6" s="8" t="s">
        <v>35</v>
      </c>
      <c r="I6" s="8" t="s">
        <v>34</v>
      </c>
      <c r="J6" s="8" t="s">
        <v>34</v>
      </c>
      <c r="K6" s="8" t="s">
        <v>34</v>
      </c>
      <c r="L6" s="8" t="s">
        <v>35</v>
      </c>
      <c r="M6" s="8" t="s">
        <v>34</v>
      </c>
      <c r="N6" s="8" t="s">
        <v>34</v>
      </c>
      <c r="O6" s="8" t="s">
        <v>34</v>
      </c>
      <c r="P6" s="8" t="s">
        <v>34</v>
      </c>
      <c r="Q6" s="8" t="s">
        <v>34</v>
      </c>
      <c r="R6" s="8" t="s">
        <v>34</v>
      </c>
      <c r="S6" s="8" t="s">
        <v>34</v>
      </c>
      <c r="T6" s="8" t="s">
        <v>35</v>
      </c>
      <c r="U6" s="8" t="s">
        <v>34</v>
      </c>
      <c r="V6" s="8" t="s">
        <v>34</v>
      </c>
      <c r="W6" s="8" t="s">
        <v>34</v>
      </c>
      <c r="X6" s="8" t="s">
        <v>34</v>
      </c>
      <c r="Y6" s="8" t="s">
        <v>34</v>
      </c>
    </row>
    <row r="7" spans="1:25" ht="15.75">
      <c r="A7" s="7">
        <v>5</v>
      </c>
      <c r="B7" s="1" t="s">
        <v>39</v>
      </c>
      <c r="C7" s="14">
        <f>COUNTIF($F$2:$XFD$2,"Attendance")</f>
        <v>19</v>
      </c>
      <c r="D7" s="15">
        <f>COUNTIF(F7:WTX7,"Yes")</f>
        <v>19</v>
      </c>
      <c r="E7" s="16">
        <f t="shared" ref="E7:E11" si="2">D7/C7</f>
        <v>1</v>
      </c>
      <c r="G7" s="8" t="s">
        <v>34</v>
      </c>
      <c r="H7" s="8" t="s">
        <v>34</v>
      </c>
      <c r="I7" s="8" t="s">
        <v>34</v>
      </c>
      <c r="J7" s="8" t="s">
        <v>34</v>
      </c>
      <c r="K7" s="8" t="s">
        <v>34</v>
      </c>
      <c r="L7" s="8" t="s">
        <v>34</v>
      </c>
      <c r="M7" s="8" t="s">
        <v>34</v>
      </c>
      <c r="N7" s="8" t="s">
        <v>34</v>
      </c>
      <c r="O7" s="8" t="s">
        <v>34</v>
      </c>
      <c r="P7" s="8" t="s">
        <v>34</v>
      </c>
      <c r="Q7" s="8" t="s">
        <v>34</v>
      </c>
      <c r="R7" s="8" t="s">
        <v>34</v>
      </c>
      <c r="S7" s="8" t="s">
        <v>34</v>
      </c>
      <c r="T7" s="8" t="s">
        <v>34</v>
      </c>
      <c r="U7" s="8" t="s">
        <v>34</v>
      </c>
      <c r="V7" s="8" t="s">
        <v>34</v>
      </c>
      <c r="W7" s="8" t="s">
        <v>34</v>
      </c>
      <c r="X7" s="8" t="s">
        <v>34</v>
      </c>
      <c r="Y7" s="8" t="s">
        <v>34</v>
      </c>
    </row>
    <row r="8" spans="1:25" ht="15.75">
      <c r="A8" s="7">
        <v>6</v>
      </c>
      <c r="B8" s="1" t="s">
        <v>40</v>
      </c>
      <c r="C8" s="14">
        <f>COUNTIF($F$2:$XFD$2,"Attendance")</f>
        <v>19</v>
      </c>
      <c r="D8" s="15">
        <f>COUNTIF(F8:WTX8,"Yes")</f>
        <v>18</v>
      </c>
      <c r="E8" s="16">
        <f t="shared" si="2"/>
        <v>0.94736842105263153</v>
      </c>
      <c r="G8" s="8" t="s">
        <v>34</v>
      </c>
      <c r="H8" s="8" t="s">
        <v>34</v>
      </c>
      <c r="I8" s="8" t="s">
        <v>34</v>
      </c>
      <c r="J8" s="8" t="s">
        <v>34</v>
      </c>
      <c r="K8" s="8" t="s">
        <v>34</v>
      </c>
      <c r="L8" s="8" t="s">
        <v>34</v>
      </c>
      <c r="M8" s="8" t="s">
        <v>35</v>
      </c>
      <c r="N8" s="8" t="s">
        <v>34</v>
      </c>
      <c r="O8" s="8" t="s">
        <v>34</v>
      </c>
      <c r="P8" s="8" t="s">
        <v>34</v>
      </c>
      <c r="Q8" s="8" t="s">
        <v>34</v>
      </c>
      <c r="R8" s="8" t="s">
        <v>34</v>
      </c>
      <c r="S8" s="8" t="s">
        <v>34</v>
      </c>
      <c r="T8" s="8" t="s">
        <v>34</v>
      </c>
      <c r="U8" s="8" t="s">
        <v>34</v>
      </c>
      <c r="V8" s="8" t="s">
        <v>34</v>
      </c>
      <c r="W8" s="8" t="s">
        <v>34</v>
      </c>
      <c r="X8" s="8" t="s">
        <v>34</v>
      </c>
      <c r="Y8" s="8" t="s">
        <v>34</v>
      </c>
    </row>
    <row r="9" spans="1:25" ht="15.75">
      <c r="A9" s="7">
        <v>7</v>
      </c>
      <c r="B9" s="1" t="s">
        <v>41</v>
      </c>
      <c r="C9" s="14">
        <f>COUNTIF($F$2:$XFD$2,"Attendance")</f>
        <v>19</v>
      </c>
      <c r="D9" s="15">
        <f>COUNTIF(F9:WTX9,"Yes")</f>
        <v>17</v>
      </c>
      <c r="E9" s="16">
        <f t="shared" si="2"/>
        <v>0.89473684210526316</v>
      </c>
      <c r="G9" s="8" t="s">
        <v>34</v>
      </c>
      <c r="H9" s="8" t="s">
        <v>34</v>
      </c>
      <c r="I9" s="8" t="s">
        <v>34</v>
      </c>
      <c r="J9" s="8" t="s">
        <v>34</v>
      </c>
      <c r="K9" s="8" t="s">
        <v>34</v>
      </c>
      <c r="L9" s="8" t="s">
        <v>34</v>
      </c>
      <c r="M9" s="8" t="s">
        <v>34</v>
      </c>
      <c r="N9" s="8" t="s">
        <v>34</v>
      </c>
      <c r="O9" s="8" t="s">
        <v>35</v>
      </c>
      <c r="P9" s="8" t="s">
        <v>35</v>
      </c>
      <c r="Q9" s="8" t="s">
        <v>34</v>
      </c>
      <c r="R9" s="8" t="s">
        <v>34</v>
      </c>
      <c r="S9" s="8" t="s">
        <v>34</v>
      </c>
      <c r="T9" s="8" t="s">
        <v>34</v>
      </c>
      <c r="U9" s="8" t="s">
        <v>34</v>
      </c>
      <c r="V9" s="8" t="s">
        <v>34</v>
      </c>
      <c r="W9" s="8" t="s">
        <v>34</v>
      </c>
      <c r="X9" s="8" t="s">
        <v>34</v>
      </c>
      <c r="Y9" s="8" t="s">
        <v>34</v>
      </c>
    </row>
    <row r="10" spans="1:25" ht="15.75">
      <c r="A10" s="7">
        <v>8</v>
      </c>
      <c r="B10" s="1" t="s">
        <v>42</v>
      </c>
      <c r="C10" s="14">
        <f>COUNTIF($F$2:$XFD$2,"Attendance")</f>
        <v>19</v>
      </c>
      <c r="D10" s="15">
        <f>COUNTIF(F10:WTX10,"Yes")</f>
        <v>15</v>
      </c>
      <c r="E10" s="16">
        <f t="shared" si="2"/>
        <v>0.78947368421052633</v>
      </c>
      <c r="G10" s="8" t="s">
        <v>34</v>
      </c>
      <c r="H10" s="8" t="s">
        <v>34</v>
      </c>
      <c r="I10" s="8" t="s">
        <v>34</v>
      </c>
      <c r="J10" s="8" t="s">
        <v>34</v>
      </c>
      <c r="K10" s="8" t="s">
        <v>35</v>
      </c>
      <c r="L10" s="8" t="s">
        <v>34</v>
      </c>
      <c r="M10" s="8" t="s">
        <v>34</v>
      </c>
      <c r="N10" s="8" t="s">
        <v>34</v>
      </c>
      <c r="O10" s="8" t="s">
        <v>34</v>
      </c>
      <c r="P10" s="8" t="s">
        <v>34</v>
      </c>
      <c r="Q10" s="8" t="s">
        <v>34</v>
      </c>
      <c r="R10" s="8" t="s">
        <v>34</v>
      </c>
      <c r="S10" s="8" t="s">
        <v>34</v>
      </c>
      <c r="T10" s="8" t="s">
        <v>34</v>
      </c>
      <c r="U10" s="8" t="s">
        <v>35</v>
      </c>
      <c r="V10" s="8" t="s">
        <v>34</v>
      </c>
      <c r="W10" s="8" t="s">
        <v>34</v>
      </c>
      <c r="X10" s="8" t="s">
        <v>35</v>
      </c>
      <c r="Y10" s="8" t="s">
        <v>35</v>
      </c>
    </row>
    <row r="11" spans="1:25" ht="15.75">
      <c r="A11" s="7">
        <v>9</v>
      </c>
      <c r="B11" s="1" t="s">
        <v>43</v>
      </c>
      <c r="C11" s="14">
        <f>COUNTIF($F$2:$XFD$2,"Attendance")</f>
        <v>19</v>
      </c>
      <c r="D11" s="15">
        <f>COUNTIF(F11:WTX11,"Yes")</f>
        <v>7</v>
      </c>
      <c r="E11" s="16">
        <f t="shared" si="2"/>
        <v>0.36842105263157893</v>
      </c>
      <c r="G11" s="8" t="s">
        <v>34</v>
      </c>
      <c r="H11" s="8" t="s">
        <v>35</v>
      </c>
      <c r="I11" s="8" t="s">
        <v>34</v>
      </c>
      <c r="J11" s="8" t="s">
        <v>34</v>
      </c>
      <c r="K11" s="8" t="s">
        <v>34</v>
      </c>
      <c r="L11" s="8" t="s">
        <v>34</v>
      </c>
      <c r="M11" s="8" t="s">
        <v>34</v>
      </c>
      <c r="N11" s="8" t="s">
        <v>34</v>
      </c>
      <c r="O11" s="8" t="s">
        <v>35</v>
      </c>
      <c r="P11" s="8" t="s">
        <v>35</v>
      </c>
      <c r="Q11" s="8" t="s">
        <v>35</v>
      </c>
      <c r="R11" s="8" t="s">
        <v>35</v>
      </c>
      <c r="S11" s="8" t="s">
        <v>35</v>
      </c>
      <c r="T11" s="8" t="s">
        <v>35</v>
      </c>
      <c r="U11" s="8" t="s">
        <v>35</v>
      </c>
      <c r="V11" s="8" t="s">
        <v>35</v>
      </c>
      <c r="W11" s="8" t="s">
        <v>35</v>
      </c>
      <c r="X11" s="8" t="s">
        <v>35</v>
      </c>
      <c r="Y11" s="8" t="s">
        <v>35</v>
      </c>
    </row>
    <row r="12" spans="1:25" ht="15.75">
      <c r="A12" s="7">
        <v>10</v>
      </c>
      <c r="B12" s="1" t="s">
        <v>45</v>
      </c>
      <c r="C12" s="14">
        <f>COUNTIF($F$2:$XFD$2,"Attendance")</f>
        <v>19</v>
      </c>
      <c r="D12" s="15">
        <f>COUNTIF(F12:WTX12,"Yes")</f>
        <v>5</v>
      </c>
      <c r="E12" s="16">
        <f t="shared" ref="E12:E19" si="3">D12/C12</f>
        <v>0.26315789473684209</v>
      </c>
      <c r="G12" s="8" t="s">
        <v>34</v>
      </c>
      <c r="H12" s="8" t="s">
        <v>35</v>
      </c>
      <c r="I12" s="8" t="s">
        <v>34</v>
      </c>
      <c r="J12" s="8" t="s">
        <v>34</v>
      </c>
      <c r="K12" s="8" t="s">
        <v>34</v>
      </c>
      <c r="L12" s="8" t="s">
        <v>35</v>
      </c>
      <c r="M12" s="8" t="s">
        <v>35</v>
      </c>
      <c r="N12" s="8" t="s">
        <v>35</v>
      </c>
      <c r="O12" s="8" t="s">
        <v>35</v>
      </c>
      <c r="P12" s="8" t="s">
        <v>35</v>
      </c>
      <c r="Q12" s="8" t="s">
        <v>34</v>
      </c>
      <c r="R12" s="8" t="s">
        <v>35</v>
      </c>
      <c r="S12" s="8" t="s">
        <v>35</v>
      </c>
      <c r="T12" s="8" t="s">
        <v>35</v>
      </c>
      <c r="U12" s="8" t="s">
        <v>35</v>
      </c>
      <c r="V12" s="8" t="s">
        <v>35</v>
      </c>
      <c r="W12" s="8" t="s">
        <v>35</v>
      </c>
      <c r="X12" s="8" t="s">
        <v>35</v>
      </c>
      <c r="Y12" s="8" t="s">
        <v>35</v>
      </c>
    </row>
    <row r="13" spans="1:25" ht="15.75">
      <c r="A13" s="7">
        <v>11</v>
      </c>
      <c r="B13" s="1" t="s">
        <v>46</v>
      </c>
      <c r="C13" s="14">
        <f>COUNTIF($F$2:$XFD$2,"Attendance")</f>
        <v>19</v>
      </c>
      <c r="D13" s="15">
        <f>COUNTIF(F13:WTX13,"Yes")</f>
        <v>9</v>
      </c>
      <c r="E13" s="16">
        <f t="shared" si="3"/>
        <v>0.47368421052631576</v>
      </c>
      <c r="G13" s="8" t="s">
        <v>35</v>
      </c>
      <c r="H13" s="8" t="s">
        <v>35</v>
      </c>
      <c r="I13" s="8" t="s">
        <v>35</v>
      </c>
      <c r="J13" s="8" t="s">
        <v>35</v>
      </c>
      <c r="K13" s="8" t="s">
        <v>34</v>
      </c>
      <c r="L13" s="8" t="s">
        <v>34</v>
      </c>
      <c r="M13" s="8" t="s">
        <v>34</v>
      </c>
      <c r="N13" s="8" t="s">
        <v>35</v>
      </c>
      <c r="O13" s="8" t="s">
        <v>34</v>
      </c>
      <c r="P13" s="8" t="s">
        <v>35</v>
      </c>
      <c r="Q13" s="8" t="s">
        <v>34</v>
      </c>
      <c r="R13" s="8" t="s">
        <v>35</v>
      </c>
      <c r="S13" s="8" t="s">
        <v>35</v>
      </c>
      <c r="T13" s="8" t="s">
        <v>35</v>
      </c>
      <c r="U13" s="8" t="s">
        <v>35</v>
      </c>
      <c r="V13" s="8" t="s">
        <v>34</v>
      </c>
      <c r="W13" s="8" t="s">
        <v>34</v>
      </c>
      <c r="X13" s="8" t="s">
        <v>34</v>
      </c>
      <c r="Y13" s="8" t="s">
        <v>34</v>
      </c>
    </row>
    <row r="14" spans="1:25" ht="15.75">
      <c r="A14" s="7">
        <v>12</v>
      </c>
      <c r="B14" s="1" t="s">
        <v>47</v>
      </c>
      <c r="C14" s="14">
        <f>COUNTIF($F$2:$XFD$2,"Attendance")</f>
        <v>19</v>
      </c>
      <c r="D14" s="15">
        <f>COUNTIF(F14:WTX14,"Yes")</f>
        <v>17</v>
      </c>
      <c r="E14" s="16">
        <f t="shared" si="3"/>
        <v>0.89473684210526316</v>
      </c>
      <c r="G14" s="8" t="s">
        <v>34</v>
      </c>
      <c r="H14" s="8" t="s">
        <v>35</v>
      </c>
      <c r="I14" s="8" t="s">
        <v>34</v>
      </c>
      <c r="J14" s="8" t="s">
        <v>34</v>
      </c>
      <c r="K14" s="8" t="s">
        <v>34</v>
      </c>
      <c r="L14" s="8" t="s">
        <v>34</v>
      </c>
      <c r="M14" s="8" t="s">
        <v>34</v>
      </c>
      <c r="N14" s="8" t="s">
        <v>34</v>
      </c>
      <c r="O14" s="8" t="s">
        <v>34</v>
      </c>
      <c r="P14" s="8" t="s">
        <v>34</v>
      </c>
      <c r="Q14" s="8" t="s">
        <v>34</v>
      </c>
      <c r="R14" s="8" t="s">
        <v>35</v>
      </c>
      <c r="S14" s="8" t="s">
        <v>34</v>
      </c>
      <c r="T14" s="8" t="s">
        <v>34</v>
      </c>
      <c r="U14" s="8" t="s">
        <v>34</v>
      </c>
      <c r="V14" s="8" t="s">
        <v>34</v>
      </c>
      <c r="W14" s="8" t="s">
        <v>34</v>
      </c>
      <c r="X14" s="8" t="s">
        <v>34</v>
      </c>
      <c r="Y14" s="8" t="s">
        <v>34</v>
      </c>
    </row>
    <row r="15" spans="1:25" ht="15.75">
      <c r="A15" s="7">
        <v>13</v>
      </c>
      <c r="B15" s="1" t="s">
        <v>48</v>
      </c>
      <c r="C15" s="14">
        <f>COUNTIF($F$2:$XFD$2,"Attendance")</f>
        <v>19</v>
      </c>
      <c r="D15" s="15">
        <f>COUNTIF(F15:WTX15,"Yes")</f>
        <v>14</v>
      </c>
      <c r="E15" s="16">
        <f t="shared" si="3"/>
        <v>0.73684210526315785</v>
      </c>
      <c r="G15" s="8" t="s">
        <v>34</v>
      </c>
      <c r="H15" s="8" t="s">
        <v>35</v>
      </c>
      <c r="I15" s="8" t="s">
        <v>34</v>
      </c>
      <c r="J15" s="8" t="s">
        <v>34</v>
      </c>
      <c r="K15" s="8" t="s">
        <v>34</v>
      </c>
      <c r="L15" s="8" t="s">
        <v>35</v>
      </c>
      <c r="M15" s="8" t="s">
        <v>35</v>
      </c>
      <c r="N15" s="8" t="s">
        <v>35</v>
      </c>
      <c r="O15" s="8" t="s">
        <v>35</v>
      </c>
      <c r="P15" s="8" t="s">
        <v>34</v>
      </c>
      <c r="Q15" s="8" t="s">
        <v>34</v>
      </c>
      <c r="R15" s="8" t="s">
        <v>34</v>
      </c>
      <c r="S15" s="8" t="s">
        <v>34</v>
      </c>
      <c r="T15" s="8" t="s">
        <v>34</v>
      </c>
      <c r="U15" s="8" t="s">
        <v>34</v>
      </c>
      <c r="V15" s="8" t="s">
        <v>34</v>
      </c>
      <c r="W15" s="8" t="s">
        <v>34</v>
      </c>
      <c r="X15" s="8" t="s">
        <v>34</v>
      </c>
      <c r="Y15" s="8" t="s">
        <v>34</v>
      </c>
    </row>
    <row r="16" spans="1:25" ht="15.75">
      <c r="A16" s="7">
        <v>14</v>
      </c>
      <c r="B16" s="1" t="s">
        <v>49</v>
      </c>
      <c r="C16" s="14">
        <f>COUNTIF($F$2:$XFD$2,"Attendance")</f>
        <v>19</v>
      </c>
      <c r="D16" s="15">
        <f>COUNTIF(F16:WTX16,"Yes")</f>
        <v>14</v>
      </c>
      <c r="E16" s="16">
        <f t="shared" si="3"/>
        <v>0.73684210526315785</v>
      </c>
      <c r="G16" s="8" t="s">
        <v>34</v>
      </c>
      <c r="H16" s="8" t="s">
        <v>35</v>
      </c>
      <c r="I16" s="8" t="s">
        <v>34</v>
      </c>
      <c r="J16" s="8" t="s">
        <v>34</v>
      </c>
      <c r="K16" s="8" t="s">
        <v>34</v>
      </c>
      <c r="L16" s="8" t="s">
        <v>35</v>
      </c>
      <c r="M16" s="8" t="s">
        <v>34</v>
      </c>
      <c r="N16" s="8" t="s">
        <v>34</v>
      </c>
      <c r="O16" s="8" t="s">
        <v>34</v>
      </c>
      <c r="P16" s="8" t="s">
        <v>34</v>
      </c>
      <c r="Q16" s="8" t="s">
        <v>35</v>
      </c>
      <c r="R16" s="8" t="s">
        <v>34</v>
      </c>
      <c r="S16" s="8" t="s">
        <v>34</v>
      </c>
      <c r="T16" s="8" t="s">
        <v>35</v>
      </c>
      <c r="U16" s="8" t="s">
        <v>34</v>
      </c>
      <c r="V16" s="8" t="s">
        <v>34</v>
      </c>
      <c r="W16" s="8" t="s">
        <v>34</v>
      </c>
      <c r="X16" s="8" t="s">
        <v>35</v>
      </c>
      <c r="Y16" s="8" t="s">
        <v>34</v>
      </c>
    </row>
    <row r="17" spans="1:25" ht="15.75">
      <c r="A17" s="7">
        <v>15</v>
      </c>
      <c r="B17" s="1" t="s">
        <v>50</v>
      </c>
      <c r="C17" s="14">
        <f>COUNTIF($F$2:$XFD$2,"Attendance")</f>
        <v>19</v>
      </c>
      <c r="D17" s="15">
        <f>COUNTIF(F17:WTX17,"Yes")</f>
        <v>18</v>
      </c>
      <c r="E17" s="16">
        <f t="shared" si="3"/>
        <v>0.94736842105263153</v>
      </c>
      <c r="G17" s="8" t="s">
        <v>34</v>
      </c>
      <c r="H17" s="8" t="s">
        <v>34</v>
      </c>
      <c r="I17" s="8" t="s">
        <v>34</v>
      </c>
      <c r="J17" s="8" t="s">
        <v>34</v>
      </c>
      <c r="K17" s="8" t="s">
        <v>34</v>
      </c>
      <c r="L17" s="8" t="s">
        <v>34</v>
      </c>
      <c r="M17" s="8" t="s">
        <v>34</v>
      </c>
      <c r="N17" s="8" t="s">
        <v>34</v>
      </c>
      <c r="O17" s="8" t="s">
        <v>35</v>
      </c>
      <c r="P17" s="8" t="s">
        <v>34</v>
      </c>
      <c r="Q17" s="8" t="s">
        <v>34</v>
      </c>
      <c r="R17" s="8" t="s">
        <v>34</v>
      </c>
      <c r="S17" s="8" t="s">
        <v>34</v>
      </c>
      <c r="T17" s="8" t="s">
        <v>34</v>
      </c>
      <c r="U17" s="8" t="s">
        <v>34</v>
      </c>
      <c r="V17" s="8" t="s">
        <v>34</v>
      </c>
      <c r="W17" s="8" t="s">
        <v>34</v>
      </c>
      <c r="X17" s="8" t="s">
        <v>34</v>
      </c>
      <c r="Y17" s="8" t="s">
        <v>34</v>
      </c>
    </row>
    <row r="18" spans="1:25" ht="15.75">
      <c r="A18" s="7">
        <v>16</v>
      </c>
      <c r="B18" s="1" t="s">
        <v>51</v>
      </c>
      <c r="C18" s="14">
        <f>COUNTIF($F$2:$XFD$2,"Attendance")</f>
        <v>19</v>
      </c>
      <c r="D18" s="15">
        <f>COUNTIF(F18:WTX18,"Yes")</f>
        <v>18</v>
      </c>
      <c r="E18" s="16">
        <f t="shared" si="3"/>
        <v>0.94736842105263153</v>
      </c>
      <c r="G18" s="8" t="s">
        <v>34</v>
      </c>
      <c r="H18" s="8" t="s">
        <v>35</v>
      </c>
      <c r="I18" s="8" t="s">
        <v>34</v>
      </c>
      <c r="J18" s="8" t="s">
        <v>34</v>
      </c>
      <c r="K18" s="8" t="s">
        <v>34</v>
      </c>
      <c r="L18" s="8" t="s">
        <v>34</v>
      </c>
      <c r="M18" s="8" t="s">
        <v>34</v>
      </c>
      <c r="N18" s="8" t="s">
        <v>34</v>
      </c>
      <c r="O18" s="8" t="s">
        <v>34</v>
      </c>
      <c r="P18" s="8" t="s">
        <v>34</v>
      </c>
      <c r="Q18" s="8" t="s">
        <v>34</v>
      </c>
      <c r="R18" s="8" t="s">
        <v>34</v>
      </c>
      <c r="S18" s="8" t="s">
        <v>34</v>
      </c>
      <c r="T18" s="8" t="s">
        <v>34</v>
      </c>
      <c r="U18" s="8" t="s">
        <v>34</v>
      </c>
      <c r="V18" s="8" t="s">
        <v>34</v>
      </c>
      <c r="W18" s="8" t="s">
        <v>34</v>
      </c>
      <c r="X18" s="8" t="s">
        <v>34</v>
      </c>
      <c r="Y18" s="8" t="s">
        <v>34</v>
      </c>
    </row>
    <row r="19" spans="1:25" ht="15.75">
      <c r="A19" s="7">
        <v>17</v>
      </c>
      <c r="B19" s="1" t="s">
        <v>52</v>
      </c>
      <c r="C19" s="14">
        <f>COUNTIF($F$2:$XFD$2,"Attendance")</f>
        <v>19</v>
      </c>
      <c r="D19" s="15">
        <f>COUNTIF(F19:WTX19,"Yes")</f>
        <v>13</v>
      </c>
      <c r="E19" s="16">
        <f t="shared" si="3"/>
        <v>0.68421052631578949</v>
      </c>
      <c r="G19" s="8" t="s">
        <v>35</v>
      </c>
      <c r="H19" s="8" t="s">
        <v>35</v>
      </c>
      <c r="I19" s="8" t="s">
        <v>35</v>
      </c>
      <c r="J19" s="8" t="s">
        <v>35</v>
      </c>
      <c r="K19" s="8" t="s">
        <v>34</v>
      </c>
      <c r="L19" s="8" t="s">
        <v>34</v>
      </c>
      <c r="M19" s="8" t="s">
        <v>34</v>
      </c>
      <c r="N19" s="8" t="s">
        <v>34</v>
      </c>
      <c r="O19" s="8" t="s">
        <v>34</v>
      </c>
      <c r="P19" s="8" t="s">
        <v>35</v>
      </c>
      <c r="Q19" s="8" t="s">
        <v>34</v>
      </c>
      <c r="R19" s="8" t="s">
        <v>34</v>
      </c>
      <c r="S19" s="8" t="s">
        <v>35</v>
      </c>
      <c r="T19" s="8" t="s">
        <v>34</v>
      </c>
      <c r="U19" s="8" t="s">
        <v>34</v>
      </c>
      <c r="V19" s="8" t="s">
        <v>34</v>
      </c>
      <c r="W19" s="8" t="s">
        <v>34</v>
      </c>
      <c r="X19" s="8" t="s">
        <v>34</v>
      </c>
      <c r="Y19" s="8" t="s">
        <v>34</v>
      </c>
    </row>
    <row r="20" spans="1:25" ht="15" customHeight="1">
      <c r="A20" s="7">
        <v>18</v>
      </c>
      <c r="B20" s="1" t="s">
        <v>53</v>
      </c>
      <c r="C20" s="14">
        <f>COUNTIF($F$2:$XFD$2,"Attendance")</f>
        <v>19</v>
      </c>
      <c r="D20" s="15">
        <f t="shared" ref="D20:D26" si="4">COUNTIF(F20:WTX20,"Yes")</f>
        <v>14</v>
      </c>
      <c r="E20" s="16">
        <f t="shared" ref="E20:E26" si="5">D20/C20</f>
        <v>0.73684210526315785</v>
      </c>
      <c r="G20" s="8" t="s">
        <v>35</v>
      </c>
      <c r="H20" s="8" t="s">
        <v>35</v>
      </c>
      <c r="I20" s="8" t="s">
        <v>34</v>
      </c>
      <c r="J20" s="8" t="s">
        <v>34</v>
      </c>
      <c r="K20" s="8" t="s">
        <v>34</v>
      </c>
      <c r="L20" s="8" t="s">
        <v>34</v>
      </c>
      <c r="M20" s="8" t="s">
        <v>34</v>
      </c>
      <c r="N20" s="8" t="s">
        <v>35</v>
      </c>
      <c r="O20" s="8" t="s">
        <v>35</v>
      </c>
      <c r="P20" s="8" t="s">
        <v>34</v>
      </c>
      <c r="Q20" s="8" t="s">
        <v>34</v>
      </c>
      <c r="R20" s="8" t="s">
        <v>34</v>
      </c>
      <c r="S20" s="8" t="s">
        <v>34</v>
      </c>
      <c r="T20" s="8" t="s">
        <v>34</v>
      </c>
      <c r="U20" s="8" t="s">
        <v>35</v>
      </c>
      <c r="V20" s="8" t="s">
        <v>34</v>
      </c>
      <c r="W20" s="8" t="s">
        <v>34</v>
      </c>
      <c r="X20" s="8" t="s">
        <v>34</v>
      </c>
      <c r="Y20" s="8" t="s">
        <v>34</v>
      </c>
    </row>
    <row r="21" spans="1:25" ht="15" customHeight="1">
      <c r="A21" s="7">
        <v>19</v>
      </c>
      <c r="B21" s="1" t="s">
        <v>54</v>
      </c>
      <c r="C21" s="14">
        <f>COUNTIF($F$2:$XFD$2,"Attendance")</f>
        <v>19</v>
      </c>
      <c r="D21" s="15">
        <f t="shared" si="4"/>
        <v>18</v>
      </c>
      <c r="E21" s="16">
        <f t="shared" si="5"/>
        <v>0.94736842105263153</v>
      </c>
      <c r="G21" s="8" t="s">
        <v>35</v>
      </c>
      <c r="H21" s="8" t="s">
        <v>34</v>
      </c>
      <c r="I21" s="8" t="s">
        <v>34</v>
      </c>
      <c r="J21" s="8" t="s">
        <v>34</v>
      </c>
      <c r="K21" s="8" t="s">
        <v>34</v>
      </c>
      <c r="L21" s="8" t="s">
        <v>34</v>
      </c>
      <c r="M21" s="8" t="s">
        <v>34</v>
      </c>
      <c r="N21" s="8" t="s">
        <v>34</v>
      </c>
      <c r="O21" s="8" t="s">
        <v>34</v>
      </c>
      <c r="P21" s="8" t="s">
        <v>34</v>
      </c>
      <c r="Q21" s="8" t="s">
        <v>34</v>
      </c>
      <c r="R21" s="8" t="s">
        <v>34</v>
      </c>
      <c r="S21" s="8" t="s">
        <v>34</v>
      </c>
      <c r="T21" s="8" t="s">
        <v>34</v>
      </c>
      <c r="U21" s="8" t="s">
        <v>34</v>
      </c>
      <c r="V21" s="8" t="s">
        <v>34</v>
      </c>
      <c r="W21" s="8" t="s">
        <v>34</v>
      </c>
      <c r="X21" s="8" t="s">
        <v>34</v>
      </c>
      <c r="Y21" s="8" t="s">
        <v>34</v>
      </c>
    </row>
    <row r="22" spans="1:25" ht="15" customHeight="1">
      <c r="A22" s="7">
        <v>20</v>
      </c>
      <c r="B22" s="1" t="s">
        <v>55</v>
      </c>
      <c r="C22" s="14">
        <f>COUNTIF($F$2:$XFD$2,"Attendance")</f>
        <v>19</v>
      </c>
      <c r="D22" s="15">
        <f t="shared" si="4"/>
        <v>19</v>
      </c>
      <c r="E22" s="16">
        <f t="shared" si="5"/>
        <v>1</v>
      </c>
      <c r="G22" s="8" t="s">
        <v>34</v>
      </c>
      <c r="H22" s="8" t="s">
        <v>34</v>
      </c>
      <c r="I22" s="8" t="s">
        <v>34</v>
      </c>
      <c r="J22" s="8" t="s">
        <v>34</v>
      </c>
      <c r="K22" s="8" t="s">
        <v>34</v>
      </c>
      <c r="L22" s="8" t="s">
        <v>34</v>
      </c>
      <c r="M22" s="8" t="s">
        <v>34</v>
      </c>
      <c r="N22" s="8" t="s">
        <v>34</v>
      </c>
      <c r="O22" s="8" t="s">
        <v>34</v>
      </c>
      <c r="P22" s="8" t="s">
        <v>34</v>
      </c>
      <c r="Q22" s="8" t="s">
        <v>34</v>
      </c>
      <c r="R22" s="8" t="s">
        <v>34</v>
      </c>
      <c r="S22" s="8" t="s">
        <v>34</v>
      </c>
      <c r="T22" s="8" t="s">
        <v>34</v>
      </c>
      <c r="U22" s="8" t="s">
        <v>34</v>
      </c>
      <c r="V22" s="8" t="s">
        <v>34</v>
      </c>
      <c r="W22" s="8" t="s">
        <v>34</v>
      </c>
      <c r="X22" s="8" t="s">
        <v>34</v>
      </c>
      <c r="Y22" s="8" t="s">
        <v>34</v>
      </c>
    </row>
    <row r="23" spans="1:25" ht="15" customHeight="1">
      <c r="A23" s="7">
        <v>21</v>
      </c>
      <c r="B23" s="1" t="s">
        <v>56</v>
      </c>
      <c r="C23" s="14">
        <f>COUNTIF($F$2:$XFD$2,"Attendance")</f>
        <v>19</v>
      </c>
      <c r="D23" s="15">
        <f t="shared" si="4"/>
        <v>14</v>
      </c>
      <c r="E23" s="16">
        <f t="shared" si="5"/>
        <v>0.73684210526315785</v>
      </c>
      <c r="G23" s="8" t="s">
        <v>34</v>
      </c>
      <c r="H23" s="8" t="s">
        <v>35</v>
      </c>
      <c r="I23" s="8" t="s">
        <v>35</v>
      </c>
      <c r="J23" s="8" t="s">
        <v>35</v>
      </c>
      <c r="K23" s="8" t="s">
        <v>34</v>
      </c>
      <c r="L23" s="8" t="s">
        <v>34</v>
      </c>
      <c r="M23" s="8" t="s">
        <v>34</v>
      </c>
      <c r="N23" s="8" t="s">
        <v>35</v>
      </c>
      <c r="O23" s="8" t="s">
        <v>34</v>
      </c>
      <c r="P23" s="8" t="s">
        <v>35</v>
      </c>
      <c r="Q23" s="8" t="s">
        <v>34</v>
      </c>
      <c r="R23" s="8" t="s">
        <v>34</v>
      </c>
      <c r="S23" s="8" t="s">
        <v>34</v>
      </c>
      <c r="T23" s="8" t="s">
        <v>34</v>
      </c>
      <c r="U23" s="8" t="s">
        <v>34</v>
      </c>
      <c r="V23" s="8" t="s">
        <v>34</v>
      </c>
      <c r="W23" s="8" t="s">
        <v>34</v>
      </c>
      <c r="X23" s="8" t="s">
        <v>34</v>
      </c>
      <c r="Y23" s="8" t="s">
        <v>34</v>
      </c>
    </row>
    <row r="24" spans="1:25" ht="15" customHeight="1">
      <c r="A24" s="7">
        <v>22</v>
      </c>
      <c r="B24" s="1" t="s">
        <v>57</v>
      </c>
      <c r="C24" s="14">
        <f>COUNTIF($F$2:$XFD$2,"Attendance")</f>
        <v>19</v>
      </c>
      <c r="D24" s="15">
        <f t="shared" si="4"/>
        <v>17</v>
      </c>
      <c r="E24" s="16">
        <f t="shared" si="5"/>
        <v>0.89473684210526316</v>
      </c>
      <c r="G24" s="8" t="s">
        <v>34</v>
      </c>
      <c r="H24" s="8" t="s">
        <v>35</v>
      </c>
      <c r="I24" s="8" t="s">
        <v>34</v>
      </c>
      <c r="J24" s="8" t="s">
        <v>34</v>
      </c>
      <c r="K24" s="8" t="s">
        <v>34</v>
      </c>
      <c r="L24" s="8" t="s">
        <v>34</v>
      </c>
      <c r="M24" s="8" t="s">
        <v>34</v>
      </c>
      <c r="N24" s="8" t="s">
        <v>35</v>
      </c>
      <c r="O24" s="8" t="s">
        <v>34</v>
      </c>
      <c r="P24" s="8" t="s">
        <v>34</v>
      </c>
      <c r="Q24" s="8" t="s">
        <v>34</v>
      </c>
      <c r="R24" s="8" t="s">
        <v>34</v>
      </c>
      <c r="S24" s="8" t="s">
        <v>34</v>
      </c>
      <c r="T24" s="8" t="s">
        <v>34</v>
      </c>
      <c r="U24" s="8" t="s">
        <v>34</v>
      </c>
      <c r="V24" s="8" t="s">
        <v>34</v>
      </c>
      <c r="W24" s="8" t="s">
        <v>34</v>
      </c>
      <c r="X24" s="8" t="s">
        <v>34</v>
      </c>
      <c r="Y24" s="8" t="s">
        <v>34</v>
      </c>
    </row>
    <row r="25" spans="1:25" ht="15" customHeight="1">
      <c r="A25" s="7">
        <v>23</v>
      </c>
      <c r="B25" s="1" t="s">
        <v>58</v>
      </c>
      <c r="C25" s="14">
        <f>COUNTIF($F$2:$XFD$2,"Attendance")</f>
        <v>19</v>
      </c>
      <c r="D25" s="15">
        <f t="shared" si="4"/>
        <v>6</v>
      </c>
      <c r="E25" s="16">
        <f t="shared" si="5"/>
        <v>0.31578947368421051</v>
      </c>
      <c r="G25" s="8" t="s">
        <v>34</v>
      </c>
      <c r="H25" s="8" t="s">
        <v>34</v>
      </c>
      <c r="I25" s="8" t="s">
        <v>34</v>
      </c>
      <c r="J25" s="8" t="s">
        <v>35</v>
      </c>
      <c r="K25" s="8" t="s">
        <v>34</v>
      </c>
      <c r="L25" s="8" t="s">
        <v>34</v>
      </c>
      <c r="M25" s="8" t="s">
        <v>35</v>
      </c>
      <c r="N25" s="8" t="s">
        <v>35</v>
      </c>
      <c r="O25" s="8" t="s">
        <v>34</v>
      </c>
      <c r="P25" s="8" t="s">
        <v>35</v>
      </c>
      <c r="Q25" s="8" t="s">
        <v>35</v>
      </c>
      <c r="R25" s="8" t="s">
        <v>35</v>
      </c>
      <c r="S25" s="8" t="s">
        <v>35</v>
      </c>
      <c r="T25" s="8" t="s">
        <v>35</v>
      </c>
      <c r="U25" s="8" t="s">
        <v>35</v>
      </c>
      <c r="V25" s="8" t="s">
        <v>35</v>
      </c>
      <c r="W25" s="8" t="s">
        <v>35</v>
      </c>
      <c r="X25" s="8" t="s">
        <v>35</v>
      </c>
      <c r="Y25" s="8" t="s">
        <v>35</v>
      </c>
    </row>
    <row r="26" spans="1:25" ht="15" customHeight="1">
      <c r="A26" s="7">
        <v>24</v>
      </c>
      <c r="B26" s="1" t="s">
        <v>59</v>
      </c>
      <c r="C26" s="14">
        <f>COUNTIF($F$2:$XFD$2,"Attendance")</f>
        <v>19</v>
      </c>
      <c r="D26" s="15">
        <f t="shared" si="4"/>
        <v>19</v>
      </c>
      <c r="E26" s="16">
        <f t="shared" si="5"/>
        <v>1</v>
      </c>
      <c r="G26" s="8" t="s">
        <v>34</v>
      </c>
      <c r="H26" s="8" t="s">
        <v>34</v>
      </c>
      <c r="I26" s="8" t="s">
        <v>34</v>
      </c>
      <c r="J26" s="8" t="s">
        <v>34</v>
      </c>
      <c r="K26" s="8" t="s">
        <v>34</v>
      </c>
      <c r="L26" s="8" t="s">
        <v>34</v>
      </c>
      <c r="M26" s="8" t="s">
        <v>34</v>
      </c>
      <c r="N26" s="8" t="s">
        <v>34</v>
      </c>
      <c r="O26" s="8" t="s">
        <v>34</v>
      </c>
      <c r="P26" s="8" t="s">
        <v>34</v>
      </c>
      <c r="Q26" s="8" t="s">
        <v>34</v>
      </c>
      <c r="R26" s="8" t="s">
        <v>34</v>
      </c>
      <c r="S26" s="8" t="s">
        <v>34</v>
      </c>
      <c r="T26" s="8" t="s">
        <v>34</v>
      </c>
      <c r="U26" s="8" t="s">
        <v>34</v>
      </c>
      <c r="V26" s="8" t="s">
        <v>34</v>
      </c>
      <c r="W26" s="8" t="s">
        <v>34</v>
      </c>
      <c r="X26" s="8" t="s">
        <v>34</v>
      </c>
      <c r="Y26" s="8" t="s">
        <v>34</v>
      </c>
    </row>
  </sheetData>
  <mergeCells count="4">
    <mergeCell ref="A1:A2"/>
    <mergeCell ref="B1:B2"/>
    <mergeCell ref="C1:C2"/>
    <mergeCell ref="D1:D2"/>
  </mergeCells>
  <conditionalFormatting sqref="B27:B1048576 B1:B2">
    <cfRule type="duplicateValues" dxfId="258" priority="556"/>
  </conditionalFormatting>
  <conditionalFormatting sqref="E1">
    <cfRule type="colorScale" priority="1528">
      <colorScale>
        <cfvo type="min"/>
        <cfvo type="percentile" val="50"/>
        <cfvo type="max"/>
        <color rgb="FFF8696B"/>
        <color rgb="FFFFEB84"/>
        <color rgb="FF63BE7B"/>
      </colorScale>
    </cfRule>
  </conditionalFormatting>
  <conditionalFormatting sqref="H3:H4 I4 N4 P3:P4 P5:Q5 L6 G6:J6 G7:H10 K6:K9 H11:H16 O11 P11:P13 Q11 R11:R14 S6:S13 H23:H24 N23:N25">
    <cfRule type="containsText" dxfId="257" priority="280" operator="containsText" text="No">
      <formula>NOT(ISERROR(SEARCH("No",G3)))</formula>
    </cfRule>
  </conditionalFormatting>
  <conditionalFormatting sqref="H18:H20">
    <cfRule type="containsText" dxfId="256" priority="277" operator="containsText" text="No">
      <formula>NOT(ISERROR(SEARCH("No",H18)))</formula>
    </cfRule>
  </conditionalFormatting>
  <conditionalFormatting sqref="H5">
    <cfRule type="containsText" dxfId="255" priority="275" operator="containsText" text="No">
      <formula>NOT(ISERROR(SEARCH("No",H5)))</formula>
    </cfRule>
  </conditionalFormatting>
  <conditionalFormatting sqref="H17">
    <cfRule type="containsText" dxfId="254" priority="273" operator="containsText" text="No">
      <formula>NOT(ISERROR(SEARCH("No",H17)))</formula>
    </cfRule>
  </conditionalFormatting>
  <conditionalFormatting sqref="H21:H22">
    <cfRule type="containsText" dxfId="253" priority="272" operator="containsText" text="No">
      <formula>NOT(ISERROR(SEARCH("No",H21)))</formula>
    </cfRule>
  </conditionalFormatting>
  <conditionalFormatting sqref="H25:H26">
    <cfRule type="containsText" dxfId="252" priority="271" operator="containsText" text="No">
      <formula>NOT(ISERROR(SEARCH("No",H25)))</formula>
    </cfRule>
  </conditionalFormatting>
  <conditionalFormatting sqref="I23">
    <cfRule type="containsText" dxfId="251" priority="270" operator="containsText" text="No">
      <formula>NOT(ISERROR(SEARCH("No",I23)))</formula>
    </cfRule>
  </conditionalFormatting>
  <conditionalFormatting sqref="I19">
    <cfRule type="containsText" dxfId="250" priority="268" operator="containsText" text="No">
      <formula>NOT(ISERROR(SEARCH("No",I19)))</formula>
    </cfRule>
  </conditionalFormatting>
  <conditionalFormatting sqref="I13">
    <cfRule type="containsText" dxfId="249" priority="266" operator="containsText" text="No">
      <formula>NOT(ISERROR(SEARCH("No",I13)))</formula>
    </cfRule>
  </conditionalFormatting>
  <conditionalFormatting sqref="I3">
    <cfRule type="containsText" dxfId="248" priority="260" operator="containsText" text="No">
      <formula>NOT(ISERROR(SEARCH("No",I3)))</formula>
    </cfRule>
  </conditionalFormatting>
  <conditionalFormatting sqref="I5">
    <cfRule type="containsText" dxfId="247" priority="259" operator="containsText" text="No">
      <formula>NOT(ISERROR(SEARCH("No",I5)))</formula>
    </cfRule>
  </conditionalFormatting>
  <conditionalFormatting sqref="I7:I9">
    <cfRule type="containsText" dxfId="246" priority="256" operator="containsText" text="No">
      <formula>NOT(ISERROR(SEARCH("No",I7)))</formula>
    </cfRule>
  </conditionalFormatting>
  <conditionalFormatting sqref="I10">
    <cfRule type="containsText" dxfId="245" priority="255" operator="containsText" text="No">
      <formula>NOT(ISERROR(SEARCH("No",I10)))</formula>
    </cfRule>
  </conditionalFormatting>
  <conditionalFormatting sqref="I11:I12">
    <cfRule type="containsText" dxfId="244" priority="254" operator="containsText" text="No">
      <formula>NOT(ISERROR(SEARCH("No",I11)))</formula>
    </cfRule>
  </conditionalFormatting>
  <conditionalFormatting sqref="I14:I16">
    <cfRule type="containsText" dxfId="243" priority="253" operator="containsText" text="No">
      <formula>NOT(ISERROR(SEARCH("No",I14)))</formula>
    </cfRule>
  </conditionalFormatting>
  <conditionalFormatting sqref="I17">
    <cfRule type="containsText" dxfId="242" priority="252" operator="containsText" text="No">
      <formula>NOT(ISERROR(SEARCH("No",I17)))</formula>
    </cfRule>
  </conditionalFormatting>
  <conditionalFormatting sqref="I18">
    <cfRule type="containsText" dxfId="241" priority="251" operator="containsText" text="No">
      <formula>NOT(ISERROR(SEARCH("No",I18)))</formula>
    </cfRule>
  </conditionalFormatting>
  <conditionalFormatting sqref="I20">
    <cfRule type="containsText" dxfId="240" priority="250" operator="containsText" text="No">
      <formula>NOT(ISERROR(SEARCH("No",I20)))</formula>
    </cfRule>
  </conditionalFormatting>
  <conditionalFormatting sqref="I21:I22">
    <cfRule type="containsText" dxfId="239" priority="249" operator="containsText" text="No">
      <formula>NOT(ISERROR(SEARCH("No",I21)))</formula>
    </cfRule>
  </conditionalFormatting>
  <conditionalFormatting sqref="I24:I26">
    <cfRule type="containsText" dxfId="238" priority="248" operator="containsText" text="No">
      <formula>NOT(ISERROR(SEARCH("No",I24)))</formula>
    </cfRule>
  </conditionalFormatting>
  <conditionalFormatting sqref="G3:G4">
    <cfRule type="containsText" dxfId="237" priority="247" operator="containsText" text="No">
      <formula>NOT(ISERROR(SEARCH("No",G3)))</formula>
    </cfRule>
  </conditionalFormatting>
  <conditionalFormatting sqref="G5">
    <cfRule type="containsText" dxfId="236" priority="246" operator="containsText" text="No">
      <formula>NOT(ISERROR(SEARCH("No",G5)))</formula>
    </cfRule>
  </conditionalFormatting>
  <conditionalFormatting sqref="G11:G12">
    <cfRule type="containsText" dxfId="235" priority="244" operator="containsText" text="No">
      <formula>NOT(ISERROR(SEARCH("No",G11)))</formula>
    </cfRule>
  </conditionalFormatting>
  <conditionalFormatting sqref="G14:G18">
    <cfRule type="containsText" dxfId="234" priority="243" operator="containsText" text="No">
      <formula>NOT(ISERROR(SEARCH("No",G14)))</formula>
    </cfRule>
  </conditionalFormatting>
  <conditionalFormatting sqref="G22:G23">
    <cfRule type="containsText" dxfId="233" priority="241" operator="containsText" text="No">
      <formula>NOT(ISERROR(SEARCH("No",G22)))</formula>
    </cfRule>
  </conditionalFormatting>
  <conditionalFormatting sqref="G24:G26">
    <cfRule type="containsText" dxfId="232" priority="240" operator="containsText" text="No">
      <formula>NOT(ISERROR(SEARCH("No",G24)))</formula>
    </cfRule>
  </conditionalFormatting>
  <conditionalFormatting sqref="G21">
    <cfRule type="containsText" dxfId="231" priority="238" operator="containsText" text="No">
      <formula>NOT(ISERROR(SEARCH("No",G21)))</formula>
    </cfRule>
  </conditionalFormatting>
  <conditionalFormatting sqref="G19:G20">
    <cfRule type="containsText" dxfId="230" priority="237" operator="containsText" text="No">
      <formula>NOT(ISERROR(SEARCH("No",G19)))</formula>
    </cfRule>
  </conditionalFormatting>
  <conditionalFormatting sqref="G13">
    <cfRule type="containsText" dxfId="229" priority="236" operator="containsText" text="No">
      <formula>NOT(ISERROR(SEARCH("No",G13)))</formula>
    </cfRule>
  </conditionalFormatting>
  <conditionalFormatting sqref="J25">
    <cfRule type="containsText" dxfId="228" priority="213" operator="containsText" text="No">
      <formula>NOT(ISERROR(SEARCH("No",J25)))</formula>
    </cfRule>
  </conditionalFormatting>
  <conditionalFormatting sqref="J23">
    <cfRule type="containsText" dxfId="227" priority="212" operator="containsText" text="No">
      <formula>NOT(ISERROR(SEARCH("No",J23)))</formula>
    </cfRule>
  </conditionalFormatting>
  <conditionalFormatting sqref="J19">
    <cfRule type="containsText" dxfId="226" priority="210" operator="containsText" text="No">
      <formula>NOT(ISERROR(SEARCH("No",J19)))</formula>
    </cfRule>
  </conditionalFormatting>
  <conditionalFormatting sqref="J13">
    <cfRule type="containsText" dxfId="225" priority="209" operator="containsText" text="No">
      <formula>NOT(ISERROR(SEARCH("No",J13)))</formula>
    </cfRule>
  </conditionalFormatting>
  <conditionalFormatting sqref="J3:J4">
    <cfRule type="containsText" dxfId="224" priority="204" operator="containsText" text="No">
      <formula>NOT(ISERROR(SEARCH("No",J3)))</formula>
    </cfRule>
  </conditionalFormatting>
  <conditionalFormatting sqref="J5">
    <cfRule type="containsText" dxfId="223" priority="203" operator="containsText" text="No">
      <formula>NOT(ISERROR(SEARCH("No",J5)))</formula>
    </cfRule>
  </conditionalFormatting>
  <conditionalFormatting sqref="J7:J10">
    <cfRule type="containsText" dxfId="222" priority="201" operator="containsText" text="No">
      <formula>NOT(ISERROR(SEARCH("No",J7)))</formula>
    </cfRule>
  </conditionalFormatting>
  <conditionalFormatting sqref="J11:J12">
    <cfRule type="containsText" dxfId="221" priority="200" operator="containsText" text="No">
      <formula>NOT(ISERROR(SEARCH("No",J11)))</formula>
    </cfRule>
  </conditionalFormatting>
  <conditionalFormatting sqref="J14:J18">
    <cfRule type="containsText" dxfId="220" priority="199" operator="containsText" text="No">
      <formula>NOT(ISERROR(SEARCH("No",J14)))</formula>
    </cfRule>
  </conditionalFormatting>
  <conditionalFormatting sqref="J20">
    <cfRule type="containsText" dxfId="219" priority="198" operator="containsText" text="No">
      <formula>NOT(ISERROR(SEARCH("No",J20)))</formula>
    </cfRule>
  </conditionalFormatting>
  <conditionalFormatting sqref="J21:J22">
    <cfRule type="containsText" dxfId="218" priority="197" operator="containsText" text="No">
      <formula>NOT(ISERROR(SEARCH("No",J21)))</formula>
    </cfRule>
  </conditionalFormatting>
  <conditionalFormatting sqref="J24">
    <cfRule type="containsText" dxfId="217" priority="196" operator="containsText" text="No">
      <formula>NOT(ISERROR(SEARCH("No",J24)))</formula>
    </cfRule>
  </conditionalFormatting>
  <conditionalFormatting sqref="J26">
    <cfRule type="containsText" dxfId="216" priority="195" operator="containsText" text="No">
      <formula>NOT(ISERROR(SEARCH("No",J26)))</formula>
    </cfRule>
  </conditionalFormatting>
  <conditionalFormatting sqref="K10">
    <cfRule type="containsText" dxfId="215" priority="193" operator="containsText" text="No">
      <formula>NOT(ISERROR(SEARCH("No",K10)))</formula>
    </cfRule>
  </conditionalFormatting>
  <conditionalFormatting sqref="K3:K4">
    <cfRule type="containsText" dxfId="214" priority="189" operator="containsText" text="No">
      <formula>NOT(ISERROR(SEARCH("No",K3)))</formula>
    </cfRule>
  </conditionalFormatting>
  <conditionalFormatting sqref="K5">
    <cfRule type="containsText" dxfId="213" priority="188" operator="containsText" text="No">
      <formula>NOT(ISERROR(SEARCH("No",K5)))</formula>
    </cfRule>
  </conditionalFormatting>
  <conditionalFormatting sqref="K11:K20">
    <cfRule type="containsText" dxfId="212" priority="186" operator="containsText" text="No">
      <formula>NOT(ISERROR(SEARCH("No",K11)))</formula>
    </cfRule>
  </conditionalFormatting>
  <conditionalFormatting sqref="K21:K22">
    <cfRule type="containsText" dxfId="211" priority="185" operator="containsText" text="No">
      <formula>NOT(ISERROR(SEARCH("No",K21)))</formula>
    </cfRule>
  </conditionalFormatting>
  <conditionalFormatting sqref="K23">
    <cfRule type="containsText" dxfId="210" priority="184" operator="containsText" text="No">
      <formula>NOT(ISERROR(SEARCH("No",K23)))</formula>
    </cfRule>
  </conditionalFormatting>
  <conditionalFormatting sqref="K24:K26">
    <cfRule type="containsText" dxfId="209" priority="183" operator="containsText" text="No">
      <formula>NOT(ISERROR(SEARCH("No",K24)))</formula>
    </cfRule>
  </conditionalFormatting>
  <conditionalFormatting sqref="L15:L16">
    <cfRule type="containsText" dxfId="208" priority="180" operator="containsText" text="No">
      <formula>NOT(ISERROR(SEARCH("No",L15)))</formula>
    </cfRule>
  </conditionalFormatting>
  <conditionalFormatting sqref="L12">
    <cfRule type="containsText" dxfId="207" priority="179" operator="containsText" text="No">
      <formula>NOT(ISERROR(SEARCH("No",L12)))</formula>
    </cfRule>
  </conditionalFormatting>
  <conditionalFormatting sqref="L3:L4">
    <cfRule type="containsText" dxfId="206" priority="175" operator="containsText" text="No">
      <formula>NOT(ISERROR(SEARCH("No",L3)))</formula>
    </cfRule>
  </conditionalFormatting>
  <conditionalFormatting sqref="L5">
    <cfRule type="containsText" dxfId="205" priority="174" operator="containsText" text="No">
      <formula>NOT(ISERROR(SEARCH("No",L5)))</formula>
    </cfRule>
  </conditionalFormatting>
  <conditionalFormatting sqref="L7:L10">
    <cfRule type="containsText" dxfId="204" priority="173" operator="containsText" text="No">
      <formula>NOT(ISERROR(SEARCH("No",L7)))</formula>
    </cfRule>
  </conditionalFormatting>
  <conditionalFormatting sqref="L11">
    <cfRule type="containsText" dxfId="203" priority="172" operator="containsText" text="No">
      <formula>NOT(ISERROR(SEARCH("No",L11)))</formula>
    </cfRule>
  </conditionalFormatting>
  <conditionalFormatting sqref="L13:L14">
    <cfRule type="containsText" dxfId="202" priority="171" operator="containsText" text="No">
      <formula>NOT(ISERROR(SEARCH("No",L13)))</formula>
    </cfRule>
  </conditionalFormatting>
  <conditionalFormatting sqref="L17:L19">
    <cfRule type="containsText" dxfId="201" priority="170" operator="containsText" text="No">
      <formula>NOT(ISERROR(SEARCH("No",L17)))</formula>
    </cfRule>
  </conditionalFormatting>
  <conditionalFormatting sqref="L20">
    <cfRule type="containsText" dxfId="200" priority="169" operator="containsText" text="No">
      <formula>NOT(ISERROR(SEARCH("No",L20)))</formula>
    </cfRule>
  </conditionalFormatting>
  <conditionalFormatting sqref="L21:L23">
    <cfRule type="containsText" dxfId="199" priority="168" operator="containsText" text="No">
      <formula>NOT(ISERROR(SEARCH("No",L21)))</formula>
    </cfRule>
  </conditionalFormatting>
  <conditionalFormatting sqref="L24:L26">
    <cfRule type="containsText" dxfId="198" priority="167" operator="containsText" text="No">
      <formula>NOT(ISERROR(SEARCH("No",L24)))</formula>
    </cfRule>
  </conditionalFormatting>
  <conditionalFormatting sqref="M8">
    <cfRule type="containsText" dxfId="197" priority="163" operator="containsText" text="No">
      <formula>NOT(ISERROR(SEARCH("No",M8)))</formula>
    </cfRule>
  </conditionalFormatting>
  <conditionalFormatting sqref="M12">
    <cfRule type="containsText" dxfId="196" priority="161" operator="containsText" text="No">
      <formula>NOT(ISERROR(SEARCH("No",M12)))</formula>
    </cfRule>
  </conditionalFormatting>
  <conditionalFormatting sqref="M15">
    <cfRule type="containsText" dxfId="195" priority="160" operator="containsText" text="No">
      <formula>NOT(ISERROR(SEARCH("No",M15)))</formula>
    </cfRule>
  </conditionalFormatting>
  <conditionalFormatting sqref="M25">
    <cfRule type="containsText" dxfId="194" priority="157" operator="containsText" text="No">
      <formula>NOT(ISERROR(SEARCH("No",M25)))</formula>
    </cfRule>
  </conditionalFormatting>
  <conditionalFormatting sqref="M26">
    <cfRule type="containsText" dxfId="193" priority="156" operator="containsText" text="No">
      <formula>NOT(ISERROR(SEARCH("No",M26)))</formula>
    </cfRule>
  </conditionalFormatting>
  <conditionalFormatting sqref="M24">
    <cfRule type="containsText" dxfId="192" priority="155" operator="containsText" text="No">
      <formula>NOT(ISERROR(SEARCH("No",M24)))</formula>
    </cfRule>
  </conditionalFormatting>
  <conditionalFormatting sqref="M21:M22">
    <cfRule type="containsText" dxfId="191" priority="154" operator="containsText" text="No">
      <formula>NOT(ISERROR(SEARCH("No",M21)))</formula>
    </cfRule>
  </conditionalFormatting>
  <conditionalFormatting sqref="M23">
    <cfRule type="containsText" dxfId="190" priority="153" operator="containsText" text="No">
      <formula>NOT(ISERROR(SEARCH("No",M23)))</formula>
    </cfRule>
  </conditionalFormatting>
  <conditionalFormatting sqref="M16:M20">
    <cfRule type="containsText" dxfId="189" priority="152" operator="containsText" text="No">
      <formula>NOT(ISERROR(SEARCH("No",M16)))</formula>
    </cfRule>
  </conditionalFormatting>
  <conditionalFormatting sqref="M13:M14">
    <cfRule type="containsText" dxfId="188" priority="151" operator="containsText" text="No">
      <formula>NOT(ISERROR(SEARCH("No",M13)))</formula>
    </cfRule>
  </conditionalFormatting>
  <conditionalFormatting sqref="M11">
    <cfRule type="containsText" dxfId="187" priority="150" operator="containsText" text="No">
      <formula>NOT(ISERROR(SEARCH("No",M11)))</formula>
    </cfRule>
  </conditionalFormatting>
  <conditionalFormatting sqref="M9:M10">
    <cfRule type="containsText" dxfId="186" priority="149" operator="containsText" text="No">
      <formula>NOT(ISERROR(SEARCH("No",M9)))</formula>
    </cfRule>
  </conditionalFormatting>
  <conditionalFormatting sqref="M7">
    <cfRule type="containsText" dxfId="185" priority="148" operator="containsText" text="No">
      <formula>NOT(ISERROR(SEARCH("No",M7)))</formula>
    </cfRule>
  </conditionalFormatting>
  <conditionalFormatting sqref="M6">
    <cfRule type="containsText" dxfId="184" priority="147" operator="containsText" text="No">
      <formula>NOT(ISERROR(SEARCH("No",M6)))</formula>
    </cfRule>
  </conditionalFormatting>
  <conditionalFormatting sqref="M5">
    <cfRule type="containsText" dxfId="183" priority="146" operator="containsText" text="No">
      <formula>NOT(ISERROR(SEARCH("No",M5)))</formula>
    </cfRule>
  </conditionalFormatting>
  <conditionalFormatting sqref="M3:M4">
    <cfRule type="containsText" dxfId="182" priority="145" operator="containsText" text="No">
      <formula>NOT(ISERROR(SEARCH("No",M3)))</formula>
    </cfRule>
  </conditionalFormatting>
  <conditionalFormatting sqref="N12:N13">
    <cfRule type="containsText" dxfId="181" priority="140" operator="containsText" text="No">
      <formula>NOT(ISERROR(SEARCH("No",N12)))</formula>
    </cfRule>
  </conditionalFormatting>
  <conditionalFormatting sqref="N15">
    <cfRule type="containsText" dxfId="180" priority="139" operator="containsText" text="No">
      <formula>NOT(ISERROR(SEARCH("No",N15)))</formula>
    </cfRule>
  </conditionalFormatting>
  <conditionalFormatting sqref="N20">
    <cfRule type="containsText" dxfId="179" priority="138" operator="containsText" text="No">
      <formula>NOT(ISERROR(SEARCH("No",N20)))</formula>
    </cfRule>
  </conditionalFormatting>
  <conditionalFormatting sqref="N26">
    <cfRule type="containsText" dxfId="178" priority="136" operator="containsText" text="No">
      <formula>NOT(ISERROR(SEARCH("No",N26)))</formula>
    </cfRule>
  </conditionalFormatting>
  <conditionalFormatting sqref="N21:N22">
    <cfRule type="containsText" dxfId="177" priority="135" operator="containsText" text="No">
      <formula>NOT(ISERROR(SEARCH("No",N21)))</formula>
    </cfRule>
  </conditionalFormatting>
  <conditionalFormatting sqref="N16:N19">
    <cfRule type="containsText" dxfId="176" priority="134" operator="containsText" text="No">
      <formula>NOT(ISERROR(SEARCH("No",N16)))</formula>
    </cfRule>
  </conditionalFormatting>
  <conditionalFormatting sqref="N14">
    <cfRule type="containsText" dxfId="175" priority="133" operator="containsText" text="No">
      <formula>NOT(ISERROR(SEARCH("No",N14)))</formula>
    </cfRule>
  </conditionalFormatting>
  <conditionalFormatting sqref="N11">
    <cfRule type="containsText" dxfId="174" priority="132" operator="containsText" text="No">
      <formula>NOT(ISERROR(SEARCH("No",N11)))</formula>
    </cfRule>
  </conditionalFormatting>
  <conditionalFormatting sqref="N7:N10">
    <cfRule type="containsText" dxfId="173" priority="131" operator="containsText" text="No">
      <formula>NOT(ISERROR(SEARCH("No",N7)))</formula>
    </cfRule>
  </conditionalFormatting>
  <conditionalFormatting sqref="N6">
    <cfRule type="containsText" dxfId="172" priority="130" operator="containsText" text="No">
      <formula>NOT(ISERROR(SEARCH("No",N6)))</formula>
    </cfRule>
  </conditionalFormatting>
  <conditionalFormatting sqref="N5">
    <cfRule type="containsText" dxfId="171" priority="129" operator="containsText" text="No">
      <formula>NOT(ISERROR(SEARCH("No",N5)))</formula>
    </cfRule>
  </conditionalFormatting>
  <conditionalFormatting sqref="N3">
    <cfRule type="containsText" dxfId="170" priority="128" operator="containsText" text="No">
      <formula>NOT(ISERROR(SEARCH("No",N3)))</formula>
    </cfRule>
  </conditionalFormatting>
  <conditionalFormatting sqref="O9">
    <cfRule type="containsText" dxfId="169" priority="124" operator="containsText" text="No">
      <formula>NOT(ISERROR(SEARCH("No",O9)))</formula>
    </cfRule>
  </conditionalFormatting>
  <conditionalFormatting sqref="O12">
    <cfRule type="containsText" dxfId="168" priority="122" operator="containsText" text="No">
      <formula>NOT(ISERROR(SEARCH("No",O12)))</formula>
    </cfRule>
  </conditionalFormatting>
  <conditionalFormatting sqref="O15">
    <cfRule type="containsText" dxfId="167" priority="121" operator="containsText" text="No">
      <formula>NOT(ISERROR(SEARCH("No",O15)))</formula>
    </cfRule>
  </conditionalFormatting>
  <conditionalFormatting sqref="O17">
    <cfRule type="containsText" dxfId="166" priority="120" operator="containsText" text="No">
      <formula>NOT(ISERROR(SEARCH("No",O17)))</formula>
    </cfRule>
  </conditionalFormatting>
  <conditionalFormatting sqref="O20">
    <cfRule type="containsText" dxfId="165" priority="119" operator="containsText" text="No">
      <formula>NOT(ISERROR(SEARCH("No",O20)))</formula>
    </cfRule>
  </conditionalFormatting>
  <conditionalFormatting sqref="O24:O26">
    <cfRule type="containsText" dxfId="164" priority="117" operator="containsText" text="No">
      <formula>NOT(ISERROR(SEARCH("No",O24)))</formula>
    </cfRule>
  </conditionalFormatting>
  <conditionalFormatting sqref="O21:O23">
    <cfRule type="containsText" dxfId="163" priority="116" operator="containsText" text="No">
      <formula>NOT(ISERROR(SEARCH("No",O21)))</formula>
    </cfRule>
  </conditionalFormatting>
  <conditionalFormatting sqref="O18:O19">
    <cfRule type="containsText" dxfId="162" priority="115" operator="containsText" text="No">
      <formula>NOT(ISERROR(SEARCH("No",O18)))</formula>
    </cfRule>
  </conditionalFormatting>
  <conditionalFormatting sqref="O16">
    <cfRule type="containsText" dxfId="161" priority="114" operator="containsText" text="No">
      <formula>NOT(ISERROR(SEARCH("No",O16)))</formula>
    </cfRule>
  </conditionalFormatting>
  <conditionalFormatting sqref="O13:O14">
    <cfRule type="containsText" dxfId="160" priority="113" operator="containsText" text="No">
      <formula>NOT(ISERROR(SEARCH("No",O13)))</formula>
    </cfRule>
  </conditionalFormatting>
  <conditionalFormatting sqref="O10">
    <cfRule type="containsText" dxfId="159" priority="112" operator="containsText" text="No">
      <formula>NOT(ISERROR(SEARCH("No",O10)))</formula>
    </cfRule>
  </conditionalFormatting>
  <conditionalFormatting sqref="O7:O8">
    <cfRule type="containsText" dxfId="158" priority="111" operator="containsText" text="No">
      <formula>NOT(ISERROR(SEARCH("No",O7)))</formula>
    </cfRule>
  </conditionalFormatting>
  <conditionalFormatting sqref="O6">
    <cfRule type="containsText" dxfId="157" priority="110" operator="containsText" text="No">
      <formula>NOT(ISERROR(SEARCH("No",O6)))</formula>
    </cfRule>
  </conditionalFormatting>
  <conditionalFormatting sqref="O5">
    <cfRule type="containsText" dxfId="156" priority="109" operator="containsText" text="No">
      <formula>NOT(ISERROR(SEARCH("No",O5)))</formula>
    </cfRule>
  </conditionalFormatting>
  <conditionalFormatting sqref="O3:O4">
    <cfRule type="containsText" dxfId="155" priority="108" operator="containsText" text="No">
      <formula>NOT(ISERROR(SEARCH("No",O3)))</formula>
    </cfRule>
  </conditionalFormatting>
  <conditionalFormatting sqref="P9">
    <cfRule type="containsText" dxfId="154" priority="105" operator="containsText" text="No">
      <formula>NOT(ISERROR(SEARCH("No",P9)))</formula>
    </cfRule>
  </conditionalFormatting>
  <conditionalFormatting sqref="P19">
    <cfRule type="containsText" dxfId="153" priority="103" operator="containsText" text="No">
      <formula>NOT(ISERROR(SEARCH("No",P19)))</formula>
    </cfRule>
  </conditionalFormatting>
  <conditionalFormatting sqref="P23">
    <cfRule type="containsText" dxfId="152" priority="101" operator="containsText" text="No">
      <formula>NOT(ISERROR(SEARCH("No",P23)))</formula>
    </cfRule>
  </conditionalFormatting>
  <conditionalFormatting sqref="P25">
    <cfRule type="containsText" dxfId="151" priority="100" operator="containsText" text="No">
      <formula>NOT(ISERROR(SEARCH("No",P25)))</formula>
    </cfRule>
  </conditionalFormatting>
  <conditionalFormatting sqref="P26">
    <cfRule type="containsText" dxfId="150" priority="99" operator="containsText" text="No">
      <formula>NOT(ISERROR(SEARCH("No",P26)))</formula>
    </cfRule>
  </conditionalFormatting>
  <conditionalFormatting sqref="P24">
    <cfRule type="containsText" dxfId="149" priority="98" operator="containsText" text="No">
      <formula>NOT(ISERROR(SEARCH("No",P24)))</formula>
    </cfRule>
  </conditionalFormatting>
  <conditionalFormatting sqref="P21:P22">
    <cfRule type="containsText" dxfId="148" priority="97" operator="containsText" text="No">
      <formula>NOT(ISERROR(SEARCH("No",P21)))</formula>
    </cfRule>
  </conditionalFormatting>
  <conditionalFormatting sqref="P20">
    <cfRule type="containsText" dxfId="147" priority="96" operator="containsText" text="No">
      <formula>NOT(ISERROR(SEARCH("No",P20)))</formula>
    </cfRule>
  </conditionalFormatting>
  <conditionalFormatting sqref="P14:P18">
    <cfRule type="containsText" dxfId="146" priority="95" operator="containsText" text="No">
      <formula>NOT(ISERROR(SEARCH("No",P14)))</formula>
    </cfRule>
  </conditionalFormatting>
  <conditionalFormatting sqref="P10">
    <cfRule type="containsText" dxfId="145" priority="94" operator="containsText" text="No">
      <formula>NOT(ISERROR(SEARCH("No",P10)))</formula>
    </cfRule>
  </conditionalFormatting>
  <conditionalFormatting sqref="P7:P8">
    <cfRule type="containsText" dxfId="144" priority="93" operator="containsText" text="No">
      <formula>NOT(ISERROR(SEARCH("No",P7)))</formula>
    </cfRule>
  </conditionalFormatting>
  <conditionalFormatting sqref="P6">
    <cfRule type="containsText" dxfId="143" priority="92" operator="containsText" text="No">
      <formula>NOT(ISERROR(SEARCH("No",P6)))</formula>
    </cfRule>
  </conditionalFormatting>
  <conditionalFormatting sqref="Q16">
    <cfRule type="containsText" dxfId="142" priority="87" operator="containsText" text="No">
      <formula>NOT(ISERROR(SEARCH("No",Q16)))</formula>
    </cfRule>
  </conditionalFormatting>
  <conditionalFormatting sqref="Q25">
    <cfRule type="containsText" dxfId="141" priority="85" operator="containsText" text="No">
      <formula>NOT(ISERROR(SEARCH("No",Q25)))</formula>
    </cfRule>
  </conditionalFormatting>
  <conditionalFormatting sqref="Q26">
    <cfRule type="containsText" dxfId="140" priority="84" operator="containsText" text="No">
      <formula>NOT(ISERROR(SEARCH("No",Q26)))</formula>
    </cfRule>
  </conditionalFormatting>
  <conditionalFormatting sqref="Q24">
    <cfRule type="containsText" dxfId="139" priority="83" operator="containsText" text="No">
      <formula>NOT(ISERROR(SEARCH("No",Q24)))</formula>
    </cfRule>
  </conditionalFormatting>
  <conditionalFormatting sqref="Q17:Q23">
    <cfRule type="containsText" dxfId="138" priority="82" operator="containsText" text="No">
      <formula>NOT(ISERROR(SEARCH("No",Q17)))</formula>
    </cfRule>
  </conditionalFormatting>
  <conditionalFormatting sqref="Q12:Q15">
    <cfRule type="containsText" dxfId="137" priority="81" operator="containsText" text="No">
      <formula>NOT(ISERROR(SEARCH("No",Q12)))</formula>
    </cfRule>
  </conditionalFormatting>
  <conditionalFormatting sqref="Q7:Q9">
    <cfRule type="containsText" dxfId="136" priority="80" operator="containsText" text="No">
      <formula>NOT(ISERROR(SEARCH("No",Q7)))</formula>
    </cfRule>
  </conditionalFormatting>
  <conditionalFormatting sqref="Q10">
    <cfRule type="containsText" dxfId="135" priority="79" operator="containsText" text="No">
      <formula>NOT(ISERROR(SEARCH("No",Q10)))</formula>
    </cfRule>
  </conditionalFormatting>
  <conditionalFormatting sqref="Q6">
    <cfRule type="containsText" dxfId="134" priority="78" operator="containsText" text="No">
      <formula>NOT(ISERROR(SEARCH("No",Q6)))</formula>
    </cfRule>
  </conditionalFormatting>
  <conditionalFormatting sqref="Q3:Q4">
    <cfRule type="containsText" dxfId="133" priority="77" operator="containsText" text="No">
      <formula>NOT(ISERROR(SEARCH("No",Q3)))</formula>
    </cfRule>
  </conditionalFormatting>
  <conditionalFormatting sqref="R25">
    <cfRule type="containsText" dxfId="132" priority="71" operator="containsText" text="No">
      <formula>NOT(ISERROR(SEARCH("No",R25)))</formula>
    </cfRule>
  </conditionalFormatting>
  <conditionalFormatting sqref="R26">
    <cfRule type="containsText" dxfId="131" priority="70" operator="containsText" text="No">
      <formula>NOT(ISERROR(SEARCH("No",R26)))</formula>
    </cfRule>
  </conditionalFormatting>
  <conditionalFormatting sqref="R24">
    <cfRule type="containsText" dxfId="130" priority="69" operator="containsText" text="No">
      <formula>NOT(ISERROR(SEARCH("No",R24)))</formula>
    </cfRule>
  </conditionalFormatting>
  <conditionalFormatting sqref="R15:R23">
    <cfRule type="containsText" dxfId="129" priority="68" operator="containsText" text="No">
      <formula>NOT(ISERROR(SEARCH("No",R15)))</formula>
    </cfRule>
  </conditionalFormatting>
  <conditionalFormatting sqref="R7:R10">
    <cfRule type="containsText" dxfId="128" priority="67" operator="containsText" text="No">
      <formula>NOT(ISERROR(SEARCH("No",R7)))</formula>
    </cfRule>
  </conditionalFormatting>
  <conditionalFormatting sqref="R6">
    <cfRule type="containsText" dxfId="127" priority="66" operator="containsText" text="No">
      <formula>NOT(ISERROR(SEARCH("No",R6)))</formula>
    </cfRule>
  </conditionalFormatting>
  <conditionalFormatting sqref="R5">
    <cfRule type="containsText" dxfId="126" priority="65" operator="containsText" text="No">
      <formula>NOT(ISERROR(SEARCH("No",R5)))</formula>
    </cfRule>
  </conditionalFormatting>
  <conditionalFormatting sqref="R3:R4">
    <cfRule type="containsText" dxfId="125" priority="64" operator="containsText" text="No">
      <formula>NOT(ISERROR(SEARCH("No",R3)))</formula>
    </cfRule>
  </conditionalFormatting>
  <conditionalFormatting sqref="S3">
    <cfRule type="containsText" dxfId="124" priority="63" operator="containsText" text="No">
      <formula>NOT(ISERROR(SEARCH("No",S3)))</formula>
    </cfRule>
  </conditionalFormatting>
  <conditionalFormatting sqref="S19">
    <cfRule type="containsText" dxfId="123" priority="59" operator="containsText" text="No">
      <formula>NOT(ISERROR(SEARCH("No",S19)))</formula>
    </cfRule>
  </conditionalFormatting>
  <conditionalFormatting sqref="S25">
    <cfRule type="containsText" dxfId="122" priority="57" operator="containsText" text="No">
      <formula>NOT(ISERROR(SEARCH("No",S25)))</formula>
    </cfRule>
  </conditionalFormatting>
  <conditionalFormatting sqref="S26">
    <cfRule type="containsText" dxfId="121" priority="56" operator="containsText" text="No">
      <formula>NOT(ISERROR(SEARCH("No",S26)))</formula>
    </cfRule>
  </conditionalFormatting>
  <conditionalFormatting sqref="S24">
    <cfRule type="containsText" dxfId="120" priority="55" operator="containsText" text="No">
      <formula>NOT(ISERROR(SEARCH("No",S24)))</formula>
    </cfRule>
  </conditionalFormatting>
  <conditionalFormatting sqref="S20:S23">
    <cfRule type="containsText" dxfId="119" priority="54" operator="containsText" text="No">
      <formula>NOT(ISERROR(SEARCH("No",S20)))</formula>
    </cfRule>
  </conditionalFormatting>
  <conditionalFormatting sqref="S14:S18">
    <cfRule type="containsText" dxfId="118" priority="53" operator="containsText" text="No">
      <formula>NOT(ISERROR(SEARCH("No",S14)))</formula>
    </cfRule>
  </conditionalFormatting>
  <conditionalFormatting sqref="S5">
    <cfRule type="containsText" dxfId="117" priority="51" operator="containsText" text="No">
      <formula>NOT(ISERROR(SEARCH("No",S5)))</formula>
    </cfRule>
  </conditionalFormatting>
  <conditionalFormatting sqref="S4">
    <cfRule type="containsText" dxfId="116" priority="50" operator="containsText" text="No">
      <formula>NOT(ISERROR(SEARCH("No",S4)))</formula>
    </cfRule>
  </conditionalFormatting>
  <conditionalFormatting sqref="B3:B26">
    <cfRule type="duplicateValues" dxfId="115" priority="3552"/>
  </conditionalFormatting>
  <conditionalFormatting sqref="E3:E26">
    <cfRule type="colorScale" priority="3554">
      <colorScale>
        <cfvo type="min"/>
        <cfvo type="percentile" val="50"/>
        <cfvo type="max"/>
        <color rgb="FFF8696B"/>
        <color rgb="FFFFEB84"/>
        <color rgb="FF63BE7B"/>
      </colorScale>
    </cfRule>
  </conditionalFormatting>
  <conditionalFormatting sqref="A3:A26">
    <cfRule type="duplicateValues" dxfId="114" priority="49"/>
  </conditionalFormatting>
  <conditionalFormatting sqref="T6">
    <cfRule type="containsText" dxfId="113" priority="48" operator="containsText" text="No">
      <formula>NOT(ISERROR(SEARCH("No",T6)))</formula>
    </cfRule>
  </conditionalFormatting>
  <conditionalFormatting sqref="T11:T13">
    <cfRule type="containsText" dxfId="112" priority="47" operator="containsText" text="No">
      <formula>NOT(ISERROR(SEARCH("No",T11)))</formula>
    </cfRule>
  </conditionalFormatting>
  <conditionalFormatting sqref="T16">
    <cfRule type="containsText" dxfId="111" priority="46" operator="containsText" text="No">
      <formula>NOT(ISERROR(SEARCH("No",T16)))</formula>
    </cfRule>
  </conditionalFormatting>
  <conditionalFormatting sqref="T25">
    <cfRule type="containsText" dxfId="110" priority="45" operator="containsText" text="No">
      <formula>NOT(ISERROR(SEARCH("No",T25)))</formula>
    </cfRule>
  </conditionalFormatting>
  <conditionalFormatting sqref="T17:T24">
    <cfRule type="containsText" dxfId="109" priority="44" operator="containsText" text="No">
      <formula>NOT(ISERROR(SEARCH("No",T17)))</formula>
    </cfRule>
  </conditionalFormatting>
  <conditionalFormatting sqref="T26">
    <cfRule type="containsText" dxfId="108" priority="43" operator="containsText" text="No">
      <formula>NOT(ISERROR(SEARCH("No",T26)))</formula>
    </cfRule>
  </conditionalFormatting>
  <conditionalFormatting sqref="T14:T15">
    <cfRule type="containsText" dxfId="107" priority="42" operator="containsText" text="No">
      <formula>NOT(ISERROR(SEARCH("No",T14)))</formula>
    </cfRule>
  </conditionalFormatting>
  <conditionalFormatting sqref="T7:T10">
    <cfRule type="containsText" dxfId="106" priority="41" operator="containsText" text="No">
      <formula>NOT(ISERROR(SEARCH("No",T7)))</formula>
    </cfRule>
  </conditionalFormatting>
  <conditionalFormatting sqref="T3:T5">
    <cfRule type="containsText" dxfId="105" priority="40" operator="containsText" text="No">
      <formula>NOT(ISERROR(SEARCH("No",T3)))</formula>
    </cfRule>
  </conditionalFormatting>
  <conditionalFormatting sqref="U3">
    <cfRule type="containsText" dxfId="104" priority="39" operator="containsText" text="No">
      <formula>NOT(ISERROR(SEARCH("No",U3)))</formula>
    </cfRule>
  </conditionalFormatting>
  <conditionalFormatting sqref="U10:U13">
    <cfRule type="containsText" dxfId="103" priority="38" operator="containsText" text="No">
      <formula>NOT(ISERROR(SEARCH("No",U10)))</formula>
    </cfRule>
  </conditionalFormatting>
  <conditionalFormatting sqref="U20">
    <cfRule type="containsText" dxfId="102" priority="37" operator="containsText" text="No">
      <formula>NOT(ISERROR(SEARCH("No",U20)))</formula>
    </cfRule>
  </conditionalFormatting>
  <conditionalFormatting sqref="U25">
    <cfRule type="containsText" dxfId="101" priority="36" operator="containsText" text="No">
      <formula>NOT(ISERROR(SEARCH("No",U25)))</formula>
    </cfRule>
  </conditionalFormatting>
  <conditionalFormatting sqref="U4:U8">
    <cfRule type="containsText" dxfId="100" priority="35" operator="containsText" text="No">
      <formula>NOT(ISERROR(SEARCH("No",U4)))</formula>
    </cfRule>
  </conditionalFormatting>
  <conditionalFormatting sqref="U9">
    <cfRule type="containsText" dxfId="99" priority="34" operator="containsText" text="No">
      <formula>NOT(ISERROR(SEARCH("No",U9)))</formula>
    </cfRule>
  </conditionalFormatting>
  <conditionalFormatting sqref="U14:U19">
    <cfRule type="containsText" dxfId="98" priority="33" operator="containsText" text="No">
      <formula>NOT(ISERROR(SEARCH("No",U14)))</formula>
    </cfRule>
  </conditionalFormatting>
  <conditionalFormatting sqref="U21:U24">
    <cfRule type="containsText" dxfId="97" priority="32" operator="containsText" text="No">
      <formula>NOT(ISERROR(SEARCH("No",U21)))</formula>
    </cfRule>
  </conditionalFormatting>
  <conditionalFormatting sqref="U26">
    <cfRule type="containsText" dxfId="96" priority="31" operator="containsText" text="No">
      <formula>NOT(ISERROR(SEARCH("No",U26)))</formula>
    </cfRule>
  </conditionalFormatting>
  <conditionalFormatting sqref="V11:V12">
    <cfRule type="containsText" dxfId="95" priority="30" operator="containsText" text="No">
      <formula>NOT(ISERROR(SEARCH("No",V11)))</formula>
    </cfRule>
  </conditionalFormatting>
  <conditionalFormatting sqref="V25">
    <cfRule type="containsText" dxfId="94" priority="29" operator="containsText" text="No">
      <formula>NOT(ISERROR(SEARCH("No",V25)))</formula>
    </cfRule>
  </conditionalFormatting>
  <conditionalFormatting sqref="V3:V10">
    <cfRule type="containsText" dxfId="93" priority="28" operator="containsText" text="No">
      <formula>NOT(ISERROR(SEARCH("No",V3)))</formula>
    </cfRule>
  </conditionalFormatting>
  <conditionalFormatting sqref="V13:V24">
    <cfRule type="containsText" dxfId="92" priority="27" operator="containsText" text="No">
      <formula>NOT(ISERROR(SEARCH("No",V13)))</formula>
    </cfRule>
  </conditionalFormatting>
  <conditionalFormatting sqref="V26">
    <cfRule type="containsText" dxfId="91" priority="26" operator="containsText" text="No">
      <formula>NOT(ISERROR(SEARCH("No",V26)))</formula>
    </cfRule>
  </conditionalFormatting>
  <conditionalFormatting sqref="W11:W12">
    <cfRule type="containsText" dxfId="90" priority="25" operator="containsText" text="No">
      <formula>NOT(ISERROR(SEARCH("No",W11)))</formula>
    </cfRule>
  </conditionalFormatting>
  <conditionalFormatting sqref="W25">
    <cfRule type="containsText" dxfId="89" priority="24" operator="containsText" text="No">
      <formula>NOT(ISERROR(SEARCH("No",W25)))</formula>
    </cfRule>
  </conditionalFormatting>
  <conditionalFormatting sqref="W3:W10">
    <cfRule type="containsText" dxfId="88" priority="23" operator="containsText" text="No">
      <formula>NOT(ISERROR(SEARCH("No",W3)))</formula>
    </cfRule>
  </conditionalFormatting>
  <conditionalFormatting sqref="W13:W24">
    <cfRule type="containsText" dxfId="87" priority="22" operator="containsText" text="No">
      <formula>NOT(ISERROR(SEARCH("No",W13)))</formula>
    </cfRule>
  </conditionalFormatting>
  <conditionalFormatting sqref="W26">
    <cfRule type="containsText" dxfId="86" priority="21" operator="containsText" text="No">
      <formula>NOT(ISERROR(SEARCH("No",W26)))</formula>
    </cfRule>
  </conditionalFormatting>
  <conditionalFormatting sqref="X10:X11">
    <cfRule type="containsText" dxfId="85" priority="13" operator="containsText" text="No">
      <formula>NOT(ISERROR(SEARCH("No",X10)))</formula>
    </cfRule>
  </conditionalFormatting>
  <conditionalFormatting sqref="X16">
    <cfRule type="containsText" dxfId="84" priority="12" operator="containsText" text="No">
      <formula>NOT(ISERROR(SEARCH("No",X16)))</formula>
    </cfRule>
  </conditionalFormatting>
  <conditionalFormatting sqref="X25">
    <cfRule type="containsText" dxfId="83" priority="11" operator="containsText" text="No">
      <formula>NOT(ISERROR(SEARCH("No",X25)))</formula>
    </cfRule>
  </conditionalFormatting>
  <conditionalFormatting sqref="X3:X9">
    <cfRule type="containsText" dxfId="82" priority="10" operator="containsText" text="No">
      <formula>NOT(ISERROR(SEARCH("No",X3)))</formula>
    </cfRule>
  </conditionalFormatting>
  <conditionalFormatting sqref="X13:X15">
    <cfRule type="containsText" dxfId="81" priority="9" operator="containsText" text="No">
      <formula>NOT(ISERROR(SEARCH("No",X13)))</formula>
    </cfRule>
  </conditionalFormatting>
  <conditionalFormatting sqref="X17:X24">
    <cfRule type="containsText" dxfId="80" priority="8" operator="containsText" text="No">
      <formula>NOT(ISERROR(SEARCH("No",X17)))</formula>
    </cfRule>
  </conditionalFormatting>
  <conditionalFormatting sqref="X26">
    <cfRule type="containsText" dxfId="79" priority="7" operator="containsText" text="No">
      <formula>NOT(ISERROR(SEARCH("No",X26)))</formula>
    </cfRule>
  </conditionalFormatting>
  <conditionalFormatting sqref="X12">
    <cfRule type="containsText" dxfId="78" priority="6" operator="containsText" text="No">
      <formula>NOT(ISERROR(SEARCH("No",X12)))</formula>
    </cfRule>
  </conditionalFormatting>
  <conditionalFormatting sqref="Y3:Y9">
    <cfRule type="containsText" dxfId="77" priority="5" operator="containsText" text="No">
      <formula>NOT(ISERROR(SEARCH("No",Y3)))</formula>
    </cfRule>
  </conditionalFormatting>
  <conditionalFormatting sqref="Y13:Y24">
    <cfRule type="containsText" dxfId="76" priority="4" operator="containsText" text="No">
      <formula>NOT(ISERROR(SEARCH("No",Y13)))</formula>
    </cfRule>
  </conditionalFormatting>
  <conditionalFormatting sqref="Y26">
    <cfRule type="containsText" dxfId="75" priority="3" operator="containsText" text="No">
      <formula>NOT(ISERROR(SEARCH("No",Y26)))</formula>
    </cfRule>
  </conditionalFormatting>
  <conditionalFormatting sqref="Y10:Y12">
    <cfRule type="containsText" dxfId="74" priority="2" operator="containsText" text="No">
      <formula>NOT(ISERROR(SEARCH("No",Y10)))</formula>
    </cfRule>
  </conditionalFormatting>
  <conditionalFormatting sqref="Y25">
    <cfRule type="containsText" dxfId="73" priority="1" operator="containsText" text="No">
      <formula>NOT(ISERROR(SEARCH("No",Y25)))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3E48-F47C-408C-A08F-773C9B993935}">
  <dimension ref="A1:CP33"/>
  <sheetViews>
    <sheetView topLeftCell="U1" workbookViewId="0">
      <selection activeCell="CQ5" sqref="CQ5"/>
    </sheetView>
  </sheetViews>
  <sheetFormatPr defaultRowHeight="15" customHeight="1"/>
  <cols>
    <col min="1" max="1" width="36.5703125" style="3" bestFit="1" customWidth="1"/>
    <col min="2" max="3" width="20.140625" style="3" bestFit="1" customWidth="1"/>
    <col min="4" max="4" width="20.28515625" style="3" customWidth="1"/>
    <col min="5" max="5" width="9.140625" style="3"/>
    <col min="6" max="6" width="44.7109375" style="3" bestFit="1" customWidth="1"/>
    <col min="7" max="8" width="20.140625" style="3" bestFit="1" customWidth="1"/>
    <col min="9" max="9" width="19.140625" style="3" customWidth="1"/>
    <col min="10" max="10" width="9.140625" style="3"/>
    <col min="11" max="11" width="36.5703125" style="3" bestFit="1" customWidth="1"/>
    <col min="12" max="12" width="19.140625" style="3" bestFit="1" customWidth="1"/>
    <col min="13" max="13" width="20.140625" style="3" bestFit="1" customWidth="1"/>
    <col min="14" max="14" width="23.140625" style="3" customWidth="1"/>
    <col min="15" max="15" width="9.140625" style="3"/>
    <col min="16" max="16" width="36.42578125" style="3" bestFit="1" customWidth="1"/>
    <col min="17" max="18" width="19.28515625" style="3" bestFit="1" customWidth="1"/>
    <col min="19" max="19" width="22.28515625" style="3" customWidth="1"/>
    <col min="20" max="20" width="9.140625" style="3"/>
    <col min="21" max="21" width="36.5703125" style="3" bestFit="1" customWidth="1"/>
    <col min="22" max="23" width="20.140625" style="3" bestFit="1" customWidth="1"/>
    <col min="24" max="24" width="23.42578125" style="3" customWidth="1"/>
    <col min="25" max="25" width="9.140625" style="3"/>
    <col min="26" max="26" width="36.5703125" style="3" bestFit="1" customWidth="1"/>
    <col min="27" max="28" width="20.140625" style="3" bestFit="1" customWidth="1"/>
    <col min="29" max="29" width="24.85546875" style="3" customWidth="1"/>
    <col min="30" max="30" width="9.140625" style="3"/>
    <col min="31" max="31" width="36.5703125" style="3" bestFit="1" customWidth="1"/>
    <col min="32" max="32" width="18.85546875" style="3" bestFit="1" customWidth="1"/>
    <col min="33" max="33" width="20" style="3" bestFit="1" customWidth="1"/>
    <col min="34" max="34" width="22.28515625" style="3" customWidth="1"/>
    <col min="35" max="35" width="9.140625" style="3"/>
    <col min="36" max="36" width="36.5703125" style="3" bestFit="1" customWidth="1"/>
    <col min="37" max="37" width="19.140625" style="3" bestFit="1" customWidth="1"/>
    <col min="38" max="38" width="20.140625" style="3" bestFit="1" customWidth="1"/>
    <col min="39" max="39" width="18.85546875" style="3" customWidth="1"/>
    <col min="40" max="40" width="9.140625" style="3"/>
    <col min="41" max="41" width="36.5703125" style="3" bestFit="1" customWidth="1"/>
    <col min="42" max="42" width="19.140625" style="3" bestFit="1" customWidth="1"/>
    <col min="43" max="43" width="20.140625" style="3" bestFit="1" customWidth="1"/>
    <col min="44" max="44" width="20.7109375" style="3" customWidth="1"/>
    <col min="45" max="45" width="9.140625" style="3"/>
    <col min="46" max="46" width="36.5703125" style="3" bestFit="1" customWidth="1"/>
    <col min="47" max="48" width="20.140625" style="3" bestFit="1" customWidth="1"/>
    <col min="49" max="49" width="19.7109375" style="3" customWidth="1"/>
    <col min="50" max="50" width="9.140625" style="3"/>
    <col min="51" max="51" width="36.5703125" style="3" bestFit="1" customWidth="1"/>
    <col min="52" max="53" width="20.140625" style="3" bestFit="1" customWidth="1"/>
    <col min="54" max="54" width="21" style="3" customWidth="1"/>
    <col min="55" max="55" width="9.140625" style="3"/>
    <col min="56" max="56" width="36.5703125" style="3" bestFit="1" customWidth="1"/>
    <col min="57" max="58" width="20.140625" style="3" bestFit="1" customWidth="1"/>
    <col min="59" max="59" width="17.7109375" style="3" customWidth="1"/>
    <col min="60" max="60" width="9.140625" style="3"/>
    <col min="61" max="61" width="36.5703125" style="3" bestFit="1" customWidth="1"/>
    <col min="62" max="62" width="19.140625" style="3" bestFit="1" customWidth="1"/>
    <col min="63" max="63" width="20.140625" style="3" bestFit="1" customWidth="1"/>
    <col min="64" max="64" width="17.5703125" style="3" customWidth="1"/>
    <col min="65" max="65" width="9.140625" style="3"/>
    <col min="66" max="66" width="36.5703125" style="3" bestFit="1" customWidth="1"/>
    <col min="67" max="67" width="19.140625" style="3" bestFit="1" customWidth="1"/>
    <col min="68" max="68" width="20.140625" style="3" bestFit="1" customWidth="1"/>
    <col min="69" max="69" width="20" style="3" customWidth="1"/>
    <col min="70" max="70" width="9.140625" style="3"/>
    <col min="71" max="71" width="36.5703125" style="3" bestFit="1" customWidth="1"/>
    <col min="72" max="73" width="20.140625" style="3" bestFit="1" customWidth="1"/>
    <col min="74" max="74" width="20.5703125" style="3" customWidth="1"/>
    <col min="75" max="75" width="9.140625" style="3"/>
    <col min="76" max="76" width="36.5703125" style="3" bestFit="1" customWidth="1"/>
    <col min="77" max="77" width="19.140625" style="3" bestFit="1" customWidth="1"/>
    <col min="78" max="78" width="20.140625" style="3" bestFit="1" customWidth="1"/>
    <col min="79" max="79" width="19.5703125" style="3" customWidth="1"/>
    <col min="80" max="80" width="9.140625" style="3"/>
    <col min="81" max="81" width="36.5703125" style="3" bestFit="1" customWidth="1"/>
    <col min="82" max="82" width="19.140625" style="3" bestFit="1" customWidth="1"/>
    <col min="83" max="83" width="20.140625" style="3" bestFit="1" customWidth="1"/>
    <col min="84" max="84" width="21.42578125" style="3" customWidth="1"/>
    <col min="85" max="85" width="9.140625" style="3"/>
    <col min="86" max="86" width="36.85546875" style="3" customWidth="1"/>
    <col min="87" max="87" width="19.140625" style="3" customWidth="1"/>
    <col min="88" max="88" width="20.140625" style="3" customWidth="1"/>
    <col min="89" max="89" width="23" style="3" customWidth="1"/>
    <col min="90" max="90" width="15.85546875" style="3" customWidth="1"/>
    <col min="91" max="91" width="38.140625" style="3" customWidth="1"/>
    <col min="92" max="92" width="25.85546875" style="3" customWidth="1"/>
    <col min="93" max="93" width="32" style="3" customWidth="1"/>
    <col min="94" max="94" width="21.42578125" style="3" customWidth="1"/>
    <col min="95" max="16384" width="9.140625" style="3"/>
  </cols>
  <sheetData>
    <row r="1" spans="1:94" ht="15" customHeight="1">
      <c r="A1" s="56" t="s">
        <v>67</v>
      </c>
      <c r="B1" s="56"/>
      <c r="C1" s="56"/>
      <c r="D1" s="56"/>
      <c r="F1" s="56" t="s">
        <v>68</v>
      </c>
      <c r="G1" s="56"/>
      <c r="H1" s="56"/>
      <c r="I1" s="56"/>
      <c r="K1" s="56" t="s">
        <v>65</v>
      </c>
      <c r="L1" s="56"/>
      <c r="M1" s="56"/>
      <c r="N1" s="56"/>
      <c r="P1" s="56" t="s">
        <v>7</v>
      </c>
      <c r="Q1" s="56"/>
      <c r="R1" s="56"/>
      <c r="S1" s="56"/>
      <c r="U1" s="56" t="s">
        <v>8</v>
      </c>
      <c r="V1" s="56"/>
      <c r="W1" s="56"/>
      <c r="X1" s="56"/>
      <c r="Z1" s="56" t="s">
        <v>9</v>
      </c>
      <c r="AA1" s="56"/>
      <c r="AB1" s="56"/>
      <c r="AC1" s="56"/>
      <c r="AE1" s="56" t="s">
        <v>10</v>
      </c>
      <c r="AF1" s="56"/>
      <c r="AG1" s="56"/>
      <c r="AH1" s="56"/>
      <c r="AJ1" s="56" t="s">
        <v>11</v>
      </c>
      <c r="AK1" s="56"/>
      <c r="AL1" s="56"/>
      <c r="AM1" s="56"/>
      <c r="AO1" s="56" t="s">
        <v>12</v>
      </c>
      <c r="AP1" s="56"/>
      <c r="AQ1" s="56"/>
      <c r="AR1" s="56"/>
      <c r="AT1" s="56" t="s">
        <v>69</v>
      </c>
      <c r="AU1" s="56"/>
      <c r="AV1" s="56"/>
      <c r="AW1" s="56"/>
      <c r="AY1" s="56" t="s">
        <v>70</v>
      </c>
      <c r="AZ1" s="56"/>
      <c r="BA1" s="56"/>
      <c r="BB1" s="56"/>
      <c r="BD1" s="56" t="s">
        <v>71</v>
      </c>
      <c r="BE1" s="56"/>
      <c r="BF1" s="56"/>
      <c r="BG1" s="56"/>
      <c r="BI1" s="56" t="s">
        <v>16</v>
      </c>
      <c r="BJ1" s="56"/>
      <c r="BK1" s="56"/>
      <c r="BL1" s="56"/>
      <c r="BN1" s="56" t="s">
        <v>17</v>
      </c>
      <c r="BO1" s="56"/>
      <c r="BP1" s="56"/>
      <c r="BQ1" s="56"/>
      <c r="BS1" s="56" t="s">
        <v>72</v>
      </c>
      <c r="BT1" s="56"/>
      <c r="BU1" s="56"/>
      <c r="BV1" s="56"/>
      <c r="BX1" s="56" t="s">
        <v>19</v>
      </c>
      <c r="BY1" s="56"/>
      <c r="BZ1" s="56"/>
      <c r="CA1" s="56"/>
      <c r="CC1" s="56" t="s">
        <v>20</v>
      </c>
      <c r="CD1" s="56"/>
      <c r="CE1" s="56"/>
      <c r="CF1" s="56"/>
      <c r="CH1" s="56" t="s">
        <v>21</v>
      </c>
      <c r="CI1" s="56"/>
      <c r="CJ1" s="56"/>
      <c r="CK1" s="56"/>
      <c r="CM1" s="56" t="s">
        <v>22</v>
      </c>
      <c r="CN1" s="56"/>
      <c r="CO1" s="56"/>
      <c r="CP1" s="56"/>
    </row>
    <row r="2" spans="1:94" ht="14.45" customHeight="1">
      <c r="A2" s="56"/>
      <c r="B2" s="56"/>
      <c r="C2" s="56"/>
      <c r="D2" s="56"/>
      <c r="F2" s="56"/>
      <c r="G2" s="56"/>
      <c r="H2" s="56"/>
      <c r="I2" s="56"/>
      <c r="K2" s="56"/>
      <c r="L2" s="56"/>
      <c r="M2" s="56"/>
      <c r="N2" s="56"/>
      <c r="P2" s="56"/>
      <c r="Q2" s="56"/>
      <c r="R2" s="56"/>
      <c r="S2" s="56"/>
      <c r="U2" s="56"/>
      <c r="V2" s="56"/>
      <c r="W2" s="56"/>
      <c r="X2" s="56"/>
      <c r="Z2" s="56"/>
      <c r="AA2" s="56"/>
      <c r="AB2" s="56"/>
      <c r="AC2" s="56"/>
      <c r="AE2" s="56"/>
      <c r="AF2" s="56"/>
      <c r="AG2" s="56"/>
      <c r="AH2" s="56"/>
      <c r="AJ2" s="56"/>
      <c r="AK2" s="56"/>
      <c r="AL2" s="56"/>
      <c r="AM2" s="56"/>
      <c r="AO2" s="56"/>
      <c r="AP2" s="56"/>
      <c r="AQ2" s="56"/>
      <c r="AR2" s="56"/>
      <c r="AT2" s="56"/>
      <c r="AU2" s="56"/>
      <c r="AV2" s="56"/>
      <c r="AW2" s="56"/>
      <c r="AY2" s="56"/>
      <c r="AZ2" s="56"/>
      <c r="BA2" s="56"/>
      <c r="BB2" s="56"/>
      <c r="BD2" s="56"/>
      <c r="BE2" s="56"/>
      <c r="BF2" s="56"/>
      <c r="BG2" s="56"/>
      <c r="BI2" s="56"/>
      <c r="BJ2" s="56"/>
      <c r="BK2" s="56"/>
      <c r="BL2" s="56"/>
      <c r="BN2" s="56"/>
      <c r="BO2" s="56"/>
      <c r="BP2" s="56"/>
      <c r="BQ2" s="56"/>
      <c r="BS2" s="56"/>
      <c r="BT2" s="56"/>
      <c r="BU2" s="56"/>
      <c r="BV2" s="56"/>
      <c r="BX2" s="56"/>
      <c r="BY2" s="56"/>
      <c r="BZ2" s="56"/>
      <c r="CA2" s="56"/>
      <c r="CC2" s="56"/>
      <c r="CD2" s="56"/>
      <c r="CE2" s="56"/>
      <c r="CF2" s="56"/>
      <c r="CH2" s="56"/>
      <c r="CI2" s="56"/>
      <c r="CJ2" s="56"/>
      <c r="CK2" s="56"/>
      <c r="CM2" s="56"/>
      <c r="CN2" s="56"/>
      <c r="CO2" s="56"/>
      <c r="CP2" s="56"/>
    </row>
    <row r="3" spans="1:94">
      <c r="A3" s="17" t="s">
        <v>61</v>
      </c>
      <c r="B3" s="17" t="s">
        <v>73</v>
      </c>
      <c r="C3" s="17" t="s">
        <v>74</v>
      </c>
      <c r="D3" s="17" t="s">
        <v>75</v>
      </c>
      <c r="F3" s="17" t="s">
        <v>61</v>
      </c>
      <c r="G3" s="17" t="s">
        <v>73</v>
      </c>
      <c r="H3" s="17" t="s">
        <v>74</v>
      </c>
      <c r="I3" s="17" t="s">
        <v>75</v>
      </c>
      <c r="K3" s="17" t="s">
        <v>61</v>
      </c>
      <c r="L3" s="17" t="s">
        <v>73</v>
      </c>
      <c r="M3" s="17" t="s">
        <v>74</v>
      </c>
      <c r="N3" s="17" t="s">
        <v>75</v>
      </c>
      <c r="P3" s="17" t="s">
        <v>61</v>
      </c>
      <c r="Q3" s="17" t="s">
        <v>73</v>
      </c>
      <c r="R3" s="17" t="s">
        <v>74</v>
      </c>
      <c r="S3" s="17" t="s">
        <v>75</v>
      </c>
      <c r="U3" s="17" t="s">
        <v>61</v>
      </c>
      <c r="V3" s="17" t="s">
        <v>73</v>
      </c>
      <c r="W3" s="17" t="s">
        <v>74</v>
      </c>
      <c r="X3" s="17" t="s">
        <v>75</v>
      </c>
      <c r="Z3" s="17" t="s">
        <v>61</v>
      </c>
      <c r="AA3" s="17" t="s">
        <v>73</v>
      </c>
      <c r="AB3" s="17" t="s">
        <v>74</v>
      </c>
      <c r="AC3" s="17" t="s">
        <v>75</v>
      </c>
      <c r="AE3" s="17" t="s">
        <v>61</v>
      </c>
      <c r="AF3" s="17" t="s">
        <v>73</v>
      </c>
      <c r="AG3" s="17" t="s">
        <v>74</v>
      </c>
      <c r="AH3" s="17" t="s">
        <v>75</v>
      </c>
      <c r="AJ3" s="17" t="s">
        <v>61</v>
      </c>
      <c r="AK3" s="17" t="s">
        <v>73</v>
      </c>
      <c r="AL3" s="17" t="s">
        <v>74</v>
      </c>
      <c r="AM3" s="17" t="s">
        <v>75</v>
      </c>
      <c r="AO3" s="17" t="s">
        <v>61</v>
      </c>
      <c r="AP3" s="17" t="s">
        <v>73</v>
      </c>
      <c r="AQ3" s="17" t="s">
        <v>74</v>
      </c>
      <c r="AR3" s="17" t="s">
        <v>75</v>
      </c>
      <c r="AT3" s="17" t="s">
        <v>61</v>
      </c>
      <c r="AU3" s="17" t="s">
        <v>73</v>
      </c>
      <c r="AV3" s="17" t="s">
        <v>74</v>
      </c>
      <c r="AW3" s="17" t="s">
        <v>75</v>
      </c>
      <c r="AY3" s="17" t="s">
        <v>61</v>
      </c>
      <c r="AZ3" s="17" t="s">
        <v>73</v>
      </c>
      <c r="BA3" s="17" t="s">
        <v>74</v>
      </c>
      <c r="BB3" s="17" t="s">
        <v>75</v>
      </c>
      <c r="BD3" s="17" t="s">
        <v>61</v>
      </c>
      <c r="BE3" s="17" t="s">
        <v>73</v>
      </c>
      <c r="BF3" s="17" t="s">
        <v>74</v>
      </c>
      <c r="BG3" s="17" t="s">
        <v>75</v>
      </c>
      <c r="BI3" s="17" t="s">
        <v>61</v>
      </c>
      <c r="BJ3" s="17" t="s">
        <v>73</v>
      </c>
      <c r="BK3" s="17" t="s">
        <v>74</v>
      </c>
      <c r="BL3" s="17" t="s">
        <v>75</v>
      </c>
      <c r="BN3" s="17" t="s">
        <v>61</v>
      </c>
      <c r="BO3" s="17" t="s">
        <v>73</v>
      </c>
      <c r="BP3" s="17" t="s">
        <v>74</v>
      </c>
      <c r="BQ3" s="17" t="s">
        <v>75</v>
      </c>
      <c r="BS3" s="17" t="s">
        <v>61</v>
      </c>
      <c r="BT3" s="17" t="s">
        <v>73</v>
      </c>
      <c r="BU3" s="17" t="s">
        <v>74</v>
      </c>
      <c r="BV3" s="17" t="s">
        <v>75</v>
      </c>
      <c r="BX3" s="17" t="s">
        <v>61</v>
      </c>
      <c r="BY3" s="17" t="s">
        <v>73</v>
      </c>
      <c r="BZ3" s="17" t="s">
        <v>74</v>
      </c>
      <c r="CA3" s="17" t="s">
        <v>75</v>
      </c>
      <c r="CC3" s="17" t="s">
        <v>61</v>
      </c>
      <c r="CD3" s="17" t="s">
        <v>73</v>
      </c>
      <c r="CE3" s="17" t="s">
        <v>74</v>
      </c>
      <c r="CF3" s="17" t="s">
        <v>75</v>
      </c>
      <c r="CH3" s="17" t="s">
        <v>61</v>
      </c>
      <c r="CI3" s="17" t="s">
        <v>73</v>
      </c>
      <c r="CJ3" s="17" t="s">
        <v>74</v>
      </c>
      <c r="CK3" s="17" t="s">
        <v>75</v>
      </c>
      <c r="CM3" s="17" t="s">
        <v>61</v>
      </c>
      <c r="CN3" s="17" t="s">
        <v>73</v>
      </c>
      <c r="CO3" s="17" t="s">
        <v>74</v>
      </c>
      <c r="CP3" s="17" t="s">
        <v>75</v>
      </c>
    </row>
    <row r="4" spans="1:94">
      <c r="A4" s="18" t="s">
        <v>76</v>
      </c>
      <c r="B4" s="19" t="s">
        <v>77</v>
      </c>
      <c r="C4" s="19" t="s">
        <v>78</v>
      </c>
      <c r="D4" s="19" t="s">
        <v>79</v>
      </c>
      <c r="F4" s="19" t="s">
        <v>76</v>
      </c>
      <c r="G4" s="19" t="s">
        <v>80</v>
      </c>
      <c r="H4" s="19" t="s">
        <v>81</v>
      </c>
      <c r="I4" s="19" t="s">
        <v>82</v>
      </c>
      <c r="K4" s="18" t="s">
        <v>76</v>
      </c>
      <c r="L4" s="19" t="s">
        <v>83</v>
      </c>
      <c r="M4" s="19" t="s">
        <v>84</v>
      </c>
      <c r="N4" s="19" t="s">
        <v>85</v>
      </c>
      <c r="P4" s="20" t="s">
        <v>76</v>
      </c>
      <c r="Q4" s="20" t="s">
        <v>86</v>
      </c>
      <c r="R4" s="20" t="s">
        <v>87</v>
      </c>
      <c r="S4" s="20" t="s">
        <v>88</v>
      </c>
      <c r="U4" s="21" t="s">
        <v>89</v>
      </c>
      <c r="V4" s="22" t="s">
        <v>90</v>
      </c>
      <c r="W4" s="22" t="s">
        <v>91</v>
      </c>
      <c r="X4" s="22" t="s">
        <v>92</v>
      </c>
      <c r="Z4" s="21" t="s">
        <v>93</v>
      </c>
      <c r="AA4" s="22" t="s">
        <v>94</v>
      </c>
      <c r="AB4" s="22" t="s">
        <v>95</v>
      </c>
      <c r="AC4" s="22" t="s">
        <v>96</v>
      </c>
      <c r="AE4" s="32" t="s">
        <v>76</v>
      </c>
      <c r="AF4" s="20" t="s">
        <v>97</v>
      </c>
      <c r="AG4" s="20" t="s">
        <v>98</v>
      </c>
      <c r="AH4" s="20" t="s">
        <v>99</v>
      </c>
      <c r="AJ4" s="21" t="s">
        <v>76</v>
      </c>
      <c r="AK4" s="22" t="s">
        <v>100</v>
      </c>
      <c r="AL4" s="22" t="s">
        <v>101</v>
      </c>
      <c r="AM4" s="22" t="s">
        <v>102</v>
      </c>
      <c r="AO4" s="21" t="s">
        <v>76</v>
      </c>
      <c r="AP4" s="22" t="s">
        <v>103</v>
      </c>
      <c r="AQ4" s="22" t="s">
        <v>104</v>
      </c>
      <c r="AR4" s="22" t="s">
        <v>105</v>
      </c>
      <c r="AT4" s="21" t="s">
        <v>76</v>
      </c>
      <c r="AU4" s="22" t="s">
        <v>106</v>
      </c>
      <c r="AV4" s="22" t="s">
        <v>107</v>
      </c>
      <c r="AW4" s="22" t="s">
        <v>108</v>
      </c>
      <c r="AY4" s="21" t="s">
        <v>109</v>
      </c>
      <c r="AZ4" s="22" t="s">
        <v>110</v>
      </c>
      <c r="BA4" s="22" t="s">
        <v>111</v>
      </c>
      <c r="BB4" s="22" t="s">
        <v>112</v>
      </c>
      <c r="BD4" s="21" t="s">
        <v>93</v>
      </c>
      <c r="BE4" s="22" t="s">
        <v>113</v>
      </c>
      <c r="BF4" s="22" t="s">
        <v>114</v>
      </c>
      <c r="BG4" s="22" t="s">
        <v>115</v>
      </c>
      <c r="BI4" s="21" t="s">
        <v>116</v>
      </c>
      <c r="BJ4" s="22" t="s">
        <v>117</v>
      </c>
      <c r="BK4" s="22" t="s">
        <v>118</v>
      </c>
      <c r="BL4" s="22" t="s">
        <v>119</v>
      </c>
      <c r="BN4" s="21" t="s">
        <v>120</v>
      </c>
      <c r="BO4" s="22" t="s">
        <v>121</v>
      </c>
      <c r="BP4" s="22" t="s">
        <v>122</v>
      </c>
      <c r="BQ4" s="22" t="s">
        <v>123</v>
      </c>
      <c r="BS4" s="21" t="s">
        <v>124</v>
      </c>
      <c r="BT4" s="22" t="s">
        <v>125</v>
      </c>
      <c r="BU4" s="22" t="s">
        <v>126</v>
      </c>
      <c r="BV4" s="22" t="s">
        <v>127</v>
      </c>
      <c r="BX4" s="21" t="s">
        <v>76</v>
      </c>
      <c r="BY4" s="22" t="s">
        <v>128</v>
      </c>
      <c r="BZ4" s="22" t="s">
        <v>129</v>
      </c>
      <c r="CA4" s="22" t="s">
        <v>130</v>
      </c>
      <c r="CC4" s="21" t="s">
        <v>109</v>
      </c>
      <c r="CD4" s="22" t="s">
        <v>131</v>
      </c>
      <c r="CE4" s="22" t="s">
        <v>132</v>
      </c>
      <c r="CF4" s="22" t="s">
        <v>133</v>
      </c>
      <c r="CH4" s="21" t="s">
        <v>76</v>
      </c>
      <c r="CI4" s="21" t="s">
        <v>134</v>
      </c>
      <c r="CJ4" s="21" t="s">
        <v>135</v>
      </c>
      <c r="CK4" s="22" t="s">
        <v>136</v>
      </c>
      <c r="CM4" s="21" t="s">
        <v>120</v>
      </c>
      <c r="CN4" s="21" t="s">
        <v>137</v>
      </c>
      <c r="CO4" s="21" t="s">
        <v>138</v>
      </c>
      <c r="CP4" s="22" t="s">
        <v>139</v>
      </c>
    </row>
    <row r="5" spans="1:94">
      <c r="A5" s="18" t="s">
        <v>140</v>
      </c>
      <c r="B5" s="19" t="s">
        <v>141</v>
      </c>
      <c r="C5" s="19" t="s">
        <v>142</v>
      </c>
      <c r="D5" s="19" t="s">
        <v>143</v>
      </c>
      <c r="F5" s="19" t="s">
        <v>144</v>
      </c>
      <c r="G5" s="19" t="s">
        <v>145</v>
      </c>
      <c r="H5" s="19" t="s">
        <v>146</v>
      </c>
      <c r="I5" s="19" t="s">
        <v>147</v>
      </c>
      <c r="K5" s="18" t="s">
        <v>148</v>
      </c>
      <c r="L5" s="19" t="s">
        <v>149</v>
      </c>
      <c r="M5" s="19" t="s">
        <v>150</v>
      </c>
      <c r="N5" s="19" t="s">
        <v>151</v>
      </c>
      <c r="P5" s="20" t="s">
        <v>152</v>
      </c>
      <c r="Q5" s="20" t="s">
        <v>153</v>
      </c>
      <c r="R5" s="20" t="s">
        <v>154</v>
      </c>
      <c r="S5" s="20" t="s">
        <v>155</v>
      </c>
      <c r="U5" s="21" t="s">
        <v>76</v>
      </c>
      <c r="V5" s="22" t="s">
        <v>90</v>
      </c>
      <c r="W5" s="22" t="s">
        <v>156</v>
      </c>
      <c r="X5" s="22" t="s">
        <v>157</v>
      </c>
      <c r="Z5" s="21" t="s">
        <v>89</v>
      </c>
      <c r="AA5" s="22" t="s">
        <v>158</v>
      </c>
      <c r="AB5" s="22" t="s">
        <v>159</v>
      </c>
      <c r="AC5" s="22" t="s">
        <v>160</v>
      </c>
      <c r="AE5" s="32" t="s">
        <v>140</v>
      </c>
      <c r="AF5" s="20" t="s">
        <v>161</v>
      </c>
      <c r="AG5" s="20" t="s">
        <v>162</v>
      </c>
      <c r="AH5" s="20" t="s">
        <v>163</v>
      </c>
      <c r="AJ5" s="21" t="s">
        <v>109</v>
      </c>
      <c r="AK5" s="22" t="s">
        <v>164</v>
      </c>
      <c r="AL5" s="22" t="s">
        <v>101</v>
      </c>
      <c r="AM5" s="22" t="s">
        <v>165</v>
      </c>
      <c r="AO5" s="21" t="s">
        <v>124</v>
      </c>
      <c r="AP5" s="22" t="s">
        <v>166</v>
      </c>
      <c r="AQ5" s="22" t="s">
        <v>167</v>
      </c>
      <c r="AR5" s="22" t="s">
        <v>168</v>
      </c>
      <c r="AT5" s="21" t="s">
        <v>109</v>
      </c>
      <c r="AU5" s="22" t="s">
        <v>169</v>
      </c>
      <c r="AV5" s="22" t="s">
        <v>170</v>
      </c>
      <c r="AW5" s="22" t="s">
        <v>171</v>
      </c>
      <c r="AY5" s="21" t="s">
        <v>93</v>
      </c>
      <c r="AZ5" s="22" t="s">
        <v>172</v>
      </c>
      <c r="BA5" s="22" t="s">
        <v>173</v>
      </c>
      <c r="BB5" s="22" t="s">
        <v>174</v>
      </c>
      <c r="BD5" s="21" t="s">
        <v>175</v>
      </c>
      <c r="BE5" s="22" t="s">
        <v>176</v>
      </c>
      <c r="BF5" s="22" t="s">
        <v>177</v>
      </c>
      <c r="BG5" s="22" t="s">
        <v>178</v>
      </c>
      <c r="BI5" s="21" t="s">
        <v>120</v>
      </c>
      <c r="BJ5" s="22" t="s">
        <v>179</v>
      </c>
      <c r="BK5" s="22" t="s">
        <v>180</v>
      </c>
      <c r="BL5" s="22" t="s">
        <v>181</v>
      </c>
      <c r="BN5" s="21" t="s">
        <v>76</v>
      </c>
      <c r="BO5" s="22" t="s">
        <v>121</v>
      </c>
      <c r="BP5" s="22" t="s">
        <v>122</v>
      </c>
      <c r="BQ5" s="22" t="s">
        <v>182</v>
      </c>
      <c r="BS5" s="21" t="s">
        <v>183</v>
      </c>
      <c r="BT5" s="22" t="s">
        <v>184</v>
      </c>
      <c r="BU5" s="22" t="s">
        <v>185</v>
      </c>
      <c r="BV5" s="22" t="s">
        <v>186</v>
      </c>
      <c r="BX5" s="21" t="s">
        <v>109</v>
      </c>
      <c r="BY5" s="22" t="s">
        <v>187</v>
      </c>
      <c r="BZ5" s="22" t="s">
        <v>188</v>
      </c>
      <c r="CA5" s="22" t="s">
        <v>189</v>
      </c>
      <c r="CC5" s="21" t="s">
        <v>120</v>
      </c>
      <c r="CD5" s="22" t="s">
        <v>131</v>
      </c>
      <c r="CE5" s="22" t="s">
        <v>190</v>
      </c>
      <c r="CF5" s="22" t="s">
        <v>189</v>
      </c>
      <c r="CH5" s="21" t="s">
        <v>124</v>
      </c>
      <c r="CI5" s="21" t="s">
        <v>191</v>
      </c>
      <c r="CJ5" s="21" t="s">
        <v>192</v>
      </c>
      <c r="CK5" s="22" t="s">
        <v>193</v>
      </c>
      <c r="CM5" s="21" t="s">
        <v>194</v>
      </c>
      <c r="CN5" s="21" t="s">
        <v>195</v>
      </c>
      <c r="CO5" s="21" t="s">
        <v>196</v>
      </c>
      <c r="CP5" s="22" t="s">
        <v>197</v>
      </c>
    </row>
    <row r="6" spans="1:94">
      <c r="A6" s="18" t="s">
        <v>198</v>
      </c>
      <c r="B6" s="19" t="s">
        <v>199</v>
      </c>
      <c r="C6" s="19" t="s">
        <v>200</v>
      </c>
      <c r="D6" s="19" t="s">
        <v>201</v>
      </c>
      <c r="F6" s="19" t="s">
        <v>124</v>
      </c>
      <c r="G6" s="19" t="s">
        <v>202</v>
      </c>
      <c r="H6" s="19" t="s">
        <v>146</v>
      </c>
      <c r="I6" s="19" t="s">
        <v>203</v>
      </c>
      <c r="K6" s="18" t="s">
        <v>152</v>
      </c>
      <c r="L6" s="19" t="s">
        <v>204</v>
      </c>
      <c r="M6" s="19" t="s">
        <v>205</v>
      </c>
      <c r="N6" s="19" t="s">
        <v>206</v>
      </c>
      <c r="P6" s="20" t="s">
        <v>93</v>
      </c>
      <c r="Q6" s="20" t="s">
        <v>207</v>
      </c>
      <c r="R6" s="20" t="s">
        <v>208</v>
      </c>
      <c r="S6" s="20" t="s">
        <v>209</v>
      </c>
      <c r="U6" s="21" t="s">
        <v>109</v>
      </c>
      <c r="V6" s="22" t="s">
        <v>210</v>
      </c>
      <c r="W6" s="22" t="s">
        <v>211</v>
      </c>
      <c r="X6" s="22" t="s">
        <v>212</v>
      </c>
      <c r="Z6" s="21" t="s">
        <v>116</v>
      </c>
      <c r="AA6" s="22" t="s">
        <v>213</v>
      </c>
      <c r="AB6" s="22" t="s">
        <v>214</v>
      </c>
      <c r="AC6" s="22" t="s">
        <v>215</v>
      </c>
      <c r="AE6" s="32" t="s">
        <v>89</v>
      </c>
      <c r="AF6" s="20" t="s">
        <v>216</v>
      </c>
      <c r="AG6" s="20" t="s">
        <v>217</v>
      </c>
      <c r="AH6" s="20" t="s">
        <v>218</v>
      </c>
      <c r="AJ6" s="21" t="s">
        <v>89</v>
      </c>
      <c r="AK6" s="22" t="s">
        <v>219</v>
      </c>
      <c r="AL6" s="22" t="s">
        <v>220</v>
      </c>
      <c r="AM6" s="22" t="s">
        <v>221</v>
      </c>
      <c r="AO6" s="21" t="s">
        <v>140</v>
      </c>
      <c r="AP6" s="22" t="s">
        <v>222</v>
      </c>
      <c r="AQ6" s="22" t="s">
        <v>223</v>
      </c>
      <c r="AR6" s="22" t="s">
        <v>224</v>
      </c>
      <c r="AT6" s="21" t="s">
        <v>225</v>
      </c>
      <c r="AU6" s="22" t="s">
        <v>226</v>
      </c>
      <c r="AV6" s="22" t="s">
        <v>227</v>
      </c>
      <c r="AW6" s="22" t="s">
        <v>228</v>
      </c>
      <c r="AY6" s="21" t="s">
        <v>152</v>
      </c>
      <c r="AZ6" s="22" t="s">
        <v>229</v>
      </c>
      <c r="BA6" s="22" t="s">
        <v>230</v>
      </c>
      <c r="BB6" s="22" t="s">
        <v>231</v>
      </c>
      <c r="BD6" s="21" t="s">
        <v>232</v>
      </c>
      <c r="BE6" s="22" t="s">
        <v>233</v>
      </c>
      <c r="BF6" s="22" t="s">
        <v>234</v>
      </c>
      <c r="BG6" s="22" t="s">
        <v>235</v>
      </c>
      <c r="BI6" s="21" t="s">
        <v>124</v>
      </c>
      <c r="BJ6" s="22" t="s">
        <v>236</v>
      </c>
      <c r="BK6" s="22" t="s">
        <v>180</v>
      </c>
      <c r="BL6" s="22" t="s">
        <v>237</v>
      </c>
      <c r="BN6" s="21" t="s">
        <v>109</v>
      </c>
      <c r="BO6" s="22" t="s">
        <v>238</v>
      </c>
      <c r="BP6" s="22" t="s">
        <v>239</v>
      </c>
      <c r="BQ6" s="22" t="s">
        <v>115</v>
      </c>
      <c r="BS6" s="21" t="s">
        <v>225</v>
      </c>
      <c r="BT6" s="22" t="s">
        <v>240</v>
      </c>
      <c r="BU6" s="22" t="s">
        <v>241</v>
      </c>
      <c r="BV6" s="22" t="s">
        <v>242</v>
      </c>
      <c r="BX6" s="21" t="s">
        <v>194</v>
      </c>
      <c r="BY6" s="22" t="s">
        <v>243</v>
      </c>
      <c r="BZ6" s="22" t="s">
        <v>244</v>
      </c>
      <c r="CA6" s="22" t="s">
        <v>245</v>
      </c>
      <c r="CC6" s="21" t="s">
        <v>76</v>
      </c>
      <c r="CD6" s="22" t="s">
        <v>246</v>
      </c>
      <c r="CE6" s="22" t="s">
        <v>247</v>
      </c>
      <c r="CF6" s="22" t="s">
        <v>248</v>
      </c>
      <c r="CH6" s="21" t="s">
        <v>109</v>
      </c>
      <c r="CI6" s="21" t="s">
        <v>249</v>
      </c>
      <c r="CJ6" s="21" t="s">
        <v>250</v>
      </c>
      <c r="CK6" s="22" t="s">
        <v>251</v>
      </c>
      <c r="CM6" s="21" t="s">
        <v>109</v>
      </c>
      <c r="CN6" s="21" t="s">
        <v>252</v>
      </c>
      <c r="CO6" s="21" t="s">
        <v>196</v>
      </c>
      <c r="CP6" s="22" t="s">
        <v>253</v>
      </c>
    </row>
    <row r="7" spans="1:94" ht="29.25">
      <c r="A7" s="18" t="s">
        <v>254</v>
      </c>
      <c r="B7" s="19" t="s">
        <v>255</v>
      </c>
      <c r="C7" s="19" t="s">
        <v>256</v>
      </c>
      <c r="D7" s="19" t="s">
        <v>257</v>
      </c>
      <c r="F7" s="19" t="s">
        <v>258</v>
      </c>
      <c r="G7" s="19" t="s">
        <v>259</v>
      </c>
      <c r="H7" s="19" t="s">
        <v>260</v>
      </c>
      <c r="I7" s="19" t="s">
        <v>261</v>
      </c>
      <c r="K7" s="18" t="s">
        <v>183</v>
      </c>
      <c r="L7" s="19" t="s">
        <v>262</v>
      </c>
      <c r="M7" s="19" t="s">
        <v>263</v>
      </c>
      <c r="N7" s="19" t="s">
        <v>264</v>
      </c>
      <c r="P7" s="20" t="s">
        <v>89</v>
      </c>
      <c r="Q7" s="20" t="s">
        <v>265</v>
      </c>
      <c r="R7" s="20" t="s">
        <v>266</v>
      </c>
      <c r="S7" s="20" t="s">
        <v>267</v>
      </c>
      <c r="U7" s="21" t="s">
        <v>152</v>
      </c>
      <c r="V7" s="22" t="s">
        <v>268</v>
      </c>
      <c r="W7" s="22" t="s">
        <v>269</v>
      </c>
      <c r="X7" s="22" t="s">
        <v>270</v>
      </c>
      <c r="Z7" s="21" t="s">
        <v>175</v>
      </c>
      <c r="AA7" s="22" t="s">
        <v>271</v>
      </c>
      <c r="AB7" s="22" t="s">
        <v>95</v>
      </c>
      <c r="AC7" s="22" t="s">
        <v>272</v>
      </c>
      <c r="AE7" s="32" t="s">
        <v>194</v>
      </c>
      <c r="AF7" s="20" t="s">
        <v>273</v>
      </c>
      <c r="AG7" s="20" t="s">
        <v>274</v>
      </c>
      <c r="AH7" s="20" t="s">
        <v>275</v>
      </c>
      <c r="AJ7" s="21" t="s">
        <v>148</v>
      </c>
      <c r="AK7" s="22" t="s">
        <v>276</v>
      </c>
      <c r="AL7" s="22" t="s">
        <v>277</v>
      </c>
      <c r="AM7" s="22" t="s">
        <v>278</v>
      </c>
      <c r="AO7" s="21" t="s">
        <v>183</v>
      </c>
      <c r="AP7" s="22" t="s">
        <v>279</v>
      </c>
      <c r="AQ7" s="22" t="s">
        <v>280</v>
      </c>
      <c r="AR7" s="22" t="s">
        <v>281</v>
      </c>
      <c r="AT7" s="21" t="s">
        <v>116</v>
      </c>
      <c r="AU7" s="22" t="s">
        <v>282</v>
      </c>
      <c r="AV7" s="22" t="s">
        <v>283</v>
      </c>
      <c r="AW7" s="22" t="s">
        <v>284</v>
      </c>
      <c r="AY7" s="21" t="s">
        <v>285</v>
      </c>
      <c r="AZ7" s="22" t="s">
        <v>286</v>
      </c>
      <c r="BA7" s="22" t="s">
        <v>287</v>
      </c>
      <c r="BB7" s="22" t="s">
        <v>288</v>
      </c>
      <c r="BD7" s="21" t="s">
        <v>289</v>
      </c>
      <c r="BE7" s="22" t="s">
        <v>290</v>
      </c>
      <c r="BF7" s="22" t="s">
        <v>291</v>
      </c>
      <c r="BG7" s="22" t="s">
        <v>292</v>
      </c>
      <c r="BI7" s="21" t="s">
        <v>183</v>
      </c>
      <c r="BJ7" s="22" t="s">
        <v>293</v>
      </c>
      <c r="BK7" s="22" t="s">
        <v>294</v>
      </c>
      <c r="BL7" s="22" t="s">
        <v>295</v>
      </c>
      <c r="BN7" s="21" t="s">
        <v>225</v>
      </c>
      <c r="BO7" s="22" t="s">
        <v>296</v>
      </c>
      <c r="BP7" s="22" t="s">
        <v>122</v>
      </c>
      <c r="BQ7" s="22" t="s">
        <v>297</v>
      </c>
      <c r="BS7" s="21" t="s">
        <v>152</v>
      </c>
      <c r="BT7" s="22" t="s">
        <v>298</v>
      </c>
      <c r="BU7" s="22" t="s">
        <v>299</v>
      </c>
      <c r="BV7" s="22" t="s">
        <v>300</v>
      </c>
      <c r="BX7" s="21" t="s">
        <v>152</v>
      </c>
      <c r="BY7" s="22" t="s">
        <v>301</v>
      </c>
      <c r="BZ7" s="22" t="s">
        <v>129</v>
      </c>
      <c r="CA7" s="22" t="s">
        <v>302</v>
      </c>
      <c r="CC7" s="21" t="s">
        <v>303</v>
      </c>
      <c r="CD7" s="22" t="s">
        <v>304</v>
      </c>
      <c r="CE7" s="22" t="s">
        <v>305</v>
      </c>
      <c r="CF7" s="22" t="s">
        <v>306</v>
      </c>
      <c r="CH7" s="21" t="s">
        <v>152</v>
      </c>
      <c r="CI7" s="21" t="s">
        <v>307</v>
      </c>
      <c r="CJ7" s="21" t="s">
        <v>308</v>
      </c>
      <c r="CK7" s="22" t="s">
        <v>309</v>
      </c>
      <c r="CM7" s="21" t="s">
        <v>124</v>
      </c>
      <c r="CN7" s="21" t="s">
        <v>310</v>
      </c>
      <c r="CO7" s="21" t="s">
        <v>311</v>
      </c>
      <c r="CP7" s="22" t="s">
        <v>312</v>
      </c>
    </row>
    <row r="8" spans="1:94">
      <c r="A8" s="18" t="s">
        <v>109</v>
      </c>
      <c r="B8" s="19" t="s">
        <v>313</v>
      </c>
      <c r="C8" s="19" t="s">
        <v>142</v>
      </c>
      <c r="D8" s="19" t="s">
        <v>314</v>
      </c>
      <c r="F8" s="19" t="s">
        <v>232</v>
      </c>
      <c r="G8" s="19" t="s">
        <v>315</v>
      </c>
      <c r="H8" s="19" t="s">
        <v>316</v>
      </c>
      <c r="I8" s="19" t="s">
        <v>317</v>
      </c>
      <c r="K8" s="18" t="s">
        <v>93</v>
      </c>
      <c r="L8" s="19" t="s">
        <v>318</v>
      </c>
      <c r="M8" s="19" t="s">
        <v>319</v>
      </c>
      <c r="N8" s="19" t="s">
        <v>320</v>
      </c>
      <c r="P8" s="20" t="s">
        <v>148</v>
      </c>
      <c r="Q8" s="20" t="s">
        <v>321</v>
      </c>
      <c r="R8" s="20" t="s">
        <v>322</v>
      </c>
      <c r="S8" s="20" t="s">
        <v>323</v>
      </c>
      <c r="U8" s="21" t="s">
        <v>124</v>
      </c>
      <c r="V8" s="22" t="s">
        <v>324</v>
      </c>
      <c r="W8" s="22" t="s">
        <v>325</v>
      </c>
      <c r="X8" s="22" t="s">
        <v>326</v>
      </c>
      <c r="Z8" s="21" t="s">
        <v>76</v>
      </c>
      <c r="AA8" s="22" t="s">
        <v>327</v>
      </c>
      <c r="AB8" s="22" t="s">
        <v>328</v>
      </c>
      <c r="AC8" s="22" t="s">
        <v>329</v>
      </c>
      <c r="AE8" s="32" t="s">
        <v>124</v>
      </c>
      <c r="AF8" s="20" t="s">
        <v>330</v>
      </c>
      <c r="AG8" s="20" t="s">
        <v>98</v>
      </c>
      <c r="AH8" s="20" t="s">
        <v>331</v>
      </c>
      <c r="AJ8" s="21" t="s">
        <v>93</v>
      </c>
      <c r="AK8" s="22" t="s">
        <v>332</v>
      </c>
      <c r="AL8" s="22" t="s">
        <v>333</v>
      </c>
      <c r="AM8" s="22" t="s">
        <v>334</v>
      </c>
      <c r="AO8" s="21" t="s">
        <v>335</v>
      </c>
      <c r="AP8" s="22" t="s">
        <v>336</v>
      </c>
      <c r="AQ8" s="22" t="s">
        <v>337</v>
      </c>
      <c r="AR8" s="22" t="s">
        <v>338</v>
      </c>
      <c r="AT8" s="21" t="s">
        <v>140</v>
      </c>
      <c r="AU8" s="22" t="s">
        <v>339</v>
      </c>
      <c r="AV8" s="22" t="s">
        <v>227</v>
      </c>
      <c r="AW8" s="22" t="s">
        <v>340</v>
      </c>
      <c r="AY8" s="21" t="s">
        <v>116</v>
      </c>
      <c r="AZ8" s="22" t="s">
        <v>341</v>
      </c>
      <c r="BA8" s="22" t="s">
        <v>173</v>
      </c>
      <c r="BB8" s="22" t="s">
        <v>342</v>
      </c>
      <c r="BD8" s="21" t="s">
        <v>152</v>
      </c>
      <c r="BE8" s="22" t="s">
        <v>343</v>
      </c>
      <c r="BF8" s="22" t="s">
        <v>344</v>
      </c>
      <c r="BG8" s="22" t="s">
        <v>345</v>
      </c>
      <c r="BI8" s="21" t="s">
        <v>225</v>
      </c>
      <c r="BJ8" s="22" t="s">
        <v>346</v>
      </c>
      <c r="BK8" s="22" t="s">
        <v>347</v>
      </c>
      <c r="BL8" s="22" t="s">
        <v>295</v>
      </c>
      <c r="BN8" s="21" t="s">
        <v>194</v>
      </c>
      <c r="BO8" s="22" t="s">
        <v>348</v>
      </c>
      <c r="BP8" s="22" t="s">
        <v>122</v>
      </c>
      <c r="BQ8" s="22" t="s">
        <v>281</v>
      </c>
      <c r="BS8" s="21" t="s">
        <v>194</v>
      </c>
      <c r="BT8" s="22" t="s">
        <v>349</v>
      </c>
      <c r="BU8" s="22" t="s">
        <v>126</v>
      </c>
      <c r="BV8" s="22" t="s">
        <v>350</v>
      </c>
      <c r="BX8" s="21" t="s">
        <v>175</v>
      </c>
      <c r="BY8" s="22" t="s">
        <v>351</v>
      </c>
      <c r="BZ8" s="22" t="s">
        <v>129</v>
      </c>
      <c r="CA8" s="22" t="s">
        <v>352</v>
      </c>
      <c r="CC8" s="21" t="s">
        <v>225</v>
      </c>
      <c r="CD8" s="22" t="s">
        <v>353</v>
      </c>
      <c r="CE8" s="22" t="s">
        <v>354</v>
      </c>
      <c r="CF8" s="22" t="s">
        <v>355</v>
      </c>
      <c r="CH8" s="21" t="s">
        <v>356</v>
      </c>
      <c r="CI8" s="21" t="s">
        <v>357</v>
      </c>
      <c r="CJ8" s="21" t="s">
        <v>358</v>
      </c>
      <c r="CK8" s="22" t="s">
        <v>359</v>
      </c>
      <c r="CM8" s="21" t="s">
        <v>93</v>
      </c>
      <c r="CN8" s="21" t="s">
        <v>360</v>
      </c>
      <c r="CO8" s="21" t="s">
        <v>361</v>
      </c>
      <c r="CP8" s="22" t="s">
        <v>362</v>
      </c>
    </row>
    <row r="9" spans="1:94">
      <c r="A9" s="18" t="s">
        <v>93</v>
      </c>
      <c r="B9" s="19" t="s">
        <v>363</v>
      </c>
      <c r="C9" s="19" t="s">
        <v>364</v>
      </c>
      <c r="D9" s="19" t="s">
        <v>365</v>
      </c>
      <c r="F9" s="19" t="s">
        <v>109</v>
      </c>
      <c r="G9" s="19" t="s">
        <v>366</v>
      </c>
      <c r="H9" s="19" t="s">
        <v>146</v>
      </c>
      <c r="I9" s="19" t="s">
        <v>367</v>
      </c>
      <c r="K9" s="18" t="s">
        <v>140</v>
      </c>
      <c r="L9" s="19" t="s">
        <v>368</v>
      </c>
      <c r="M9" s="19" t="s">
        <v>84</v>
      </c>
      <c r="N9" s="19" t="s">
        <v>369</v>
      </c>
      <c r="P9" s="20" t="s">
        <v>124</v>
      </c>
      <c r="Q9" s="20" t="s">
        <v>370</v>
      </c>
      <c r="R9" s="20" t="s">
        <v>266</v>
      </c>
      <c r="S9" s="20" t="s">
        <v>371</v>
      </c>
      <c r="U9" s="21" t="s">
        <v>140</v>
      </c>
      <c r="V9" s="22" t="s">
        <v>372</v>
      </c>
      <c r="W9" s="22" t="s">
        <v>156</v>
      </c>
      <c r="X9" s="22" t="s">
        <v>373</v>
      </c>
      <c r="Z9" s="21" t="s">
        <v>120</v>
      </c>
      <c r="AA9" s="22" t="s">
        <v>374</v>
      </c>
      <c r="AB9" s="22" t="s">
        <v>375</v>
      </c>
      <c r="AC9" s="22" t="s">
        <v>376</v>
      </c>
      <c r="AE9" s="32" t="s">
        <v>183</v>
      </c>
      <c r="AF9" s="20" t="s">
        <v>377</v>
      </c>
      <c r="AG9" s="20" t="s">
        <v>217</v>
      </c>
      <c r="AH9" s="20" t="s">
        <v>378</v>
      </c>
      <c r="AJ9" s="21" t="s">
        <v>225</v>
      </c>
      <c r="AK9" s="22" t="s">
        <v>379</v>
      </c>
      <c r="AL9" s="22" t="s">
        <v>101</v>
      </c>
      <c r="AM9" s="22" t="s">
        <v>380</v>
      </c>
      <c r="AO9" s="21" t="s">
        <v>93</v>
      </c>
      <c r="AP9" s="22" t="s">
        <v>381</v>
      </c>
      <c r="AQ9" s="22" t="s">
        <v>382</v>
      </c>
      <c r="AR9" s="22" t="s">
        <v>383</v>
      </c>
      <c r="AT9" s="21" t="s">
        <v>144</v>
      </c>
      <c r="AU9" s="22" t="s">
        <v>384</v>
      </c>
      <c r="AV9" s="22" t="s">
        <v>283</v>
      </c>
      <c r="AW9" s="22" t="s">
        <v>385</v>
      </c>
      <c r="AY9" s="21" t="s">
        <v>225</v>
      </c>
      <c r="AZ9" s="22" t="s">
        <v>386</v>
      </c>
      <c r="BA9" s="22" t="s">
        <v>387</v>
      </c>
      <c r="BB9" s="22" t="s">
        <v>388</v>
      </c>
      <c r="BD9" s="21" t="s">
        <v>144</v>
      </c>
      <c r="BE9" s="22" t="s">
        <v>389</v>
      </c>
      <c r="BF9" s="22" t="s">
        <v>114</v>
      </c>
      <c r="BG9" s="22" t="s">
        <v>390</v>
      </c>
      <c r="BI9" s="21" t="s">
        <v>356</v>
      </c>
      <c r="BJ9" s="22" t="s">
        <v>391</v>
      </c>
      <c r="BK9" s="22" t="s">
        <v>392</v>
      </c>
      <c r="BL9" s="22" t="s">
        <v>393</v>
      </c>
      <c r="BN9" s="21" t="s">
        <v>116</v>
      </c>
      <c r="BO9" s="22" t="s">
        <v>394</v>
      </c>
      <c r="BP9" s="22" t="s">
        <v>395</v>
      </c>
      <c r="BQ9" s="22" t="s">
        <v>396</v>
      </c>
      <c r="BS9" s="21" t="s">
        <v>116</v>
      </c>
      <c r="BT9" s="22" t="s">
        <v>397</v>
      </c>
      <c r="BU9" s="22" t="s">
        <v>398</v>
      </c>
      <c r="BV9" s="22" t="s">
        <v>399</v>
      </c>
      <c r="BX9" s="21" t="s">
        <v>225</v>
      </c>
      <c r="BY9" s="22" t="s">
        <v>400</v>
      </c>
      <c r="BZ9" s="22" t="s">
        <v>401</v>
      </c>
      <c r="CA9" s="22" t="s">
        <v>402</v>
      </c>
      <c r="CC9" s="21" t="s">
        <v>124</v>
      </c>
      <c r="CD9" s="22" t="s">
        <v>403</v>
      </c>
      <c r="CE9" s="22" t="s">
        <v>305</v>
      </c>
      <c r="CF9" s="22" t="s">
        <v>404</v>
      </c>
      <c r="CH9" s="21" t="s">
        <v>120</v>
      </c>
      <c r="CI9" s="21" t="s">
        <v>405</v>
      </c>
      <c r="CJ9" s="21" t="s">
        <v>406</v>
      </c>
      <c r="CK9" s="22" t="s">
        <v>407</v>
      </c>
      <c r="CM9" s="21" t="s">
        <v>175</v>
      </c>
      <c r="CN9" s="21" t="s">
        <v>408</v>
      </c>
      <c r="CO9" s="21" t="s">
        <v>138</v>
      </c>
      <c r="CP9" s="22" t="s">
        <v>409</v>
      </c>
    </row>
    <row r="10" spans="1:94">
      <c r="A10" s="18" t="s">
        <v>152</v>
      </c>
      <c r="B10" s="19" t="s">
        <v>410</v>
      </c>
      <c r="C10" s="19" t="s">
        <v>411</v>
      </c>
      <c r="D10" s="19" t="s">
        <v>412</v>
      </c>
      <c r="F10" s="19" t="s">
        <v>303</v>
      </c>
      <c r="G10" s="19" t="s">
        <v>413</v>
      </c>
      <c r="H10" s="19" t="s">
        <v>316</v>
      </c>
      <c r="I10" s="19" t="s">
        <v>414</v>
      </c>
      <c r="K10" s="18" t="s">
        <v>89</v>
      </c>
      <c r="L10" s="19" t="s">
        <v>415</v>
      </c>
      <c r="M10" s="19" t="s">
        <v>205</v>
      </c>
      <c r="N10" s="19" t="s">
        <v>416</v>
      </c>
      <c r="P10" s="20" t="s">
        <v>183</v>
      </c>
      <c r="Q10" s="20" t="s">
        <v>370</v>
      </c>
      <c r="R10" s="20" t="s">
        <v>417</v>
      </c>
      <c r="S10" s="20" t="s">
        <v>418</v>
      </c>
      <c r="U10" s="21" t="s">
        <v>356</v>
      </c>
      <c r="V10" s="22" t="s">
        <v>419</v>
      </c>
      <c r="W10" s="22" t="s">
        <v>420</v>
      </c>
      <c r="X10" s="22" t="s">
        <v>421</v>
      </c>
      <c r="Z10" s="21" t="s">
        <v>422</v>
      </c>
      <c r="AA10" s="22" t="s">
        <v>423</v>
      </c>
      <c r="AB10" s="22" t="s">
        <v>424</v>
      </c>
      <c r="AC10" s="22" t="s">
        <v>425</v>
      </c>
      <c r="AE10" s="32" t="s">
        <v>93</v>
      </c>
      <c r="AF10" s="20" t="s">
        <v>426</v>
      </c>
      <c r="AG10" s="20" t="s">
        <v>98</v>
      </c>
      <c r="AH10" s="20" t="s">
        <v>427</v>
      </c>
      <c r="AJ10" s="21" t="s">
        <v>116</v>
      </c>
      <c r="AK10" s="22" t="s">
        <v>428</v>
      </c>
      <c r="AL10" s="22" t="s">
        <v>429</v>
      </c>
      <c r="AM10" s="22" t="s">
        <v>430</v>
      </c>
      <c r="AO10" s="21" t="s">
        <v>431</v>
      </c>
      <c r="AP10" s="22" t="s">
        <v>432</v>
      </c>
      <c r="AQ10" s="22" t="s">
        <v>337</v>
      </c>
      <c r="AR10" s="22" t="s">
        <v>433</v>
      </c>
      <c r="AT10" s="21" t="s">
        <v>356</v>
      </c>
      <c r="AU10" s="22" t="s">
        <v>434</v>
      </c>
      <c r="AV10" s="22" t="s">
        <v>107</v>
      </c>
      <c r="AW10" s="22" t="s">
        <v>435</v>
      </c>
      <c r="AY10" s="21" t="s">
        <v>183</v>
      </c>
      <c r="AZ10" s="22" t="s">
        <v>436</v>
      </c>
      <c r="BA10" s="22" t="s">
        <v>437</v>
      </c>
      <c r="BB10" s="22" t="s">
        <v>438</v>
      </c>
      <c r="BD10" s="21" t="s">
        <v>148</v>
      </c>
      <c r="BE10" s="22" t="s">
        <v>439</v>
      </c>
      <c r="BF10" s="22" t="s">
        <v>440</v>
      </c>
      <c r="BG10" s="22" t="s">
        <v>388</v>
      </c>
      <c r="BI10" s="21" t="s">
        <v>175</v>
      </c>
      <c r="BJ10" s="22" t="s">
        <v>441</v>
      </c>
      <c r="BK10" s="22" t="s">
        <v>392</v>
      </c>
      <c r="BL10" s="22" t="s">
        <v>442</v>
      </c>
      <c r="BN10" s="21" t="s">
        <v>175</v>
      </c>
      <c r="BO10" s="22" t="s">
        <v>443</v>
      </c>
      <c r="BP10" s="22" t="s">
        <v>444</v>
      </c>
      <c r="BQ10" s="22" t="s">
        <v>445</v>
      </c>
      <c r="BS10" s="21" t="s">
        <v>148</v>
      </c>
      <c r="BT10" s="22" t="s">
        <v>446</v>
      </c>
      <c r="BU10" s="22" t="s">
        <v>447</v>
      </c>
      <c r="BV10" s="22" t="s">
        <v>448</v>
      </c>
      <c r="BX10" s="21" t="s">
        <v>116</v>
      </c>
      <c r="BY10" s="22" t="s">
        <v>449</v>
      </c>
      <c r="BZ10" s="22" t="s">
        <v>450</v>
      </c>
      <c r="CA10" s="22" t="s">
        <v>451</v>
      </c>
      <c r="CC10" s="21" t="s">
        <v>152</v>
      </c>
      <c r="CD10" s="22" t="s">
        <v>452</v>
      </c>
      <c r="CE10" s="22" t="s">
        <v>453</v>
      </c>
      <c r="CF10" s="22" t="s">
        <v>454</v>
      </c>
      <c r="CH10" s="21" t="s">
        <v>289</v>
      </c>
      <c r="CI10" s="21" t="s">
        <v>455</v>
      </c>
      <c r="CJ10" s="21" t="s">
        <v>456</v>
      </c>
      <c r="CK10" s="22" t="s">
        <v>457</v>
      </c>
      <c r="CM10" s="21" t="s">
        <v>225</v>
      </c>
      <c r="CN10" s="21" t="s">
        <v>458</v>
      </c>
      <c r="CO10" s="21" t="s">
        <v>459</v>
      </c>
      <c r="CP10" s="22" t="s">
        <v>460</v>
      </c>
    </row>
    <row r="11" spans="1:94">
      <c r="A11" s="18" t="s">
        <v>461</v>
      </c>
      <c r="B11" s="19" t="s">
        <v>462</v>
      </c>
      <c r="C11" s="19" t="s">
        <v>463</v>
      </c>
      <c r="D11" s="19" t="s">
        <v>464</v>
      </c>
      <c r="F11" s="19" t="s">
        <v>356</v>
      </c>
      <c r="G11" s="19" t="s">
        <v>465</v>
      </c>
      <c r="H11" s="19" t="s">
        <v>466</v>
      </c>
      <c r="I11" s="19" t="s">
        <v>467</v>
      </c>
      <c r="K11" s="18" t="s">
        <v>109</v>
      </c>
      <c r="L11" s="19" t="s">
        <v>468</v>
      </c>
      <c r="M11" s="19" t="s">
        <v>263</v>
      </c>
      <c r="N11" s="19" t="s">
        <v>469</v>
      </c>
      <c r="P11" s="20" t="s">
        <v>232</v>
      </c>
      <c r="Q11" s="20" t="s">
        <v>470</v>
      </c>
      <c r="R11" s="20" t="s">
        <v>266</v>
      </c>
      <c r="S11" s="20" t="s">
        <v>471</v>
      </c>
      <c r="U11" s="21" t="s">
        <v>93</v>
      </c>
      <c r="V11" s="22" t="s">
        <v>472</v>
      </c>
      <c r="W11" s="22" t="s">
        <v>473</v>
      </c>
      <c r="X11" s="22" t="s">
        <v>409</v>
      </c>
      <c r="Z11" s="21" t="s">
        <v>183</v>
      </c>
      <c r="AA11" s="22" t="s">
        <v>474</v>
      </c>
      <c r="AB11" s="22" t="s">
        <v>475</v>
      </c>
      <c r="AC11" s="22" t="s">
        <v>476</v>
      </c>
      <c r="AE11" s="32" t="s">
        <v>356</v>
      </c>
      <c r="AF11" s="20" t="s">
        <v>477</v>
      </c>
      <c r="AG11" s="20" t="s">
        <v>478</v>
      </c>
      <c r="AH11" s="20" t="s">
        <v>479</v>
      </c>
      <c r="AJ11" s="21" t="s">
        <v>194</v>
      </c>
      <c r="AK11" s="22" t="s">
        <v>480</v>
      </c>
      <c r="AL11" s="22" t="s">
        <v>333</v>
      </c>
      <c r="AM11" s="22" t="s">
        <v>481</v>
      </c>
      <c r="AO11" s="21" t="s">
        <v>289</v>
      </c>
      <c r="AP11" s="22" t="s">
        <v>482</v>
      </c>
      <c r="AQ11" s="22" t="s">
        <v>167</v>
      </c>
      <c r="AR11" s="22" t="s">
        <v>483</v>
      </c>
      <c r="AT11" s="21" t="s">
        <v>120</v>
      </c>
      <c r="AU11" s="22" t="s">
        <v>484</v>
      </c>
      <c r="AV11" s="22" t="s">
        <v>107</v>
      </c>
      <c r="AW11" s="22" t="s">
        <v>485</v>
      </c>
      <c r="AY11" s="21" t="s">
        <v>232</v>
      </c>
      <c r="AZ11" s="22" t="s">
        <v>486</v>
      </c>
      <c r="BA11" s="22" t="s">
        <v>487</v>
      </c>
      <c r="BB11" s="22" t="s">
        <v>488</v>
      </c>
      <c r="BD11" s="21" t="s">
        <v>116</v>
      </c>
      <c r="BE11" s="22" t="s">
        <v>489</v>
      </c>
      <c r="BF11" s="22" t="s">
        <v>490</v>
      </c>
      <c r="BG11" s="22" t="s">
        <v>491</v>
      </c>
      <c r="BI11" s="21" t="s">
        <v>144</v>
      </c>
      <c r="BJ11" s="22" t="s">
        <v>492</v>
      </c>
      <c r="BK11" s="22" t="s">
        <v>347</v>
      </c>
      <c r="BL11" s="22" t="s">
        <v>493</v>
      </c>
      <c r="BN11" s="21" t="s">
        <v>356</v>
      </c>
      <c r="BO11" s="22" t="s">
        <v>494</v>
      </c>
      <c r="BP11" s="22" t="s">
        <v>495</v>
      </c>
      <c r="BQ11" s="22" t="s">
        <v>352</v>
      </c>
      <c r="BS11" s="21" t="s">
        <v>175</v>
      </c>
      <c r="BT11" s="22" t="s">
        <v>496</v>
      </c>
      <c r="BU11" s="22" t="s">
        <v>497</v>
      </c>
      <c r="BV11" s="22" t="s">
        <v>119</v>
      </c>
      <c r="BX11" s="21" t="s">
        <v>498</v>
      </c>
      <c r="BY11" s="22" t="s">
        <v>499</v>
      </c>
      <c r="BZ11" s="22" t="s">
        <v>500</v>
      </c>
      <c r="CA11" s="22" t="s">
        <v>501</v>
      </c>
      <c r="CC11" s="21" t="s">
        <v>356</v>
      </c>
      <c r="CD11" s="22" t="s">
        <v>502</v>
      </c>
      <c r="CE11" s="22" t="s">
        <v>453</v>
      </c>
      <c r="CF11" s="22" t="s">
        <v>503</v>
      </c>
      <c r="CH11" s="21" t="s">
        <v>225</v>
      </c>
      <c r="CI11" s="21" t="s">
        <v>504</v>
      </c>
      <c r="CJ11" s="21" t="s">
        <v>505</v>
      </c>
      <c r="CK11" s="22" t="s">
        <v>506</v>
      </c>
      <c r="CM11" s="21" t="s">
        <v>183</v>
      </c>
      <c r="CN11" s="21" t="s">
        <v>507</v>
      </c>
      <c r="CO11" s="21" t="s">
        <v>311</v>
      </c>
      <c r="CP11" s="22" t="s">
        <v>508</v>
      </c>
    </row>
    <row r="12" spans="1:94">
      <c r="A12" s="18" t="s">
        <v>124</v>
      </c>
      <c r="B12" s="19" t="s">
        <v>509</v>
      </c>
      <c r="C12" s="19" t="s">
        <v>411</v>
      </c>
      <c r="D12" s="19" t="s">
        <v>510</v>
      </c>
      <c r="F12" s="19" t="s">
        <v>511</v>
      </c>
      <c r="G12" s="19" t="s">
        <v>512</v>
      </c>
      <c r="H12" s="19" t="s">
        <v>513</v>
      </c>
      <c r="I12" s="19" t="s">
        <v>514</v>
      </c>
      <c r="K12" s="18" t="s">
        <v>422</v>
      </c>
      <c r="L12" s="19" t="s">
        <v>515</v>
      </c>
      <c r="M12" s="19" t="s">
        <v>516</v>
      </c>
      <c r="N12" s="19" t="s">
        <v>517</v>
      </c>
      <c r="P12" s="20" t="s">
        <v>194</v>
      </c>
      <c r="Q12" s="20" t="s">
        <v>518</v>
      </c>
      <c r="R12" s="20" t="s">
        <v>208</v>
      </c>
      <c r="S12" s="20" t="s">
        <v>519</v>
      </c>
      <c r="U12" s="21" t="s">
        <v>148</v>
      </c>
      <c r="V12" s="22" t="s">
        <v>520</v>
      </c>
      <c r="W12" s="22" t="s">
        <v>211</v>
      </c>
      <c r="X12" s="22" t="s">
        <v>235</v>
      </c>
      <c r="Z12" s="21" t="s">
        <v>144</v>
      </c>
      <c r="AA12" s="22" t="s">
        <v>521</v>
      </c>
      <c r="AB12" s="22" t="s">
        <v>522</v>
      </c>
      <c r="AC12" s="22" t="s">
        <v>523</v>
      </c>
      <c r="AE12" s="32" t="s">
        <v>144</v>
      </c>
      <c r="AF12" s="20" t="s">
        <v>524</v>
      </c>
      <c r="AG12" s="20" t="s">
        <v>525</v>
      </c>
      <c r="AH12" s="20" t="s">
        <v>526</v>
      </c>
      <c r="AJ12" s="21" t="s">
        <v>144</v>
      </c>
      <c r="AK12" s="22" t="s">
        <v>527</v>
      </c>
      <c r="AL12" s="22" t="s">
        <v>101</v>
      </c>
      <c r="AM12" s="22" t="s">
        <v>528</v>
      </c>
      <c r="AO12" s="21" t="s">
        <v>194</v>
      </c>
      <c r="AP12" s="22" t="s">
        <v>529</v>
      </c>
      <c r="AQ12" s="22" t="s">
        <v>530</v>
      </c>
      <c r="AR12" s="22" t="s">
        <v>531</v>
      </c>
      <c r="AT12" s="21" t="s">
        <v>175</v>
      </c>
      <c r="AU12" s="22" t="s">
        <v>532</v>
      </c>
      <c r="AV12" s="22" t="s">
        <v>533</v>
      </c>
      <c r="AW12" s="22" t="s">
        <v>534</v>
      </c>
      <c r="AY12" s="21" t="s">
        <v>120</v>
      </c>
      <c r="AZ12" s="22" t="s">
        <v>535</v>
      </c>
      <c r="BA12" s="22" t="s">
        <v>536</v>
      </c>
      <c r="BB12" s="22" t="s">
        <v>537</v>
      </c>
      <c r="BD12" s="21" t="s">
        <v>225</v>
      </c>
      <c r="BE12" s="22" t="s">
        <v>538</v>
      </c>
      <c r="BF12" s="22" t="s">
        <v>539</v>
      </c>
      <c r="BG12" s="22" t="s">
        <v>540</v>
      </c>
      <c r="BI12" s="21" t="s">
        <v>140</v>
      </c>
      <c r="BJ12" s="22" t="s">
        <v>541</v>
      </c>
      <c r="BK12" s="22" t="s">
        <v>542</v>
      </c>
      <c r="BL12" s="22" t="s">
        <v>543</v>
      </c>
      <c r="BN12" s="21" t="s">
        <v>544</v>
      </c>
      <c r="BO12" s="22" t="s">
        <v>545</v>
      </c>
      <c r="BP12" s="22" t="s">
        <v>495</v>
      </c>
      <c r="BQ12" s="22" t="s">
        <v>284</v>
      </c>
      <c r="BS12" s="21" t="s">
        <v>335</v>
      </c>
      <c r="BT12" s="22" t="s">
        <v>546</v>
      </c>
      <c r="BU12" s="22" t="s">
        <v>398</v>
      </c>
      <c r="BV12" s="22" t="s">
        <v>547</v>
      </c>
      <c r="BX12" s="21" t="s">
        <v>356</v>
      </c>
      <c r="BY12" s="22" t="s">
        <v>548</v>
      </c>
      <c r="BZ12" s="22" t="s">
        <v>129</v>
      </c>
      <c r="CA12" s="22" t="s">
        <v>549</v>
      </c>
      <c r="CC12" s="21" t="s">
        <v>116</v>
      </c>
      <c r="CD12" s="22" t="s">
        <v>550</v>
      </c>
      <c r="CE12" s="22" t="s">
        <v>551</v>
      </c>
      <c r="CF12" s="22" t="s">
        <v>388</v>
      </c>
      <c r="CH12" s="21" t="s">
        <v>335</v>
      </c>
      <c r="CI12" s="21" t="s">
        <v>552</v>
      </c>
      <c r="CJ12" s="21" t="s">
        <v>553</v>
      </c>
      <c r="CK12" s="22" t="s">
        <v>554</v>
      </c>
      <c r="CM12" s="21" t="s">
        <v>152</v>
      </c>
      <c r="CN12" s="21" t="s">
        <v>555</v>
      </c>
      <c r="CO12" s="21" t="s">
        <v>361</v>
      </c>
      <c r="CP12" s="22" t="s">
        <v>556</v>
      </c>
    </row>
    <row r="13" spans="1:94">
      <c r="A13" s="18" t="s">
        <v>258</v>
      </c>
      <c r="B13" s="19" t="s">
        <v>557</v>
      </c>
      <c r="C13" s="19" t="s">
        <v>558</v>
      </c>
      <c r="D13" s="19" t="s">
        <v>559</v>
      </c>
      <c r="F13" s="19" t="s">
        <v>225</v>
      </c>
      <c r="G13" s="19" t="s">
        <v>560</v>
      </c>
      <c r="H13" s="19" t="s">
        <v>81</v>
      </c>
      <c r="I13" s="19" t="s">
        <v>561</v>
      </c>
      <c r="K13" s="18" t="s">
        <v>498</v>
      </c>
      <c r="L13" s="19" t="s">
        <v>562</v>
      </c>
      <c r="M13" s="19" t="s">
        <v>84</v>
      </c>
      <c r="N13" s="19" t="s">
        <v>563</v>
      </c>
      <c r="P13" s="20" t="s">
        <v>225</v>
      </c>
      <c r="Q13" s="20" t="s">
        <v>564</v>
      </c>
      <c r="R13" s="20" t="s">
        <v>154</v>
      </c>
      <c r="S13" s="20" t="s">
        <v>565</v>
      </c>
      <c r="U13" s="21" t="s">
        <v>116</v>
      </c>
      <c r="V13" s="22" t="s">
        <v>566</v>
      </c>
      <c r="W13" s="22" t="s">
        <v>567</v>
      </c>
      <c r="X13" s="22" t="s">
        <v>568</v>
      </c>
      <c r="Z13" s="21" t="s">
        <v>109</v>
      </c>
      <c r="AA13" s="22" t="s">
        <v>569</v>
      </c>
      <c r="AB13" s="22" t="s">
        <v>570</v>
      </c>
      <c r="AC13" s="22" t="s">
        <v>571</v>
      </c>
      <c r="AE13" s="32" t="s">
        <v>225</v>
      </c>
      <c r="AF13" s="20" t="s">
        <v>572</v>
      </c>
      <c r="AG13" s="20" t="s">
        <v>98</v>
      </c>
      <c r="AH13" s="20" t="s">
        <v>573</v>
      </c>
      <c r="AJ13" s="21" t="s">
        <v>124</v>
      </c>
      <c r="AK13" s="22" t="s">
        <v>574</v>
      </c>
      <c r="AL13" s="22" t="s">
        <v>101</v>
      </c>
      <c r="AM13" s="22" t="s">
        <v>575</v>
      </c>
      <c r="AO13" s="21" t="s">
        <v>148</v>
      </c>
      <c r="AP13" s="22" t="s">
        <v>576</v>
      </c>
      <c r="AQ13" s="22" t="s">
        <v>337</v>
      </c>
      <c r="AR13" s="22" t="s">
        <v>577</v>
      </c>
      <c r="AT13" s="21" t="s">
        <v>148</v>
      </c>
      <c r="AU13" s="22" t="s">
        <v>578</v>
      </c>
      <c r="AV13" s="22" t="s">
        <v>579</v>
      </c>
      <c r="AW13" s="22" t="s">
        <v>580</v>
      </c>
      <c r="AY13" s="21" t="s">
        <v>148</v>
      </c>
      <c r="AZ13" s="22" t="s">
        <v>581</v>
      </c>
      <c r="BA13" s="22" t="s">
        <v>582</v>
      </c>
      <c r="BB13" s="22" t="s">
        <v>583</v>
      </c>
      <c r="BD13" s="21" t="s">
        <v>140</v>
      </c>
      <c r="BE13" s="22" t="s">
        <v>584</v>
      </c>
      <c r="BF13" s="22" t="s">
        <v>585</v>
      </c>
      <c r="BG13" s="22" t="s">
        <v>586</v>
      </c>
      <c r="BI13" s="21" t="s">
        <v>148</v>
      </c>
      <c r="BJ13" s="22" t="s">
        <v>587</v>
      </c>
      <c r="BK13" s="22" t="s">
        <v>294</v>
      </c>
      <c r="BL13" s="22" t="s">
        <v>388</v>
      </c>
      <c r="BN13" s="21" t="s">
        <v>289</v>
      </c>
      <c r="BO13" s="22" t="s">
        <v>588</v>
      </c>
      <c r="BP13" s="22" t="s">
        <v>122</v>
      </c>
      <c r="BQ13" s="22" t="s">
        <v>589</v>
      </c>
      <c r="BS13" s="21" t="s">
        <v>356</v>
      </c>
      <c r="BT13" s="22" t="s">
        <v>590</v>
      </c>
      <c r="BU13" s="22" t="s">
        <v>398</v>
      </c>
      <c r="BV13" s="22" t="s">
        <v>591</v>
      </c>
      <c r="BX13" s="21" t="s">
        <v>335</v>
      </c>
      <c r="BY13" s="22" t="s">
        <v>592</v>
      </c>
      <c r="BZ13" s="22" t="s">
        <v>129</v>
      </c>
      <c r="CA13" s="22" t="s">
        <v>593</v>
      </c>
      <c r="CC13" s="21" t="s">
        <v>148</v>
      </c>
      <c r="CD13" s="22" t="s">
        <v>594</v>
      </c>
      <c r="CE13" s="22" t="s">
        <v>595</v>
      </c>
      <c r="CF13" s="22" t="s">
        <v>596</v>
      </c>
      <c r="CH13" s="21" t="s">
        <v>116</v>
      </c>
      <c r="CI13" s="21" t="s">
        <v>597</v>
      </c>
      <c r="CJ13" s="21" t="s">
        <v>456</v>
      </c>
      <c r="CK13" s="22" t="s">
        <v>278</v>
      </c>
      <c r="CM13" s="21" t="s">
        <v>289</v>
      </c>
      <c r="CN13" s="21" t="s">
        <v>598</v>
      </c>
      <c r="CO13" s="21" t="s">
        <v>311</v>
      </c>
      <c r="CP13" s="22" t="s">
        <v>599</v>
      </c>
    </row>
    <row r="14" spans="1:94">
      <c r="A14" s="18" t="s">
        <v>422</v>
      </c>
      <c r="B14" s="19" t="s">
        <v>600</v>
      </c>
      <c r="C14" s="19" t="s">
        <v>601</v>
      </c>
      <c r="D14" s="19" t="s">
        <v>602</v>
      </c>
      <c r="F14" s="19" t="s">
        <v>603</v>
      </c>
      <c r="G14" s="19" t="s">
        <v>604</v>
      </c>
      <c r="H14" s="19" t="s">
        <v>605</v>
      </c>
      <c r="I14" s="19" t="s">
        <v>606</v>
      </c>
      <c r="K14" s="18" t="s">
        <v>124</v>
      </c>
      <c r="L14" s="19" t="s">
        <v>607</v>
      </c>
      <c r="M14" s="19" t="s">
        <v>84</v>
      </c>
      <c r="N14" s="19" t="s">
        <v>608</v>
      </c>
      <c r="P14" s="20" t="s">
        <v>175</v>
      </c>
      <c r="Q14" s="20" t="s">
        <v>609</v>
      </c>
      <c r="R14" s="20" t="s">
        <v>610</v>
      </c>
      <c r="S14" s="20" t="s">
        <v>611</v>
      </c>
      <c r="U14" s="21" t="s">
        <v>612</v>
      </c>
      <c r="V14" s="22" t="s">
        <v>613</v>
      </c>
      <c r="W14" s="22" t="s">
        <v>614</v>
      </c>
      <c r="X14" s="22" t="s">
        <v>615</v>
      </c>
      <c r="Z14" s="21" t="s">
        <v>194</v>
      </c>
      <c r="AA14" s="22" t="s">
        <v>616</v>
      </c>
      <c r="AB14" s="22" t="s">
        <v>214</v>
      </c>
      <c r="AC14" s="22" t="s">
        <v>617</v>
      </c>
      <c r="AE14" s="32" t="s">
        <v>120</v>
      </c>
      <c r="AF14" s="20" t="s">
        <v>618</v>
      </c>
      <c r="AG14" s="20" t="s">
        <v>619</v>
      </c>
      <c r="AH14" s="20" t="s">
        <v>620</v>
      </c>
      <c r="AJ14" s="21" t="s">
        <v>232</v>
      </c>
      <c r="AK14" s="22" t="s">
        <v>621</v>
      </c>
      <c r="AL14" s="22" t="s">
        <v>101</v>
      </c>
      <c r="AM14" s="22" t="s">
        <v>622</v>
      </c>
      <c r="AO14" s="21" t="s">
        <v>116</v>
      </c>
      <c r="AP14" s="22" t="s">
        <v>623</v>
      </c>
      <c r="AQ14" s="22" t="s">
        <v>530</v>
      </c>
      <c r="AR14" s="22" t="s">
        <v>388</v>
      </c>
      <c r="AT14" s="21" t="s">
        <v>183</v>
      </c>
      <c r="AU14" s="22" t="s">
        <v>624</v>
      </c>
      <c r="AV14" s="22" t="s">
        <v>625</v>
      </c>
      <c r="AW14" s="22" t="s">
        <v>626</v>
      </c>
      <c r="AY14" s="21" t="s">
        <v>194</v>
      </c>
      <c r="AZ14" s="22" t="s">
        <v>627</v>
      </c>
      <c r="BA14" s="22" t="s">
        <v>628</v>
      </c>
      <c r="BB14" s="22" t="s">
        <v>629</v>
      </c>
      <c r="BD14" s="21" t="s">
        <v>422</v>
      </c>
      <c r="BE14" s="22" t="s">
        <v>630</v>
      </c>
      <c r="BF14" s="22" t="s">
        <v>490</v>
      </c>
      <c r="BG14" s="22" t="s">
        <v>631</v>
      </c>
      <c r="BI14" s="21" t="s">
        <v>109</v>
      </c>
      <c r="BJ14" s="22" t="s">
        <v>632</v>
      </c>
      <c r="BK14" s="22" t="s">
        <v>347</v>
      </c>
      <c r="BL14" s="22" t="s">
        <v>633</v>
      </c>
      <c r="BN14" s="21" t="s">
        <v>124</v>
      </c>
      <c r="BO14" s="22" t="s">
        <v>634</v>
      </c>
      <c r="BP14" s="22" t="s">
        <v>122</v>
      </c>
      <c r="BQ14" s="22" t="s">
        <v>635</v>
      </c>
      <c r="BS14" s="21" t="s">
        <v>544</v>
      </c>
      <c r="BT14" s="22" t="s">
        <v>636</v>
      </c>
      <c r="BU14" s="22" t="s">
        <v>185</v>
      </c>
      <c r="BV14" s="22" t="s">
        <v>637</v>
      </c>
      <c r="BX14" s="21" t="s">
        <v>120</v>
      </c>
      <c r="BY14" s="22" t="s">
        <v>638</v>
      </c>
      <c r="BZ14" s="22" t="s">
        <v>639</v>
      </c>
      <c r="CA14" s="22" t="s">
        <v>640</v>
      </c>
      <c r="CC14" s="21" t="s">
        <v>93</v>
      </c>
      <c r="CD14" s="22" t="s">
        <v>641</v>
      </c>
      <c r="CE14" s="22" t="s">
        <v>354</v>
      </c>
      <c r="CF14" s="22" t="s">
        <v>642</v>
      </c>
      <c r="CH14" s="21" t="s">
        <v>612</v>
      </c>
      <c r="CI14" s="21" t="s">
        <v>643</v>
      </c>
      <c r="CJ14" s="21" t="s">
        <v>644</v>
      </c>
      <c r="CK14" s="22" t="s">
        <v>645</v>
      </c>
      <c r="CM14" s="21" t="s">
        <v>116</v>
      </c>
      <c r="CN14" s="21" t="s">
        <v>646</v>
      </c>
      <c r="CO14" s="21" t="s">
        <v>459</v>
      </c>
      <c r="CP14" s="22" t="s">
        <v>215</v>
      </c>
    </row>
    <row r="15" spans="1:94">
      <c r="A15" s="18" t="s">
        <v>183</v>
      </c>
      <c r="B15" s="19" t="s">
        <v>647</v>
      </c>
      <c r="C15" s="19" t="s">
        <v>648</v>
      </c>
      <c r="D15" s="19" t="s">
        <v>649</v>
      </c>
      <c r="F15" s="19" t="s">
        <v>175</v>
      </c>
      <c r="G15" s="19" t="s">
        <v>650</v>
      </c>
      <c r="H15" s="19" t="s">
        <v>513</v>
      </c>
      <c r="I15" s="19" t="s">
        <v>651</v>
      </c>
      <c r="K15" s="18" t="s">
        <v>285</v>
      </c>
      <c r="L15" s="19" t="s">
        <v>652</v>
      </c>
      <c r="M15" s="19" t="s">
        <v>653</v>
      </c>
      <c r="N15" s="19" t="s">
        <v>654</v>
      </c>
      <c r="P15" s="20" t="s">
        <v>120</v>
      </c>
      <c r="Q15" s="20" t="s">
        <v>655</v>
      </c>
      <c r="R15" s="20" t="s">
        <v>656</v>
      </c>
      <c r="S15" s="20" t="s">
        <v>657</v>
      </c>
      <c r="U15" s="21" t="s">
        <v>258</v>
      </c>
      <c r="V15" s="22" t="s">
        <v>658</v>
      </c>
      <c r="W15" s="22" t="s">
        <v>156</v>
      </c>
      <c r="X15" s="22" t="s">
        <v>659</v>
      </c>
      <c r="Z15" s="21" t="s">
        <v>124</v>
      </c>
      <c r="AA15" s="22" t="s">
        <v>660</v>
      </c>
      <c r="AB15" s="22" t="s">
        <v>328</v>
      </c>
      <c r="AC15" s="22" t="s">
        <v>661</v>
      </c>
      <c r="AE15" s="32" t="s">
        <v>148</v>
      </c>
      <c r="AF15" s="20" t="s">
        <v>662</v>
      </c>
      <c r="AG15" s="20" t="s">
        <v>98</v>
      </c>
      <c r="AH15" s="20" t="s">
        <v>663</v>
      </c>
      <c r="AJ15" s="21" t="s">
        <v>140</v>
      </c>
      <c r="AK15" s="22" t="s">
        <v>664</v>
      </c>
      <c r="AL15" s="22" t="s">
        <v>665</v>
      </c>
      <c r="AM15" s="22" t="s">
        <v>666</v>
      </c>
      <c r="AO15" s="21" t="s">
        <v>612</v>
      </c>
      <c r="AP15" s="22" t="s">
        <v>667</v>
      </c>
      <c r="AQ15" s="22" t="s">
        <v>167</v>
      </c>
      <c r="AR15" s="22" t="s">
        <v>583</v>
      </c>
      <c r="AT15" s="21" t="s">
        <v>194</v>
      </c>
      <c r="AU15" s="22" t="s">
        <v>668</v>
      </c>
      <c r="AV15" s="22" t="s">
        <v>669</v>
      </c>
      <c r="AW15" s="22" t="s">
        <v>670</v>
      </c>
      <c r="AY15" s="21" t="s">
        <v>335</v>
      </c>
      <c r="AZ15" s="22" t="s">
        <v>671</v>
      </c>
      <c r="BA15" s="22" t="s">
        <v>628</v>
      </c>
      <c r="BB15" s="22" t="s">
        <v>591</v>
      </c>
      <c r="BD15" s="21" t="s">
        <v>544</v>
      </c>
      <c r="BE15" s="22" t="s">
        <v>672</v>
      </c>
      <c r="BF15" s="22" t="s">
        <v>673</v>
      </c>
      <c r="BG15" s="22" t="s">
        <v>674</v>
      </c>
      <c r="BI15" s="21" t="s">
        <v>152</v>
      </c>
      <c r="BJ15" s="22" t="s">
        <v>675</v>
      </c>
      <c r="BK15" s="22" t="s">
        <v>118</v>
      </c>
      <c r="BL15" s="22" t="s">
        <v>676</v>
      </c>
      <c r="BN15" s="21" t="s">
        <v>144</v>
      </c>
      <c r="BO15" s="22" t="s">
        <v>677</v>
      </c>
      <c r="BP15" s="22" t="s">
        <v>444</v>
      </c>
      <c r="BQ15" s="22" t="s">
        <v>678</v>
      </c>
      <c r="BS15" s="21" t="s">
        <v>109</v>
      </c>
      <c r="BT15" s="22" t="s">
        <v>679</v>
      </c>
      <c r="BU15" s="22" t="s">
        <v>680</v>
      </c>
      <c r="BV15" s="22" t="s">
        <v>681</v>
      </c>
      <c r="BX15" s="21" t="s">
        <v>544</v>
      </c>
      <c r="BY15" s="22" t="s">
        <v>682</v>
      </c>
      <c r="BZ15" s="22" t="s">
        <v>683</v>
      </c>
      <c r="CA15" s="22" t="s">
        <v>684</v>
      </c>
      <c r="CC15" s="21" t="s">
        <v>194</v>
      </c>
      <c r="CD15" s="22" t="s">
        <v>685</v>
      </c>
      <c r="CE15" s="22" t="s">
        <v>354</v>
      </c>
      <c r="CF15" s="22" t="s">
        <v>686</v>
      </c>
      <c r="CH15" s="21" t="s">
        <v>93</v>
      </c>
      <c r="CI15" s="21" t="s">
        <v>687</v>
      </c>
      <c r="CJ15" s="21" t="s">
        <v>688</v>
      </c>
      <c r="CK15" s="22" t="s">
        <v>689</v>
      </c>
      <c r="CM15" s="21" t="s">
        <v>544</v>
      </c>
      <c r="CN15" s="21" t="s">
        <v>690</v>
      </c>
      <c r="CO15" s="21" t="s">
        <v>691</v>
      </c>
      <c r="CP15" s="22" t="s">
        <v>692</v>
      </c>
    </row>
    <row r="16" spans="1:94">
      <c r="A16" s="18" t="s">
        <v>120</v>
      </c>
      <c r="B16" s="19" t="s">
        <v>693</v>
      </c>
      <c r="C16" s="19" t="s">
        <v>78</v>
      </c>
      <c r="D16" s="19" t="s">
        <v>694</v>
      </c>
      <c r="F16" s="19" t="s">
        <v>116</v>
      </c>
      <c r="G16" s="19" t="s">
        <v>695</v>
      </c>
      <c r="H16" s="19" t="s">
        <v>696</v>
      </c>
      <c r="I16" s="19" t="s">
        <v>697</v>
      </c>
      <c r="K16" s="18" t="s">
        <v>116</v>
      </c>
      <c r="L16" s="19" t="s">
        <v>698</v>
      </c>
      <c r="M16" s="19" t="s">
        <v>699</v>
      </c>
      <c r="N16" s="19" t="s">
        <v>700</v>
      </c>
      <c r="P16" s="20" t="s">
        <v>144</v>
      </c>
      <c r="Q16" s="20" t="s">
        <v>701</v>
      </c>
      <c r="R16" s="20" t="s">
        <v>208</v>
      </c>
      <c r="S16" s="20" t="s">
        <v>702</v>
      </c>
      <c r="U16" s="21" t="s">
        <v>498</v>
      </c>
      <c r="V16" s="22" t="s">
        <v>703</v>
      </c>
      <c r="W16" s="22" t="s">
        <v>704</v>
      </c>
      <c r="X16" s="22" t="s">
        <v>705</v>
      </c>
      <c r="Z16" s="21" t="s">
        <v>232</v>
      </c>
      <c r="AA16" s="22" t="s">
        <v>706</v>
      </c>
      <c r="AB16" s="22" t="s">
        <v>522</v>
      </c>
      <c r="AC16" s="22" t="s">
        <v>119</v>
      </c>
      <c r="AE16" s="32" t="s">
        <v>109</v>
      </c>
      <c r="AF16" s="20" t="s">
        <v>707</v>
      </c>
      <c r="AG16" s="20" t="s">
        <v>708</v>
      </c>
      <c r="AH16" s="20" t="s">
        <v>709</v>
      </c>
      <c r="AJ16" s="21" t="s">
        <v>422</v>
      </c>
      <c r="AK16" s="22" t="s">
        <v>710</v>
      </c>
      <c r="AL16" s="22" t="s">
        <v>711</v>
      </c>
      <c r="AM16" s="22" t="s">
        <v>712</v>
      </c>
      <c r="AO16" s="21" t="s">
        <v>120</v>
      </c>
      <c r="AP16" s="22" t="s">
        <v>713</v>
      </c>
      <c r="AQ16" s="22" t="s">
        <v>714</v>
      </c>
      <c r="AR16" s="22" t="s">
        <v>715</v>
      </c>
      <c r="AT16" s="21" t="s">
        <v>716</v>
      </c>
      <c r="AU16" s="22" t="s">
        <v>717</v>
      </c>
      <c r="AV16" s="22" t="s">
        <v>718</v>
      </c>
      <c r="AW16" s="22" t="s">
        <v>719</v>
      </c>
      <c r="AY16" s="21" t="s">
        <v>356</v>
      </c>
      <c r="AZ16" s="22" t="s">
        <v>720</v>
      </c>
      <c r="BA16" s="22" t="s">
        <v>721</v>
      </c>
      <c r="BB16" s="22" t="s">
        <v>722</v>
      </c>
      <c r="BD16" s="21" t="s">
        <v>109</v>
      </c>
      <c r="BE16" s="22" t="s">
        <v>723</v>
      </c>
      <c r="BF16" s="22" t="s">
        <v>724</v>
      </c>
      <c r="BG16" s="22" t="s">
        <v>725</v>
      </c>
      <c r="BI16" s="21" t="s">
        <v>303</v>
      </c>
      <c r="BJ16" s="22" t="s">
        <v>726</v>
      </c>
      <c r="BK16" s="22" t="s">
        <v>347</v>
      </c>
      <c r="BL16" s="22" t="s">
        <v>727</v>
      </c>
      <c r="BN16" s="21" t="s">
        <v>93</v>
      </c>
      <c r="BO16" s="22" t="s">
        <v>728</v>
      </c>
      <c r="BP16" s="22" t="s">
        <v>239</v>
      </c>
      <c r="BQ16" s="22" t="s">
        <v>729</v>
      </c>
      <c r="BS16" s="21" t="s">
        <v>120</v>
      </c>
      <c r="BT16" s="22" t="s">
        <v>730</v>
      </c>
      <c r="BU16" s="22" t="s">
        <v>731</v>
      </c>
      <c r="BV16" s="22" t="s">
        <v>388</v>
      </c>
      <c r="BX16" s="21" t="s">
        <v>93</v>
      </c>
      <c r="BY16" s="22" t="s">
        <v>732</v>
      </c>
      <c r="BZ16" s="22" t="s">
        <v>733</v>
      </c>
      <c r="CA16" s="22" t="s">
        <v>734</v>
      </c>
      <c r="CC16" s="21" t="s">
        <v>144</v>
      </c>
      <c r="CD16" s="22" t="s">
        <v>735</v>
      </c>
      <c r="CE16" s="22" t="s">
        <v>736</v>
      </c>
      <c r="CF16" s="22" t="s">
        <v>270</v>
      </c>
      <c r="CH16" s="21" t="s">
        <v>183</v>
      </c>
      <c r="CI16" s="21" t="s">
        <v>737</v>
      </c>
      <c r="CJ16" s="21" t="s">
        <v>406</v>
      </c>
      <c r="CK16" s="22" t="s">
        <v>738</v>
      </c>
      <c r="CM16" s="21" t="s">
        <v>356</v>
      </c>
      <c r="CN16" s="21" t="s">
        <v>739</v>
      </c>
      <c r="CO16" s="21" t="s">
        <v>311</v>
      </c>
      <c r="CP16" s="22" t="s">
        <v>740</v>
      </c>
    </row>
    <row r="17" spans="1:94">
      <c r="A17" s="18" t="s">
        <v>175</v>
      </c>
      <c r="B17" s="19" t="s">
        <v>741</v>
      </c>
      <c r="C17" s="19" t="s">
        <v>142</v>
      </c>
      <c r="D17" s="19" t="s">
        <v>742</v>
      </c>
      <c r="F17" s="19" t="s">
        <v>743</v>
      </c>
      <c r="G17" s="19" t="s">
        <v>744</v>
      </c>
      <c r="H17" s="19" t="s">
        <v>745</v>
      </c>
      <c r="I17" s="19" t="s">
        <v>746</v>
      </c>
      <c r="K17" s="18" t="s">
        <v>175</v>
      </c>
      <c r="L17" s="19" t="s">
        <v>747</v>
      </c>
      <c r="M17" s="19" t="s">
        <v>84</v>
      </c>
      <c r="N17" s="19" t="s">
        <v>593</v>
      </c>
      <c r="P17" s="20" t="s">
        <v>140</v>
      </c>
      <c r="Q17" s="20" t="s">
        <v>748</v>
      </c>
      <c r="R17" s="20" t="s">
        <v>749</v>
      </c>
      <c r="S17" s="20" t="s">
        <v>684</v>
      </c>
      <c r="U17" s="21" t="s">
        <v>194</v>
      </c>
      <c r="V17" s="22" t="s">
        <v>750</v>
      </c>
      <c r="W17" s="22" t="s">
        <v>567</v>
      </c>
      <c r="X17" s="22" t="s">
        <v>751</v>
      </c>
      <c r="Z17" s="21" t="s">
        <v>356</v>
      </c>
      <c r="AA17" s="22" t="s">
        <v>752</v>
      </c>
      <c r="AB17" s="22" t="s">
        <v>328</v>
      </c>
      <c r="AC17" s="22" t="s">
        <v>753</v>
      </c>
      <c r="AE17" s="32" t="s">
        <v>116</v>
      </c>
      <c r="AF17" s="20" t="s">
        <v>754</v>
      </c>
      <c r="AG17" s="20" t="s">
        <v>755</v>
      </c>
      <c r="AH17" s="20" t="s">
        <v>756</v>
      </c>
      <c r="AJ17" s="21" t="s">
        <v>356</v>
      </c>
      <c r="AK17" s="22" t="s">
        <v>757</v>
      </c>
      <c r="AL17" s="22" t="s">
        <v>429</v>
      </c>
      <c r="AM17" s="22" t="s">
        <v>758</v>
      </c>
      <c r="AO17" s="21" t="s">
        <v>225</v>
      </c>
      <c r="AP17" s="22" t="s">
        <v>759</v>
      </c>
      <c r="AQ17" s="22" t="s">
        <v>167</v>
      </c>
      <c r="AR17" s="22" t="s">
        <v>760</v>
      </c>
      <c r="AT17" s="21" t="s">
        <v>498</v>
      </c>
      <c r="AU17" s="22" t="s">
        <v>761</v>
      </c>
      <c r="AV17" s="22" t="s">
        <v>762</v>
      </c>
      <c r="AW17" s="22" t="s">
        <v>763</v>
      </c>
      <c r="AY17" s="21" t="s">
        <v>144</v>
      </c>
      <c r="AZ17" s="22" t="s">
        <v>764</v>
      </c>
      <c r="BA17" s="22" t="s">
        <v>437</v>
      </c>
      <c r="BB17" s="22" t="s">
        <v>765</v>
      </c>
      <c r="BD17" s="21" t="s">
        <v>120</v>
      </c>
      <c r="BE17" s="22" t="s">
        <v>766</v>
      </c>
      <c r="BF17" s="22" t="s">
        <v>490</v>
      </c>
      <c r="BG17" s="22" t="s">
        <v>767</v>
      </c>
      <c r="BI17" s="21" t="s">
        <v>498</v>
      </c>
      <c r="BJ17" s="22" t="s">
        <v>768</v>
      </c>
      <c r="BK17" s="22" t="s">
        <v>769</v>
      </c>
      <c r="BL17" s="22" t="s">
        <v>770</v>
      </c>
      <c r="BN17" s="21" t="s">
        <v>335</v>
      </c>
      <c r="BO17" s="22" t="s">
        <v>771</v>
      </c>
      <c r="BP17" s="22" t="s">
        <v>772</v>
      </c>
      <c r="BQ17" s="22" t="s">
        <v>773</v>
      </c>
      <c r="BS17" s="21" t="s">
        <v>140</v>
      </c>
      <c r="BT17" s="22" t="s">
        <v>774</v>
      </c>
      <c r="BU17" s="22" t="s">
        <v>775</v>
      </c>
      <c r="BV17" s="22" t="s">
        <v>776</v>
      </c>
      <c r="BX17" s="21" t="s">
        <v>144</v>
      </c>
      <c r="BY17" s="22" t="s">
        <v>777</v>
      </c>
      <c r="BZ17" s="22" t="s">
        <v>683</v>
      </c>
      <c r="CA17" s="22" t="s">
        <v>778</v>
      </c>
      <c r="CC17" s="21" t="s">
        <v>175</v>
      </c>
      <c r="CD17" s="22" t="s">
        <v>779</v>
      </c>
      <c r="CE17" s="22" t="s">
        <v>305</v>
      </c>
      <c r="CF17" s="22" t="s">
        <v>780</v>
      </c>
      <c r="CH17" s="21" t="s">
        <v>194</v>
      </c>
      <c r="CI17" s="21" t="s">
        <v>781</v>
      </c>
      <c r="CJ17" s="21" t="s">
        <v>250</v>
      </c>
      <c r="CK17" s="22" t="s">
        <v>782</v>
      </c>
      <c r="CM17" s="21" t="s">
        <v>303</v>
      </c>
      <c r="CN17" s="21" t="s">
        <v>783</v>
      </c>
      <c r="CO17" s="21" t="s">
        <v>311</v>
      </c>
      <c r="CP17" s="22" t="s">
        <v>784</v>
      </c>
    </row>
    <row r="18" spans="1:94">
      <c r="A18" s="18" t="s">
        <v>144</v>
      </c>
      <c r="B18" s="19" t="s">
        <v>785</v>
      </c>
      <c r="C18" s="19" t="s">
        <v>364</v>
      </c>
      <c r="D18" s="19" t="s">
        <v>786</v>
      </c>
      <c r="F18" s="19" t="s">
        <v>93</v>
      </c>
      <c r="G18" s="19" t="s">
        <v>787</v>
      </c>
      <c r="H18" s="19" t="s">
        <v>788</v>
      </c>
      <c r="I18" s="19" t="s">
        <v>789</v>
      </c>
      <c r="K18" s="18" t="s">
        <v>225</v>
      </c>
      <c r="L18" s="19" t="s">
        <v>790</v>
      </c>
      <c r="M18" s="19" t="s">
        <v>84</v>
      </c>
      <c r="N18" s="19" t="s">
        <v>791</v>
      </c>
      <c r="P18" s="20" t="s">
        <v>356</v>
      </c>
      <c r="Q18" s="20" t="s">
        <v>792</v>
      </c>
      <c r="R18" s="20" t="s">
        <v>322</v>
      </c>
      <c r="S18" s="20" t="s">
        <v>793</v>
      </c>
      <c r="U18" s="21" t="s">
        <v>120</v>
      </c>
      <c r="V18" s="22" t="s">
        <v>794</v>
      </c>
      <c r="W18" s="22" t="s">
        <v>156</v>
      </c>
      <c r="X18" s="22" t="s">
        <v>795</v>
      </c>
      <c r="Z18" s="21" t="s">
        <v>612</v>
      </c>
      <c r="AA18" s="22" t="s">
        <v>796</v>
      </c>
      <c r="AB18" s="22" t="s">
        <v>328</v>
      </c>
      <c r="AC18" s="22" t="s">
        <v>797</v>
      </c>
      <c r="AE18" s="32" t="s">
        <v>175</v>
      </c>
      <c r="AF18" s="20" t="s">
        <v>798</v>
      </c>
      <c r="AG18" s="20" t="s">
        <v>755</v>
      </c>
      <c r="AH18" s="20" t="s">
        <v>799</v>
      </c>
      <c r="AJ18" s="21" t="s">
        <v>175</v>
      </c>
      <c r="AK18" s="22" t="s">
        <v>800</v>
      </c>
      <c r="AL18" s="22" t="s">
        <v>101</v>
      </c>
      <c r="AM18" s="22" t="s">
        <v>801</v>
      </c>
      <c r="AO18" s="21" t="s">
        <v>109</v>
      </c>
      <c r="AP18" s="22" t="s">
        <v>802</v>
      </c>
      <c r="AQ18" s="22" t="s">
        <v>803</v>
      </c>
      <c r="AR18" s="22" t="s">
        <v>804</v>
      </c>
      <c r="AT18" s="21" t="s">
        <v>232</v>
      </c>
      <c r="AU18" s="22" t="s">
        <v>805</v>
      </c>
      <c r="AV18" s="22" t="s">
        <v>283</v>
      </c>
      <c r="AW18" s="22" t="s">
        <v>806</v>
      </c>
      <c r="AY18" s="21" t="s">
        <v>544</v>
      </c>
      <c r="AZ18" s="22" t="s">
        <v>807</v>
      </c>
      <c r="BA18" s="22" t="s">
        <v>387</v>
      </c>
      <c r="BB18" s="22" t="s">
        <v>808</v>
      </c>
      <c r="BD18" s="21" t="s">
        <v>498</v>
      </c>
      <c r="BE18" s="22" t="s">
        <v>809</v>
      </c>
      <c r="BF18" s="22" t="s">
        <v>810</v>
      </c>
      <c r="BG18" s="22" t="s">
        <v>811</v>
      </c>
      <c r="BI18" s="21" t="s">
        <v>194</v>
      </c>
      <c r="BJ18" s="22" t="s">
        <v>812</v>
      </c>
      <c r="BK18" s="22" t="s">
        <v>180</v>
      </c>
      <c r="BL18" s="22" t="s">
        <v>813</v>
      </c>
      <c r="BN18" s="21" t="s">
        <v>183</v>
      </c>
      <c r="BO18" s="22" t="s">
        <v>814</v>
      </c>
      <c r="BP18" s="22" t="s">
        <v>395</v>
      </c>
      <c r="BQ18" s="22" t="s">
        <v>815</v>
      </c>
      <c r="BS18" s="21" t="s">
        <v>144</v>
      </c>
      <c r="BT18" s="22" t="s">
        <v>816</v>
      </c>
      <c r="BU18" s="22" t="s">
        <v>447</v>
      </c>
      <c r="BV18" s="22" t="s">
        <v>817</v>
      </c>
      <c r="BX18" s="21" t="s">
        <v>148</v>
      </c>
      <c r="BY18" s="22" t="s">
        <v>818</v>
      </c>
      <c r="BZ18" s="22" t="s">
        <v>819</v>
      </c>
      <c r="CA18" s="22" t="s">
        <v>820</v>
      </c>
      <c r="CC18" s="21" t="s">
        <v>335</v>
      </c>
      <c r="CD18" s="22" t="s">
        <v>821</v>
      </c>
      <c r="CE18" s="22" t="s">
        <v>822</v>
      </c>
      <c r="CF18" s="22" t="s">
        <v>823</v>
      </c>
      <c r="CH18" s="21" t="s">
        <v>303</v>
      </c>
      <c r="CI18" s="21" t="s">
        <v>824</v>
      </c>
      <c r="CJ18" s="21" t="s">
        <v>192</v>
      </c>
      <c r="CK18" s="22" t="s">
        <v>825</v>
      </c>
      <c r="CM18" s="21" t="s">
        <v>144</v>
      </c>
      <c r="CN18" s="21" t="s">
        <v>826</v>
      </c>
      <c r="CO18" s="21" t="s">
        <v>138</v>
      </c>
      <c r="CP18" s="22" t="s">
        <v>416</v>
      </c>
    </row>
    <row r="19" spans="1:94">
      <c r="A19" s="18" t="s">
        <v>511</v>
      </c>
      <c r="B19" s="19" t="s">
        <v>827</v>
      </c>
      <c r="C19" s="19" t="s">
        <v>78</v>
      </c>
      <c r="D19" s="19" t="s">
        <v>828</v>
      </c>
      <c r="F19" s="19" t="s">
        <v>194</v>
      </c>
      <c r="G19" s="19" t="s">
        <v>829</v>
      </c>
      <c r="H19" s="19" t="s">
        <v>830</v>
      </c>
      <c r="I19" s="19" t="s">
        <v>831</v>
      </c>
      <c r="K19" s="18" t="s">
        <v>356</v>
      </c>
      <c r="L19" s="19" t="s">
        <v>832</v>
      </c>
      <c r="M19" s="19" t="s">
        <v>699</v>
      </c>
      <c r="N19" s="19" t="s">
        <v>833</v>
      </c>
      <c r="P19" s="20" t="s">
        <v>109</v>
      </c>
      <c r="Q19" s="20" t="s">
        <v>834</v>
      </c>
      <c r="R19" s="20" t="s">
        <v>154</v>
      </c>
      <c r="S19" s="20" t="s">
        <v>835</v>
      </c>
      <c r="U19" s="21" t="s">
        <v>175</v>
      </c>
      <c r="V19" s="22" t="s">
        <v>836</v>
      </c>
      <c r="W19" s="22" t="s">
        <v>837</v>
      </c>
      <c r="X19" s="22" t="s">
        <v>838</v>
      </c>
      <c r="Z19" s="21" t="s">
        <v>225</v>
      </c>
      <c r="AA19" s="22" t="s">
        <v>839</v>
      </c>
      <c r="AB19" s="22" t="s">
        <v>840</v>
      </c>
      <c r="AC19" s="22" t="s">
        <v>841</v>
      </c>
      <c r="AE19" s="32" t="s">
        <v>544</v>
      </c>
      <c r="AF19" s="20" t="s">
        <v>842</v>
      </c>
      <c r="AG19" s="20" t="s">
        <v>274</v>
      </c>
      <c r="AH19" s="20" t="s">
        <v>843</v>
      </c>
      <c r="AJ19" s="21" t="s">
        <v>544</v>
      </c>
      <c r="AK19" s="22" t="s">
        <v>844</v>
      </c>
      <c r="AL19" s="22" t="s">
        <v>845</v>
      </c>
      <c r="AM19" s="22" t="s">
        <v>846</v>
      </c>
      <c r="AO19" s="21" t="s">
        <v>544</v>
      </c>
      <c r="AP19" s="22" t="s">
        <v>847</v>
      </c>
      <c r="AQ19" s="22" t="s">
        <v>848</v>
      </c>
      <c r="AR19" s="22" t="s">
        <v>849</v>
      </c>
      <c r="AT19" s="21" t="s">
        <v>335</v>
      </c>
      <c r="AU19" s="22" t="s">
        <v>850</v>
      </c>
      <c r="AV19" s="22" t="s">
        <v>851</v>
      </c>
      <c r="AW19" s="22" t="s">
        <v>852</v>
      </c>
      <c r="AY19" s="21" t="s">
        <v>175</v>
      </c>
      <c r="AZ19" s="22" t="s">
        <v>853</v>
      </c>
      <c r="BA19" s="22" t="s">
        <v>111</v>
      </c>
      <c r="BB19" s="22" t="s">
        <v>854</v>
      </c>
      <c r="BD19" s="21" t="s">
        <v>335</v>
      </c>
      <c r="BE19" s="22" t="s">
        <v>855</v>
      </c>
      <c r="BF19" s="22" t="s">
        <v>856</v>
      </c>
      <c r="BG19" s="22" t="s">
        <v>857</v>
      </c>
      <c r="BI19" s="21" t="s">
        <v>335</v>
      </c>
      <c r="BJ19" s="22" t="s">
        <v>858</v>
      </c>
      <c r="BK19" s="22" t="s">
        <v>347</v>
      </c>
      <c r="BL19" s="22" t="s">
        <v>859</v>
      </c>
      <c r="BN19" s="21" t="s">
        <v>303</v>
      </c>
      <c r="BO19" s="22" t="s">
        <v>860</v>
      </c>
      <c r="BP19" s="22" t="s">
        <v>444</v>
      </c>
      <c r="BQ19" s="22" t="s">
        <v>861</v>
      </c>
      <c r="BS19" s="21" t="s">
        <v>289</v>
      </c>
      <c r="BT19" s="22" t="s">
        <v>862</v>
      </c>
      <c r="BU19" s="22" t="s">
        <v>863</v>
      </c>
      <c r="BV19" s="22" t="s">
        <v>864</v>
      </c>
      <c r="BX19" s="21" t="s">
        <v>183</v>
      </c>
      <c r="BY19" s="22" t="s">
        <v>865</v>
      </c>
      <c r="BZ19" s="22" t="s">
        <v>450</v>
      </c>
      <c r="CA19" s="22" t="s">
        <v>866</v>
      </c>
      <c r="CC19" s="21" t="s">
        <v>183</v>
      </c>
      <c r="CD19" s="22" t="s">
        <v>867</v>
      </c>
      <c r="CE19" s="22" t="s">
        <v>822</v>
      </c>
      <c r="CF19" s="22" t="s">
        <v>868</v>
      </c>
      <c r="CH19" s="21" t="s">
        <v>148</v>
      </c>
      <c r="CI19" s="21" t="s">
        <v>869</v>
      </c>
      <c r="CJ19" s="21" t="s">
        <v>870</v>
      </c>
      <c r="CK19" s="22" t="s">
        <v>871</v>
      </c>
      <c r="CM19" s="21" t="s">
        <v>148</v>
      </c>
      <c r="CN19" s="21" t="s">
        <v>826</v>
      </c>
      <c r="CO19" s="21" t="s">
        <v>872</v>
      </c>
      <c r="CP19" s="22" t="s">
        <v>873</v>
      </c>
    </row>
    <row r="20" spans="1:94">
      <c r="A20" s="18" t="s">
        <v>874</v>
      </c>
      <c r="B20" s="19" t="s">
        <v>875</v>
      </c>
      <c r="C20" s="19" t="s">
        <v>463</v>
      </c>
      <c r="D20" s="19" t="s">
        <v>876</v>
      </c>
      <c r="F20" s="19" t="s">
        <v>120</v>
      </c>
      <c r="G20" s="19" t="s">
        <v>877</v>
      </c>
      <c r="H20" s="19" t="s">
        <v>878</v>
      </c>
      <c r="I20" s="19" t="s">
        <v>879</v>
      </c>
      <c r="K20" s="18" t="s">
        <v>120</v>
      </c>
      <c r="L20" s="19" t="s">
        <v>880</v>
      </c>
      <c r="M20" s="19" t="s">
        <v>881</v>
      </c>
      <c r="N20" s="19" t="s">
        <v>882</v>
      </c>
      <c r="P20" s="20" t="s">
        <v>498</v>
      </c>
      <c r="Q20" s="20" t="s">
        <v>883</v>
      </c>
      <c r="R20" s="20" t="s">
        <v>749</v>
      </c>
      <c r="S20" s="20" t="s">
        <v>884</v>
      </c>
      <c r="U20" s="21" t="s">
        <v>225</v>
      </c>
      <c r="V20" s="22" t="s">
        <v>885</v>
      </c>
      <c r="W20" s="22" t="s">
        <v>156</v>
      </c>
      <c r="X20" s="22" t="s">
        <v>886</v>
      </c>
      <c r="Z20" s="21" t="s">
        <v>289</v>
      </c>
      <c r="AA20" s="22" t="s">
        <v>887</v>
      </c>
      <c r="AB20" s="22" t="s">
        <v>888</v>
      </c>
      <c r="AC20" s="22" t="s">
        <v>889</v>
      </c>
      <c r="AE20" s="32" t="s">
        <v>232</v>
      </c>
      <c r="AF20" s="20" t="s">
        <v>890</v>
      </c>
      <c r="AG20" s="20" t="s">
        <v>891</v>
      </c>
      <c r="AH20" s="20" t="s">
        <v>892</v>
      </c>
      <c r="AJ20" s="21" t="s">
        <v>183</v>
      </c>
      <c r="AK20" s="22" t="s">
        <v>893</v>
      </c>
      <c r="AL20" s="22" t="s">
        <v>429</v>
      </c>
      <c r="AM20" s="22" t="s">
        <v>894</v>
      </c>
      <c r="AO20" s="21" t="s">
        <v>258</v>
      </c>
      <c r="AP20" s="22" t="s">
        <v>895</v>
      </c>
      <c r="AQ20" s="22" t="s">
        <v>896</v>
      </c>
      <c r="AR20" s="22" t="s">
        <v>897</v>
      </c>
      <c r="AT20" s="21" t="s">
        <v>152</v>
      </c>
      <c r="AU20" s="22" t="s">
        <v>898</v>
      </c>
      <c r="AV20" s="22" t="s">
        <v>899</v>
      </c>
      <c r="AW20" s="22" t="s">
        <v>900</v>
      </c>
      <c r="AY20" s="21" t="s">
        <v>124</v>
      </c>
      <c r="AZ20" s="22" t="s">
        <v>901</v>
      </c>
      <c r="BA20" s="22" t="s">
        <v>111</v>
      </c>
      <c r="BB20" s="22" t="s">
        <v>902</v>
      </c>
      <c r="BD20" s="21" t="s">
        <v>183</v>
      </c>
      <c r="BE20" s="22" t="s">
        <v>903</v>
      </c>
      <c r="BF20" s="22" t="s">
        <v>904</v>
      </c>
      <c r="BG20" s="22" t="s">
        <v>905</v>
      </c>
      <c r="BI20" s="21" t="s">
        <v>511</v>
      </c>
      <c r="BJ20" s="22" t="s">
        <v>906</v>
      </c>
      <c r="BK20" s="22" t="s">
        <v>907</v>
      </c>
      <c r="BL20" s="22" t="s">
        <v>908</v>
      </c>
      <c r="BN20" s="21" t="s">
        <v>152</v>
      </c>
      <c r="BO20" s="22" t="s">
        <v>909</v>
      </c>
      <c r="BP20" s="22" t="s">
        <v>395</v>
      </c>
      <c r="BQ20" s="22" t="s">
        <v>910</v>
      </c>
      <c r="BS20" s="21" t="s">
        <v>303</v>
      </c>
      <c r="BT20" s="22" t="s">
        <v>911</v>
      </c>
      <c r="BU20" s="22" t="s">
        <v>912</v>
      </c>
      <c r="BV20" s="22" t="s">
        <v>913</v>
      </c>
      <c r="BX20" s="21" t="s">
        <v>124</v>
      </c>
      <c r="BY20" s="22" t="s">
        <v>914</v>
      </c>
      <c r="BZ20" s="22" t="s">
        <v>129</v>
      </c>
      <c r="CA20" s="22" t="s">
        <v>915</v>
      </c>
      <c r="CC20" s="21" t="s">
        <v>544</v>
      </c>
      <c r="CD20" s="22" t="s">
        <v>916</v>
      </c>
      <c r="CE20" s="22" t="s">
        <v>551</v>
      </c>
      <c r="CF20" s="22" t="s">
        <v>917</v>
      </c>
      <c r="CH20" s="21" t="s">
        <v>175</v>
      </c>
      <c r="CI20" s="21" t="s">
        <v>918</v>
      </c>
      <c r="CJ20" s="21" t="s">
        <v>919</v>
      </c>
      <c r="CK20" s="22" t="s">
        <v>920</v>
      </c>
      <c r="CM20" s="21" t="s">
        <v>498</v>
      </c>
      <c r="CN20" s="21" t="s">
        <v>921</v>
      </c>
      <c r="CO20" s="21" t="s">
        <v>691</v>
      </c>
      <c r="CP20" s="22" t="s">
        <v>838</v>
      </c>
    </row>
    <row r="21" spans="1:94">
      <c r="A21" s="18" t="s">
        <v>289</v>
      </c>
      <c r="B21" s="19" t="s">
        <v>922</v>
      </c>
      <c r="C21" s="19" t="s">
        <v>923</v>
      </c>
      <c r="D21" s="19" t="s">
        <v>924</v>
      </c>
      <c r="K21" s="18" t="s">
        <v>194</v>
      </c>
      <c r="L21" s="19" t="s">
        <v>925</v>
      </c>
      <c r="M21" s="19" t="s">
        <v>699</v>
      </c>
      <c r="N21" s="19" t="s">
        <v>926</v>
      </c>
      <c r="P21" s="20" t="s">
        <v>927</v>
      </c>
      <c r="Q21" s="20" t="s">
        <v>928</v>
      </c>
      <c r="R21" s="20" t="s">
        <v>929</v>
      </c>
      <c r="S21" s="20" t="s">
        <v>930</v>
      </c>
      <c r="U21" s="21" t="s">
        <v>303</v>
      </c>
      <c r="V21" s="22" t="s">
        <v>931</v>
      </c>
      <c r="W21" s="22" t="s">
        <v>473</v>
      </c>
      <c r="X21" s="22" t="s">
        <v>589</v>
      </c>
      <c r="Z21" s="21" t="s">
        <v>335</v>
      </c>
      <c r="AA21" s="22" t="s">
        <v>932</v>
      </c>
      <c r="AB21" s="22" t="s">
        <v>328</v>
      </c>
      <c r="AC21" s="22" t="s">
        <v>933</v>
      </c>
      <c r="AE21" s="32" t="s">
        <v>612</v>
      </c>
      <c r="AF21" s="20" t="s">
        <v>934</v>
      </c>
      <c r="AG21" s="20" t="s">
        <v>98</v>
      </c>
      <c r="AH21" s="20" t="s">
        <v>935</v>
      </c>
      <c r="AJ21" s="21" t="s">
        <v>303</v>
      </c>
      <c r="AK21" s="22" t="s">
        <v>936</v>
      </c>
      <c r="AL21" s="22" t="s">
        <v>101</v>
      </c>
      <c r="AM21" s="22" t="s">
        <v>937</v>
      </c>
      <c r="AO21" s="21" t="s">
        <v>144</v>
      </c>
      <c r="AP21" s="22" t="s">
        <v>938</v>
      </c>
      <c r="AQ21" s="22" t="s">
        <v>939</v>
      </c>
      <c r="AR21" s="22" t="s">
        <v>940</v>
      </c>
      <c r="AT21" s="21" t="s">
        <v>612</v>
      </c>
      <c r="AU21" s="22" t="s">
        <v>941</v>
      </c>
      <c r="AV21" s="22" t="s">
        <v>942</v>
      </c>
      <c r="AW21" s="22" t="s">
        <v>943</v>
      </c>
      <c r="AY21" s="21" t="s">
        <v>289</v>
      </c>
      <c r="AZ21" s="22" t="s">
        <v>944</v>
      </c>
      <c r="BA21" s="22" t="s">
        <v>111</v>
      </c>
      <c r="BB21" s="22" t="s">
        <v>945</v>
      </c>
      <c r="BD21" s="21" t="s">
        <v>356</v>
      </c>
      <c r="BE21" s="22" t="s">
        <v>946</v>
      </c>
      <c r="BF21" s="22" t="s">
        <v>724</v>
      </c>
      <c r="BG21" s="22" t="s">
        <v>947</v>
      </c>
      <c r="BI21" s="21" t="s">
        <v>232</v>
      </c>
      <c r="BJ21" s="22" t="s">
        <v>948</v>
      </c>
      <c r="BK21" s="22" t="s">
        <v>392</v>
      </c>
      <c r="BL21" s="22" t="s">
        <v>949</v>
      </c>
      <c r="BN21" s="21" t="s">
        <v>498</v>
      </c>
      <c r="BO21" s="22" t="s">
        <v>950</v>
      </c>
      <c r="BP21" s="22" t="s">
        <v>772</v>
      </c>
      <c r="BQ21" s="22" t="s">
        <v>951</v>
      </c>
      <c r="BS21" s="21" t="s">
        <v>612</v>
      </c>
      <c r="BT21" s="22" t="s">
        <v>952</v>
      </c>
      <c r="BU21" s="22" t="s">
        <v>126</v>
      </c>
      <c r="BV21" s="22" t="s">
        <v>953</v>
      </c>
      <c r="BX21" s="21" t="s">
        <v>289</v>
      </c>
      <c r="BY21" s="22" t="s">
        <v>954</v>
      </c>
      <c r="BZ21" s="22" t="s">
        <v>244</v>
      </c>
      <c r="CA21" s="22" t="s">
        <v>955</v>
      </c>
      <c r="CC21" s="21" t="s">
        <v>498</v>
      </c>
      <c r="CD21" s="22" t="s">
        <v>956</v>
      </c>
      <c r="CE21" s="22" t="s">
        <v>736</v>
      </c>
      <c r="CF21" s="22" t="s">
        <v>957</v>
      </c>
      <c r="CH21" s="21" t="s">
        <v>144</v>
      </c>
      <c r="CI21" s="21" t="s">
        <v>958</v>
      </c>
      <c r="CJ21" s="21" t="s">
        <v>192</v>
      </c>
      <c r="CK21" s="22" t="s">
        <v>959</v>
      </c>
      <c r="CM21" s="21" t="s">
        <v>335</v>
      </c>
      <c r="CN21" s="21" t="s">
        <v>960</v>
      </c>
      <c r="CO21" s="21" t="s">
        <v>196</v>
      </c>
      <c r="CP21" s="22" t="s">
        <v>961</v>
      </c>
    </row>
    <row r="22" spans="1:94">
      <c r="A22" s="18" t="s">
        <v>303</v>
      </c>
      <c r="B22" s="19" t="s">
        <v>962</v>
      </c>
      <c r="C22" s="19" t="s">
        <v>78</v>
      </c>
      <c r="D22" s="19" t="s">
        <v>963</v>
      </c>
      <c r="K22" s="18" t="s">
        <v>258</v>
      </c>
      <c r="L22" s="19" t="s">
        <v>964</v>
      </c>
      <c r="M22" s="19" t="s">
        <v>965</v>
      </c>
      <c r="N22" s="19" t="s">
        <v>966</v>
      </c>
      <c r="P22" s="20" t="s">
        <v>289</v>
      </c>
      <c r="Q22" s="20" t="s">
        <v>967</v>
      </c>
      <c r="R22" s="20" t="s">
        <v>968</v>
      </c>
      <c r="S22" s="20" t="s">
        <v>969</v>
      </c>
      <c r="U22" s="21" t="s">
        <v>544</v>
      </c>
      <c r="V22" s="22" t="s">
        <v>970</v>
      </c>
      <c r="W22" s="22" t="s">
        <v>420</v>
      </c>
      <c r="X22" s="22" t="s">
        <v>971</v>
      </c>
      <c r="Z22" s="21" t="s">
        <v>544</v>
      </c>
      <c r="AA22" s="22" t="s">
        <v>972</v>
      </c>
      <c r="AB22" s="22" t="s">
        <v>95</v>
      </c>
      <c r="AC22" s="22" t="s">
        <v>329</v>
      </c>
      <c r="AE22" s="32" t="s">
        <v>498</v>
      </c>
      <c r="AF22" s="20" t="s">
        <v>973</v>
      </c>
      <c r="AG22" s="20" t="s">
        <v>974</v>
      </c>
      <c r="AH22" s="20" t="s">
        <v>975</v>
      </c>
      <c r="AJ22" s="21" t="s">
        <v>258</v>
      </c>
      <c r="AK22" s="22" t="s">
        <v>976</v>
      </c>
      <c r="AL22" s="22" t="s">
        <v>977</v>
      </c>
      <c r="AM22" s="22" t="s">
        <v>978</v>
      </c>
      <c r="AO22" s="21" t="s">
        <v>874</v>
      </c>
      <c r="AP22" s="22" t="s">
        <v>979</v>
      </c>
      <c r="AQ22" s="22" t="s">
        <v>980</v>
      </c>
      <c r="AR22" s="22" t="s">
        <v>981</v>
      </c>
      <c r="AT22" s="21" t="s">
        <v>289</v>
      </c>
      <c r="AU22" s="22" t="s">
        <v>982</v>
      </c>
      <c r="AV22" s="22" t="s">
        <v>983</v>
      </c>
      <c r="AW22" s="22" t="s">
        <v>984</v>
      </c>
      <c r="AY22" s="21" t="s">
        <v>498</v>
      </c>
      <c r="AZ22" s="22" t="s">
        <v>985</v>
      </c>
      <c r="BA22" s="22" t="s">
        <v>230</v>
      </c>
      <c r="BB22" s="22" t="s">
        <v>986</v>
      </c>
      <c r="BD22" s="21" t="s">
        <v>303</v>
      </c>
      <c r="BE22" s="22" t="s">
        <v>987</v>
      </c>
      <c r="BF22" s="22" t="s">
        <v>539</v>
      </c>
      <c r="BG22" s="22" t="s">
        <v>988</v>
      </c>
      <c r="BI22" s="21" t="s">
        <v>289</v>
      </c>
      <c r="BJ22" s="22" t="s">
        <v>989</v>
      </c>
      <c r="BK22" s="22" t="s">
        <v>347</v>
      </c>
      <c r="BL22" s="22" t="s">
        <v>990</v>
      </c>
      <c r="BN22" s="21" t="s">
        <v>232</v>
      </c>
      <c r="BO22" s="22" t="s">
        <v>991</v>
      </c>
      <c r="BP22" s="22" t="s">
        <v>992</v>
      </c>
      <c r="BQ22" s="22" t="s">
        <v>993</v>
      </c>
      <c r="BX22" s="21" t="s">
        <v>232</v>
      </c>
      <c r="BY22" s="22" t="s">
        <v>994</v>
      </c>
      <c r="BZ22" s="22" t="s">
        <v>129</v>
      </c>
      <c r="CA22" s="22" t="s">
        <v>995</v>
      </c>
      <c r="CC22" s="21" t="s">
        <v>289</v>
      </c>
      <c r="CD22" s="22" t="s">
        <v>996</v>
      </c>
      <c r="CE22" s="22" t="s">
        <v>354</v>
      </c>
      <c r="CF22" s="22" t="s">
        <v>997</v>
      </c>
      <c r="CH22" s="21" t="s">
        <v>544</v>
      </c>
      <c r="CI22" s="21" t="s">
        <v>998</v>
      </c>
      <c r="CJ22" s="21" t="s">
        <v>919</v>
      </c>
      <c r="CK22" s="22" t="s">
        <v>999</v>
      </c>
      <c r="CM22" s="21" t="s">
        <v>140</v>
      </c>
      <c r="CN22" s="21" t="s">
        <v>1000</v>
      </c>
      <c r="CO22" s="21" t="s">
        <v>1001</v>
      </c>
      <c r="CP22" s="22" t="s">
        <v>1002</v>
      </c>
    </row>
    <row r="23" spans="1:94">
      <c r="A23" s="18" t="s">
        <v>194</v>
      </c>
      <c r="B23" s="19" t="s">
        <v>1003</v>
      </c>
      <c r="C23" s="19" t="s">
        <v>558</v>
      </c>
      <c r="D23" s="19" t="s">
        <v>1004</v>
      </c>
      <c r="K23" s="18" t="s">
        <v>144</v>
      </c>
      <c r="L23" s="19" t="s">
        <v>1005</v>
      </c>
      <c r="M23" s="19" t="s">
        <v>84</v>
      </c>
      <c r="N23" s="19" t="s">
        <v>1006</v>
      </c>
      <c r="P23" s="20" t="s">
        <v>874</v>
      </c>
      <c r="Q23" s="20" t="s">
        <v>1007</v>
      </c>
      <c r="R23" s="20" t="s">
        <v>1008</v>
      </c>
      <c r="S23" s="20" t="s">
        <v>1009</v>
      </c>
      <c r="U23" s="21" t="s">
        <v>183</v>
      </c>
      <c r="V23" s="22" t="s">
        <v>1010</v>
      </c>
      <c r="W23" s="22" t="s">
        <v>211</v>
      </c>
      <c r="X23" s="22" t="s">
        <v>1011</v>
      </c>
      <c r="Z23" s="21" t="s">
        <v>716</v>
      </c>
      <c r="AA23" s="22" t="s">
        <v>1012</v>
      </c>
      <c r="AB23" s="22" t="s">
        <v>1013</v>
      </c>
      <c r="AC23" s="22" t="s">
        <v>1014</v>
      </c>
      <c r="AE23" s="32" t="s">
        <v>303</v>
      </c>
      <c r="AF23" s="20" t="s">
        <v>1015</v>
      </c>
      <c r="AG23" s="20" t="s">
        <v>98</v>
      </c>
      <c r="AH23" s="20" t="s">
        <v>1016</v>
      </c>
      <c r="AJ23" s="21" t="s">
        <v>1017</v>
      </c>
      <c r="AK23" s="22" t="s">
        <v>1018</v>
      </c>
      <c r="AL23" s="22" t="s">
        <v>1019</v>
      </c>
      <c r="AM23" s="22" t="s">
        <v>1020</v>
      </c>
      <c r="AO23" s="21" t="s">
        <v>303</v>
      </c>
      <c r="AP23" s="22" t="s">
        <v>1021</v>
      </c>
      <c r="AQ23" s="22" t="s">
        <v>167</v>
      </c>
      <c r="AR23" s="22" t="s">
        <v>1022</v>
      </c>
      <c r="AT23" s="21" t="s">
        <v>303</v>
      </c>
      <c r="AU23" s="22" t="s">
        <v>1023</v>
      </c>
      <c r="AV23" s="22" t="s">
        <v>1024</v>
      </c>
      <c r="AW23" s="22" t="s">
        <v>1025</v>
      </c>
      <c r="AY23" s="21" t="s">
        <v>612</v>
      </c>
      <c r="AZ23" s="22" t="s">
        <v>1026</v>
      </c>
      <c r="BA23" s="22" t="s">
        <v>111</v>
      </c>
      <c r="BB23" s="22" t="s">
        <v>1027</v>
      </c>
      <c r="BD23" s="21" t="s">
        <v>124</v>
      </c>
      <c r="BE23" s="22" t="s">
        <v>1028</v>
      </c>
      <c r="BF23" s="22" t="s">
        <v>1029</v>
      </c>
      <c r="BG23" s="22" t="s">
        <v>1030</v>
      </c>
      <c r="BN23" s="21" t="s">
        <v>612</v>
      </c>
      <c r="BO23" s="22" t="s">
        <v>1031</v>
      </c>
      <c r="BP23" s="22" t="s">
        <v>122</v>
      </c>
      <c r="BQ23" s="22" t="s">
        <v>1032</v>
      </c>
      <c r="BX23" s="21" t="s">
        <v>612</v>
      </c>
      <c r="BY23" s="22" t="s">
        <v>1033</v>
      </c>
      <c r="BZ23" s="22" t="s">
        <v>129</v>
      </c>
      <c r="CA23" s="22" t="s">
        <v>1034</v>
      </c>
      <c r="CC23" s="21" t="s">
        <v>140</v>
      </c>
      <c r="CD23" s="22" t="s">
        <v>1035</v>
      </c>
      <c r="CE23" s="22" t="s">
        <v>305</v>
      </c>
      <c r="CF23" s="22" t="s">
        <v>1036</v>
      </c>
      <c r="CH23" s="21" t="s">
        <v>498</v>
      </c>
      <c r="CI23" s="21" t="s">
        <v>1037</v>
      </c>
      <c r="CJ23" s="21" t="s">
        <v>553</v>
      </c>
      <c r="CK23" s="22" t="s">
        <v>1038</v>
      </c>
      <c r="CM23" s="21" t="s">
        <v>612</v>
      </c>
      <c r="CN23" s="21" t="s">
        <v>1039</v>
      </c>
      <c r="CO23" s="21" t="s">
        <v>311</v>
      </c>
      <c r="CP23" s="22" t="s">
        <v>1040</v>
      </c>
    </row>
    <row r="24" spans="1:94">
      <c r="A24" s="18" t="s">
        <v>148</v>
      </c>
      <c r="B24" s="19" t="s">
        <v>1041</v>
      </c>
      <c r="C24" s="19" t="s">
        <v>78</v>
      </c>
      <c r="D24" s="19" t="s">
        <v>1042</v>
      </c>
      <c r="K24" s="18" t="s">
        <v>603</v>
      </c>
      <c r="L24" s="19" t="s">
        <v>1043</v>
      </c>
      <c r="M24" s="19" t="s">
        <v>84</v>
      </c>
      <c r="N24" s="19" t="s">
        <v>1044</v>
      </c>
      <c r="P24" s="20" t="s">
        <v>116</v>
      </c>
      <c r="Q24" s="20" t="s">
        <v>1045</v>
      </c>
      <c r="R24" s="20" t="s">
        <v>208</v>
      </c>
      <c r="S24" s="20" t="s">
        <v>1046</v>
      </c>
      <c r="U24" s="21" t="s">
        <v>144</v>
      </c>
      <c r="V24" s="22" t="s">
        <v>1047</v>
      </c>
      <c r="W24" s="22" t="s">
        <v>567</v>
      </c>
      <c r="X24" s="22" t="s">
        <v>1048</v>
      </c>
      <c r="Z24" s="21" t="s">
        <v>258</v>
      </c>
      <c r="AA24" s="22" t="s">
        <v>1049</v>
      </c>
      <c r="AB24" s="22" t="s">
        <v>159</v>
      </c>
      <c r="AC24" s="22" t="s">
        <v>1050</v>
      </c>
      <c r="AE24" s="32" t="s">
        <v>258</v>
      </c>
      <c r="AF24" s="20" t="s">
        <v>1051</v>
      </c>
      <c r="AG24" s="20" t="s">
        <v>1052</v>
      </c>
      <c r="AH24" s="20" t="s">
        <v>1053</v>
      </c>
      <c r="AJ24" s="21" t="s">
        <v>603</v>
      </c>
      <c r="AK24" s="22" t="s">
        <v>1054</v>
      </c>
      <c r="AL24" s="22" t="s">
        <v>845</v>
      </c>
      <c r="AM24" s="22" t="s">
        <v>1055</v>
      </c>
      <c r="AO24" s="21" t="s">
        <v>1017</v>
      </c>
      <c r="AP24" s="22" t="s">
        <v>1056</v>
      </c>
      <c r="AQ24" s="22" t="s">
        <v>1057</v>
      </c>
      <c r="AR24" s="22" t="s">
        <v>1058</v>
      </c>
      <c r="AT24" s="21" t="s">
        <v>431</v>
      </c>
      <c r="AU24" s="22" t="s">
        <v>1059</v>
      </c>
      <c r="AV24" s="22" t="s">
        <v>1060</v>
      </c>
      <c r="AW24" s="22" t="s">
        <v>1061</v>
      </c>
      <c r="AY24" s="21" t="s">
        <v>431</v>
      </c>
      <c r="AZ24" s="22" t="s">
        <v>1062</v>
      </c>
      <c r="BA24" s="22" t="s">
        <v>582</v>
      </c>
      <c r="BB24" s="22" t="s">
        <v>1063</v>
      </c>
      <c r="BD24" s="21" t="s">
        <v>431</v>
      </c>
      <c r="BE24" s="22" t="s">
        <v>1064</v>
      </c>
      <c r="BF24" s="22" t="s">
        <v>1065</v>
      </c>
      <c r="BG24" s="22" t="s">
        <v>1066</v>
      </c>
      <c r="BX24" s="21" t="s">
        <v>140</v>
      </c>
      <c r="BY24" s="22" t="s">
        <v>1067</v>
      </c>
      <c r="BZ24" s="22" t="s">
        <v>129</v>
      </c>
      <c r="CA24" s="22" t="s">
        <v>1068</v>
      </c>
      <c r="CC24" s="21" t="s">
        <v>612</v>
      </c>
      <c r="CD24" s="22" t="s">
        <v>1069</v>
      </c>
      <c r="CE24" s="22" t="s">
        <v>305</v>
      </c>
      <c r="CF24" s="22" t="s">
        <v>1070</v>
      </c>
      <c r="CH24" s="21" t="s">
        <v>140</v>
      </c>
      <c r="CI24" s="21" t="s">
        <v>1071</v>
      </c>
      <c r="CJ24" s="21" t="s">
        <v>1072</v>
      </c>
      <c r="CK24" s="22" t="s">
        <v>1073</v>
      </c>
    </row>
    <row r="25" spans="1:94" ht="15" customHeight="1">
      <c r="A25" s="18" t="s">
        <v>356</v>
      </c>
      <c r="B25" s="19" t="s">
        <v>1074</v>
      </c>
      <c r="C25" s="19" t="s">
        <v>142</v>
      </c>
      <c r="D25" s="19" t="s">
        <v>1075</v>
      </c>
      <c r="K25" s="18" t="s">
        <v>303</v>
      </c>
      <c r="L25" s="19" t="s">
        <v>1076</v>
      </c>
      <c r="M25" s="19" t="s">
        <v>150</v>
      </c>
      <c r="N25" s="19" t="s">
        <v>1077</v>
      </c>
      <c r="P25" s="20" t="s">
        <v>1078</v>
      </c>
      <c r="Q25" s="20" t="s">
        <v>1079</v>
      </c>
      <c r="R25" s="20" t="s">
        <v>1080</v>
      </c>
      <c r="S25" s="20" t="s">
        <v>1081</v>
      </c>
      <c r="U25" s="21" t="s">
        <v>285</v>
      </c>
      <c r="V25" s="22" t="s">
        <v>1082</v>
      </c>
      <c r="W25" s="22" t="s">
        <v>704</v>
      </c>
      <c r="X25" s="22" t="s">
        <v>1083</v>
      </c>
      <c r="Z25" s="21" t="s">
        <v>603</v>
      </c>
      <c r="AA25" s="22" t="s">
        <v>1084</v>
      </c>
      <c r="AB25" s="22" t="s">
        <v>1085</v>
      </c>
      <c r="AC25" s="22" t="s">
        <v>1086</v>
      </c>
      <c r="AE25" s="32" t="s">
        <v>289</v>
      </c>
      <c r="AF25" s="20" t="s">
        <v>1087</v>
      </c>
      <c r="AG25" s="20" t="s">
        <v>1088</v>
      </c>
      <c r="AH25" s="20" t="s">
        <v>1089</v>
      </c>
      <c r="AO25" s="21" t="s">
        <v>232</v>
      </c>
      <c r="AP25" s="22" t="s">
        <v>1090</v>
      </c>
      <c r="AQ25" s="22" t="s">
        <v>848</v>
      </c>
      <c r="AR25" s="22" t="s">
        <v>1091</v>
      </c>
      <c r="BD25" s="21" t="s">
        <v>612</v>
      </c>
      <c r="BE25" s="22" t="s">
        <v>1092</v>
      </c>
      <c r="BF25" s="22" t="s">
        <v>344</v>
      </c>
      <c r="BG25" s="22" t="s">
        <v>1093</v>
      </c>
      <c r="BX25" s="21" t="s">
        <v>303</v>
      </c>
      <c r="BY25" s="22" t="s">
        <v>1094</v>
      </c>
      <c r="BZ25" s="22" t="s">
        <v>129</v>
      </c>
      <c r="CA25" s="22" t="s">
        <v>1095</v>
      </c>
      <c r="CC25" s="21" t="s">
        <v>232</v>
      </c>
      <c r="CD25" s="22" t="s">
        <v>1096</v>
      </c>
      <c r="CE25" s="22" t="s">
        <v>305</v>
      </c>
      <c r="CF25" s="22" t="s">
        <v>1097</v>
      </c>
    </row>
    <row r="26" spans="1:94" ht="15" customHeight="1">
      <c r="A26" s="18" t="s">
        <v>1098</v>
      </c>
      <c r="B26" s="19" t="s">
        <v>1099</v>
      </c>
      <c r="C26" s="19" t="s">
        <v>1100</v>
      </c>
      <c r="D26" s="19" t="s">
        <v>1101</v>
      </c>
      <c r="K26" s="18" t="s">
        <v>289</v>
      </c>
      <c r="L26" s="19" t="s">
        <v>1102</v>
      </c>
      <c r="M26" s="19" t="s">
        <v>1103</v>
      </c>
      <c r="N26" s="19" t="s">
        <v>1104</v>
      </c>
      <c r="P26" s="20" t="s">
        <v>303</v>
      </c>
      <c r="Q26" s="20" t="s">
        <v>1105</v>
      </c>
      <c r="R26" s="20" t="s">
        <v>87</v>
      </c>
      <c r="S26" s="20" t="s">
        <v>1106</v>
      </c>
      <c r="U26" s="21" t="s">
        <v>511</v>
      </c>
      <c r="V26" s="22" t="s">
        <v>1107</v>
      </c>
      <c r="W26" s="22" t="s">
        <v>473</v>
      </c>
      <c r="X26" s="22" t="s">
        <v>1108</v>
      </c>
      <c r="Z26" s="21" t="s">
        <v>498</v>
      </c>
      <c r="AA26" s="22" t="s">
        <v>1109</v>
      </c>
      <c r="AB26" s="22" t="s">
        <v>1110</v>
      </c>
      <c r="AC26" s="22" t="s">
        <v>1111</v>
      </c>
      <c r="AE26" s="32" t="s">
        <v>335</v>
      </c>
      <c r="AF26" s="20" t="s">
        <v>1112</v>
      </c>
      <c r="AG26" s="20" t="s">
        <v>525</v>
      </c>
      <c r="AH26" s="20" t="s">
        <v>1113</v>
      </c>
      <c r="AO26" s="21" t="s">
        <v>356</v>
      </c>
      <c r="AP26" s="22" t="s">
        <v>1114</v>
      </c>
      <c r="AQ26" s="22" t="s">
        <v>1115</v>
      </c>
      <c r="AR26" s="22" t="s">
        <v>1116</v>
      </c>
    </row>
    <row r="27" spans="1:94" ht="15" customHeight="1">
      <c r="A27" s="18" t="s">
        <v>285</v>
      </c>
      <c r="B27" s="19" t="s">
        <v>1117</v>
      </c>
      <c r="C27" s="19" t="s">
        <v>142</v>
      </c>
      <c r="D27" s="19" t="s">
        <v>1118</v>
      </c>
      <c r="K27" s="18" t="s">
        <v>1078</v>
      </c>
      <c r="L27" s="19" t="s">
        <v>1119</v>
      </c>
      <c r="M27" s="19" t="s">
        <v>84</v>
      </c>
      <c r="N27" s="19" t="s">
        <v>1120</v>
      </c>
      <c r="P27" s="20" t="s">
        <v>285</v>
      </c>
      <c r="Q27" s="20" t="s">
        <v>1121</v>
      </c>
      <c r="R27" s="20" t="s">
        <v>322</v>
      </c>
      <c r="S27" s="20" t="s">
        <v>1122</v>
      </c>
      <c r="U27" s="21" t="s">
        <v>422</v>
      </c>
      <c r="V27" s="22" t="s">
        <v>1123</v>
      </c>
      <c r="W27" s="22" t="s">
        <v>1124</v>
      </c>
      <c r="X27" s="22" t="s">
        <v>1125</v>
      </c>
      <c r="Z27" s="21" t="s">
        <v>303</v>
      </c>
      <c r="AA27" s="22" t="s">
        <v>1126</v>
      </c>
      <c r="AB27" s="22" t="s">
        <v>328</v>
      </c>
      <c r="AC27" s="22" t="s">
        <v>1127</v>
      </c>
      <c r="AE27" s="32" t="s">
        <v>874</v>
      </c>
      <c r="AF27" s="20" t="s">
        <v>1128</v>
      </c>
      <c r="AG27" s="20" t="s">
        <v>1129</v>
      </c>
      <c r="AH27" s="20" t="s">
        <v>1130</v>
      </c>
      <c r="AO27" s="21" t="s">
        <v>498</v>
      </c>
      <c r="AP27" s="22" t="s">
        <v>1131</v>
      </c>
      <c r="AQ27" s="22" t="s">
        <v>1132</v>
      </c>
      <c r="AR27" s="22" t="s">
        <v>1133</v>
      </c>
    </row>
    <row r="28" spans="1:94" ht="15" customHeight="1">
      <c r="A28" s="18" t="s">
        <v>743</v>
      </c>
      <c r="B28" s="19" t="s">
        <v>1134</v>
      </c>
      <c r="C28" s="19" t="s">
        <v>411</v>
      </c>
      <c r="D28" s="19" t="s">
        <v>1135</v>
      </c>
      <c r="K28" s="18" t="s">
        <v>232</v>
      </c>
      <c r="L28" s="19" t="s">
        <v>1136</v>
      </c>
      <c r="M28" s="19" t="s">
        <v>319</v>
      </c>
      <c r="N28" s="19" t="s">
        <v>1137</v>
      </c>
      <c r="U28" s="21" t="s">
        <v>335</v>
      </c>
      <c r="V28" s="22" t="s">
        <v>1138</v>
      </c>
      <c r="W28" s="22" t="s">
        <v>567</v>
      </c>
      <c r="X28" s="22" t="s">
        <v>889</v>
      </c>
      <c r="Z28" s="21" t="s">
        <v>1017</v>
      </c>
      <c r="AA28" s="22" t="s">
        <v>1139</v>
      </c>
      <c r="AB28" s="22" t="s">
        <v>159</v>
      </c>
      <c r="AC28" s="22" t="s">
        <v>1140</v>
      </c>
    </row>
    <row r="29" spans="1:94" ht="15" customHeight="1">
      <c r="A29" s="18" t="s">
        <v>1141</v>
      </c>
      <c r="B29" s="19" t="s">
        <v>1142</v>
      </c>
      <c r="C29" s="19" t="s">
        <v>558</v>
      </c>
      <c r="D29" s="19" t="s">
        <v>1143</v>
      </c>
      <c r="K29" s="18" t="s">
        <v>511</v>
      </c>
      <c r="L29" s="19" t="s">
        <v>1144</v>
      </c>
      <c r="M29" s="19" t="s">
        <v>1145</v>
      </c>
      <c r="N29" s="19" t="s">
        <v>1146</v>
      </c>
      <c r="U29" s="21" t="s">
        <v>289</v>
      </c>
      <c r="V29" s="22" t="s">
        <v>1147</v>
      </c>
      <c r="W29" s="22" t="s">
        <v>156</v>
      </c>
      <c r="X29" s="22" t="s">
        <v>1148</v>
      </c>
    </row>
    <row r="30" spans="1:94" ht="15" customHeight="1">
      <c r="A30" s="18" t="s">
        <v>225</v>
      </c>
      <c r="B30" s="19" t="s">
        <v>1149</v>
      </c>
      <c r="C30" s="19" t="s">
        <v>78</v>
      </c>
      <c r="D30" s="19" t="s">
        <v>1150</v>
      </c>
      <c r="U30" s="21" t="s">
        <v>232</v>
      </c>
      <c r="V30" s="22" t="s">
        <v>1151</v>
      </c>
      <c r="W30" s="22" t="s">
        <v>567</v>
      </c>
      <c r="X30" s="22" t="s">
        <v>1152</v>
      </c>
    </row>
    <row r="31" spans="1:94" ht="15" customHeight="1">
      <c r="A31" s="18" t="s">
        <v>232</v>
      </c>
      <c r="B31" s="19" t="s">
        <v>1153</v>
      </c>
      <c r="C31" s="19" t="s">
        <v>78</v>
      </c>
      <c r="D31" s="19" t="s">
        <v>1154</v>
      </c>
      <c r="U31" s="21" t="s">
        <v>431</v>
      </c>
      <c r="V31" s="22" t="s">
        <v>1155</v>
      </c>
      <c r="W31" s="22" t="s">
        <v>614</v>
      </c>
      <c r="X31" s="22" t="s">
        <v>1156</v>
      </c>
    </row>
    <row r="32" spans="1:94" ht="15" customHeight="1">
      <c r="A32" s="18" t="s">
        <v>335</v>
      </c>
      <c r="B32" s="19" t="s">
        <v>1157</v>
      </c>
      <c r="C32" s="19" t="s">
        <v>78</v>
      </c>
      <c r="D32" s="19" t="s">
        <v>1158</v>
      </c>
    </row>
    <row r="33" spans="1:4" ht="15" customHeight="1">
      <c r="A33" s="18" t="s">
        <v>89</v>
      </c>
      <c r="B33" s="19" t="s">
        <v>1159</v>
      </c>
      <c r="C33" s="19" t="s">
        <v>364</v>
      </c>
      <c r="D33" s="19" t="s">
        <v>1160</v>
      </c>
    </row>
  </sheetData>
  <mergeCells count="19">
    <mergeCell ref="A1:D2"/>
    <mergeCell ref="P1:S2"/>
    <mergeCell ref="U1:X2"/>
    <mergeCell ref="AT1:AW2"/>
    <mergeCell ref="AJ1:AM2"/>
    <mergeCell ref="AO1:AR2"/>
    <mergeCell ref="AE1:AH2"/>
    <mergeCell ref="Z1:AC2"/>
    <mergeCell ref="F1:I2"/>
    <mergeCell ref="K1:N2"/>
    <mergeCell ref="AY1:BB2"/>
    <mergeCell ref="CH1:CK2"/>
    <mergeCell ref="CM1:CP2"/>
    <mergeCell ref="CC1:CF2"/>
    <mergeCell ref="BX1:CA2"/>
    <mergeCell ref="BS1:BV2"/>
    <mergeCell ref="BN1:BQ2"/>
    <mergeCell ref="BD1:BG2"/>
    <mergeCell ref="BI1:B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8406-F56C-43C0-AE97-4D771C13CB84}">
  <sheetPr filterMode="1"/>
  <dimension ref="A1:J121"/>
  <sheetViews>
    <sheetView topLeftCell="A14" workbookViewId="0">
      <selection activeCell="D73" sqref="D73"/>
    </sheetView>
  </sheetViews>
  <sheetFormatPr defaultColWidth="8.7109375" defaultRowHeight="15"/>
  <cols>
    <col min="1" max="1" width="7.140625" style="31" customWidth="1"/>
    <col min="2" max="2" width="19.85546875" style="31" customWidth="1"/>
    <col min="3" max="3" width="47.140625" style="31" customWidth="1"/>
    <col min="4" max="4" width="11.7109375" style="31" customWidth="1"/>
    <col min="5" max="5" width="36.5703125" style="31" bestFit="1" customWidth="1"/>
    <col min="6" max="6" width="52.85546875" style="31" customWidth="1"/>
    <col min="7" max="7" width="15.5703125" style="31" customWidth="1"/>
    <col min="8" max="8" width="64.7109375" style="31" customWidth="1"/>
    <col min="9" max="9" width="58.85546875" style="31" bestFit="1" customWidth="1"/>
    <col min="10" max="10" width="11.42578125" style="31" bestFit="1" customWidth="1"/>
    <col min="11" max="16384" width="8.7109375" style="31"/>
  </cols>
  <sheetData>
    <row r="1" spans="1:10" s="26" customFormat="1" ht="30.75">
      <c r="A1" s="23" t="s">
        <v>1161</v>
      </c>
      <c r="B1" s="23" t="s">
        <v>1162</v>
      </c>
      <c r="C1" s="23" t="s">
        <v>1163</v>
      </c>
      <c r="D1" s="23" t="s">
        <v>1164</v>
      </c>
      <c r="E1" s="23" t="s">
        <v>1165</v>
      </c>
      <c r="F1" s="24" t="s">
        <v>1166</v>
      </c>
      <c r="G1" s="23" t="s">
        <v>1167</v>
      </c>
      <c r="H1" s="24" t="s">
        <v>1168</v>
      </c>
      <c r="I1" s="23" t="s">
        <v>1169</v>
      </c>
      <c r="J1" s="25"/>
    </row>
    <row r="2" spans="1:10" ht="30.75">
      <c r="A2" s="27">
        <v>1</v>
      </c>
      <c r="B2" s="28">
        <v>46104.446759259263</v>
      </c>
      <c r="C2" s="29" t="s">
        <v>1170</v>
      </c>
      <c r="D2" s="27" t="s">
        <v>1171</v>
      </c>
      <c r="E2" s="29" t="s">
        <v>50</v>
      </c>
      <c r="F2" s="29" t="s">
        <v>1172</v>
      </c>
      <c r="G2" s="30" t="s">
        <v>1173</v>
      </c>
      <c r="H2" s="29"/>
      <c r="I2" s="29"/>
    </row>
    <row r="3" spans="1:10" ht="15.75">
      <c r="A3" s="27">
        <v>2</v>
      </c>
      <c r="B3" s="28">
        <v>46104.469351851854</v>
      </c>
      <c r="C3" s="29" t="s">
        <v>1170</v>
      </c>
      <c r="D3" s="27" t="s">
        <v>1171</v>
      </c>
      <c r="E3" s="29" t="s">
        <v>59</v>
      </c>
      <c r="F3" s="29" t="s">
        <v>1174</v>
      </c>
      <c r="G3" s="30" t="s">
        <v>1175</v>
      </c>
      <c r="H3" s="29" t="s">
        <v>1176</v>
      </c>
      <c r="I3" s="29" t="s">
        <v>1177</v>
      </c>
    </row>
    <row r="4" spans="1:10" ht="30.75">
      <c r="A4" s="27">
        <v>3</v>
      </c>
      <c r="B4" s="28">
        <v>46104.466817129629</v>
      </c>
      <c r="C4" s="29" t="s">
        <v>1170</v>
      </c>
      <c r="D4" s="27" t="s">
        <v>1171</v>
      </c>
      <c r="E4" s="29" t="s">
        <v>37</v>
      </c>
      <c r="F4" s="29" t="s">
        <v>1178</v>
      </c>
      <c r="G4" s="30" t="s">
        <v>1179</v>
      </c>
      <c r="H4" s="29" t="s">
        <v>1180</v>
      </c>
      <c r="I4" s="29"/>
    </row>
    <row r="5" spans="1:10" ht="30.75">
      <c r="A5" s="27">
        <v>4</v>
      </c>
      <c r="B5" s="28">
        <v>46104.46943287037</v>
      </c>
      <c r="C5" s="29" t="s">
        <v>1170</v>
      </c>
      <c r="D5" s="27" t="s">
        <v>1171</v>
      </c>
      <c r="E5" s="29" t="s">
        <v>39</v>
      </c>
      <c r="F5" s="29" t="s">
        <v>1181</v>
      </c>
      <c r="G5" s="30" t="s">
        <v>1179</v>
      </c>
      <c r="H5" s="29" t="s">
        <v>1182</v>
      </c>
      <c r="I5" s="29" t="s">
        <v>1183</v>
      </c>
    </row>
    <row r="6" spans="1:10" ht="30.75">
      <c r="A6" s="27">
        <v>5</v>
      </c>
      <c r="B6" s="28">
        <v>46104.446458333332</v>
      </c>
      <c r="C6" s="29" t="s">
        <v>1184</v>
      </c>
      <c r="D6" s="27" t="s">
        <v>1171</v>
      </c>
      <c r="E6" s="29" t="s">
        <v>54</v>
      </c>
      <c r="F6" s="29" t="s">
        <v>1185</v>
      </c>
      <c r="G6" s="30">
        <v>5</v>
      </c>
      <c r="H6" s="29"/>
      <c r="I6" s="29"/>
    </row>
    <row r="7" spans="1:10" ht="30.75">
      <c r="A7" s="27">
        <v>6</v>
      </c>
      <c r="B7" s="28">
        <v>46106.454525462963</v>
      </c>
      <c r="C7" s="29" t="s">
        <v>1184</v>
      </c>
      <c r="D7" s="27" t="s">
        <v>1171</v>
      </c>
      <c r="E7" s="29" t="s">
        <v>59</v>
      </c>
      <c r="F7" s="29" t="s">
        <v>1186</v>
      </c>
      <c r="G7" s="30">
        <v>4</v>
      </c>
      <c r="H7" s="29" t="s">
        <v>1187</v>
      </c>
      <c r="I7" s="29" t="s">
        <v>1177</v>
      </c>
    </row>
    <row r="8" spans="1:10" ht="30.75">
      <c r="A8" s="27">
        <v>7</v>
      </c>
      <c r="B8" s="28">
        <v>46106.458518518521</v>
      </c>
      <c r="C8" s="29" t="s">
        <v>1184</v>
      </c>
      <c r="D8" s="27" t="s">
        <v>1171</v>
      </c>
      <c r="E8" s="29" t="s">
        <v>50</v>
      </c>
      <c r="F8" s="29" t="s">
        <v>1188</v>
      </c>
      <c r="G8" s="30">
        <v>5</v>
      </c>
      <c r="H8" s="29"/>
      <c r="I8" s="29"/>
    </row>
    <row r="9" spans="1:10" ht="46.5">
      <c r="A9" s="27">
        <v>8</v>
      </c>
      <c r="B9" s="28">
        <v>46106.458749999998</v>
      </c>
      <c r="C9" s="29" t="s">
        <v>1184</v>
      </c>
      <c r="D9" s="27" t="s">
        <v>1171</v>
      </c>
      <c r="E9" s="29" t="s">
        <v>47</v>
      </c>
      <c r="F9" s="29" t="s">
        <v>1189</v>
      </c>
      <c r="G9" s="30">
        <v>5</v>
      </c>
      <c r="H9" s="29" t="s">
        <v>1190</v>
      </c>
      <c r="I9" s="29" t="s">
        <v>1191</v>
      </c>
    </row>
    <row r="10" spans="1:10" ht="46.5">
      <c r="A10" s="27">
        <v>9</v>
      </c>
      <c r="B10" s="28">
        <v>46106.673356481479</v>
      </c>
      <c r="C10" s="29" t="s">
        <v>1184</v>
      </c>
      <c r="D10" s="27" t="s">
        <v>1171</v>
      </c>
      <c r="E10" s="29" t="s">
        <v>53</v>
      </c>
      <c r="F10" s="29" t="s">
        <v>1192</v>
      </c>
      <c r="G10" s="30">
        <v>4</v>
      </c>
      <c r="H10" s="29"/>
      <c r="I10" s="29"/>
    </row>
    <row r="11" spans="1:10" ht="30.75">
      <c r="A11" s="27">
        <v>10</v>
      </c>
      <c r="B11" s="28" t="s">
        <v>1193</v>
      </c>
      <c r="C11" s="29" t="s">
        <v>1194</v>
      </c>
      <c r="D11" s="27" t="s">
        <v>1171</v>
      </c>
      <c r="E11" s="29" t="s">
        <v>50</v>
      </c>
      <c r="F11" s="29" t="s">
        <v>1195</v>
      </c>
      <c r="G11" s="30">
        <v>5</v>
      </c>
      <c r="H11" s="29" t="s">
        <v>1196</v>
      </c>
      <c r="I11" s="29"/>
    </row>
    <row r="12" spans="1:10" ht="30.75">
      <c r="A12" s="27">
        <v>12</v>
      </c>
      <c r="B12" s="28">
        <v>46113.398356481499</v>
      </c>
      <c r="C12" s="29" t="s">
        <v>1197</v>
      </c>
      <c r="D12" s="27" t="s">
        <v>1171</v>
      </c>
      <c r="E12" s="29" t="s">
        <v>38</v>
      </c>
      <c r="F12" s="29" t="s">
        <v>1198</v>
      </c>
      <c r="G12" s="30" t="s">
        <v>1175</v>
      </c>
      <c r="H12" s="29"/>
      <c r="I12" s="29"/>
    </row>
    <row r="13" spans="1:10" ht="46.5">
      <c r="A13" s="27">
        <v>13</v>
      </c>
      <c r="B13" s="28">
        <v>46113.449421296304</v>
      </c>
      <c r="C13" s="29" t="s">
        <v>1197</v>
      </c>
      <c r="D13" s="27" t="s">
        <v>1171</v>
      </c>
      <c r="E13" s="29" t="s">
        <v>59</v>
      </c>
      <c r="F13" s="29" t="s">
        <v>1199</v>
      </c>
      <c r="G13" s="30" t="s">
        <v>1175</v>
      </c>
      <c r="H13" s="29" t="s">
        <v>1187</v>
      </c>
      <c r="I13" s="29"/>
    </row>
    <row r="14" spans="1:10" ht="30.75">
      <c r="A14" s="27">
        <v>14</v>
      </c>
      <c r="B14" s="28">
        <v>46113.452881944402</v>
      </c>
      <c r="C14" s="29" t="s">
        <v>1197</v>
      </c>
      <c r="D14" s="27" t="s">
        <v>1171</v>
      </c>
      <c r="E14" s="29" t="s">
        <v>38</v>
      </c>
      <c r="F14" s="29" t="s">
        <v>1200</v>
      </c>
      <c r="G14" s="30" t="s">
        <v>1173</v>
      </c>
      <c r="H14" s="29"/>
      <c r="I14" s="29"/>
    </row>
    <row r="15" spans="1:10" ht="61.5">
      <c r="A15" s="27">
        <v>15</v>
      </c>
      <c r="B15" s="28">
        <v>46113.449513888903</v>
      </c>
      <c r="C15" s="29" t="s">
        <v>1197</v>
      </c>
      <c r="D15" s="27" t="s">
        <v>1171</v>
      </c>
      <c r="E15" s="29" t="s">
        <v>50</v>
      </c>
      <c r="F15" s="29" t="s">
        <v>1201</v>
      </c>
      <c r="G15" s="30" t="s">
        <v>1173</v>
      </c>
      <c r="H15" s="29"/>
      <c r="I15" s="29"/>
    </row>
    <row r="16" spans="1:10" ht="46.5">
      <c r="A16" s="27">
        <v>16</v>
      </c>
      <c r="B16" s="28">
        <v>46113.451481481497</v>
      </c>
      <c r="C16" s="29" t="s">
        <v>1197</v>
      </c>
      <c r="D16" s="27" t="s">
        <v>1171</v>
      </c>
      <c r="E16" s="29" t="s">
        <v>52</v>
      </c>
      <c r="F16" s="29" t="s">
        <v>1202</v>
      </c>
      <c r="G16" s="30" t="s">
        <v>1175</v>
      </c>
      <c r="H16" s="29"/>
      <c r="I16" s="29" t="s">
        <v>1203</v>
      </c>
    </row>
    <row r="17" spans="1:9" ht="30.75">
      <c r="A17" s="27">
        <v>17</v>
      </c>
      <c r="B17" s="28">
        <v>46113.460451388899</v>
      </c>
      <c r="C17" s="29" t="s">
        <v>1197</v>
      </c>
      <c r="D17" s="27" t="s">
        <v>1171</v>
      </c>
      <c r="E17" s="29" t="s">
        <v>1204</v>
      </c>
      <c r="F17" s="29" t="s">
        <v>1205</v>
      </c>
      <c r="G17" s="30" t="s">
        <v>1173</v>
      </c>
      <c r="H17" s="29"/>
      <c r="I17" s="29"/>
    </row>
    <row r="18" spans="1:9" ht="30.75">
      <c r="A18" s="27">
        <v>18</v>
      </c>
      <c r="B18" s="28">
        <v>46113.461006944402</v>
      </c>
      <c r="C18" s="29" t="s">
        <v>1197</v>
      </c>
      <c r="D18" s="27" t="s">
        <v>1171</v>
      </c>
      <c r="E18" s="29" t="s">
        <v>1206</v>
      </c>
      <c r="F18" s="29" t="s">
        <v>1207</v>
      </c>
      <c r="G18" s="30" t="s">
        <v>1175</v>
      </c>
      <c r="H18" s="29"/>
      <c r="I18" s="29"/>
    </row>
    <row r="19" spans="1:9" ht="46.5">
      <c r="A19" s="27">
        <v>19</v>
      </c>
      <c r="B19" s="28">
        <v>46113.453912037003</v>
      </c>
      <c r="C19" s="29" t="s">
        <v>1197</v>
      </c>
      <c r="D19" s="27" t="s">
        <v>1171</v>
      </c>
      <c r="E19" s="29" t="s">
        <v>47</v>
      </c>
      <c r="F19" s="29" t="s">
        <v>1208</v>
      </c>
      <c r="G19" s="30" t="s">
        <v>1173</v>
      </c>
      <c r="H19" s="29" t="s">
        <v>1209</v>
      </c>
      <c r="I19" s="29" t="s">
        <v>1190</v>
      </c>
    </row>
    <row r="20" spans="1:9" ht="30.75">
      <c r="A20" s="27">
        <v>20</v>
      </c>
      <c r="B20" s="28">
        <v>46118.454490740703</v>
      </c>
      <c r="C20" s="29" t="s">
        <v>1210</v>
      </c>
      <c r="D20" s="27" t="s">
        <v>1171</v>
      </c>
      <c r="E20" s="29" t="s">
        <v>52</v>
      </c>
      <c r="F20" s="29" t="s">
        <v>1211</v>
      </c>
      <c r="G20" s="30" t="s">
        <v>1173</v>
      </c>
      <c r="H20" s="29" t="s">
        <v>1212</v>
      </c>
      <c r="I20" s="29"/>
    </row>
    <row r="21" spans="1:9" ht="30.75">
      <c r="A21" s="27">
        <v>21</v>
      </c>
      <c r="B21" s="28">
        <v>46118.459641203699</v>
      </c>
      <c r="C21" s="29" t="s">
        <v>1210</v>
      </c>
      <c r="D21" s="27" t="s">
        <v>1171</v>
      </c>
      <c r="E21" s="29" t="s">
        <v>50</v>
      </c>
      <c r="F21" s="29" t="s">
        <v>1213</v>
      </c>
      <c r="G21" s="30" t="s">
        <v>1173</v>
      </c>
      <c r="H21" s="29"/>
      <c r="I21" s="29"/>
    </row>
    <row r="22" spans="1:9" ht="80.25">
      <c r="A22" s="27">
        <v>22</v>
      </c>
      <c r="B22" s="28">
        <v>46118.461597222202</v>
      </c>
      <c r="C22" s="29" t="s">
        <v>1210</v>
      </c>
      <c r="D22" s="27" t="s">
        <v>1171</v>
      </c>
      <c r="E22" s="29" t="s">
        <v>47</v>
      </c>
      <c r="F22" s="29" t="s">
        <v>1214</v>
      </c>
      <c r="G22" s="30" t="s">
        <v>1173</v>
      </c>
      <c r="H22" s="29" t="s">
        <v>1215</v>
      </c>
      <c r="I22" s="29" t="s">
        <v>1190</v>
      </c>
    </row>
    <row r="23" spans="1:9" ht="30.75">
      <c r="A23" s="27">
        <v>23</v>
      </c>
      <c r="B23" s="28">
        <v>46120.258865740703</v>
      </c>
      <c r="C23" s="29" t="s">
        <v>1216</v>
      </c>
      <c r="D23" s="27" t="s">
        <v>1171</v>
      </c>
      <c r="E23" s="29" t="s">
        <v>59</v>
      </c>
      <c r="F23" s="29" t="s">
        <v>1217</v>
      </c>
      <c r="G23" s="30" t="s">
        <v>1175</v>
      </c>
      <c r="H23" s="29"/>
      <c r="I23" s="29"/>
    </row>
    <row r="24" spans="1:9" ht="46.5">
      <c r="A24" s="27">
        <v>24</v>
      </c>
      <c r="B24" s="28">
        <v>46120.459155092598</v>
      </c>
      <c r="C24" s="29" t="s">
        <v>1216</v>
      </c>
      <c r="D24" s="27" t="s">
        <v>1171</v>
      </c>
      <c r="E24" s="29" t="s">
        <v>52</v>
      </c>
      <c r="F24" s="29" t="s">
        <v>1218</v>
      </c>
      <c r="G24" s="30" t="s">
        <v>1173</v>
      </c>
      <c r="H24" s="29"/>
      <c r="I24" s="29"/>
    </row>
    <row r="25" spans="1:9" ht="48">
      <c r="A25" s="27">
        <v>25</v>
      </c>
      <c r="B25" s="28">
        <v>46120.454155092601</v>
      </c>
      <c r="C25" s="29" t="s">
        <v>1216</v>
      </c>
      <c r="D25" s="27" t="s">
        <v>1171</v>
      </c>
      <c r="E25" s="29" t="s">
        <v>47</v>
      </c>
      <c r="F25" s="29" t="s">
        <v>1219</v>
      </c>
      <c r="G25" s="30" t="s">
        <v>1173</v>
      </c>
      <c r="H25" s="29" t="s">
        <v>1220</v>
      </c>
      <c r="I25" s="29" t="s">
        <v>1190</v>
      </c>
    </row>
    <row r="26" spans="1:9" ht="15.75">
      <c r="A26" s="27">
        <v>26</v>
      </c>
      <c r="B26" s="28">
        <v>46120.459548611099</v>
      </c>
      <c r="C26" s="29" t="s">
        <v>1216</v>
      </c>
      <c r="D26" s="27" t="s">
        <v>1171</v>
      </c>
      <c r="E26" s="29" t="s">
        <v>59</v>
      </c>
      <c r="F26" s="29" t="s">
        <v>1221</v>
      </c>
      <c r="G26" s="30" t="s">
        <v>1175</v>
      </c>
      <c r="H26" s="29"/>
      <c r="I26" s="29"/>
    </row>
    <row r="27" spans="1:9" ht="15.75">
      <c r="A27" s="27">
        <v>27</v>
      </c>
      <c r="B27" s="28">
        <v>46125.467083333337</v>
      </c>
      <c r="C27" s="29" t="s">
        <v>1222</v>
      </c>
      <c r="D27" s="27" t="s">
        <v>1171</v>
      </c>
      <c r="E27" s="29" t="s">
        <v>38</v>
      </c>
      <c r="F27" s="29" t="s">
        <v>1223</v>
      </c>
      <c r="G27" s="30">
        <v>5</v>
      </c>
      <c r="H27" s="29"/>
      <c r="I27" s="29"/>
    </row>
    <row r="28" spans="1:9" ht="30.75">
      <c r="A28" s="27">
        <v>28</v>
      </c>
      <c r="B28" s="28">
        <v>46125.467361111114</v>
      </c>
      <c r="C28" s="29" t="s">
        <v>1222</v>
      </c>
      <c r="D28" s="27" t="s">
        <v>1171</v>
      </c>
      <c r="E28" s="29" t="s">
        <v>59</v>
      </c>
      <c r="F28" s="29" t="s">
        <v>1224</v>
      </c>
      <c r="G28" s="30">
        <v>4</v>
      </c>
      <c r="H28" s="29" t="s">
        <v>1177</v>
      </c>
      <c r="I28" s="29" t="s">
        <v>1177</v>
      </c>
    </row>
    <row r="29" spans="1:9" ht="65.25">
      <c r="A29" s="27">
        <v>29</v>
      </c>
      <c r="B29" s="28">
        <v>46125.455648148149</v>
      </c>
      <c r="C29" s="29" t="s">
        <v>1222</v>
      </c>
      <c r="D29" s="27" t="s">
        <v>1171</v>
      </c>
      <c r="E29" s="29" t="s">
        <v>47</v>
      </c>
      <c r="F29" s="29" t="s">
        <v>1225</v>
      </c>
      <c r="G29" s="30">
        <v>5</v>
      </c>
      <c r="H29" s="29" t="s">
        <v>1226</v>
      </c>
      <c r="I29" s="29" t="s">
        <v>1190</v>
      </c>
    </row>
    <row r="30" spans="1:9" ht="15.75">
      <c r="A30" s="27">
        <v>30</v>
      </c>
      <c r="B30" s="28">
        <v>46125.479583333334</v>
      </c>
      <c r="C30" s="29" t="s">
        <v>1222</v>
      </c>
      <c r="D30" s="27" t="s">
        <v>1171</v>
      </c>
      <c r="E30" s="29" t="s">
        <v>50</v>
      </c>
      <c r="F30" s="29" t="s">
        <v>1227</v>
      </c>
      <c r="G30" s="30">
        <v>5</v>
      </c>
      <c r="H30" s="29"/>
      <c r="I30" s="29"/>
    </row>
    <row r="31" spans="1:9" ht="46.5">
      <c r="A31" s="27">
        <v>31</v>
      </c>
      <c r="B31" s="28">
        <v>46128.456134259257</v>
      </c>
      <c r="C31" s="29" t="s">
        <v>1228</v>
      </c>
      <c r="D31" s="27" t="s">
        <v>1171</v>
      </c>
      <c r="E31" s="29" t="s">
        <v>1206</v>
      </c>
      <c r="F31" s="29" t="s">
        <v>1229</v>
      </c>
      <c r="G31" s="30">
        <v>5</v>
      </c>
      <c r="H31" s="29"/>
      <c r="I31" s="29"/>
    </row>
    <row r="32" spans="1:9" ht="30.75">
      <c r="A32" s="27">
        <v>32</v>
      </c>
      <c r="B32" s="28">
        <v>46128.460416666669</v>
      </c>
      <c r="C32" s="29" t="s">
        <v>1228</v>
      </c>
      <c r="D32" s="27" t="s">
        <v>1171</v>
      </c>
      <c r="E32" s="29" t="s">
        <v>38</v>
      </c>
      <c r="F32" s="29" t="s">
        <v>1230</v>
      </c>
      <c r="G32" s="30">
        <v>5</v>
      </c>
      <c r="H32" s="29"/>
      <c r="I32" s="29"/>
    </row>
    <row r="33" spans="1:9" ht="30.75">
      <c r="A33" s="27">
        <v>33</v>
      </c>
      <c r="B33" s="28">
        <v>46128.460532407407</v>
      </c>
      <c r="C33" s="29" t="s">
        <v>1228</v>
      </c>
      <c r="D33" s="27" t="s">
        <v>1171</v>
      </c>
      <c r="E33" s="29" t="s">
        <v>1204</v>
      </c>
      <c r="F33" s="29" t="s">
        <v>1231</v>
      </c>
      <c r="G33" s="30">
        <v>5</v>
      </c>
      <c r="H33" s="29"/>
      <c r="I33" s="29"/>
    </row>
    <row r="34" spans="1:9" ht="46.5">
      <c r="A34" s="27">
        <v>34</v>
      </c>
      <c r="B34" s="28">
        <v>46128.460914351854</v>
      </c>
      <c r="C34" s="29" t="s">
        <v>1228</v>
      </c>
      <c r="D34" s="27" t="s">
        <v>1171</v>
      </c>
      <c r="E34" s="29" t="s">
        <v>59</v>
      </c>
      <c r="F34" s="29" t="s">
        <v>1232</v>
      </c>
      <c r="G34" s="30">
        <v>4</v>
      </c>
      <c r="H34" s="29" t="s">
        <v>1233</v>
      </c>
      <c r="I34" s="29" t="s">
        <v>1233</v>
      </c>
    </row>
    <row r="35" spans="1:9" ht="30.75">
      <c r="A35" s="27">
        <v>35</v>
      </c>
      <c r="B35" s="28">
        <v>46132.456956018519</v>
      </c>
      <c r="C35" s="29" t="s">
        <v>1234</v>
      </c>
      <c r="D35" s="27" t="s">
        <v>1171</v>
      </c>
      <c r="E35" s="29" t="s">
        <v>50</v>
      </c>
      <c r="F35" s="29" t="s">
        <v>1235</v>
      </c>
      <c r="G35" s="30">
        <v>5</v>
      </c>
      <c r="H35" s="29"/>
      <c r="I35" s="29"/>
    </row>
    <row r="36" spans="1:9" ht="30.75">
      <c r="A36" s="27">
        <v>36</v>
      </c>
      <c r="B36" s="28">
        <v>46132.457361111112</v>
      </c>
      <c r="C36" s="29" t="s">
        <v>1234</v>
      </c>
      <c r="D36" s="27" t="s">
        <v>1171</v>
      </c>
      <c r="E36" s="29" t="s">
        <v>38</v>
      </c>
      <c r="F36" s="29" t="s">
        <v>1236</v>
      </c>
      <c r="G36" s="30">
        <v>5</v>
      </c>
      <c r="H36" s="29"/>
      <c r="I36" s="29"/>
    </row>
    <row r="37" spans="1:9" ht="46.5">
      <c r="A37" s="27">
        <v>37</v>
      </c>
      <c r="B37" s="28">
        <v>46132.45753472222</v>
      </c>
      <c r="C37" s="29" t="s">
        <v>1234</v>
      </c>
      <c r="D37" s="27" t="s">
        <v>1171</v>
      </c>
      <c r="E37" s="29" t="s">
        <v>1237</v>
      </c>
      <c r="F37" s="29" t="s">
        <v>1238</v>
      </c>
      <c r="G37" s="30">
        <v>4</v>
      </c>
      <c r="H37" s="29"/>
      <c r="I37" s="29"/>
    </row>
    <row r="38" spans="1:9" ht="46.5">
      <c r="A38" s="27">
        <v>38</v>
      </c>
      <c r="B38" s="28">
        <v>46132.457337962966</v>
      </c>
      <c r="C38" s="29" t="s">
        <v>1234</v>
      </c>
      <c r="D38" s="27" t="s">
        <v>1171</v>
      </c>
      <c r="E38" s="29" t="s">
        <v>1206</v>
      </c>
      <c r="F38" s="29" t="s">
        <v>1239</v>
      </c>
      <c r="G38" s="30">
        <v>5</v>
      </c>
      <c r="H38" s="29"/>
      <c r="I38" s="29"/>
    </row>
    <row r="39" spans="1:9" ht="63">
      <c r="A39" s="27">
        <v>39</v>
      </c>
      <c r="B39" s="28" t="s">
        <v>1240</v>
      </c>
      <c r="C39" s="29" t="s">
        <v>1234</v>
      </c>
      <c r="D39" s="27" t="s">
        <v>1171</v>
      </c>
      <c r="E39" s="29" t="s">
        <v>47</v>
      </c>
      <c r="F39" s="29" t="s">
        <v>1241</v>
      </c>
      <c r="G39" s="30">
        <v>5</v>
      </c>
      <c r="H39" s="29" t="s">
        <v>1242</v>
      </c>
      <c r="I39" s="29" t="s">
        <v>1190</v>
      </c>
    </row>
    <row r="40" spans="1:9" ht="46.5">
      <c r="A40" s="27">
        <v>40</v>
      </c>
      <c r="B40" s="28" t="s">
        <v>1243</v>
      </c>
      <c r="C40" s="29" t="s">
        <v>1244</v>
      </c>
      <c r="D40" s="27" t="s">
        <v>1171</v>
      </c>
      <c r="E40" s="29" t="s">
        <v>59</v>
      </c>
      <c r="F40" s="29" t="s">
        <v>1245</v>
      </c>
      <c r="G40" s="30">
        <v>4</v>
      </c>
      <c r="H40" s="29"/>
      <c r="I40" s="29"/>
    </row>
    <row r="41" spans="1:9" ht="30.75">
      <c r="A41" s="27">
        <v>41</v>
      </c>
      <c r="B41" s="28" t="s">
        <v>1246</v>
      </c>
      <c r="C41" s="29" t="s">
        <v>1244</v>
      </c>
      <c r="D41" s="27" t="s">
        <v>1171</v>
      </c>
      <c r="E41" s="29" t="s">
        <v>1206</v>
      </c>
      <c r="F41" s="29" t="s">
        <v>1247</v>
      </c>
      <c r="G41" s="30">
        <v>5</v>
      </c>
      <c r="H41" s="29"/>
      <c r="I41" s="29"/>
    </row>
    <row r="42" spans="1:9" ht="15.75">
      <c r="A42" s="27">
        <v>42</v>
      </c>
      <c r="B42" s="28" t="s">
        <v>1248</v>
      </c>
      <c r="C42" s="29" t="s">
        <v>1244</v>
      </c>
      <c r="D42" s="27" t="s">
        <v>1171</v>
      </c>
      <c r="E42" s="29" t="s">
        <v>50</v>
      </c>
      <c r="F42" s="29" t="s">
        <v>1249</v>
      </c>
      <c r="G42" s="30">
        <v>5</v>
      </c>
      <c r="H42" s="29"/>
      <c r="I42" s="29"/>
    </row>
    <row r="43" spans="1:9" ht="15.75">
      <c r="A43" s="27">
        <v>43</v>
      </c>
      <c r="B43" s="28" t="s">
        <v>1250</v>
      </c>
      <c r="C43" s="29" t="s">
        <v>1244</v>
      </c>
      <c r="D43" s="27" t="s">
        <v>1171</v>
      </c>
      <c r="E43" s="29" t="s">
        <v>38</v>
      </c>
      <c r="F43" s="29" t="s">
        <v>1230</v>
      </c>
      <c r="G43" s="30">
        <v>5</v>
      </c>
      <c r="H43" s="29"/>
      <c r="I43" s="29"/>
    </row>
    <row r="44" spans="1:9" ht="61.5">
      <c r="A44" s="27">
        <v>44</v>
      </c>
      <c r="B44" s="28" t="s">
        <v>1251</v>
      </c>
      <c r="C44" s="29" t="s">
        <v>1244</v>
      </c>
      <c r="D44" s="27" t="s">
        <v>1171</v>
      </c>
      <c r="E44" s="29" t="s">
        <v>47</v>
      </c>
      <c r="F44" s="29" t="s">
        <v>1252</v>
      </c>
      <c r="G44" s="30">
        <v>5</v>
      </c>
      <c r="H44" s="29" t="s">
        <v>1253</v>
      </c>
      <c r="I44" s="29" t="s">
        <v>1190</v>
      </c>
    </row>
    <row r="45" spans="1:9" ht="15.75">
      <c r="A45" s="27">
        <v>45</v>
      </c>
      <c r="B45" s="28">
        <v>46139.459004629629</v>
      </c>
      <c r="C45" s="29" t="s">
        <v>1254</v>
      </c>
      <c r="D45" s="27" t="s">
        <v>1171</v>
      </c>
      <c r="E45" s="29" t="s">
        <v>38</v>
      </c>
      <c r="F45" s="29" t="s">
        <v>1230</v>
      </c>
      <c r="G45" s="30">
        <v>5</v>
      </c>
      <c r="H45" s="29"/>
      <c r="I45" s="29"/>
    </row>
    <row r="46" spans="1:9" ht="15.75">
      <c r="A46" s="27">
        <v>46</v>
      </c>
      <c r="B46" s="28">
        <v>46139.459004629629</v>
      </c>
      <c r="C46" s="29" t="s">
        <v>1254</v>
      </c>
      <c r="D46" s="27" t="s">
        <v>1171</v>
      </c>
      <c r="E46" s="29" t="s">
        <v>1204</v>
      </c>
      <c r="F46" s="29" t="s">
        <v>1255</v>
      </c>
      <c r="G46" s="30">
        <v>5</v>
      </c>
      <c r="H46" s="29"/>
      <c r="I46" s="29"/>
    </row>
    <row r="47" spans="1:9" ht="15.75">
      <c r="A47" s="27">
        <v>47</v>
      </c>
      <c r="B47" s="28">
        <v>46139.459247685183</v>
      </c>
      <c r="C47" s="29" t="s">
        <v>1254</v>
      </c>
      <c r="D47" s="27" t="s">
        <v>1171</v>
      </c>
      <c r="E47" s="29" t="s">
        <v>50</v>
      </c>
      <c r="F47" s="29" t="s">
        <v>1256</v>
      </c>
      <c r="G47" s="30">
        <v>5</v>
      </c>
      <c r="H47" s="29"/>
      <c r="I47" s="29"/>
    </row>
    <row r="48" spans="1:9" ht="30.75">
      <c r="A48" s="27">
        <v>48</v>
      </c>
      <c r="B48" s="28">
        <v>46139.459004629629</v>
      </c>
      <c r="C48" s="29" t="s">
        <v>1254</v>
      </c>
      <c r="D48" s="27" t="s">
        <v>1171</v>
      </c>
      <c r="E48" s="29" t="s">
        <v>54</v>
      </c>
      <c r="F48" s="29" t="s">
        <v>1257</v>
      </c>
      <c r="G48" s="30">
        <v>5</v>
      </c>
      <c r="H48" s="29"/>
      <c r="I48" s="29"/>
    </row>
    <row r="49" spans="1:9" ht="30.75">
      <c r="A49" s="27">
        <v>49</v>
      </c>
      <c r="B49" s="28">
        <v>46139.459189814814</v>
      </c>
      <c r="C49" s="29" t="s">
        <v>1254</v>
      </c>
      <c r="D49" s="27" t="s">
        <v>1171</v>
      </c>
      <c r="E49" s="29" t="s">
        <v>1206</v>
      </c>
      <c r="F49" s="29" t="s">
        <v>1258</v>
      </c>
      <c r="G49" s="30">
        <v>5</v>
      </c>
      <c r="H49" s="29"/>
      <c r="I49" s="29"/>
    </row>
    <row r="50" spans="1:9" ht="30.75">
      <c r="A50" s="27">
        <v>50</v>
      </c>
      <c r="B50" s="28">
        <v>46141.452453703707</v>
      </c>
      <c r="C50" s="29" t="s">
        <v>1259</v>
      </c>
      <c r="D50" s="27" t="s">
        <v>1171</v>
      </c>
      <c r="E50" s="29" t="s">
        <v>59</v>
      </c>
      <c r="F50" s="29" t="s">
        <v>1260</v>
      </c>
      <c r="G50" s="30">
        <v>4</v>
      </c>
      <c r="H50" s="29"/>
      <c r="I50" s="29"/>
    </row>
    <row r="51" spans="1:9" ht="30.75">
      <c r="A51" s="27">
        <v>51</v>
      </c>
      <c r="B51" s="28">
        <v>46141.457615740743</v>
      </c>
      <c r="C51" s="29" t="s">
        <v>1259</v>
      </c>
      <c r="D51" s="27" t="s">
        <v>1171</v>
      </c>
      <c r="E51" s="29" t="s">
        <v>50</v>
      </c>
      <c r="F51" s="29" t="s">
        <v>1261</v>
      </c>
      <c r="G51" s="30">
        <v>5</v>
      </c>
      <c r="H51" s="29"/>
      <c r="I51" s="29"/>
    </row>
    <row r="52" spans="1:9" ht="30.75">
      <c r="A52" s="27">
        <v>52</v>
      </c>
      <c r="B52" s="28">
        <v>46141.459467592591</v>
      </c>
      <c r="C52" s="29" t="s">
        <v>1259</v>
      </c>
      <c r="D52" s="27" t="s">
        <v>1171</v>
      </c>
      <c r="E52" s="29" t="s">
        <v>38</v>
      </c>
      <c r="F52" s="29" t="s">
        <v>1236</v>
      </c>
      <c r="G52" s="30">
        <v>5</v>
      </c>
      <c r="H52" s="29"/>
      <c r="I52" s="29"/>
    </row>
    <row r="53" spans="1:9" ht="46.5">
      <c r="A53" s="27">
        <v>53</v>
      </c>
      <c r="B53" s="28">
        <v>46141.451805555553</v>
      </c>
      <c r="C53" s="29" t="s">
        <v>1259</v>
      </c>
      <c r="D53" s="27" t="s">
        <v>1171</v>
      </c>
      <c r="E53" s="29" t="s">
        <v>47</v>
      </c>
      <c r="F53" s="29" t="s">
        <v>1262</v>
      </c>
      <c r="G53" s="30">
        <v>5</v>
      </c>
      <c r="H53" s="29" t="s">
        <v>1263</v>
      </c>
      <c r="I53" s="29" t="s">
        <v>1190</v>
      </c>
    </row>
    <row r="54" spans="1:9" ht="30.75">
      <c r="A54" s="27">
        <v>54</v>
      </c>
      <c r="B54" s="28">
        <v>46146.453333333331</v>
      </c>
      <c r="C54" s="29" t="s">
        <v>1264</v>
      </c>
      <c r="D54" s="27" t="s">
        <v>1171</v>
      </c>
      <c r="E54" s="29" t="s">
        <v>52</v>
      </c>
      <c r="F54" s="29" t="s">
        <v>1265</v>
      </c>
      <c r="G54" s="30">
        <v>5</v>
      </c>
      <c r="H54" s="29" t="s">
        <v>1266</v>
      </c>
      <c r="I54" s="29" t="s">
        <v>1266</v>
      </c>
    </row>
    <row r="55" spans="1:9" ht="46.5">
      <c r="A55" s="27">
        <v>55</v>
      </c>
      <c r="B55" s="28">
        <v>46146.45453703704</v>
      </c>
      <c r="C55" s="29" t="s">
        <v>1264</v>
      </c>
      <c r="D55" s="27" t="s">
        <v>1171</v>
      </c>
      <c r="E55" s="29" t="s">
        <v>59</v>
      </c>
      <c r="F55" s="29" t="s">
        <v>1267</v>
      </c>
      <c r="G55" s="30">
        <v>4</v>
      </c>
      <c r="H55" s="29"/>
      <c r="I55" s="29"/>
    </row>
    <row r="56" spans="1:9" ht="30.75">
      <c r="A56" s="27">
        <v>56</v>
      </c>
      <c r="B56" s="28">
        <v>46146.459594907406</v>
      </c>
      <c r="C56" s="29" t="s">
        <v>1264</v>
      </c>
      <c r="D56" s="27" t="s">
        <v>1171</v>
      </c>
      <c r="E56" s="29" t="s">
        <v>50</v>
      </c>
      <c r="F56" s="29" t="s">
        <v>1268</v>
      </c>
      <c r="G56" s="30">
        <v>5</v>
      </c>
      <c r="H56" s="29"/>
      <c r="I56" s="29"/>
    </row>
    <row r="57" spans="1:9" ht="103.5" customHeight="1">
      <c r="A57" s="27">
        <v>57</v>
      </c>
      <c r="B57" s="28">
        <v>46146.454849537004</v>
      </c>
      <c r="C57" s="29" t="s">
        <v>1269</v>
      </c>
      <c r="D57" s="27" t="s">
        <v>1171</v>
      </c>
      <c r="E57" s="29" t="s">
        <v>47</v>
      </c>
      <c r="F57" s="29"/>
      <c r="G57" s="30" t="s">
        <v>1173</v>
      </c>
      <c r="H57" s="29"/>
      <c r="I57" s="29" t="s">
        <v>1270</v>
      </c>
    </row>
    <row r="58" spans="1:9" ht="46.5">
      <c r="A58" s="27">
        <v>58</v>
      </c>
      <c r="B58" s="28">
        <v>46148.447141203702</v>
      </c>
      <c r="C58" s="29" t="s">
        <v>1269</v>
      </c>
      <c r="D58" s="27" t="s">
        <v>1171</v>
      </c>
      <c r="E58" s="29" t="s">
        <v>47</v>
      </c>
      <c r="F58" s="29" t="s">
        <v>1271</v>
      </c>
      <c r="G58" s="30" t="s">
        <v>1173</v>
      </c>
      <c r="H58" s="29" t="s">
        <v>1190</v>
      </c>
      <c r="I58" s="29" t="s">
        <v>1272</v>
      </c>
    </row>
    <row r="59" spans="1:9" ht="30.75">
      <c r="A59" s="27">
        <v>59</v>
      </c>
      <c r="B59" s="28">
        <v>46148.460914351803</v>
      </c>
      <c r="C59" s="29" t="s">
        <v>1269</v>
      </c>
      <c r="D59" s="27" t="s">
        <v>1171</v>
      </c>
      <c r="E59" s="29" t="s">
        <v>38</v>
      </c>
      <c r="F59" s="29" t="s">
        <v>1266</v>
      </c>
      <c r="G59" s="30" t="s">
        <v>1173</v>
      </c>
      <c r="H59" s="29" t="s">
        <v>35</v>
      </c>
      <c r="I59" s="29" t="s">
        <v>1230</v>
      </c>
    </row>
    <row r="60" spans="1:9" ht="30.75">
      <c r="A60" s="27">
        <v>60</v>
      </c>
      <c r="B60" s="28">
        <v>46148.4606712963</v>
      </c>
      <c r="C60" s="29" t="s">
        <v>1269</v>
      </c>
      <c r="D60" s="27" t="s">
        <v>1171</v>
      </c>
      <c r="E60" s="29" t="s">
        <v>59</v>
      </c>
      <c r="F60" s="29" t="s">
        <v>1273</v>
      </c>
      <c r="G60" s="30" t="s">
        <v>1173</v>
      </c>
      <c r="H60" s="29" t="s">
        <v>1273</v>
      </c>
      <c r="I60" s="29" t="s">
        <v>1274</v>
      </c>
    </row>
    <row r="61" spans="1:9" ht="30.75">
      <c r="A61" s="27">
        <v>61</v>
      </c>
      <c r="B61" s="28">
        <v>46148.461134259298</v>
      </c>
      <c r="C61" s="29" t="s">
        <v>1269</v>
      </c>
      <c r="D61" s="27" t="s">
        <v>1171</v>
      </c>
      <c r="E61" s="29" t="s">
        <v>50</v>
      </c>
      <c r="F61" s="29" t="s">
        <v>1275</v>
      </c>
      <c r="G61" s="30" t="s">
        <v>1173</v>
      </c>
      <c r="H61" s="29" t="s">
        <v>1276</v>
      </c>
      <c r="I61" s="29" t="s">
        <v>1277</v>
      </c>
    </row>
    <row r="62" spans="1:9" ht="46.5">
      <c r="A62" s="27">
        <v>62</v>
      </c>
      <c r="B62" s="28">
        <v>46153.450381944444</v>
      </c>
      <c r="C62" s="29" t="s">
        <v>1278</v>
      </c>
      <c r="D62" s="27" t="s">
        <v>1171</v>
      </c>
      <c r="E62" s="29" t="s">
        <v>59</v>
      </c>
      <c r="F62" s="29" t="s">
        <v>1279</v>
      </c>
      <c r="G62" s="30">
        <v>4</v>
      </c>
      <c r="H62" s="29" t="s">
        <v>1273</v>
      </c>
      <c r="I62" s="29" t="s">
        <v>1273</v>
      </c>
    </row>
    <row r="63" spans="1:9" ht="61.5">
      <c r="A63" s="27">
        <v>63</v>
      </c>
      <c r="B63" s="28">
        <v>46153.451354166667</v>
      </c>
      <c r="C63" s="29" t="s">
        <v>1278</v>
      </c>
      <c r="D63" s="27" t="s">
        <v>1171</v>
      </c>
      <c r="E63" s="29" t="s">
        <v>52</v>
      </c>
      <c r="F63" s="29" t="s">
        <v>1280</v>
      </c>
      <c r="G63" s="30">
        <v>5</v>
      </c>
      <c r="H63" s="29" t="s">
        <v>1281</v>
      </c>
      <c r="I63" s="29" t="s">
        <v>1282</v>
      </c>
    </row>
    <row r="64" spans="1:9" ht="30.75">
      <c r="A64" s="27">
        <v>64</v>
      </c>
      <c r="B64" s="28">
        <v>46153.458402777775</v>
      </c>
      <c r="C64" s="29" t="s">
        <v>1278</v>
      </c>
      <c r="D64" s="27" t="s">
        <v>1171</v>
      </c>
      <c r="E64" s="29" t="s">
        <v>38</v>
      </c>
      <c r="F64" s="29"/>
      <c r="G64" s="30">
        <v>5</v>
      </c>
      <c r="H64" s="29" t="s">
        <v>34</v>
      </c>
      <c r="I64" s="29" t="s">
        <v>1273</v>
      </c>
    </row>
    <row r="65" spans="1:9" ht="30.75">
      <c r="A65" s="27">
        <v>65</v>
      </c>
      <c r="B65" s="28">
        <v>46153.459618055553</v>
      </c>
      <c r="C65" s="29" t="s">
        <v>1278</v>
      </c>
      <c r="D65" s="27" t="s">
        <v>1171</v>
      </c>
      <c r="E65" s="29" t="s">
        <v>50</v>
      </c>
      <c r="F65" s="29" t="s">
        <v>1283</v>
      </c>
      <c r="G65" s="30">
        <v>5</v>
      </c>
      <c r="H65" s="29" t="s">
        <v>1284</v>
      </c>
      <c r="I65" s="29" t="s">
        <v>1285</v>
      </c>
    </row>
    <row r="66" spans="1:9" ht="48">
      <c r="A66" s="27">
        <v>66</v>
      </c>
      <c r="B66" s="28">
        <v>46153.450196759259</v>
      </c>
      <c r="C66" s="29" t="s">
        <v>1278</v>
      </c>
      <c r="D66" s="27" t="s">
        <v>1171</v>
      </c>
      <c r="E66" s="29" t="s">
        <v>47</v>
      </c>
      <c r="F66" s="29" t="s">
        <v>1286</v>
      </c>
      <c r="G66" s="30">
        <v>5</v>
      </c>
      <c r="H66" s="29" t="s">
        <v>1287</v>
      </c>
      <c r="I66" s="29" t="s">
        <v>1190</v>
      </c>
    </row>
    <row r="81" s="31" customFormat="1"/>
    <row r="82" s="31" customFormat="1"/>
    <row r="83" s="31" customFormat="1"/>
    <row r="84" s="31" customFormat="1"/>
    <row r="85" s="31" customFormat="1"/>
    <row r="86" s="31" customFormat="1"/>
    <row r="87" s="31" customFormat="1"/>
    <row r="88" s="31" customFormat="1"/>
    <row r="89" s="31" customFormat="1"/>
    <row r="90" s="31" customFormat="1"/>
    <row r="91" s="31" customFormat="1"/>
    <row r="92" s="31" customFormat="1"/>
    <row r="93" s="31" customFormat="1"/>
    <row r="94" s="31" customFormat="1"/>
    <row r="95" s="31" customFormat="1"/>
    <row r="96" s="31" customFormat="1"/>
    <row r="97" s="31" customFormat="1"/>
    <row r="98" s="31" customFormat="1"/>
    <row r="99" s="31" customFormat="1"/>
    <row r="100" s="31" customFormat="1"/>
    <row r="101" s="31" customFormat="1"/>
    <row r="102" s="31" customFormat="1"/>
    <row r="103" s="31" customFormat="1"/>
    <row r="104" s="31" customFormat="1"/>
    <row r="105" s="31" customFormat="1"/>
    <row r="106" s="31" customFormat="1"/>
    <row r="107" s="31" customFormat="1"/>
    <row r="108" s="31" customFormat="1"/>
    <row r="109" s="31" customFormat="1"/>
    <row r="110" s="31" customFormat="1"/>
    <row r="111" s="31" customFormat="1"/>
    <row r="112" s="31" customFormat="1"/>
    <row r="113" s="31" customFormat="1"/>
    <row r="114" s="31" customFormat="1"/>
    <row r="115" s="31" customFormat="1"/>
    <row r="116" s="31" customFormat="1"/>
    <row r="117" s="31" customFormat="1"/>
    <row r="118" s="31" customFormat="1"/>
    <row r="119" s="31" customFormat="1"/>
    <row r="120" s="31" customFormat="1"/>
    <row r="121" s="31" customFormat="1"/>
  </sheetData>
  <autoFilter ref="A1:I44" xr:uid="{0EED8406-F56C-43C0-AE97-4D771C13CB84}">
    <filterColumn colId="6">
      <filters>
        <filter val="3"/>
      </filters>
    </filterColumn>
  </autoFilter>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9710B-4275-4318-AC7A-C0673BAF1FC5}">
  <dimension ref="A1:N25"/>
  <sheetViews>
    <sheetView workbookViewId="0">
      <selection activeCell="D3" sqref="D2:D25"/>
    </sheetView>
  </sheetViews>
  <sheetFormatPr defaultRowHeight="15"/>
  <cols>
    <col min="1" max="1" width="17.42578125" customWidth="1"/>
    <col min="2" max="2" width="35.7109375" customWidth="1"/>
    <col min="3" max="3" width="17.85546875" customWidth="1"/>
    <col min="4" max="4" width="26.5703125" customWidth="1"/>
    <col min="5" max="5" width="28.28515625" customWidth="1"/>
  </cols>
  <sheetData>
    <row r="1" spans="1:14" ht="15" customHeight="1">
      <c r="A1" s="10" t="s">
        <v>60</v>
      </c>
      <c r="B1" s="10" t="s">
        <v>61</v>
      </c>
      <c r="C1" s="10" t="s">
        <v>1288</v>
      </c>
      <c r="D1" s="35" t="s">
        <v>1289</v>
      </c>
      <c r="E1" s="47" t="s">
        <v>1290</v>
      </c>
    </row>
    <row r="2" spans="1:14" ht="15.75">
      <c r="A2" s="7">
        <v>1</v>
      </c>
      <c r="B2" s="1" t="s">
        <v>38</v>
      </c>
      <c r="C2" s="34" t="s">
        <v>33</v>
      </c>
      <c r="D2" s="36">
        <v>24</v>
      </c>
      <c r="E2" s="2" t="s">
        <v>33</v>
      </c>
    </row>
    <row r="3" spans="1:14" ht="15.75">
      <c r="A3" s="7">
        <v>2</v>
      </c>
      <c r="B3" s="1" t="s">
        <v>53</v>
      </c>
      <c r="C3" s="34" t="s">
        <v>33</v>
      </c>
      <c r="D3" s="36">
        <v>26</v>
      </c>
      <c r="E3" s="2" t="s">
        <v>33</v>
      </c>
    </row>
    <row r="4" spans="1:14" ht="15.75">
      <c r="A4" s="7">
        <v>3</v>
      </c>
      <c r="B4" s="1" t="s">
        <v>45</v>
      </c>
      <c r="C4" s="34" t="s">
        <v>44</v>
      </c>
      <c r="D4" s="36">
        <v>0</v>
      </c>
      <c r="E4" s="2" t="s">
        <v>44</v>
      </c>
    </row>
    <row r="5" spans="1:14" ht="15.75">
      <c r="A5" s="7">
        <v>4</v>
      </c>
      <c r="B5" s="1" t="s">
        <v>56</v>
      </c>
      <c r="C5" s="34" t="s">
        <v>33</v>
      </c>
      <c r="D5" s="36">
        <v>26</v>
      </c>
      <c r="E5" s="2" t="s">
        <v>33</v>
      </c>
    </row>
    <row r="6" spans="1:14" ht="15.75">
      <c r="A6" s="7">
        <v>5</v>
      </c>
      <c r="B6" s="1" t="s">
        <v>54</v>
      </c>
      <c r="C6" s="34" t="s">
        <v>33</v>
      </c>
      <c r="D6" s="36">
        <v>28</v>
      </c>
      <c r="E6" s="2" t="s">
        <v>33</v>
      </c>
    </row>
    <row r="7" spans="1:14" ht="15.75">
      <c r="A7" s="7">
        <v>6</v>
      </c>
      <c r="B7" s="1" t="s">
        <v>50</v>
      </c>
      <c r="C7" s="34" t="s">
        <v>33</v>
      </c>
      <c r="D7" s="36">
        <v>27</v>
      </c>
      <c r="E7" s="2" t="s">
        <v>33</v>
      </c>
    </row>
    <row r="8" spans="1:14" ht="15.75">
      <c r="A8" s="7">
        <v>7</v>
      </c>
      <c r="B8" s="1" t="s">
        <v>48</v>
      </c>
      <c r="C8" s="34" t="s">
        <v>33</v>
      </c>
      <c r="D8" s="36">
        <v>28</v>
      </c>
      <c r="E8" s="2" t="s">
        <v>33</v>
      </c>
    </row>
    <row r="9" spans="1:14" ht="15.75">
      <c r="A9" s="7">
        <v>8</v>
      </c>
      <c r="B9" s="1" t="s">
        <v>55</v>
      </c>
      <c r="C9" s="34" t="s">
        <v>33</v>
      </c>
      <c r="D9" s="36">
        <v>25</v>
      </c>
      <c r="E9" s="2" t="s">
        <v>33</v>
      </c>
    </row>
    <row r="10" spans="1:14" ht="15.75">
      <c r="A10" s="7">
        <v>9</v>
      </c>
      <c r="B10" s="1" t="s">
        <v>36</v>
      </c>
      <c r="C10" s="34" t="s">
        <v>33</v>
      </c>
      <c r="D10" s="36">
        <v>28</v>
      </c>
      <c r="E10" s="2" t="s">
        <v>33</v>
      </c>
    </row>
    <row r="11" spans="1:14" ht="15.75">
      <c r="A11" s="7">
        <v>10</v>
      </c>
      <c r="B11" s="1" t="s">
        <v>37</v>
      </c>
      <c r="C11" s="34" t="s">
        <v>33</v>
      </c>
      <c r="D11" s="36">
        <v>25</v>
      </c>
      <c r="E11" s="2" t="s">
        <v>33</v>
      </c>
    </row>
    <row r="12" spans="1:14" ht="15.75">
      <c r="A12" s="7">
        <v>11</v>
      </c>
      <c r="B12" s="1" t="s">
        <v>59</v>
      </c>
      <c r="C12" s="34" t="s">
        <v>33</v>
      </c>
      <c r="D12" s="36">
        <v>24</v>
      </c>
      <c r="E12" s="2" t="s">
        <v>33</v>
      </c>
    </row>
    <row r="13" spans="1:14" ht="15.75">
      <c r="A13" s="7">
        <v>12</v>
      </c>
      <c r="B13" s="1" t="s">
        <v>43</v>
      </c>
      <c r="C13" s="34" t="s">
        <v>44</v>
      </c>
      <c r="D13" s="36">
        <v>0</v>
      </c>
      <c r="E13" s="2" t="s">
        <v>44</v>
      </c>
      <c r="N13" t="s">
        <v>1291</v>
      </c>
    </row>
    <row r="14" spans="1:14" ht="15.75">
      <c r="A14" s="7">
        <v>13</v>
      </c>
      <c r="B14" s="1" t="s">
        <v>46</v>
      </c>
      <c r="C14" s="34" t="s">
        <v>33</v>
      </c>
      <c r="D14" s="36">
        <v>28</v>
      </c>
      <c r="E14" s="2" t="s">
        <v>33</v>
      </c>
    </row>
    <row r="15" spans="1:14" ht="15.75">
      <c r="A15" s="7">
        <v>14</v>
      </c>
      <c r="B15" s="1" t="s">
        <v>42</v>
      </c>
      <c r="C15" s="34" t="s">
        <v>33</v>
      </c>
      <c r="D15" s="36">
        <v>27</v>
      </c>
      <c r="E15" s="2" t="s">
        <v>44</v>
      </c>
    </row>
    <row r="16" spans="1:14" ht="15.75">
      <c r="A16" s="7">
        <v>15</v>
      </c>
      <c r="B16" s="1" t="s">
        <v>40</v>
      </c>
      <c r="C16" s="34" t="s">
        <v>33</v>
      </c>
      <c r="D16" s="36">
        <v>27</v>
      </c>
      <c r="E16" s="2" t="s">
        <v>33</v>
      </c>
    </row>
    <row r="17" spans="1:5" ht="15.75">
      <c r="A17" s="7">
        <v>16</v>
      </c>
      <c r="B17" s="1" t="s">
        <v>57</v>
      </c>
      <c r="C17" s="34" t="s">
        <v>33</v>
      </c>
      <c r="D17" s="36">
        <v>22</v>
      </c>
      <c r="E17" s="2" t="s">
        <v>44</v>
      </c>
    </row>
    <row r="18" spans="1:5" ht="15.75">
      <c r="A18" s="7">
        <v>17</v>
      </c>
      <c r="B18" s="1" t="s">
        <v>51</v>
      </c>
      <c r="C18" s="34" t="s">
        <v>44</v>
      </c>
      <c r="D18" s="36">
        <v>0</v>
      </c>
      <c r="E18" s="2" t="s">
        <v>44</v>
      </c>
    </row>
    <row r="19" spans="1:5" ht="15.75">
      <c r="A19" s="7">
        <v>18</v>
      </c>
      <c r="B19" s="1" t="s">
        <v>41</v>
      </c>
      <c r="C19" s="34" t="s">
        <v>33</v>
      </c>
      <c r="D19" s="36">
        <v>26</v>
      </c>
      <c r="E19" s="2" t="s">
        <v>33</v>
      </c>
    </row>
    <row r="20" spans="1:5" ht="15.75">
      <c r="A20" s="7">
        <v>19</v>
      </c>
      <c r="B20" s="1" t="s">
        <v>32</v>
      </c>
      <c r="C20" s="34" t="s">
        <v>44</v>
      </c>
      <c r="D20" s="36">
        <v>0</v>
      </c>
      <c r="E20" s="2" t="s">
        <v>44</v>
      </c>
    </row>
    <row r="21" spans="1:5" ht="15.75">
      <c r="A21" s="7">
        <v>20</v>
      </c>
      <c r="B21" s="1" t="s">
        <v>58</v>
      </c>
      <c r="C21" s="34" t="s">
        <v>44</v>
      </c>
      <c r="D21" s="36">
        <v>0</v>
      </c>
      <c r="E21" s="2" t="s">
        <v>44</v>
      </c>
    </row>
    <row r="22" spans="1:5" ht="15.75">
      <c r="A22" s="7">
        <v>21</v>
      </c>
      <c r="B22" s="1" t="s">
        <v>49</v>
      </c>
      <c r="C22" s="34" t="s">
        <v>33</v>
      </c>
      <c r="D22" s="36">
        <v>26</v>
      </c>
      <c r="E22" s="2" t="s">
        <v>33</v>
      </c>
    </row>
    <row r="23" spans="1:5" ht="15.75">
      <c r="A23" s="7">
        <v>22</v>
      </c>
      <c r="B23" s="1" t="s">
        <v>47</v>
      </c>
      <c r="C23" s="34" t="s">
        <v>33</v>
      </c>
      <c r="D23" s="36">
        <v>27</v>
      </c>
      <c r="E23" s="2" t="s">
        <v>33</v>
      </c>
    </row>
    <row r="24" spans="1:5" ht="15.75">
      <c r="A24" s="7">
        <v>23</v>
      </c>
      <c r="B24" s="1" t="s">
        <v>52</v>
      </c>
      <c r="C24" s="34" t="s">
        <v>33</v>
      </c>
      <c r="D24" s="36">
        <v>26</v>
      </c>
      <c r="E24" s="2" t="s">
        <v>33</v>
      </c>
    </row>
    <row r="25" spans="1:5" ht="15.75">
      <c r="A25" s="7">
        <v>24</v>
      </c>
      <c r="B25" s="1" t="s">
        <v>39</v>
      </c>
      <c r="C25" s="34" t="s">
        <v>33</v>
      </c>
      <c r="D25" s="36">
        <v>27</v>
      </c>
      <c r="E25" s="2" t="s">
        <v>33</v>
      </c>
    </row>
  </sheetData>
  <sortState xmlns:xlrd2="http://schemas.microsoft.com/office/spreadsheetml/2017/richdata2" ref="A2:E25">
    <sortCondition ref="B2:B25"/>
  </sortState>
  <conditionalFormatting sqref="B2:B25">
    <cfRule type="duplicateValues" dxfId="72" priority="53"/>
  </conditionalFormatting>
  <conditionalFormatting sqref="A2:A25">
    <cfRule type="duplicateValues" dxfId="71" priority="51"/>
  </conditionalFormatting>
  <conditionalFormatting sqref="B1:E1">
    <cfRule type="duplicateValues" dxfId="70" priority="3580"/>
  </conditionalFormatting>
  <conditionalFormatting sqref="C20:C21">
    <cfRule type="cellIs" dxfId="69" priority="50" operator="equal">
      <formula>"Completed"</formula>
    </cfRule>
  </conditionalFormatting>
  <conditionalFormatting sqref="C20:C21">
    <cfRule type="cellIs" dxfId="68" priority="49" operator="equal">
      <formula>"Pending "</formula>
    </cfRule>
  </conditionalFormatting>
  <conditionalFormatting sqref="C4:C5">
    <cfRule type="cellIs" dxfId="67" priority="48" operator="equal">
      <formula>"Completed"</formula>
    </cfRule>
  </conditionalFormatting>
  <conditionalFormatting sqref="C4:C5">
    <cfRule type="cellIs" dxfId="66" priority="47" operator="equal">
      <formula>"Pending "</formula>
    </cfRule>
  </conditionalFormatting>
  <conditionalFormatting sqref="C8:C10">
    <cfRule type="cellIs" dxfId="65" priority="46" operator="equal">
      <formula>"Completed"</formula>
    </cfRule>
  </conditionalFormatting>
  <conditionalFormatting sqref="C8:C10">
    <cfRule type="cellIs" dxfId="64" priority="45" operator="equal">
      <formula>"Pending "</formula>
    </cfRule>
  </conditionalFormatting>
  <conditionalFormatting sqref="C23">
    <cfRule type="cellIs" dxfId="63" priority="44" operator="equal">
      <formula>"Completed"</formula>
    </cfRule>
  </conditionalFormatting>
  <conditionalFormatting sqref="C23">
    <cfRule type="cellIs" dxfId="62" priority="43" operator="equal">
      <formula>"Pending "</formula>
    </cfRule>
  </conditionalFormatting>
  <conditionalFormatting sqref="C2:C3">
    <cfRule type="cellIs" dxfId="61" priority="42" operator="equal">
      <formula>"Completed"</formula>
    </cfRule>
  </conditionalFormatting>
  <conditionalFormatting sqref="C2:C3">
    <cfRule type="cellIs" dxfId="60" priority="41" operator="equal">
      <formula>"Pending "</formula>
    </cfRule>
  </conditionalFormatting>
  <conditionalFormatting sqref="C6:C7">
    <cfRule type="cellIs" dxfId="59" priority="40" operator="equal">
      <formula>"Completed"</formula>
    </cfRule>
  </conditionalFormatting>
  <conditionalFormatting sqref="C6:C7">
    <cfRule type="cellIs" dxfId="58" priority="39" operator="equal">
      <formula>"Pending "</formula>
    </cfRule>
  </conditionalFormatting>
  <conditionalFormatting sqref="C11:C12 C16:C17">
    <cfRule type="cellIs" dxfId="57" priority="38" operator="equal">
      <formula>"Completed"</formula>
    </cfRule>
  </conditionalFormatting>
  <conditionalFormatting sqref="C11:C12 C16:C17">
    <cfRule type="cellIs" dxfId="56" priority="37" operator="equal">
      <formula>"Pending "</formula>
    </cfRule>
  </conditionalFormatting>
  <conditionalFormatting sqref="C24:C25">
    <cfRule type="cellIs" dxfId="55" priority="34" operator="equal">
      <formula>"Completed"</formula>
    </cfRule>
  </conditionalFormatting>
  <conditionalFormatting sqref="C24:C25">
    <cfRule type="cellIs" dxfId="54" priority="33" operator="equal">
      <formula>"Pending "</formula>
    </cfRule>
  </conditionalFormatting>
  <conditionalFormatting sqref="E2:E3 E16:E17 E6:E7 E9:E12 E23:E25">
    <cfRule type="cellIs" dxfId="53" priority="32" operator="equal">
      <formula>"Completed"</formula>
    </cfRule>
  </conditionalFormatting>
  <conditionalFormatting sqref="E2:E3 E16:E17 E6:E7 E9:E12 E23:E25">
    <cfRule type="cellIs" dxfId="52" priority="31" operator="equal">
      <formula>"Pending "</formula>
    </cfRule>
  </conditionalFormatting>
  <conditionalFormatting sqref="D2:D25">
    <cfRule type="colorScale" priority="27">
      <colorScale>
        <cfvo type="min"/>
        <cfvo type="percentile" val="50"/>
        <cfvo type="max"/>
        <color rgb="FFF8696B"/>
        <color rgb="FFFFEB84"/>
        <color rgb="FF63BE7B"/>
      </colorScale>
    </cfRule>
  </conditionalFormatting>
  <conditionalFormatting sqref="C13 C15">
    <cfRule type="cellIs" dxfId="51" priority="25" operator="equal">
      <formula>"Completed"</formula>
    </cfRule>
  </conditionalFormatting>
  <conditionalFormatting sqref="C13 C15">
    <cfRule type="cellIs" dxfId="50" priority="24" operator="equal">
      <formula>"Pending "</formula>
    </cfRule>
  </conditionalFormatting>
  <conditionalFormatting sqref="C18:C19">
    <cfRule type="cellIs" dxfId="49" priority="23" operator="equal">
      <formula>"Completed"</formula>
    </cfRule>
  </conditionalFormatting>
  <conditionalFormatting sqref="C18:C19">
    <cfRule type="cellIs" dxfId="48" priority="22" operator="equal">
      <formula>"Pending "</formula>
    </cfRule>
  </conditionalFormatting>
  <conditionalFormatting sqref="C22">
    <cfRule type="cellIs" dxfId="47" priority="21" operator="equal">
      <formula>"Completed"</formula>
    </cfRule>
  </conditionalFormatting>
  <conditionalFormatting sqref="C22">
    <cfRule type="cellIs" dxfId="46" priority="20" operator="equal">
      <formula>"Pending "</formula>
    </cfRule>
  </conditionalFormatting>
  <conditionalFormatting sqref="E4:E5">
    <cfRule type="cellIs" dxfId="45" priority="18" operator="equal">
      <formula>"Completed"</formula>
    </cfRule>
  </conditionalFormatting>
  <conditionalFormatting sqref="E4:E5">
    <cfRule type="cellIs" dxfId="44" priority="17" operator="equal">
      <formula>"Pending "</formula>
    </cfRule>
  </conditionalFormatting>
  <conditionalFormatting sqref="E8">
    <cfRule type="cellIs" dxfId="43" priority="16" operator="equal">
      <formula>"Completed"</formula>
    </cfRule>
  </conditionalFormatting>
  <conditionalFormatting sqref="E8">
    <cfRule type="cellIs" dxfId="42" priority="15" operator="equal">
      <formula>"Pending "</formula>
    </cfRule>
  </conditionalFormatting>
  <conditionalFormatting sqref="E13 E15">
    <cfRule type="cellIs" dxfId="41" priority="14" operator="equal">
      <formula>"Completed"</formula>
    </cfRule>
  </conditionalFormatting>
  <conditionalFormatting sqref="E13 E15">
    <cfRule type="cellIs" dxfId="40" priority="13" operator="equal">
      <formula>"Pending "</formula>
    </cfRule>
  </conditionalFormatting>
  <conditionalFormatting sqref="E18:E22">
    <cfRule type="cellIs" dxfId="39" priority="12" operator="equal">
      <formula>"Completed"</formula>
    </cfRule>
  </conditionalFormatting>
  <conditionalFormatting sqref="E18:E22">
    <cfRule type="cellIs" dxfId="38" priority="11" operator="equal">
      <formula>"Pending "</formula>
    </cfRule>
  </conditionalFormatting>
  <conditionalFormatting sqref="B1:B1048576">
    <cfRule type="duplicateValues" dxfId="37" priority="7"/>
  </conditionalFormatting>
  <conditionalFormatting sqref="B1:B1048576">
    <cfRule type="duplicateValues" dxfId="36" priority="3581"/>
  </conditionalFormatting>
  <conditionalFormatting sqref="B27:B1048576">
    <cfRule type="duplicateValues" dxfId="35" priority="3584"/>
  </conditionalFormatting>
  <conditionalFormatting sqref="C14">
    <cfRule type="cellIs" dxfId="34" priority="4" operator="equal">
      <formula>"Completed"</formula>
    </cfRule>
  </conditionalFormatting>
  <conditionalFormatting sqref="C14">
    <cfRule type="cellIs" dxfId="33" priority="3" operator="equal">
      <formula>"Pending "</formula>
    </cfRule>
  </conditionalFormatting>
  <conditionalFormatting sqref="E14">
    <cfRule type="cellIs" dxfId="32" priority="2" operator="equal">
      <formula>"Completed"</formula>
    </cfRule>
  </conditionalFormatting>
  <conditionalFormatting sqref="E14">
    <cfRule type="cellIs" dxfId="31" priority="1" operator="equal">
      <formula>"Pending "</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0BD3-1032-41E4-AAF3-E451BF2DEEF5}">
  <dimension ref="A1:M25"/>
  <sheetViews>
    <sheetView workbookViewId="0"/>
  </sheetViews>
  <sheetFormatPr defaultRowHeight="15"/>
  <cols>
    <col min="2" max="2" width="30.140625" bestFit="1" customWidth="1"/>
    <col min="3" max="3" width="9.42578125" bestFit="1" customWidth="1"/>
    <col min="5" max="5" width="25" customWidth="1"/>
    <col min="6" max="6" width="22.42578125" customWidth="1"/>
    <col min="7" max="7" width="23.140625" customWidth="1"/>
    <col min="8" max="8" width="24" customWidth="1"/>
    <col min="9" max="9" width="25.140625" customWidth="1"/>
    <col min="10" max="10" width="21.42578125" customWidth="1"/>
    <col min="11" max="11" width="23.7109375" customWidth="1"/>
    <col min="12" max="12" width="37.7109375" customWidth="1"/>
    <col min="13" max="13" width="36" customWidth="1"/>
  </cols>
  <sheetData>
    <row r="1" spans="1:13" ht="57.75">
      <c r="A1" s="46" t="s">
        <v>1292</v>
      </c>
      <c r="B1" s="46" t="s">
        <v>1293</v>
      </c>
      <c r="C1" s="46" t="s">
        <v>1294</v>
      </c>
      <c r="D1" s="44"/>
      <c r="E1" s="45" t="s">
        <v>7</v>
      </c>
      <c r="F1" s="45" t="s">
        <v>10</v>
      </c>
      <c r="G1" s="45" t="s">
        <v>12</v>
      </c>
      <c r="H1" s="45" t="s">
        <v>13</v>
      </c>
      <c r="I1" s="45" t="s">
        <v>14</v>
      </c>
      <c r="J1" s="45" t="s">
        <v>15</v>
      </c>
      <c r="K1" s="45" t="s">
        <v>17</v>
      </c>
      <c r="L1" s="45" t="s">
        <v>19</v>
      </c>
      <c r="M1" s="45" t="s">
        <v>20</v>
      </c>
    </row>
    <row r="2" spans="1:13" ht="15.75" customHeight="1">
      <c r="A2" s="37" t="s">
        <v>1295</v>
      </c>
      <c r="B2" s="38" t="s">
        <v>1296</v>
      </c>
      <c r="C2" s="38" t="s">
        <v>1297</v>
      </c>
      <c r="E2" s="57" t="s">
        <v>33</v>
      </c>
      <c r="F2" s="57" t="s">
        <v>33</v>
      </c>
      <c r="G2" s="57" t="s">
        <v>33</v>
      </c>
      <c r="H2" s="57" t="s">
        <v>33</v>
      </c>
      <c r="I2" s="57" t="s">
        <v>33</v>
      </c>
      <c r="J2" s="57" t="s">
        <v>33</v>
      </c>
      <c r="K2" s="57" t="s">
        <v>33</v>
      </c>
      <c r="L2" s="57" t="s">
        <v>33</v>
      </c>
      <c r="M2" s="57" t="s">
        <v>33</v>
      </c>
    </row>
    <row r="3" spans="1:13" ht="15.75" customHeight="1">
      <c r="A3" s="37" t="s">
        <v>1298</v>
      </c>
      <c r="B3" s="38" t="s">
        <v>1299</v>
      </c>
      <c r="C3" s="38" t="s">
        <v>1297</v>
      </c>
      <c r="E3" s="57"/>
      <c r="F3" s="57"/>
      <c r="G3" s="57"/>
      <c r="H3" s="57"/>
      <c r="I3" s="57"/>
      <c r="J3" s="57"/>
      <c r="K3" s="57"/>
      <c r="L3" s="57"/>
      <c r="M3" s="57"/>
    </row>
    <row r="4" spans="1:13" ht="15.75" customHeight="1">
      <c r="A4" s="37" t="s">
        <v>1300</v>
      </c>
      <c r="B4" s="38" t="s">
        <v>1301</v>
      </c>
      <c r="C4" s="38" t="s">
        <v>1297</v>
      </c>
      <c r="E4" s="57"/>
      <c r="F4" s="57"/>
      <c r="G4" s="57"/>
      <c r="H4" s="57"/>
      <c r="I4" s="57"/>
      <c r="J4" s="57"/>
      <c r="K4" s="57"/>
      <c r="L4" s="57"/>
      <c r="M4" s="57"/>
    </row>
    <row r="5" spans="1:13" ht="15.75" customHeight="1">
      <c r="A5" s="37" t="s">
        <v>1302</v>
      </c>
      <c r="B5" s="38" t="s">
        <v>1303</v>
      </c>
      <c r="C5" s="38" t="s">
        <v>1297</v>
      </c>
      <c r="E5" s="57"/>
      <c r="F5" s="57"/>
      <c r="G5" s="57"/>
      <c r="H5" s="57"/>
      <c r="I5" s="57"/>
      <c r="J5" s="57"/>
      <c r="K5" s="57"/>
      <c r="L5" s="57"/>
      <c r="M5" s="57"/>
    </row>
    <row r="6" spans="1:13" ht="15.75" customHeight="1">
      <c r="A6" s="37" t="s">
        <v>1304</v>
      </c>
      <c r="B6" s="38" t="s">
        <v>1305</v>
      </c>
      <c r="C6" s="38" t="s">
        <v>1297</v>
      </c>
      <c r="E6" s="57"/>
      <c r="F6" s="57"/>
      <c r="G6" s="57"/>
      <c r="H6" s="57"/>
      <c r="I6" s="57"/>
      <c r="J6" s="57"/>
      <c r="K6" s="57"/>
      <c r="L6" s="57"/>
      <c r="M6" s="57"/>
    </row>
    <row r="7" spans="1:13" ht="15.75" customHeight="1">
      <c r="A7" s="37" t="s">
        <v>1306</v>
      </c>
      <c r="B7" s="38" t="s">
        <v>1307</v>
      </c>
      <c r="C7" s="38" t="s">
        <v>1297</v>
      </c>
      <c r="E7" s="57"/>
      <c r="F7" s="57"/>
      <c r="G7" s="57"/>
      <c r="H7" s="57"/>
      <c r="I7" s="57"/>
      <c r="J7" s="57"/>
      <c r="K7" s="57"/>
      <c r="L7" s="57"/>
      <c r="M7" s="57"/>
    </row>
    <row r="8" spans="1:13" ht="15.75" customHeight="1">
      <c r="A8" s="37" t="s">
        <v>1308</v>
      </c>
      <c r="B8" s="39" t="s">
        <v>1309</v>
      </c>
      <c r="C8" s="39" t="s">
        <v>1310</v>
      </c>
      <c r="E8" s="57" t="s">
        <v>33</v>
      </c>
      <c r="F8" s="57" t="s">
        <v>33</v>
      </c>
      <c r="G8" s="57" t="s">
        <v>33</v>
      </c>
      <c r="H8" s="57" t="s">
        <v>33</v>
      </c>
      <c r="I8" s="57" t="s">
        <v>33</v>
      </c>
      <c r="J8" s="57" t="s">
        <v>33</v>
      </c>
      <c r="K8" s="57" t="s">
        <v>33</v>
      </c>
      <c r="L8" s="57" t="s">
        <v>33</v>
      </c>
      <c r="M8" s="57" t="s">
        <v>33</v>
      </c>
    </row>
    <row r="9" spans="1:13" ht="15.75" customHeight="1">
      <c r="A9" s="37" t="s">
        <v>1311</v>
      </c>
      <c r="B9" s="39" t="s">
        <v>1312</v>
      </c>
      <c r="C9" s="39" t="s">
        <v>1310</v>
      </c>
      <c r="E9" s="57"/>
      <c r="F9" s="57"/>
      <c r="G9" s="57"/>
      <c r="H9" s="57"/>
      <c r="I9" s="57"/>
      <c r="J9" s="57"/>
      <c r="K9" s="57"/>
      <c r="L9" s="57"/>
      <c r="M9" s="57"/>
    </row>
    <row r="10" spans="1:13" ht="15.75" customHeight="1">
      <c r="A10" s="37" t="s">
        <v>1313</v>
      </c>
      <c r="B10" s="39" t="s">
        <v>1314</v>
      </c>
      <c r="C10" s="39" t="s">
        <v>1310</v>
      </c>
      <c r="E10" s="57"/>
      <c r="F10" s="57"/>
      <c r="G10" s="57"/>
      <c r="H10" s="57"/>
      <c r="I10" s="57"/>
      <c r="J10" s="57"/>
      <c r="K10" s="57"/>
      <c r="L10" s="57"/>
      <c r="M10" s="57"/>
    </row>
    <row r="11" spans="1:13" ht="15.75" customHeight="1">
      <c r="A11" s="37" t="s">
        <v>1315</v>
      </c>
      <c r="B11" s="39" t="s">
        <v>1316</v>
      </c>
      <c r="C11" s="39" t="s">
        <v>1310</v>
      </c>
      <c r="E11" s="57"/>
      <c r="F11" s="57"/>
      <c r="G11" s="57"/>
      <c r="H11" s="57"/>
      <c r="I11" s="57"/>
      <c r="J11" s="57"/>
      <c r="K11" s="57"/>
      <c r="L11" s="57"/>
      <c r="M11" s="57"/>
    </row>
    <row r="12" spans="1:13" ht="15.75" customHeight="1">
      <c r="A12" s="37" t="s">
        <v>1317</v>
      </c>
      <c r="B12" s="39" t="s">
        <v>1318</v>
      </c>
      <c r="C12" s="39" t="s">
        <v>1310</v>
      </c>
      <c r="E12" s="57"/>
      <c r="F12" s="57"/>
      <c r="G12" s="57"/>
      <c r="H12" s="57"/>
      <c r="I12" s="57"/>
      <c r="J12" s="57"/>
      <c r="K12" s="57"/>
      <c r="L12" s="57"/>
      <c r="M12" s="57"/>
    </row>
    <row r="13" spans="1:13" ht="15.75" customHeight="1">
      <c r="A13" s="37" t="s">
        <v>1319</v>
      </c>
      <c r="B13" s="39" t="s">
        <v>1320</v>
      </c>
      <c r="C13" s="39" t="s">
        <v>1310</v>
      </c>
      <c r="E13" s="57"/>
      <c r="F13" s="57"/>
      <c r="G13" s="57"/>
      <c r="H13" s="57"/>
      <c r="I13" s="57"/>
      <c r="J13" s="57"/>
      <c r="K13" s="57"/>
      <c r="L13" s="57"/>
      <c r="M13" s="57"/>
    </row>
    <row r="14" spans="1:13" ht="15.75" customHeight="1">
      <c r="A14" s="37" t="s">
        <v>1321</v>
      </c>
      <c r="B14" s="40" t="s">
        <v>1322</v>
      </c>
      <c r="C14" s="40" t="s">
        <v>1323</v>
      </c>
      <c r="E14" s="57" t="s">
        <v>44</v>
      </c>
      <c r="F14" s="57" t="s">
        <v>44</v>
      </c>
      <c r="G14" s="57" t="s">
        <v>44</v>
      </c>
      <c r="H14" s="57" t="s">
        <v>44</v>
      </c>
      <c r="I14" s="57" t="s">
        <v>44</v>
      </c>
      <c r="J14" s="57" t="s">
        <v>44</v>
      </c>
      <c r="K14" s="57" t="s">
        <v>44</v>
      </c>
      <c r="L14" s="57" t="s">
        <v>44</v>
      </c>
      <c r="M14" s="57" t="s">
        <v>44</v>
      </c>
    </row>
    <row r="15" spans="1:13" ht="15.75" customHeight="1">
      <c r="A15" s="37" t="s">
        <v>1324</v>
      </c>
      <c r="B15" s="40" t="s">
        <v>1325</v>
      </c>
      <c r="C15" s="40" t="s">
        <v>1323</v>
      </c>
      <c r="E15" s="57"/>
      <c r="F15" s="57"/>
      <c r="G15" s="57"/>
      <c r="H15" s="57"/>
      <c r="I15" s="57"/>
      <c r="J15" s="57"/>
      <c r="K15" s="57"/>
      <c r="L15" s="57"/>
      <c r="M15" s="57"/>
    </row>
    <row r="16" spans="1:13" ht="15.75" customHeight="1">
      <c r="A16" s="37" t="s">
        <v>1326</v>
      </c>
      <c r="B16" s="40" t="s">
        <v>1327</v>
      </c>
      <c r="C16" s="40" t="s">
        <v>1323</v>
      </c>
      <c r="E16" s="57"/>
      <c r="F16" s="57"/>
      <c r="G16" s="57"/>
      <c r="H16" s="57"/>
      <c r="I16" s="57"/>
      <c r="J16" s="57"/>
      <c r="K16" s="57"/>
      <c r="L16" s="57"/>
      <c r="M16" s="57"/>
    </row>
    <row r="17" spans="1:13" ht="15.75" customHeight="1">
      <c r="A17" s="37" t="s">
        <v>1328</v>
      </c>
      <c r="B17" s="40" t="s">
        <v>1329</v>
      </c>
      <c r="C17" s="40" t="s">
        <v>1323</v>
      </c>
      <c r="E17" s="57"/>
      <c r="F17" s="57"/>
      <c r="G17" s="57"/>
      <c r="H17" s="57"/>
      <c r="I17" s="57"/>
      <c r="J17" s="57"/>
      <c r="K17" s="57"/>
      <c r="L17" s="57"/>
      <c r="M17" s="57"/>
    </row>
    <row r="18" spans="1:13" ht="15.75" customHeight="1">
      <c r="A18" s="37" t="s">
        <v>1330</v>
      </c>
      <c r="B18" s="40" t="s">
        <v>1331</v>
      </c>
      <c r="C18" s="40" t="s">
        <v>1323</v>
      </c>
      <c r="E18" s="57"/>
      <c r="F18" s="57"/>
      <c r="G18" s="57"/>
      <c r="H18" s="57"/>
      <c r="I18" s="57"/>
      <c r="J18" s="57"/>
      <c r="K18" s="57"/>
      <c r="L18" s="57"/>
      <c r="M18" s="57"/>
    </row>
    <row r="19" spans="1:13" ht="15.75" customHeight="1">
      <c r="A19" s="37" t="s">
        <v>1332</v>
      </c>
      <c r="B19" s="40" t="s">
        <v>1333</v>
      </c>
      <c r="C19" s="40" t="s">
        <v>1323</v>
      </c>
      <c r="E19" s="57"/>
      <c r="F19" s="57"/>
      <c r="G19" s="57"/>
      <c r="H19" s="57"/>
      <c r="I19" s="57"/>
      <c r="J19" s="57"/>
      <c r="K19" s="57"/>
      <c r="L19" s="57"/>
      <c r="M19" s="57"/>
    </row>
    <row r="20" spans="1:13" ht="15.75" customHeight="1">
      <c r="A20" s="37" t="s">
        <v>1334</v>
      </c>
      <c r="B20" s="41" t="s">
        <v>1335</v>
      </c>
      <c r="C20" s="41" t="s">
        <v>1336</v>
      </c>
      <c r="E20" s="57" t="s">
        <v>33</v>
      </c>
      <c r="F20" s="57" t="s">
        <v>33</v>
      </c>
      <c r="G20" s="57" t="s">
        <v>33</v>
      </c>
      <c r="H20" s="57" t="s">
        <v>33</v>
      </c>
      <c r="I20" s="57" t="s">
        <v>33</v>
      </c>
      <c r="J20" s="57" t="s">
        <v>33</v>
      </c>
      <c r="K20" s="57" t="s">
        <v>33</v>
      </c>
      <c r="L20" s="57" t="s">
        <v>33</v>
      </c>
      <c r="M20" s="57" t="s">
        <v>33</v>
      </c>
    </row>
    <row r="21" spans="1:13" ht="15.75" customHeight="1">
      <c r="A21" s="37" t="s">
        <v>1337</v>
      </c>
      <c r="B21" s="41" t="s">
        <v>1338</v>
      </c>
      <c r="C21" s="41" t="s">
        <v>1336</v>
      </c>
      <c r="E21" s="57"/>
      <c r="F21" s="57"/>
      <c r="G21" s="57"/>
      <c r="H21" s="57"/>
      <c r="I21" s="57"/>
      <c r="J21" s="57"/>
      <c r="K21" s="57"/>
      <c r="L21" s="57"/>
      <c r="M21" s="57"/>
    </row>
    <row r="22" spans="1:13" ht="15.75" customHeight="1">
      <c r="A22" s="37" t="s">
        <v>1339</v>
      </c>
      <c r="B22" s="41" t="s">
        <v>1340</v>
      </c>
      <c r="C22" s="41" t="s">
        <v>1336</v>
      </c>
      <c r="E22" s="57"/>
      <c r="F22" s="57"/>
      <c r="G22" s="57"/>
      <c r="H22" s="57"/>
      <c r="I22" s="57"/>
      <c r="J22" s="57"/>
      <c r="K22" s="57"/>
      <c r="L22" s="57"/>
      <c r="M22" s="57"/>
    </row>
    <row r="23" spans="1:13" ht="15.75" customHeight="1">
      <c r="A23" s="37" t="s">
        <v>1341</v>
      </c>
      <c r="B23" s="41" t="s">
        <v>1342</v>
      </c>
      <c r="C23" s="41" t="s">
        <v>1336</v>
      </c>
      <c r="E23" s="57"/>
      <c r="F23" s="57"/>
      <c r="G23" s="57"/>
      <c r="H23" s="57"/>
      <c r="I23" s="57"/>
      <c r="J23" s="57"/>
      <c r="K23" s="57"/>
      <c r="L23" s="57"/>
      <c r="M23" s="57"/>
    </row>
    <row r="24" spans="1:13" ht="15.75" customHeight="1">
      <c r="A24" s="37" t="s">
        <v>1343</v>
      </c>
      <c r="B24" s="41" t="s">
        <v>1344</v>
      </c>
      <c r="C24" s="41" t="s">
        <v>1336</v>
      </c>
      <c r="E24" s="57"/>
      <c r="F24" s="57"/>
      <c r="G24" s="57"/>
      <c r="H24" s="57"/>
      <c r="I24" s="57"/>
      <c r="J24" s="57"/>
      <c r="K24" s="57"/>
      <c r="L24" s="57"/>
      <c r="M24" s="57"/>
    </row>
    <row r="25" spans="1:13" ht="15.75" customHeight="1">
      <c r="A25" s="37" t="s">
        <v>1345</v>
      </c>
      <c r="B25" s="41" t="s">
        <v>1346</v>
      </c>
      <c r="C25" s="41" t="s">
        <v>1336</v>
      </c>
      <c r="E25" s="57"/>
      <c r="F25" s="57"/>
      <c r="G25" s="57"/>
      <c r="H25" s="57"/>
      <c r="I25" s="57"/>
      <c r="J25" s="57"/>
      <c r="K25" s="57"/>
      <c r="L25" s="57"/>
      <c r="M25" s="57"/>
    </row>
  </sheetData>
  <mergeCells count="36">
    <mergeCell ref="M2:M7"/>
    <mergeCell ref="E2:E7"/>
    <mergeCell ref="E8:E13"/>
    <mergeCell ref="E14:E19"/>
    <mergeCell ref="E20:E25"/>
    <mergeCell ref="F2:F7"/>
    <mergeCell ref="G2:G7"/>
    <mergeCell ref="F8:F13"/>
    <mergeCell ref="G8:G13"/>
    <mergeCell ref="F14:F19"/>
    <mergeCell ref="G14:G19"/>
    <mergeCell ref="H2:H7"/>
    <mergeCell ref="I2:I7"/>
    <mergeCell ref="J2:J7"/>
    <mergeCell ref="K2:K7"/>
    <mergeCell ref="L2:L7"/>
    <mergeCell ref="M14:M19"/>
    <mergeCell ref="H8:H13"/>
    <mergeCell ref="I8:I13"/>
    <mergeCell ref="J8:J13"/>
    <mergeCell ref="K8:K13"/>
    <mergeCell ref="L8:L13"/>
    <mergeCell ref="M8:M13"/>
    <mergeCell ref="H14:H19"/>
    <mergeCell ref="I14:I19"/>
    <mergeCell ref="J14:J19"/>
    <mergeCell ref="K14:K19"/>
    <mergeCell ref="L14:L19"/>
    <mergeCell ref="L20:L25"/>
    <mergeCell ref="M20:M25"/>
    <mergeCell ref="F20:F25"/>
    <mergeCell ref="G20:G25"/>
    <mergeCell ref="H20:H25"/>
    <mergeCell ref="I20:I25"/>
    <mergeCell ref="J20:J25"/>
    <mergeCell ref="K20:K25"/>
  </mergeCells>
  <conditionalFormatting sqref="F2:F13">
    <cfRule type="containsText" dxfId="30" priority="31" operator="containsText" text="Completed">
      <formula>NOT(ISERROR(SEARCH("Completed",F2)))</formula>
    </cfRule>
  </conditionalFormatting>
  <conditionalFormatting sqref="F20:F25">
    <cfRule type="containsText" dxfId="29" priority="30" operator="containsText" text="Completed">
      <formula>NOT(ISERROR(SEARCH("Completed",F20)))</formula>
    </cfRule>
  </conditionalFormatting>
  <conditionalFormatting sqref="G8:G13">
    <cfRule type="containsText" dxfId="28" priority="29" operator="containsText" text="Completed">
      <formula>NOT(ISERROR(SEARCH("Completed",G8)))</formula>
    </cfRule>
  </conditionalFormatting>
  <conditionalFormatting sqref="G2:G7">
    <cfRule type="containsText" dxfId="27" priority="28" operator="containsText" text="Completed">
      <formula>NOT(ISERROR(SEARCH("Completed",G2)))</formula>
    </cfRule>
  </conditionalFormatting>
  <conditionalFormatting sqref="G20:G25">
    <cfRule type="containsText" dxfId="26" priority="27" operator="containsText" text="Completed">
      <formula>NOT(ISERROR(SEARCH("Completed",G20)))</formula>
    </cfRule>
  </conditionalFormatting>
  <conditionalFormatting sqref="I8:I13">
    <cfRule type="containsText" dxfId="25" priority="26" operator="containsText" text="Completed">
      <formula>NOT(ISERROR(SEARCH("Completed",I8)))</formula>
    </cfRule>
  </conditionalFormatting>
  <conditionalFormatting sqref="I2:I7">
    <cfRule type="containsText" dxfId="24" priority="25" operator="containsText" text="Completed">
      <formula>NOT(ISERROR(SEARCH("Completed",I2)))</formula>
    </cfRule>
  </conditionalFormatting>
  <conditionalFormatting sqref="I20:I25">
    <cfRule type="containsText" dxfId="23" priority="24" operator="containsText" text="Completed">
      <formula>NOT(ISERROR(SEARCH("Completed",I20)))</formula>
    </cfRule>
  </conditionalFormatting>
  <conditionalFormatting sqref="J8:J13">
    <cfRule type="containsText" dxfId="22" priority="23" operator="containsText" text="Completed">
      <formula>NOT(ISERROR(SEARCH("Completed",J8)))</formula>
    </cfRule>
  </conditionalFormatting>
  <conditionalFormatting sqref="J2:J7">
    <cfRule type="containsText" dxfId="21" priority="22" operator="containsText" text="Completed">
      <formula>NOT(ISERROR(SEARCH("Completed",J2)))</formula>
    </cfRule>
  </conditionalFormatting>
  <conditionalFormatting sqref="J20:J25">
    <cfRule type="containsText" dxfId="20" priority="21" operator="containsText" text="Completed">
      <formula>NOT(ISERROR(SEARCH("Completed",J20)))</formula>
    </cfRule>
  </conditionalFormatting>
  <conditionalFormatting sqref="E14:E19">
    <cfRule type="containsText" dxfId="19" priority="20" operator="containsText" text="Pending ">
      <formula>NOT(ISERROR(SEARCH("Pending ",E14)))</formula>
    </cfRule>
  </conditionalFormatting>
  <conditionalFormatting sqref="F14:G19 I14:M19">
    <cfRule type="containsText" dxfId="18" priority="19" operator="containsText" text="Pending ">
      <formula>NOT(ISERROR(SEARCH("Pending ",F14)))</formula>
    </cfRule>
  </conditionalFormatting>
  <conditionalFormatting sqref="H14:H19">
    <cfRule type="containsText" dxfId="17" priority="16" operator="containsText" text="Pending ">
      <formula>NOT(ISERROR(SEARCH("Pending ",H14)))</formula>
    </cfRule>
  </conditionalFormatting>
  <conditionalFormatting sqref="E8:E13">
    <cfRule type="containsText" dxfId="16" priority="15" operator="containsText" text="Completed">
      <formula>NOT(ISERROR(SEARCH("Completed",E8)))</formula>
    </cfRule>
  </conditionalFormatting>
  <conditionalFormatting sqref="E20:E25">
    <cfRule type="containsText" dxfId="15" priority="14" operator="containsText" text="Completed">
      <formula>NOT(ISERROR(SEARCH("Completed",E20)))</formula>
    </cfRule>
  </conditionalFormatting>
  <conditionalFormatting sqref="E2:E7">
    <cfRule type="containsText" dxfId="14" priority="13" operator="containsText" text="Completed">
      <formula>NOT(ISERROR(SEARCH("Completed",E2)))</formula>
    </cfRule>
  </conditionalFormatting>
  <conditionalFormatting sqref="H20:H25">
    <cfRule type="containsText" dxfId="13" priority="12" operator="containsText" text="Completed">
      <formula>NOT(ISERROR(SEARCH("Completed",H20)))</formula>
    </cfRule>
  </conditionalFormatting>
  <conditionalFormatting sqref="H2:H7">
    <cfRule type="containsText" dxfId="12" priority="11" operator="containsText" text="Completed">
      <formula>NOT(ISERROR(SEARCH("Completed",H2)))</formula>
    </cfRule>
  </conditionalFormatting>
  <conditionalFormatting sqref="H8:H13">
    <cfRule type="containsText" dxfId="11" priority="10" operator="containsText" text="Completed">
      <formula>NOT(ISERROR(SEARCH("Completed",H8)))</formula>
    </cfRule>
  </conditionalFormatting>
  <conditionalFormatting sqref="K20:K25">
    <cfRule type="containsText" dxfId="10" priority="9" operator="containsText" text="Completed">
      <formula>NOT(ISERROR(SEARCH("Completed",K20)))</formula>
    </cfRule>
  </conditionalFormatting>
  <conditionalFormatting sqref="K8:K13">
    <cfRule type="containsText" dxfId="9" priority="8" operator="containsText" text="Completed">
      <formula>NOT(ISERROR(SEARCH("Completed",K8)))</formula>
    </cfRule>
  </conditionalFormatting>
  <conditionalFormatting sqref="K2:K7">
    <cfRule type="containsText" dxfId="8" priority="7" operator="containsText" text="Completed">
      <formula>NOT(ISERROR(SEARCH("Completed",K2)))</formula>
    </cfRule>
  </conditionalFormatting>
  <conditionalFormatting sqref="L20:L25">
    <cfRule type="containsText" dxfId="7" priority="6" operator="containsText" text="Completed">
      <formula>NOT(ISERROR(SEARCH("Completed",L20)))</formula>
    </cfRule>
  </conditionalFormatting>
  <conditionalFormatting sqref="L2:L7">
    <cfRule type="containsText" dxfId="6" priority="5" operator="containsText" text="Completed">
      <formula>NOT(ISERROR(SEARCH("Completed",L2)))</formula>
    </cfRule>
  </conditionalFormatting>
  <conditionalFormatting sqref="L8:L13">
    <cfRule type="containsText" dxfId="5" priority="4" operator="containsText" text="Completed">
      <formula>NOT(ISERROR(SEARCH("Completed",L8)))</formula>
    </cfRule>
  </conditionalFormatting>
  <conditionalFormatting sqref="M2:M7">
    <cfRule type="containsText" dxfId="4" priority="3" operator="containsText" text="Completed">
      <formula>NOT(ISERROR(SEARCH("Completed",M2)))</formula>
    </cfRule>
  </conditionalFormatting>
  <conditionalFormatting sqref="M8:M13">
    <cfRule type="containsText" dxfId="3" priority="2" operator="containsText" text="Completed">
      <formula>NOT(ISERROR(SEARCH("Completed",M8)))</formula>
    </cfRule>
  </conditionalFormatting>
  <conditionalFormatting sqref="M20:M25">
    <cfRule type="containsText" dxfId="2" priority="1" operator="containsText" text="Completed">
      <formula>NOT(ISERROR(SEARCH("Completed",M20)))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05FD2-4E21-492B-93FD-DCBD99DF6358}">
  <dimension ref="A1:F25"/>
  <sheetViews>
    <sheetView tabSelected="1" workbookViewId="0">
      <selection activeCell="K20" sqref="K20"/>
    </sheetView>
  </sheetViews>
  <sheetFormatPr defaultRowHeight="15"/>
  <cols>
    <col min="2" max="2" width="34.140625" customWidth="1"/>
    <col min="3" max="3" width="21.7109375" customWidth="1"/>
    <col min="5" max="5" width="22" customWidth="1"/>
    <col min="6" max="6" width="102.140625" customWidth="1"/>
  </cols>
  <sheetData>
    <row r="1" spans="1:6" ht="30.75">
      <c r="A1" s="46" t="s">
        <v>1292</v>
      </c>
      <c r="B1" s="46" t="s">
        <v>1293</v>
      </c>
      <c r="C1" s="46" t="s">
        <v>1294</v>
      </c>
      <c r="E1" s="58" t="s">
        <v>1347</v>
      </c>
      <c r="F1" s="58" t="s">
        <v>1348</v>
      </c>
    </row>
    <row r="2" spans="1:6" ht="15.75">
      <c r="A2" s="48" t="s">
        <v>1295</v>
      </c>
      <c r="B2" s="38" t="s">
        <v>1296</v>
      </c>
      <c r="C2" s="38" t="s">
        <v>1297</v>
      </c>
      <c r="E2" s="59">
        <v>42</v>
      </c>
      <c r="F2" s="60" t="s">
        <v>1349</v>
      </c>
    </row>
    <row r="3" spans="1:6" ht="15.75">
      <c r="A3" s="48" t="s">
        <v>1298</v>
      </c>
      <c r="B3" s="38" t="s">
        <v>1299</v>
      </c>
      <c r="C3" s="38" t="s">
        <v>1297</v>
      </c>
      <c r="E3" s="59"/>
      <c r="F3" s="61"/>
    </row>
    <row r="4" spans="1:6" ht="15.75">
      <c r="A4" s="48" t="s">
        <v>1300</v>
      </c>
      <c r="B4" s="38" t="s">
        <v>1301</v>
      </c>
      <c r="C4" s="38" t="s">
        <v>1297</v>
      </c>
      <c r="E4" s="59"/>
      <c r="F4" s="61"/>
    </row>
    <row r="5" spans="1:6" ht="15.75">
      <c r="A5" s="48" t="s">
        <v>1302</v>
      </c>
      <c r="B5" s="38" t="s">
        <v>1303</v>
      </c>
      <c r="C5" s="38" t="s">
        <v>1297</v>
      </c>
      <c r="E5" s="59"/>
      <c r="F5" s="61"/>
    </row>
    <row r="6" spans="1:6" ht="15.75">
      <c r="A6" s="48" t="s">
        <v>1304</v>
      </c>
      <c r="B6" s="38" t="s">
        <v>1305</v>
      </c>
      <c r="C6" s="38" t="s">
        <v>1297</v>
      </c>
      <c r="E6" s="59"/>
      <c r="F6" s="61"/>
    </row>
    <row r="7" spans="1:6" ht="15.75">
      <c r="A7" s="48" t="s">
        <v>1306</v>
      </c>
      <c r="B7" s="38" t="s">
        <v>1307</v>
      </c>
      <c r="C7" s="38" t="s">
        <v>1297</v>
      </c>
      <c r="E7" s="59"/>
      <c r="F7" s="61"/>
    </row>
    <row r="8" spans="1:6" ht="15.75">
      <c r="A8" s="48" t="s">
        <v>1308</v>
      </c>
      <c r="B8" s="39" t="s">
        <v>1309</v>
      </c>
      <c r="C8" s="39" t="s">
        <v>1310</v>
      </c>
      <c r="E8" s="59">
        <v>45</v>
      </c>
      <c r="F8" s="60" t="s">
        <v>1350</v>
      </c>
    </row>
    <row r="9" spans="1:6" ht="15.75">
      <c r="A9" s="48" t="s">
        <v>1311</v>
      </c>
      <c r="B9" s="39" t="s">
        <v>1312</v>
      </c>
      <c r="C9" s="39" t="s">
        <v>1310</v>
      </c>
      <c r="E9" s="59"/>
      <c r="F9" s="61"/>
    </row>
    <row r="10" spans="1:6" ht="15.75">
      <c r="A10" s="48" t="s">
        <v>1313</v>
      </c>
      <c r="B10" s="39" t="s">
        <v>1314</v>
      </c>
      <c r="C10" s="39" t="s">
        <v>1310</v>
      </c>
      <c r="E10" s="59"/>
      <c r="F10" s="61"/>
    </row>
    <row r="11" spans="1:6" ht="15.75">
      <c r="A11" s="48" t="s">
        <v>1315</v>
      </c>
      <c r="B11" s="39" t="s">
        <v>1316</v>
      </c>
      <c r="C11" s="39" t="s">
        <v>1310</v>
      </c>
      <c r="E11" s="59"/>
      <c r="F11" s="61"/>
    </row>
    <row r="12" spans="1:6" ht="15.75">
      <c r="A12" s="48" t="s">
        <v>1317</v>
      </c>
      <c r="B12" s="39" t="s">
        <v>1318</v>
      </c>
      <c r="C12" s="39" t="s">
        <v>1310</v>
      </c>
      <c r="E12" s="59"/>
      <c r="F12" s="61"/>
    </row>
    <row r="13" spans="1:6" ht="15.75">
      <c r="A13" s="48" t="s">
        <v>1319</v>
      </c>
      <c r="B13" s="39" t="s">
        <v>1320</v>
      </c>
      <c r="C13" s="39" t="s">
        <v>1310</v>
      </c>
      <c r="E13" s="59"/>
      <c r="F13" s="61"/>
    </row>
    <row r="14" spans="1:6" ht="15.75">
      <c r="A14" s="48" t="s">
        <v>1321</v>
      </c>
      <c r="B14" s="40" t="s">
        <v>1322</v>
      </c>
      <c r="C14" s="40" t="s">
        <v>1323</v>
      </c>
      <c r="E14" s="59">
        <v>44.5</v>
      </c>
      <c r="F14" s="60" t="s">
        <v>1351</v>
      </c>
    </row>
    <row r="15" spans="1:6" ht="15.75">
      <c r="A15" s="48" t="s">
        <v>1324</v>
      </c>
      <c r="B15" s="40" t="s">
        <v>1325</v>
      </c>
      <c r="C15" s="40" t="s">
        <v>1323</v>
      </c>
      <c r="E15" s="59"/>
      <c r="F15" s="61"/>
    </row>
    <row r="16" spans="1:6" ht="15.75">
      <c r="A16" s="48" t="s">
        <v>1326</v>
      </c>
      <c r="B16" s="40" t="s">
        <v>1327</v>
      </c>
      <c r="C16" s="40" t="s">
        <v>1323</v>
      </c>
      <c r="E16" s="59"/>
      <c r="F16" s="61"/>
    </row>
    <row r="17" spans="1:6" ht="15.75">
      <c r="A17" s="48" t="s">
        <v>1328</v>
      </c>
      <c r="B17" s="40" t="s">
        <v>1329</v>
      </c>
      <c r="C17" s="40" t="s">
        <v>1323</v>
      </c>
      <c r="E17" s="59"/>
      <c r="F17" s="61"/>
    </row>
    <row r="18" spans="1:6" ht="15.75">
      <c r="A18" s="48" t="s">
        <v>1330</v>
      </c>
      <c r="B18" s="40" t="s">
        <v>1331</v>
      </c>
      <c r="C18" s="40" t="s">
        <v>1323</v>
      </c>
      <c r="E18" s="59"/>
      <c r="F18" s="61"/>
    </row>
    <row r="19" spans="1:6" ht="15.75">
      <c r="A19" s="48" t="s">
        <v>1332</v>
      </c>
      <c r="B19" s="40" t="s">
        <v>1333</v>
      </c>
      <c r="C19" s="40" t="s">
        <v>1323</v>
      </c>
      <c r="E19" s="59"/>
      <c r="F19" s="61"/>
    </row>
    <row r="20" spans="1:6" ht="15.75">
      <c r="A20" s="48" t="s">
        <v>1334</v>
      </c>
      <c r="B20" s="41" t="s">
        <v>1335</v>
      </c>
      <c r="C20" s="41" t="s">
        <v>1336</v>
      </c>
      <c r="E20" s="59">
        <v>43.5</v>
      </c>
      <c r="F20" s="60" t="s">
        <v>1352</v>
      </c>
    </row>
    <row r="21" spans="1:6" ht="15.75">
      <c r="A21" s="48" t="s">
        <v>1337</v>
      </c>
      <c r="B21" s="41" t="s">
        <v>1338</v>
      </c>
      <c r="C21" s="41" t="s">
        <v>1336</v>
      </c>
      <c r="E21" s="59"/>
      <c r="F21" s="61"/>
    </row>
    <row r="22" spans="1:6" ht="15.75">
      <c r="A22" s="48" t="s">
        <v>1339</v>
      </c>
      <c r="B22" s="41" t="s">
        <v>1340</v>
      </c>
      <c r="C22" s="41" t="s">
        <v>1336</v>
      </c>
      <c r="E22" s="59"/>
      <c r="F22" s="61"/>
    </row>
    <row r="23" spans="1:6" ht="15.75">
      <c r="A23" s="48" t="s">
        <v>1341</v>
      </c>
      <c r="B23" s="41" t="s">
        <v>1342</v>
      </c>
      <c r="C23" s="41" t="s">
        <v>1336</v>
      </c>
      <c r="E23" s="59"/>
      <c r="F23" s="61"/>
    </row>
    <row r="24" spans="1:6" ht="15.75">
      <c r="A24" s="48" t="s">
        <v>1343</v>
      </c>
      <c r="B24" s="41" t="s">
        <v>1344</v>
      </c>
      <c r="C24" s="41" t="s">
        <v>1336</v>
      </c>
      <c r="E24" s="59"/>
      <c r="F24" s="61"/>
    </row>
    <row r="25" spans="1:6" ht="15.75">
      <c r="A25" s="48" t="s">
        <v>1345</v>
      </c>
      <c r="B25" s="41" t="s">
        <v>1346</v>
      </c>
      <c r="C25" s="41" t="s">
        <v>1336</v>
      </c>
      <c r="E25" s="59"/>
      <c r="F25" s="61"/>
    </row>
  </sheetData>
  <mergeCells count="8">
    <mergeCell ref="E2:E7"/>
    <mergeCell ref="E8:E13"/>
    <mergeCell ref="E14:E19"/>
    <mergeCell ref="E20:E25"/>
    <mergeCell ref="F2:F7"/>
    <mergeCell ref="F8:F13"/>
    <mergeCell ref="F14:F19"/>
    <mergeCell ref="F20:F25"/>
  </mergeCells>
  <conditionalFormatting sqref="E20:E25">
    <cfRule type="containsText" dxfId="1" priority="2" operator="containsText" text="Completed">
      <formula>NOT(ISERROR(SEARCH("Completed",E20)))</formula>
    </cfRule>
  </conditionalFormatting>
  <conditionalFormatting sqref="E2:E19">
    <cfRule type="containsText" dxfId="0" priority="1" operator="containsText" text="Completed">
      <formula>NOT(ISERROR(SEARCH("Completed",E2)))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AE7B56184CE7F48A44945AEE8093E9B" ma:contentTypeVersion="4" ma:contentTypeDescription="Create a new document." ma:contentTypeScope="" ma:versionID="5697374ef3629decff0d67a4657e399a">
  <xsd:schema xmlns:xsd="http://www.w3.org/2001/XMLSchema" xmlns:xs="http://www.w3.org/2001/XMLSchema" xmlns:p="http://schemas.microsoft.com/office/2006/metadata/properties" xmlns:ns2="ce036298-5e8a-4e0d-a436-f010cc56a2e2" targetNamespace="http://schemas.microsoft.com/office/2006/metadata/properties" ma:root="true" ma:fieldsID="ab5f3a9898ae400652bf66f92ab42cca" ns2:_="">
    <xsd:import namespace="ce036298-5e8a-4e0d-a436-f010cc56a2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036298-5e8a-4e0d-a436-f010cc56a2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DDF31F-A2D0-4149-9BD1-B0C5E6315075}"/>
</file>

<file path=customXml/itemProps2.xml><?xml version="1.0" encoding="utf-8"?>
<ds:datastoreItem xmlns:ds="http://schemas.openxmlformats.org/officeDocument/2006/customXml" ds:itemID="{A015DD06-1E6D-4BD6-9B68-556C4C86B8D6}"/>
</file>

<file path=customXml/itemProps3.xml><?xml version="1.0" encoding="utf-8"?>
<ds:datastoreItem xmlns:ds="http://schemas.openxmlformats.org/officeDocument/2006/customXml" ds:itemID="{9EB0A8AC-284E-4105-8903-BAB41318AE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Kavya N P</dc:creator>
  <cp:keywords/>
  <dc:description/>
  <cp:lastModifiedBy>Arya Ghai</cp:lastModifiedBy>
  <cp:revision/>
  <dcterms:created xsi:type="dcterms:W3CDTF">2024-04-04T17:18:36Z</dcterms:created>
  <dcterms:modified xsi:type="dcterms:W3CDTF">2026-06-01T07:10:03Z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0x010100BAE7B56184CE7F48A44945AEE8093E9B</vt:lpwstr>
  </property>
  <property fmtid="{D5CDD505-2E9C-101B-9397-08002B2CF9AE}" pid="3" name="MediaServiceImageTags">
    <vt:lpwstr/>
  </property>
</Properties>
</file>