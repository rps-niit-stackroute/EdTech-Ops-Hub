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namedSheetViews/namedSheetView1.xml" ContentType="application/vnd.ms-excel.namedsheetview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namedSheetViews/namedSheetView2.xml" ContentType="application/vnd.ms-excel.namedsheetviews+xml"/>
  <Override PartName="/xl/tables/table35.xml" ContentType="application/vnd.openxmlformats-officedocument.spreadsheetml.table+xml"/>
  <Override PartName="/xl/tables/table36.xml" ContentType="application/vnd.openxmlformats-officedocument.spreadsheetml.table+xml"/>
  <Override PartName="/xl/namedSheetViews/namedSheetView3.xml" ContentType="application/vnd.ms-excel.namedsheetviews+xml"/>
  <Override PartName="/xl/tables/table37.xml" ContentType="application/vnd.openxmlformats-officedocument.spreadsheetml.table+xml"/>
  <Override PartName="/xl/namedSheetViews/namedSheetView4.xml" ContentType="application/vnd.ms-excel.namedsheetview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xr:revisionPtr revIDLastSave="0" documentId="8_{65978608-7169-46ED-BCE9-8ABD7E8B38B8}" xr6:coauthVersionLast="47" xr6:coauthVersionMax="47" xr10:uidLastSave="{00000000-0000-0000-0000-000000000000}"/>
  <bookViews>
    <workbookView xWindow="-110" yWindow="-110" windowWidth="19420" windowHeight="10300" firstSheet="21" activeTab="21" xr2:uid="{00000000-000D-0000-FFFF-FFFF00000000}"/>
  </bookViews>
  <sheets>
    <sheet name="SOW" sheetId="51" r:id="rId1"/>
    <sheet name="MasterCalendar" sheetId="124" r:id="rId2"/>
    <sheet name="Old" sheetId="128" r:id="rId3"/>
    <sheet name="Epiroc" sheetId="131" r:id="rId4"/>
    <sheet name="Tredence" sheetId="125" r:id="rId5"/>
    <sheet name="Zensar Rise" sheetId="126" r:id="rId6"/>
    <sheet name="Zensar Pinnacle " sheetId="127" r:id="rId7"/>
    <sheet name="Eaton April" sheetId="123" r:id="rId8"/>
    <sheet name="TEKsystem" sheetId="130" r:id="rId9"/>
    <sheet name="UST_Enterprise Architect" sheetId="122" r:id="rId10"/>
    <sheet name="Lowes" sheetId="120" r:id="rId11"/>
    <sheet name="UST BAPO" sheetId="119" r:id="rId12"/>
    <sheet name="UST Data Architect " sheetId="118" r:id="rId13"/>
    <sheet name="CTS CNA Level 1 B7" sheetId="116" r:id="rId14"/>
    <sheet name="USR LEAD B1" sheetId="112" r:id="rId15"/>
    <sheet name="UST BA 2" sheetId="113" r:id="rId16"/>
    <sheet name="UST ELEVATE BATCH 1" sheetId="115" r:id="rId17"/>
    <sheet name="UST ELEVATE BATCH 2" sheetId="114" r:id="rId18"/>
    <sheet name="UST - Morning " sheetId="110" r:id="rId19"/>
    <sheet name="UST - Evening " sheetId="111" r:id="rId20"/>
    <sheet name="CTS - CX" sheetId="109" r:id="rId21"/>
    <sheet name="Indium" sheetId="129" r:id="rId22"/>
    <sheet name="DXC TA B1" sheetId="105" r:id="rId23"/>
    <sheet name="DXC TA B2" sheetId="106" r:id="rId24"/>
    <sheet name="DXC TA B3" sheetId="107" r:id="rId25"/>
    <sheet name="DXC TA B4" sheetId="108" r:id="rId26"/>
    <sheet name="DXC B1" sheetId="104" r:id="rId27"/>
    <sheet name="DXC B2" sheetId="103" r:id="rId28"/>
    <sheet name="DXC B3" sheetId="102" r:id="rId29"/>
    <sheet name="DXC B4" sheetId="101" r:id="rId30"/>
    <sheet name="CTS - Upgrade2Architect AWS" sheetId="97" r:id="rId31"/>
    <sheet name="DMI" sheetId="94" r:id="rId32"/>
    <sheet name="Eaton" sheetId="93" r:id="rId33"/>
    <sheet name="NCS Elevate" sheetId="92" r:id="rId34"/>
    <sheet name="Salesforce" sheetId="88" r:id="rId35"/>
    <sheet name="Persistent ACDP B17" sheetId="86" state="hidden" r:id="rId36"/>
    <sheet name="Persistent ACDP B18" sheetId="87" state="hidden" r:id="rId37"/>
    <sheet name="Persistent ACDP B19" sheetId="99" r:id="rId38"/>
    <sheet name="Persistent ACDP B20" sheetId="100" r:id="rId39"/>
    <sheet name="Wipro ProgMngmt" sheetId="15" r:id="rId40"/>
    <sheet name="Project Codes-17 Nov-25" sheetId="75" r:id="rId41"/>
    <sheet name="SessionSummary" sheetId="79" r:id="rId42"/>
  </sheets>
  <definedNames>
    <definedName name="Men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9" i="51" l="1"/>
  <c r="F239" i="51"/>
  <c r="H239" i="51"/>
  <c r="E52" i="129"/>
  <c r="E51" i="129"/>
  <c r="C52" i="129"/>
  <c r="C51" i="129"/>
  <c r="E56" i="120"/>
  <c r="C56" i="120"/>
  <c r="E19" i="131"/>
  <c r="C19" i="131"/>
  <c r="E18" i="131"/>
  <c r="C18" i="131"/>
  <c r="E17" i="131"/>
  <c r="C17" i="131"/>
  <c r="E16" i="131"/>
  <c r="C16" i="131"/>
  <c r="E15" i="131"/>
  <c r="C15" i="131"/>
  <c r="E14" i="131"/>
  <c r="C14" i="131"/>
  <c r="E13" i="131"/>
  <c r="C13" i="131"/>
  <c r="E12" i="131"/>
  <c r="C12" i="131"/>
  <c r="E11" i="131"/>
  <c r="C11" i="131"/>
  <c r="E10" i="131"/>
  <c r="C10" i="131"/>
  <c r="E9" i="131"/>
  <c r="C9" i="131"/>
  <c r="E8" i="131"/>
  <c r="C8" i="131"/>
  <c r="E7" i="131"/>
  <c r="C7" i="131"/>
  <c r="E6" i="131"/>
  <c r="C6" i="131"/>
  <c r="E5" i="131"/>
  <c r="C5" i="131"/>
  <c r="E4" i="131"/>
  <c r="C4" i="131"/>
  <c r="E3" i="131"/>
  <c r="C3" i="131"/>
  <c r="E2" i="131"/>
  <c r="C2" i="131"/>
  <c r="E31" i="130"/>
  <c r="C31" i="130"/>
  <c r="E30" i="130"/>
  <c r="C30" i="130"/>
  <c r="E29" i="130"/>
  <c r="C29" i="130"/>
  <c r="E28" i="130"/>
  <c r="C28" i="130"/>
  <c r="E27" i="130"/>
  <c r="C27" i="130"/>
  <c r="E26" i="130"/>
  <c r="C26" i="130"/>
  <c r="E25" i="130"/>
  <c r="C25" i="130"/>
  <c r="E24" i="130"/>
  <c r="C24" i="130"/>
  <c r="E23" i="130"/>
  <c r="C23" i="130"/>
  <c r="E22" i="130"/>
  <c r="C22" i="130"/>
  <c r="E21" i="130"/>
  <c r="C21" i="130"/>
  <c r="E20" i="130"/>
  <c r="C20" i="130"/>
  <c r="E19" i="130"/>
  <c r="C19" i="130"/>
  <c r="E18" i="130"/>
  <c r="C18" i="130"/>
  <c r="E17" i="130"/>
  <c r="C17" i="130"/>
  <c r="E16" i="130"/>
  <c r="C16" i="130"/>
  <c r="E15" i="130"/>
  <c r="C15" i="130"/>
  <c r="E14" i="130"/>
  <c r="C14" i="130"/>
  <c r="E13" i="130"/>
  <c r="C13" i="130"/>
  <c r="E12" i="130"/>
  <c r="C12" i="130"/>
  <c r="E11" i="130"/>
  <c r="C11" i="130"/>
  <c r="E10" i="130"/>
  <c r="C10" i="130"/>
  <c r="E9" i="130"/>
  <c r="C9" i="130"/>
  <c r="E8" i="130"/>
  <c r="C8" i="130"/>
  <c r="E7" i="130"/>
  <c r="C7" i="130"/>
  <c r="E6" i="130"/>
  <c r="C6" i="130"/>
  <c r="E5" i="130"/>
  <c r="C5" i="130"/>
  <c r="E4" i="130"/>
  <c r="C4" i="130"/>
  <c r="E3" i="130"/>
  <c r="C3" i="130"/>
  <c r="E2" i="130"/>
  <c r="C2" i="130"/>
  <c r="E50" i="129"/>
  <c r="C50" i="129"/>
  <c r="E49" i="129"/>
  <c r="C49" i="129"/>
  <c r="E48" i="129"/>
  <c r="C48" i="129"/>
  <c r="E47" i="129"/>
  <c r="C47" i="129"/>
  <c r="E46" i="129"/>
  <c r="C46" i="129"/>
  <c r="E45" i="129"/>
  <c r="C45" i="129"/>
  <c r="E44" i="129"/>
  <c r="C44" i="129"/>
  <c r="E43" i="129"/>
  <c r="C43" i="129"/>
  <c r="E42" i="129"/>
  <c r="C42" i="129"/>
  <c r="E41" i="129"/>
  <c r="C41" i="129"/>
  <c r="E40" i="129"/>
  <c r="C40" i="129"/>
  <c r="E39" i="129"/>
  <c r="C39" i="129"/>
  <c r="E38" i="129"/>
  <c r="C38" i="129"/>
  <c r="E37" i="129"/>
  <c r="C37" i="129"/>
  <c r="E36" i="129"/>
  <c r="C36" i="129"/>
  <c r="E35" i="129"/>
  <c r="C35" i="129"/>
  <c r="E34" i="129"/>
  <c r="C34" i="129"/>
  <c r="E33" i="129"/>
  <c r="C33" i="129"/>
  <c r="E32" i="129"/>
  <c r="C32" i="129"/>
  <c r="E31" i="129"/>
  <c r="C31" i="129"/>
  <c r="E30" i="129"/>
  <c r="C30" i="129"/>
  <c r="E29" i="129"/>
  <c r="C29" i="129"/>
  <c r="E28" i="129"/>
  <c r="C28" i="129"/>
  <c r="E27" i="129"/>
  <c r="C27" i="129"/>
  <c r="E26" i="129"/>
  <c r="C26" i="129"/>
  <c r="E25" i="129"/>
  <c r="C25" i="129"/>
  <c r="E24" i="129"/>
  <c r="C24" i="129"/>
  <c r="E23" i="129"/>
  <c r="C23" i="129"/>
  <c r="E22" i="129"/>
  <c r="C22" i="129"/>
  <c r="E21" i="129"/>
  <c r="C21" i="129"/>
  <c r="E20" i="129"/>
  <c r="C20" i="129"/>
  <c r="E19" i="129"/>
  <c r="C19" i="129"/>
  <c r="E18" i="129"/>
  <c r="C18" i="129"/>
  <c r="E17" i="129"/>
  <c r="C17" i="129"/>
  <c r="E16" i="129"/>
  <c r="C16" i="129"/>
  <c r="E15" i="129"/>
  <c r="C15" i="129"/>
  <c r="E14" i="129"/>
  <c r="C14" i="129"/>
  <c r="E13" i="129"/>
  <c r="C13" i="129"/>
  <c r="E12" i="129"/>
  <c r="C12" i="129"/>
  <c r="E11" i="129"/>
  <c r="C11" i="129"/>
  <c r="E10" i="129"/>
  <c r="C10" i="129"/>
  <c r="E9" i="129"/>
  <c r="C9" i="129"/>
  <c r="E8" i="129"/>
  <c r="C8" i="129"/>
  <c r="E7" i="129"/>
  <c r="C7" i="129"/>
  <c r="E6" i="129"/>
  <c r="C6" i="129"/>
  <c r="E5" i="129"/>
  <c r="C5" i="129"/>
  <c r="E4" i="129"/>
  <c r="C4" i="129"/>
  <c r="E3" i="129"/>
  <c r="C3" i="129"/>
  <c r="E2" i="129"/>
  <c r="C2" i="129"/>
  <c r="C29" i="118"/>
  <c r="C30" i="118"/>
  <c r="C31" i="118"/>
  <c r="C32" i="118"/>
  <c r="E29" i="118"/>
  <c r="E30" i="118"/>
  <c r="E31" i="118"/>
  <c r="E32" i="118"/>
  <c r="E3" i="128"/>
  <c r="E4" i="128"/>
  <c r="E5" i="128"/>
  <c r="E6" i="128"/>
  <c r="E7" i="128"/>
  <c r="E8" i="128"/>
  <c r="E9" i="128"/>
  <c r="E10" i="128"/>
  <c r="E11" i="128"/>
  <c r="E12" i="128"/>
  <c r="E13" i="128"/>
  <c r="E14" i="128"/>
  <c r="E15" i="128"/>
  <c r="E16" i="128"/>
  <c r="E17" i="128"/>
  <c r="E18" i="128"/>
  <c r="E19" i="128"/>
  <c r="E20" i="128"/>
  <c r="E21" i="128"/>
  <c r="E22" i="128"/>
  <c r="E23" i="128"/>
  <c r="E24" i="128"/>
  <c r="E25" i="128"/>
  <c r="E26" i="128"/>
  <c r="E27" i="128"/>
  <c r="E28" i="128"/>
  <c r="E29" i="128"/>
  <c r="E30" i="128"/>
  <c r="E31" i="128"/>
  <c r="E32" i="128"/>
  <c r="E33" i="128"/>
  <c r="E34" i="128"/>
  <c r="E35" i="128"/>
  <c r="E36" i="128"/>
  <c r="E37" i="128"/>
  <c r="E38" i="128"/>
  <c r="E39" i="128"/>
  <c r="E2" i="128"/>
  <c r="E2" i="125"/>
  <c r="C3" i="128"/>
  <c r="C4" i="128"/>
  <c r="C5" i="128"/>
  <c r="C6" i="128"/>
  <c r="C7" i="128"/>
  <c r="C8" i="128"/>
  <c r="C9" i="128"/>
  <c r="C10" i="128"/>
  <c r="C11" i="128"/>
  <c r="C12" i="128"/>
  <c r="C13" i="128"/>
  <c r="C14" i="128"/>
  <c r="C15" i="128"/>
  <c r="C16" i="128"/>
  <c r="C17" i="128"/>
  <c r="C18" i="128"/>
  <c r="C19" i="128"/>
  <c r="C20" i="128"/>
  <c r="C21" i="128"/>
  <c r="C22" i="128"/>
  <c r="C23" i="128"/>
  <c r="C24" i="128"/>
  <c r="C25" i="128"/>
  <c r="C26" i="128"/>
  <c r="C27" i="128"/>
  <c r="C28" i="128"/>
  <c r="C29" i="128"/>
  <c r="C30" i="128"/>
  <c r="C31" i="128"/>
  <c r="C32" i="128"/>
  <c r="C33" i="128"/>
  <c r="C34" i="128"/>
  <c r="C35" i="128"/>
  <c r="C36" i="128"/>
  <c r="C37" i="128"/>
  <c r="C38" i="128"/>
  <c r="C39" i="128"/>
  <c r="C2" i="128"/>
  <c r="C2" i="125"/>
  <c r="G39" i="128"/>
  <c r="G38" i="128"/>
  <c r="G37" i="128"/>
  <c r="G36" i="128"/>
  <c r="G35" i="128"/>
  <c r="G34" i="128"/>
  <c r="G33" i="128"/>
  <c r="G32" i="128"/>
  <c r="G31" i="128"/>
  <c r="G30" i="128"/>
  <c r="G29" i="128"/>
  <c r="G28" i="128"/>
  <c r="G27" i="128"/>
  <c r="G26" i="128"/>
  <c r="G25" i="128"/>
  <c r="G24" i="128"/>
  <c r="G23" i="128"/>
  <c r="G22" i="128"/>
  <c r="G21" i="128"/>
  <c r="G20" i="128"/>
  <c r="G19" i="128"/>
  <c r="G18" i="128"/>
  <c r="G17" i="128"/>
  <c r="G16" i="128"/>
  <c r="G15" i="128"/>
  <c r="G14" i="128"/>
  <c r="G13" i="128"/>
  <c r="G12" i="128"/>
  <c r="G11" i="128"/>
  <c r="G10" i="128"/>
  <c r="G9" i="128"/>
  <c r="G8" i="128"/>
  <c r="G7" i="128"/>
  <c r="G6" i="128"/>
  <c r="G5" i="128"/>
  <c r="G4" i="128"/>
  <c r="G3" i="128"/>
  <c r="G2" i="128"/>
  <c r="E27" i="122"/>
  <c r="C27" i="122"/>
  <c r="E13" i="122"/>
  <c r="E14" i="122"/>
  <c r="E15" i="122"/>
  <c r="E16" i="122"/>
  <c r="E17" i="122"/>
  <c r="E18" i="122"/>
  <c r="E19" i="122"/>
  <c r="E20" i="122"/>
  <c r="E21" i="122"/>
  <c r="E22" i="122"/>
  <c r="E23" i="122"/>
  <c r="E24" i="122"/>
  <c r="E25" i="122"/>
  <c r="E26" i="122"/>
  <c r="E28" i="122"/>
  <c r="E29" i="122"/>
  <c r="E30" i="122"/>
  <c r="E31" i="122"/>
  <c r="E32" i="122"/>
  <c r="E33" i="122"/>
  <c r="E34" i="122"/>
  <c r="E35" i="122"/>
  <c r="E36" i="122"/>
  <c r="E37" i="122"/>
  <c r="E38" i="122"/>
  <c r="E39" i="122"/>
  <c r="C35" i="122"/>
  <c r="C36" i="122"/>
  <c r="C37" i="122"/>
  <c r="C38" i="122"/>
  <c r="C39" i="122"/>
  <c r="E30" i="108"/>
  <c r="C30" i="108"/>
  <c r="E29" i="108"/>
  <c r="C29" i="108"/>
  <c r="E28" i="108"/>
  <c r="C28" i="108"/>
  <c r="E27" i="108"/>
  <c r="C27" i="108"/>
  <c r="E26" i="108"/>
  <c r="C26" i="108"/>
  <c r="E25" i="108"/>
  <c r="C25" i="108"/>
  <c r="E24" i="108"/>
  <c r="C24" i="108"/>
  <c r="E23" i="108"/>
  <c r="C23" i="108"/>
  <c r="E22" i="108"/>
  <c r="C22" i="108"/>
  <c r="E21" i="108"/>
  <c r="C21" i="108"/>
  <c r="E32" i="107"/>
  <c r="C32" i="107"/>
  <c r="E31" i="107"/>
  <c r="C31" i="107"/>
  <c r="E30" i="107"/>
  <c r="C30" i="107"/>
  <c r="E29" i="107"/>
  <c r="C29" i="107"/>
  <c r="E28" i="107"/>
  <c r="C28" i="107"/>
  <c r="E27" i="107"/>
  <c r="C27" i="107"/>
  <c r="E26" i="107"/>
  <c r="C26" i="107"/>
  <c r="E25" i="107"/>
  <c r="C25" i="107"/>
  <c r="E24" i="107"/>
  <c r="C24" i="107"/>
  <c r="E23" i="107"/>
  <c r="C23" i="107"/>
  <c r="E33" i="106"/>
  <c r="C33" i="106"/>
  <c r="E32" i="106"/>
  <c r="C32" i="106"/>
  <c r="E31" i="106"/>
  <c r="C31" i="106"/>
  <c r="E30" i="106"/>
  <c r="C30" i="106"/>
  <c r="E29" i="106"/>
  <c r="C29" i="106"/>
  <c r="E28" i="106"/>
  <c r="C28" i="106"/>
  <c r="E27" i="106"/>
  <c r="C27" i="106"/>
  <c r="E26" i="106"/>
  <c r="C26" i="106"/>
  <c r="E25" i="106"/>
  <c r="C25" i="106"/>
  <c r="E24" i="106"/>
  <c r="C24" i="106"/>
  <c r="C23" i="105"/>
  <c r="C24" i="105"/>
  <c r="C25" i="105"/>
  <c r="C26" i="105"/>
  <c r="C27" i="105"/>
  <c r="C28" i="105"/>
  <c r="C29" i="105"/>
  <c r="C30" i="105"/>
  <c r="C31" i="105"/>
  <c r="E23" i="105"/>
  <c r="E24" i="105"/>
  <c r="E25" i="105"/>
  <c r="E26" i="105"/>
  <c r="E27" i="105"/>
  <c r="E28" i="105"/>
  <c r="E29" i="105"/>
  <c r="E30" i="105"/>
  <c r="E31" i="105"/>
  <c r="C22" i="105"/>
  <c r="E22" i="105"/>
  <c r="E9" i="126"/>
  <c r="C9" i="126"/>
  <c r="E8" i="126"/>
  <c r="C8" i="126"/>
  <c r="E7" i="126"/>
  <c r="C7" i="126"/>
  <c r="E6" i="126"/>
  <c r="C6" i="126"/>
  <c r="E5" i="126"/>
  <c r="C5" i="126"/>
  <c r="E4" i="126"/>
  <c r="C4" i="126"/>
  <c r="E3" i="126"/>
  <c r="C3" i="126"/>
  <c r="E2" i="126"/>
  <c r="C2" i="126"/>
  <c r="E9" i="127"/>
  <c r="E8" i="127"/>
  <c r="E7" i="127"/>
  <c r="E6" i="127"/>
  <c r="E5" i="127"/>
  <c r="E4" i="127"/>
  <c r="C9" i="127"/>
  <c r="C8" i="127"/>
  <c r="C7" i="127"/>
  <c r="C6" i="127"/>
  <c r="C5" i="127"/>
  <c r="C4" i="127"/>
  <c r="E3" i="127"/>
  <c r="C3" i="127"/>
  <c r="E2" i="127"/>
  <c r="C2" i="127"/>
  <c r="C4" i="125"/>
  <c r="C5" i="125"/>
  <c r="C6" i="125"/>
  <c r="C7" i="125"/>
  <c r="C8" i="125"/>
  <c r="C9" i="125"/>
  <c r="C10" i="125"/>
  <c r="C11" i="125"/>
  <c r="C12" i="125"/>
  <c r="C13" i="125"/>
  <c r="E4" i="125"/>
  <c r="E5" i="125"/>
  <c r="E6" i="125"/>
  <c r="E7" i="125"/>
  <c r="E8" i="125"/>
  <c r="E9" i="125"/>
  <c r="E10" i="125"/>
  <c r="E11" i="125"/>
  <c r="E12" i="125"/>
  <c r="E13" i="125"/>
  <c r="E3" i="125"/>
  <c r="C3" i="125"/>
  <c r="E55" i="120"/>
  <c r="E54" i="120"/>
  <c r="C55" i="120"/>
  <c r="C54" i="120"/>
  <c r="C39" i="100"/>
  <c r="E39" i="100"/>
  <c r="C31" i="111"/>
  <c r="E31" i="111"/>
  <c r="C30" i="111"/>
  <c r="E30" i="111"/>
  <c r="C29" i="111"/>
  <c r="E29" i="111"/>
  <c r="E3" i="123"/>
  <c r="C3" i="123"/>
  <c r="E2" i="123"/>
  <c r="C2" i="123"/>
  <c r="E20" i="108"/>
  <c r="C20" i="108"/>
  <c r="E19" i="108"/>
  <c r="C19" i="108"/>
  <c r="E18" i="108"/>
  <c r="C18" i="108"/>
  <c r="E17" i="108"/>
  <c r="C17" i="108"/>
  <c r="E16" i="108"/>
  <c r="C16" i="108"/>
  <c r="E22" i="107"/>
  <c r="C22" i="107"/>
  <c r="E21" i="107"/>
  <c r="C21" i="107"/>
  <c r="E20" i="107"/>
  <c r="C20" i="107"/>
  <c r="E19" i="107"/>
  <c r="C19" i="107"/>
  <c r="E18" i="107"/>
  <c r="C18" i="107"/>
  <c r="E23" i="106"/>
  <c r="C23" i="106"/>
  <c r="E22" i="106"/>
  <c r="C22" i="106"/>
  <c r="E21" i="106"/>
  <c r="C21" i="106"/>
  <c r="E20" i="106"/>
  <c r="C20" i="106"/>
  <c r="E19" i="106"/>
  <c r="C19" i="106"/>
  <c r="C18" i="105"/>
  <c r="C19" i="105"/>
  <c r="C20" i="105"/>
  <c r="C21" i="105"/>
  <c r="E18" i="105"/>
  <c r="E19" i="105"/>
  <c r="E20" i="105"/>
  <c r="E21" i="105"/>
  <c r="C17" i="105"/>
  <c r="E17" i="105"/>
  <c r="C12" i="122"/>
  <c r="E12" i="122"/>
  <c r="C19" i="122"/>
  <c r="C20" i="122"/>
  <c r="C21" i="122"/>
  <c r="C22" i="122"/>
  <c r="C23" i="122"/>
  <c r="C24" i="122"/>
  <c r="C25" i="122"/>
  <c r="C26" i="122"/>
  <c r="C28" i="122"/>
  <c r="C29" i="122"/>
  <c r="C30" i="122"/>
  <c r="C31" i="122"/>
  <c r="C32" i="122"/>
  <c r="C33" i="122"/>
  <c r="C34" i="122"/>
  <c r="C18" i="122"/>
  <c r="C17" i="122"/>
  <c r="C16" i="122"/>
  <c r="C15" i="122"/>
  <c r="C14" i="122"/>
  <c r="C13" i="122"/>
  <c r="E11" i="122"/>
  <c r="C11" i="122"/>
  <c r="E10" i="122"/>
  <c r="C10" i="122"/>
  <c r="E9" i="122"/>
  <c r="C9" i="122"/>
  <c r="E8" i="122"/>
  <c r="C8" i="122"/>
  <c r="E7" i="122"/>
  <c r="C7" i="122"/>
  <c r="E6" i="122"/>
  <c r="C6" i="122"/>
  <c r="E5" i="122"/>
  <c r="C5" i="122"/>
  <c r="E4" i="122"/>
  <c r="C4" i="122"/>
  <c r="E3" i="122"/>
  <c r="C3" i="122"/>
  <c r="E2" i="122"/>
  <c r="C2" i="122"/>
  <c r="C4" i="120"/>
  <c r="C5" i="120"/>
  <c r="C6" i="120"/>
  <c r="C7" i="120"/>
  <c r="C8" i="120"/>
  <c r="C9" i="120"/>
  <c r="C10" i="120"/>
  <c r="C11" i="120"/>
  <c r="C12" i="120"/>
  <c r="C13" i="120"/>
  <c r="C14" i="120"/>
  <c r="C15" i="120"/>
  <c r="C16" i="120"/>
  <c r="C17" i="120"/>
  <c r="C18" i="120"/>
  <c r="C19" i="120"/>
  <c r="C20" i="120"/>
  <c r="C21" i="120"/>
  <c r="C22" i="120"/>
  <c r="C23" i="120"/>
  <c r="C24" i="120"/>
  <c r="C25" i="120"/>
  <c r="C26" i="120"/>
  <c r="C27" i="120"/>
  <c r="C28" i="120"/>
  <c r="C29" i="120"/>
  <c r="C30" i="120"/>
  <c r="C31" i="120"/>
  <c r="C32" i="120"/>
  <c r="C33" i="120"/>
  <c r="C34" i="120"/>
  <c r="C35" i="120"/>
  <c r="C36" i="120"/>
  <c r="C37" i="120"/>
  <c r="C38" i="120"/>
  <c r="C39" i="120"/>
  <c r="C40" i="120"/>
  <c r="C41" i="120"/>
  <c r="C42" i="120"/>
  <c r="C43" i="120"/>
  <c r="C44" i="120"/>
  <c r="C45" i="120"/>
  <c r="C46" i="120"/>
  <c r="C47" i="120"/>
  <c r="C48" i="120"/>
  <c r="C49" i="120"/>
  <c r="C50" i="120"/>
  <c r="C51" i="120"/>
  <c r="C52" i="120"/>
  <c r="C53" i="120"/>
  <c r="E4" i="120"/>
  <c r="E5" i="120"/>
  <c r="E6" i="120"/>
  <c r="E7" i="120"/>
  <c r="E8" i="120"/>
  <c r="E9" i="120"/>
  <c r="E10" i="120"/>
  <c r="E11" i="120"/>
  <c r="E12" i="120"/>
  <c r="E13" i="120"/>
  <c r="E14" i="120"/>
  <c r="E15" i="120"/>
  <c r="E16" i="120"/>
  <c r="E17" i="120"/>
  <c r="E18" i="120"/>
  <c r="E19" i="120"/>
  <c r="E20" i="120"/>
  <c r="E21" i="120"/>
  <c r="E22" i="120"/>
  <c r="E23" i="120"/>
  <c r="E24" i="120"/>
  <c r="E25" i="120"/>
  <c r="E26" i="120"/>
  <c r="E27" i="120"/>
  <c r="E28" i="120"/>
  <c r="E29" i="120"/>
  <c r="E30" i="120"/>
  <c r="E31" i="120"/>
  <c r="E32" i="120"/>
  <c r="E33" i="120"/>
  <c r="E34" i="120"/>
  <c r="E35" i="120"/>
  <c r="E36" i="120"/>
  <c r="E37" i="120"/>
  <c r="E38" i="120"/>
  <c r="E39" i="120"/>
  <c r="E40" i="120"/>
  <c r="E41" i="120"/>
  <c r="E42" i="120"/>
  <c r="E43" i="120"/>
  <c r="E44" i="120"/>
  <c r="E45" i="120"/>
  <c r="E46" i="120"/>
  <c r="E47" i="120"/>
  <c r="E48" i="120"/>
  <c r="E49" i="120"/>
  <c r="E50" i="120"/>
  <c r="E51" i="120"/>
  <c r="E52" i="120"/>
  <c r="E53" i="120"/>
  <c r="E3" i="120"/>
  <c r="C3" i="120"/>
  <c r="E2" i="120"/>
  <c r="C2" i="120"/>
  <c r="E9" i="119"/>
  <c r="C9" i="119"/>
  <c r="E8" i="119"/>
  <c r="C8" i="119"/>
  <c r="E7" i="119"/>
  <c r="C7" i="119"/>
  <c r="E6" i="119"/>
  <c r="C6" i="119"/>
  <c r="E5" i="119"/>
  <c r="C5" i="119"/>
  <c r="E4" i="119"/>
  <c r="C4" i="119"/>
  <c r="E3" i="119"/>
  <c r="C3" i="119"/>
  <c r="E2" i="119"/>
  <c r="C2" i="119"/>
  <c r="E36" i="99"/>
  <c r="C36" i="99"/>
  <c r="E29" i="88"/>
  <c r="C29" i="88"/>
  <c r="E28" i="88"/>
  <c r="C28" i="88"/>
  <c r="E23" i="88"/>
  <c r="C23" i="88"/>
  <c r="E20" i="88"/>
  <c r="C20" i="88"/>
  <c r="E28" i="118"/>
  <c r="C28" i="118"/>
  <c r="E27" i="118"/>
  <c r="C27" i="118"/>
  <c r="E26" i="118"/>
  <c r="C26" i="118"/>
  <c r="E25" i="118"/>
  <c r="C25" i="118"/>
  <c r="E24" i="118"/>
  <c r="C24" i="118"/>
  <c r="E23" i="118"/>
  <c r="C23" i="118"/>
  <c r="E22" i="118"/>
  <c r="C22" i="118"/>
  <c r="E21" i="118"/>
  <c r="C21" i="118"/>
  <c r="E20" i="118"/>
  <c r="C20" i="118"/>
  <c r="E19" i="118"/>
  <c r="C19" i="118"/>
  <c r="E18" i="118"/>
  <c r="C18" i="118"/>
  <c r="E17" i="118"/>
  <c r="C17" i="118"/>
  <c r="E16" i="118"/>
  <c r="C16" i="118"/>
  <c r="E15" i="118"/>
  <c r="C15" i="118"/>
  <c r="E14" i="118"/>
  <c r="C14" i="118"/>
  <c r="E13" i="118"/>
  <c r="C13" i="118"/>
  <c r="E12" i="118"/>
  <c r="C12" i="118"/>
  <c r="E11" i="118"/>
  <c r="C11" i="118"/>
  <c r="E10" i="118"/>
  <c r="C10" i="118"/>
  <c r="E9" i="118"/>
  <c r="C9" i="118"/>
  <c r="E8" i="118"/>
  <c r="C8" i="118"/>
  <c r="E7" i="118"/>
  <c r="C7" i="118"/>
  <c r="E6" i="118"/>
  <c r="C6" i="118"/>
  <c r="E5" i="118"/>
  <c r="C5" i="118"/>
  <c r="E4" i="118"/>
  <c r="C4" i="118"/>
  <c r="E3" i="118"/>
  <c r="C3" i="118"/>
  <c r="E2" i="118"/>
  <c r="C2" i="118"/>
  <c r="C40" i="103"/>
  <c r="C41" i="103"/>
  <c r="C42" i="103"/>
  <c r="E40" i="103"/>
  <c r="E41" i="103"/>
  <c r="E42" i="103"/>
  <c r="E24" i="115"/>
  <c r="E23" i="115"/>
  <c r="E22" i="115"/>
  <c r="C24" i="115"/>
  <c r="C23" i="115"/>
  <c r="C22" i="115"/>
  <c r="C43" i="99"/>
  <c r="C44" i="99"/>
  <c r="E43" i="99"/>
  <c r="E44" i="99"/>
  <c r="E42" i="99"/>
  <c r="C42" i="99"/>
  <c r="C15" i="99"/>
  <c r="E15" i="99"/>
  <c r="C16" i="99"/>
  <c r="E16" i="99"/>
  <c r="C17" i="99"/>
  <c r="E17" i="99"/>
  <c r="E20" i="92"/>
  <c r="C20" i="92"/>
  <c r="E8" i="109"/>
  <c r="C8" i="109"/>
  <c r="E20" i="116"/>
  <c r="C20" i="116"/>
  <c r="E19" i="116"/>
  <c r="C19" i="116"/>
  <c r="E18" i="116"/>
  <c r="C18" i="116"/>
  <c r="E17" i="116"/>
  <c r="C17" i="116"/>
  <c r="E16" i="116"/>
  <c r="C16" i="116"/>
  <c r="E15" i="116"/>
  <c r="C15" i="116"/>
  <c r="E14" i="116"/>
  <c r="C14" i="116"/>
  <c r="E13" i="116"/>
  <c r="C13" i="116"/>
  <c r="E12" i="116"/>
  <c r="C12" i="116"/>
  <c r="E11" i="116"/>
  <c r="C11" i="116"/>
  <c r="E10" i="116"/>
  <c r="C10" i="116"/>
  <c r="E9" i="116"/>
  <c r="C9" i="116"/>
  <c r="E8" i="116"/>
  <c r="C8" i="116"/>
  <c r="E7" i="116"/>
  <c r="C7" i="116"/>
  <c r="E6" i="116"/>
  <c r="C6" i="116"/>
  <c r="E5" i="116"/>
  <c r="C5" i="116"/>
  <c r="E4" i="116"/>
  <c r="C4" i="116"/>
  <c r="E3" i="116"/>
  <c r="C3" i="116"/>
  <c r="E2" i="116"/>
  <c r="C2" i="116"/>
  <c r="E21" i="115"/>
  <c r="C21" i="115"/>
  <c r="E20" i="115"/>
  <c r="C20" i="115"/>
  <c r="E19" i="115"/>
  <c r="C19" i="115"/>
  <c r="E18" i="115"/>
  <c r="C18" i="115"/>
  <c r="E17" i="115"/>
  <c r="C17" i="115"/>
  <c r="E16" i="115"/>
  <c r="C16" i="115"/>
  <c r="E15" i="115"/>
  <c r="C15" i="115"/>
  <c r="E14" i="115"/>
  <c r="C14" i="115"/>
  <c r="E13" i="115"/>
  <c r="C13" i="115"/>
  <c r="E12" i="115"/>
  <c r="C12" i="115"/>
  <c r="E11" i="115"/>
  <c r="C11" i="115"/>
  <c r="E10" i="115"/>
  <c r="C10" i="115"/>
  <c r="E9" i="115"/>
  <c r="C9" i="115"/>
  <c r="E8" i="115"/>
  <c r="C8" i="115"/>
  <c r="E7" i="115"/>
  <c r="C7" i="115"/>
  <c r="E6" i="115"/>
  <c r="C6" i="115"/>
  <c r="E5" i="115"/>
  <c r="C5" i="115"/>
  <c r="E4" i="115"/>
  <c r="C4" i="115"/>
  <c r="E3" i="115"/>
  <c r="C3" i="115"/>
  <c r="E2" i="115"/>
  <c r="C2" i="115"/>
  <c r="E24" i="114"/>
  <c r="C24" i="114"/>
  <c r="E23" i="114"/>
  <c r="C23" i="114"/>
  <c r="E22" i="114"/>
  <c r="C22" i="114"/>
  <c r="E21" i="114"/>
  <c r="C21" i="114"/>
  <c r="E20" i="114"/>
  <c r="C20" i="114"/>
  <c r="E19" i="114"/>
  <c r="C19" i="114"/>
  <c r="E18" i="114"/>
  <c r="C18" i="114"/>
  <c r="E17" i="114"/>
  <c r="C17" i="114"/>
  <c r="E16" i="114"/>
  <c r="C16" i="114"/>
  <c r="E15" i="114"/>
  <c r="C15" i="114"/>
  <c r="E14" i="114"/>
  <c r="C14" i="114"/>
  <c r="E13" i="114"/>
  <c r="C13" i="114"/>
  <c r="E12" i="114"/>
  <c r="C12" i="114"/>
  <c r="E11" i="114"/>
  <c r="C11" i="114"/>
  <c r="E10" i="114"/>
  <c r="C10" i="114"/>
  <c r="E9" i="114"/>
  <c r="C9" i="114"/>
  <c r="E8" i="114"/>
  <c r="C8" i="114"/>
  <c r="E7" i="114"/>
  <c r="C7" i="114"/>
  <c r="E6" i="114"/>
  <c r="C6" i="114"/>
  <c r="E5" i="114"/>
  <c r="C5" i="114"/>
  <c r="E4" i="114"/>
  <c r="C4" i="114"/>
  <c r="E3" i="114"/>
  <c r="C3" i="114"/>
  <c r="E2" i="114"/>
  <c r="C2" i="114"/>
  <c r="E24" i="113"/>
  <c r="C24" i="113"/>
  <c r="E23" i="113"/>
  <c r="C23" i="113"/>
  <c r="E22" i="113"/>
  <c r="C22" i="113"/>
  <c r="E21" i="113"/>
  <c r="C21" i="113"/>
  <c r="E20" i="113"/>
  <c r="C20" i="113"/>
  <c r="E19" i="113"/>
  <c r="C19" i="113"/>
  <c r="E18" i="113"/>
  <c r="C18" i="113"/>
  <c r="E17" i="113"/>
  <c r="C17" i="113"/>
  <c r="E16" i="113"/>
  <c r="C16" i="113"/>
  <c r="E15" i="113"/>
  <c r="C15" i="113"/>
  <c r="E14" i="113"/>
  <c r="C14" i="113"/>
  <c r="E13" i="113"/>
  <c r="C13" i="113"/>
  <c r="E12" i="113"/>
  <c r="C12" i="113"/>
  <c r="E11" i="113"/>
  <c r="C11" i="113"/>
  <c r="E10" i="113"/>
  <c r="C10" i="113"/>
  <c r="E9" i="113"/>
  <c r="C9" i="113"/>
  <c r="E8" i="113"/>
  <c r="C8" i="113"/>
  <c r="E7" i="113"/>
  <c r="C7" i="113"/>
  <c r="E6" i="113"/>
  <c r="C6" i="113"/>
  <c r="E5" i="113"/>
  <c r="C5" i="113"/>
  <c r="E4" i="113"/>
  <c r="C4" i="113"/>
  <c r="E3" i="113"/>
  <c r="C3" i="113"/>
  <c r="E2" i="113"/>
  <c r="C2" i="113"/>
  <c r="E3" i="112"/>
  <c r="E4" i="112"/>
  <c r="E5" i="112"/>
  <c r="E6" i="112"/>
  <c r="E7" i="112"/>
  <c r="E8" i="112"/>
  <c r="E9" i="112"/>
  <c r="E10" i="112"/>
  <c r="E11" i="112"/>
  <c r="E12" i="112"/>
  <c r="E13" i="112"/>
  <c r="E14" i="112"/>
  <c r="E15" i="112"/>
  <c r="E16" i="112"/>
  <c r="E17" i="112"/>
  <c r="E18" i="112"/>
  <c r="E19" i="112"/>
  <c r="E20" i="112"/>
  <c r="E21" i="112"/>
  <c r="E22" i="112"/>
  <c r="E23" i="112"/>
  <c r="E24" i="112"/>
  <c r="E2" i="112"/>
  <c r="E2" i="110"/>
  <c r="C3" i="112"/>
  <c r="C4" i="112"/>
  <c r="C5" i="112"/>
  <c r="C6" i="112"/>
  <c r="C7" i="112"/>
  <c r="C8" i="112"/>
  <c r="C9" i="112"/>
  <c r="C10" i="112"/>
  <c r="C11" i="112"/>
  <c r="C12" i="112"/>
  <c r="C13" i="112"/>
  <c r="C14" i="112"/>
  <c r="C15" i="112"/>
  <c r="C16" i="112"/>
  <c r="C17" i="112"/>
  <c r="C18" i="112"/>
  <c r="C19" i="112"/>
  <c r="C20" i="112"/>
  <c r="C21" i="112"/>
  <c r="C22" i="112"/>
  <c r="C23" i="112"/>
  <c r="C24" i="112"/>
  <c r="C2" i="112"/>
  <c r="C2" i="110"/>
  <c r="N35" i="87"/>
  <c r="E35" i="87"/>
  <c r="C35" i="87"/>
  <c r="N34" i="87"/>
  <c r="E34" i="87"/>
  <c r="C34" i="87"/>
  <c r="N33" i="87"/>
  <c r="E33" i="87"/>
  <c r="C33" i="87"/>
  <c r="N34" i="86"/>
  <c r="E34" i="86"/>
  <c r="C34" i="86"/>
  <c r="N33" i="86"/>
  <c r="E33" i="86"/>
  <c r="C33" i="86"/>
  <c r="N32" i="86"/>
  <c r="E32" i="86"/>
  <c r="C32" i="86"/>
  <c r="C4" i="110"/>
  <c r="C19" i="111"/>
  <c r="C20" i="111"/>
  <c r="C21" i="111"/>
  <c r="C22" i="111"/>
  <c r="C23" i="111"/>
  <c r="C24" i="111"/>
  <c r="C25" i="111"/>
  <c r="C26" i="111"/>
  <c r="C27" i="111"/>
  <c r="C28" i="111"/>
  <c r="C32" i="111"/>
  <c r="C33" i="111"/>
  <c r="E19" i="111"/>
  <c r="E20" i="111"/>
  <c r="E21" i="111"/>
  <c r="E22" i="111"/>
  <c r="E23" i="111"/>
  <c r="E24" i="111"/>
  <c r="E25" i="111"/>
  <c r="E26" i="111"/>
  <c r="E27" i="111"/>
  <c r="E28" i="111"/>
  <c r="E32" i="111"/>
  <c r="E33" i="111"/>
  <c r="E18" i="111"/>
  <c r="C18" i="111"/>
  <c r="E17" i="111"/>
  <c r="C17" i="111"/>
  <c r="E16" i="111"/>
  <c r="C16" i="111"/>
  <c r="E15" i="111"/>
  <c r="C15" i="111"/>
  <c r="E14" i="111"/>
  <c r="C14" i="111"/>
  <c r="E13" i="111"/>
  <c r="C13" i="111"/>
  <c r="E12" i="111"/>
  <c r="C12" i="111"/>
  <c r="E11" i="111"/>
  <c r="C11" i="111"/>
  <c r="E10" i="111"/>
  <c r="C10" i="111"/>
  <c r="E9" i="111"/>
  <c r="C9" i="111"/>
  <c r="E8" i="111"/>
  <c r="C8" i="111"/>
  <c r="E7" i="111"/>
  <c r="C7" i="111"/>
  <c r="E6" i="111"/>
  <c r="C6" i="111"/>
  <c r="E5" i="111"/>
  <c r="C5" i="111"/>
  <c r="E4" i="111"/>
  <c r="C4" i="111"/>
  <c r="E3" i="111"/>
  <c r="C3" i="111"/>
  <c r="E2" i="111"/>
  <c r="C2" i="111"/>
  <c r="C3" i="110"/>
  <c r="C5" i="110"/>
  <c r="C6" i="110"/>
  <c r="C7" i="110"/>
  <c r="C8" i="110"/>
  <c r="C9" i="110"/>
  <c r="C10" i="110"/>
  <c r="C11" i="110"/>
  <c r="C12" i="110"/>
  <c r="C13" i="110"/>
  <c r="C14" i="110"/>
  <c r="C15" i="110"/>
  <c r="C16" i="110"/>
  <c r="C17" i="110"/>
  <c r="C18" i="110"/>
  <c r="C19" i="110"/>
  <c r="C20" i="110"/>
  <c r="C21" i="110"/>
  <c r="E21" i="110"/>
  <c r="E20" i="110"/>
  <c r="E19" i="110"/>
  <c r="E18" i="110"/>
  <c r="E17" i="110"/>
  <c r="E16" i="110"/>
  <c r="E15" i="110"/>
  <c r="E14" i="110"/>
  <c r="E13" i="110"/>
  <c r="E12" i="110"/>
  <c r="E11" i="110"/>
  <c r="E10" i="110"/>
  <c r="E9" i="110"/>
  <c r="E8" i="110"/>
  <c r="E7" i="110"/>
  <c r="E6" i="110"/>
  <c r="E5" i="110"/>
  <c r="E4" i="110"/>
  <c r="E3" i="110"/>
  <c r="E2" i="109"/>
  <c r="E3" i="109"/>
  <c r="E4" i="109"/>
  <c r="E5" i="109"/>
  <c r="E6" i="109"/>
  <c r="E7" i="109"/>
  <c r="E9" i="109"/>
  <c r="E10" i="109"/>
  <c r="E11" i="109"/>
  <c r="E12" i="109"/>
  <c r="E14" i="109"/>
  <c r="E13" i="109"/>
  <c r="E15" i="109"/>
  <c r="E16" i="109"/>
  <c r="E17" i="109"/>
  <c r="E18" i="109"/>
  <c r="E19" i="109"/>
  <c r="E20" i="109"/>
  <c r="E21" i="109"/>
  <c r="E22" i="109"/>
  <c r="C2" i="109"/>
  <c r="C3" i="109"/>
  <c r="C4" i="109"/>
  <c r="C5" i="109"/>
  <c r="C6" i="109"/>
  <c r="C7" i="109"/>
  <c r="C9" i="109"/>
  <c r="C10" i="109"/>
  <c r="C11" i="109"/>
  <c r="C12" i="109"/>
  <c r="C14" i="109"/>
  <c r="C13" i="109"/>
  <c r="C15" i="109"/>
  <c r="C16" i="109"/>
  <c r="C17" i="109"/>
  <c r="C18" i="109"/>
  <c r="C19" i="109"/>
  <c r="C20" i="109"/>
  <c r="C21" i="109"/>
  <c r="C22" i="109"/>
  <c r="C13" i="108"/>
  <c r="C14" i="108"/>
  <c r="C15" i="108"/>
  <c r="E13" i="108"/>
  <c r="E14" i="108"/>
  <c r="E15" i="108"/>
  <c r="E12" i="108"/>
  <c r="C12" i="108"/>
  <c r="E11" i="108"/>
  <c r="C11" i="108"/>
  <c r="E10" i="108"/>
  <c r="C10" i="108"/>
  <c r="E9" i="108"/>
  <c r="C9" i="108"/>
  <c r="E8" i="108"/>
  <c r="C8" i="108"/>
  <c r="E7" i="108"/>
  <c r="C7" i="108"/>
  <c r="E6" i="108"/>
  <c r="C6" i="108"/>
  <c r="E5" i="108"/>
  <c r="C5" i="108"/>
  <c r="E4" i="108"/>
  <c r="C4" i="108"/>
  <c r="E3" i="108"/>
  <c r="C3" i="108"/>
  <c r="E2" i="108"/>
  <c r="C2" i="108"/>
  <c r="C13" i="107"/>
  <c r="C14" i="107"/>
  <c r="C15" i="107"/>
  <c r="C16" i="107"/>
  <c r="C17" i="107"/>
  <c r="E13" i="107"/>
  <c r="E14" i="107"/>
  <c r="E15" i="107"/>
  <c r="E16" i="107"/>
  <c r="E17" i="107"/>
  <c r="E12" i="107"/>
  <c r="C12" i="107"/>
  <c r="E11" i="107"/>
  <c r="C11" i="107"/>
  <c r="E10" i="107"/>
  <c r="C10" i="107"/>
  <c r="E9" i="107"/>
  <c r="C9" i="107"/>
  <c r="E8" i="107"/>
  <c r="C8" i="107"/>
  <c r="E7" i="107"/>
  <c r="C7" i="107"/>
  <c r="E6" i="107"/>
  <c r="C6" i="107"/>
  <c r="E5" i="107"/>
  <c r="C5" i="107"/>
  <c r="E4" i="107"/>
  <c r="C4" i="107"/>
  <c r="E3" i="107"/>
  <c r="C3" i="107"/>
  <c r="E2" i="107"/>
  <c r="C2" i="107"/>
  <c r="E3" i="106"/>
  <c r="E4" i="106"/>
  <c r="E5" i="106"/>
  <c r="E6" i="106"/>
  <c r="E7" i="106"/>
  <c r="E8" i="106"/>
  <c r="E9" i="106"/>
  <c r="E10" i="106"/>
  <c r="E11" i="106"/>
  <c r="E12" i="106"/>
  <c r="E13" i="106"/>
  <c r="E14" i="106"/>
  <c r="E15" i="106"/>
  <c r="E16" i="106"/>
  <c r="E17" i="106"/>
  <c r="E18" i="106"/>
  <c r="E2" i="106"/>
  <c r="C15" i="106"/>
  <c r="C16" i="106"/>
  <c r="C17" i="106"/>
  <c r="C18" i="106"/>
  <c r="C14" i="106"/>
  <c r="C13" i="106"/>
  <c r="C12" i="106"/>
  <c r="C11" i="106"/>
  <c r="C10" i="106"/>
  <c r="C9" i="106"/>
  <c r="C8" i="106"/>
  <c r="C7" i="106"/>
  <c r="C6" i="106"/>
  <c r="C5" i="106"/>
  <c r="C4" i="106"/>
  <c r="C3" i="106"/>
  <c r="C2" i="106"/>
  <c r="E3" i="105"/>
  <c r="E4" i="105"/>
  <c r="E5" i="105"/>
  <c r="E6" i="105"/>
  <c r="E7" i="105"/>
  <c r="E8" i="105"/>
  <c r="E9" i="105"/>
  <c r="E10" i="105"/>
  <c r="E11" i="105"/>
  <c r="E12" i="105"/>
  <c r="E13" i="105"/>
  <c r="E14" i="105"/>
  <c r="E15" i="105"/>
  <c r="E16" i="105"/>
  <c r="E2" i="105"/>
  <c r="C3" i="105"/>
  <c r="C4" i="105"/>
  <c r="C5" i="105"/>
  <c r="C6" i="105"/>
  <c r="C7" i="105"/>
  <c r="C8" i="105"/>
  <c r="C9" i="105"/>
  <c r="C10" i="105"/>
  <c r="C11" i="105"/>
  <c r="C12" i="105"/>
  <c r="C13" i="105"/>
  <c r="C14" i="105"/>
  <c r="C15" i="105"/>
  <c r="C16" i="105"/>
  <c r="C2" i="105"/>
  <c r="C2" i="104"/>
  <c r="C38" i="104"/>
  <c r="C39" i="104"/>
  <c r="E38" i="104"/>
  <c r="E39" i="104"/>
  <c r="E37" i="104"/>
  <c r="C37" i="104"/>
  <c r="E36" i="104"/>
  <c r="C36" i="104"/>
  <c r="E35" i="104"/>
  <c r="C35" i="104"/>
  <c r="E34" i="104"/>
  <c r="C34" i="104"/>
  <c r="E33" i="104"/>
  <c r="C33" i="104"/>
  <c r="E32" i="104"/>
  <c r="C32" i="104"/>
  <c r="E31" i="104"/>
  <c r="C31" i="104"/>
  <c r="E30" i="104"/>
  <c r="C30" i="104"/>
  <c r="E29" i="104"/>
  <c r="C29" i="104"/>
  <c r="E28" i="104"/>
  <c r="C28" i="104"/>
  <c r="E27" i="104"/>
  <c r="C27" i="104"/>
  <c r="E26" i="104"/>
  <c r="C26" i="104"/>
  <c r="E25" i="104"/>
  <c r="C25" i="104"/>
  <c r="E24" i="104"/>
  <c r="C24" i="104"/>
  <c r="E23" i="104"/>
  <c r="C23" i="104"/>
  <c r="E22" i="104"/>
  <c r="C22" i="104"/>
  <c r="E21" i="104"/>
  <c r="C21" i="104"/>
  <c r="E20" i="104"/>
  <c r="C20" i="104"/>
  <c r="E19" i="104"/>
  <c r="C19" i="104"/>
  <c r="E18" i="104"/>
  <c r="C18" i="104"/>
  <c r="E17" i="104"/>
  <c r="C17" i="104"/>
  <c r="E16" i="104"/>
  <c r="C16" i="104"/>
  <c r="E15" i="104"/>
  <c r="C15" i="104"/>
  <c r="E14" i="104"/>
  <c r="C14" i="104"/>
  <c r="E13" i="104"/>
  <c r="C13" i="104"/>
  <c r="E12" i="104"/>
  <c r="C12" i="104"/>
  <c r="E11" i="104"/>
  <c r="C11" i="104"/>
  <c r="E10" i="104"/>
  <c r="C10" i="104"/>
  <c r="E9" i="104"/>
  <c r="C9" i="104"/>
  <c r="E8" i="104"/>
  <c r="C8" i="104"/>
  <c r="E7" i="104"/>
  <c r="C7" i="104"/>
  <c r="E6" i="104"/>
  <c r="C6" i="104"/>
  <c r="E5" i="104"/>
  <c r="C5" i="104"/>
  <c r="E4" i="104"/>
  <c r="C4" i="104"/>
  <c r="E3" i="104"/>
  <c r="C3" i="104"/>
  <c r="E2" i="104"/>
  <c r="E3" i="103"/>
  <c r="E4" i="103"/>
  <c r="E5" i="103"/>
  <c r="E6" i="103"/>
  <c r="E7" i="103"/>
  <c r="E8" i="103"/>
  <c r="E9" i="103"/>
  <c r="E10" i="103"/>
  <c r="E11" i="103"/>
  <c r="E12" i="103"/>
  <c r="E13" i="103"/>
  <c r="E14" i="103"/>
  <c r="E15" i="103"/>
  <c r="E16" i="103"/>
  <c r="E17" i="103"/>
  <c r="E18" i="103"/>
  <c r="E19" i="103"/>
  <c r="E20" i="103"/>
  <c r="E21" i="103"/>
  <c r="E22" i="103"/>
  <c r="E23" i="103"/>
  <c r="E24" i="103"/>
  <c r="E25" i="103"/>
  <c r="E26" i="103"/>
  <c r="E27" i="103"/>
  <c r="E28" i="103"/>
  <c r="E29" i="103"/>
  <c r="E30" i="103"/>
  <c r="E31" i="103"/>
  <c r="E32" i="103"/>
  <c r="E33" i="103"/>
  <c r="E34" i="103"/>
  <c r="E35" i="103"/>
  <c r="E36" i="103"/>
  <c r="E37" i="103"/>
  <c r="E38" i="103"/>
  <c r="E39" i="103"/>
  <c r="E2" i="103"/>
  <c r="E4" i="102"/>
  <c r="E5" i="102"/>
  <c r="E6" i="102"/>
  <c r="E7" i="102"/>
  <c r="E8" i="102"/>
  <c r="E9" i="102"/>
  <c r="E10" i="102"/>
  <c r="E11" i="102"/>
  <c r="E12" i="102"/>
  <c r="E13" i="102"/>
  <c r="E14" i="102"/>
  <c r="E15" i="102"/>
  <c r="E16" i="102"/>
  <c r="E17" i="102"/>
  <c r="E18" i="102"/>
  <c r="E19" i="102"/>
  <c r="E20" i="102"/>
  <c r="E21" i="102"/>
  <c r="E22" i="102"/>
  <c r="E23" i="102"/>
  <c r="E24" i="102"/>
  <c r="E25" i="102"/>
  <c r="E26" i="102"/>
  <c r="E27" i="102"/>
  <c r="E28" i="102"/>
  <c r="E29" i="102"/>
  <c r="E30" i="102"/>
  <c r="E31" i="102"/>
  <c r="E32" i="102"/>
  <c r="E33" i="102"/>
  <c r="E34" i="102"/>
  <c r="E35" i="102"/>
  <c r="E36" i="102"/>
  <c r="E37" i="102"/>
  <c r="E38" i="102"/>
  <c r="E39" i="102"/>
  <c r="E3" i="101"/>
  <c r="E4" i="101"/>
  <c r="E5" i="101"/>
  <c r="E6" i="101"/>
  <c r="E7" i="101"/>
  <c r="E8" i="101"/>
  <c r="E9" i="101"/>
  <c r="E10" i="101"/>
  <c r="E11" i="101"/>
  <c r="E12" i="101"/>
  <c r="E13" i="101"/>
  <c r="E14" i="101"/>
  <c r="E15" i="101"/>
  <c r="E16" i="101"/>
  <c r="E17" i="101"/>
  <c r="E18" i="101"/>
  <c r="E19" i="101"/>
  <c r="E20" i="101"/>
  <c r="E21" i="101"/>
  <c r="E22" i="101"/>
  <c r="E23" i="101"/>
  <c r="E24" i="101"/>
  <c r="E25" i="101"/>
  <c r="E26" i="101"/>
  <c r="E27" i="101"/>
  <c r="E28" i="101"/>
  <c r="E29" i="101"/>
  <c r="E30" i="101"/>
  <c r="E31" i="101"/>
  <c r="E32" i="101"/>
  <c r="E33" i="101"/>
  <c r="E34" i="101"/>
  <c r="E35" i="101"/>
  <c r="E36" i="101"/>
  <c r="E37" i="101"/>
  <c r="E38" i="101"/>
  <c r="E39" i="101"/>
  <c r="E40" i="101"/>
  <c r="C37" i="103"/>
  <c r="C38" i="103"/>
  <c r="C39" i="103"/>
  <c r="C36" i="103"/>
  <c r="C35" i="103"/>
  <c r="C34" i="103"/>
  <c r="C33" i="103"/>
  <c r="C32" i="103"/>
  <c r="C31" i="103"/>
  <c r="C30" i="103"/>
  <c r="C29" i="103"/>
  <c r="C28" i="103"/>
  <c r="C27" i="103"/>
  <c r="C26" i="103"/>
  <c r="C25" i="103"/>
  <c r="C24" i="103"/>
  <c r="C23" i="103"/>
  <c r="C22" i="103"/>
  <c r="C21" i="103"/>
  <c r="C20" i="103"/>
  <c r="C19" i="103"/>
  <c r="C18" i="103"/>
  <c r="C17" i="103"/>
  <c r="C16" i="103"/>
  <c r="C15" i="103"/>
  <c r="C14" i="103"/>
  <c r="C13" i="103"/>
  <c r="C12" i="103"/>
  <c r="C11" i="103"/>
  <c r="C10" i="103"/>
  <c r="C9" i="103"/>
  <c r="C8" i="103"/>
  <c r="C7" i="103"/>
  <c r="C6" i="103"/>
  <c r="C5" i="103"/>
  <c r="C4" i="103"/>
  <c r="C3" i="103"/>
  <c r="C2" i="103"/>
  <c r="C37" i="102"/>
  <c r="C38" i="102"/>
  <c r="C39" i="102"/>
  <c r="C36" i="102"/>
  <c r="C35" i="102"/>
  <c r="C34" i="102"/>
  <c r="C33" i="102"/>
  <c r="C32" i="102"/>
  <c r="C31" i="102"/>
  <c r="C30" i="102"/>
  <c r="C29" i="102"/>
  <c r="C28" i="102"/>
  <c r="C27" i="102"/>
  <c r="C26" i="102"/>
  <c r="C25" i="102"/>
  <c r="C24" i="102"/>
  <c r="C23" i="102"/>
  <c r="C22" i="102"/>
  <c r="C21" i="102"/>
  <c r="C20" i="102"/>
  <c r="C19" i="102"/>
  <c r="C18" i="102"/>
  <c r="C17" i="102"/>
  <c r="C16" i="102"/>
  <c r="C15" i="102"/>
  <c r="C14" i="102"/>
  <c r="C13" i="102"/>
  <c r="C12" i="102"/>
  <c r="C11" i="102"/>
  <c r="C10" i="102"/>
  <c r="C9" i="102"/>
  <c r="C8" i="102"/>
  <c r="C7" i="102"/>
  <c r="C6" i="102"/>
  <c r="C5" i="102"/>
  <c r="C4" i="102"/>
  <c r="E3" i="102"/>
  <c r="C3" i="102"/>
  <c r="E2" i="102"/>
  <c r="C2" i="102"/>
  <c r="E2" i="101"/>
  <c r="C7" i="101"/>
  <c r="C8" i="101"/>
  <c r="C9" i="101"/>
  <c r="C10" i="101"/>
  <c r="C11" i="101"/>
  <c r="C12" i="101"/>
  <c r="C13" i="101"/>
  <c r="C14" i="101"/>
  <c r="C15" i="101"/>
  <c r="C16" i="101"/>
  <c r="C17" i="101"/>
  <c r="C18" i="101"/>
  <c r="C19" i="101"/>
  <c r="C20" i="101"/>
  <c r="C21" i="101"/>
  <c r="C22" i="101"/>
  <c r="C23" i="101"/>
  <c r="C24" i="101"/>
  <c r="C25" i="101"/>
  <c r="C26" i="101"/>
  <c r="C27" i="101"/>
  <c r="C28" i="101"/>
  <c r="C29" i="101"/>
  <c r="C30" i="101"/>
  <c r="C31" i="101"/>
  <c r="C32" i="101"/>
  <c r="C33" i="101"/>
  <c r="C34" i="101"/>
  <c r="C35" i="101"/>
  <c r="C36" i="101"/>
  <c r="C37" i="101"/>
  <c r="C38" i="101"/>
  <c r="C39" i="101"/>
  <c r="C40" i="101"/>
  <c r="C6" i="101"/>
  <c r="C5" i="101"/>
  <c r="C4" i="101"/>
  <c r="C3" i="101"/>
  <c r="C2" i="101"/>
  <c r="E37" i="100"/>
  <c r="E38" i="100"/>
  <c r="E40" i="100"/>
  <c r="E41" i="100"/>
  <c r="E42" i="100"/>
  <c r="C3" i="100"/>
  <c r="C4" i="100"/>
  <c r="C5" i="100"/>
  <c r="C6" i="100"/>
  <c r="C7" i="100"/>
  <c r="C8" i="100"/>
  <c r="C9" i="100"/>
  <c r="C10" i="100"/>
  <c r="C11" i="100"/>
  <c r="C12" i="100"/>
  <c r="C13" i="100"/>
  <c r="C14" i="100"/>
  <c r="C15" i="100"/>
  <c r="C16" i="100"/>
  <c r="C17" i="100"/>
  <c r="C18" i="100"/>
  <c r="C19" i="100"/>
  <c r="C20" i="100"/>
  <c r="C21" i="100"/>
  <c r="C22" i="100"/>
  <c r="C23" i="100"/>
  <c r="C24" i="100"/>
  <c r="C25" i="100"/>
  <c r="C26" i="100"/>
  <c r="C27" i="100"/>
  <c r="C28" i="100"/>
  <c r="C29" i="100"/>
  <c r="C30" i="100"/>
  <c r="C31" i="100"/>
  <c r="C32" i="100"/>
  <c r="C33" i="100"/>
  <c r="C34" i="100"/>
  <c r="C35" i="100"/>
  <c r="C36" i="100"/>
  <c r="C37" i="100"/>
  <c r="C38" i="100"/>
  <c r="C40" i="100"/>
  <c r="C41" i="100"/>
  <c r="C42" i="100"/>
  <c r="C2" i="100"/>
  <c r="E36" i="100"/>
  <c r="E35" i="100"/>
  <c r="E34" i="100"/>
  <c r="E33" i="100"/>
  <c r="E32" i="100"/>
  <c r="E31" i="100"/>
  <c r="E30" i="100"/>
  <c r="E29" i="100"/>
  <c r="E28" i="100"/>
  <c r="E27" i="100"/>
  <c r="E26" i="100"/>
  <c r="E25" i="100"/>
  <c r="E24" i="100"/>
  <c r="E23" i="100"/>
  <c r="E22" i="100"/>
  <c r="E21" i="100"/>
  <c r="E20" i="100"/>
  <c r="E19" i="100"/>
  <c r="E18" i="100"/>
  <c r="E17" i="100"/>
  <c r="E16" i="100"/>
  <c r="E15" i="100"/>
  <c r="E14" i="100"/>
  <c r="E13" i="100"/>
  <c r="E12" i="100"/>
  <c r="E11" i="100"/>
  <c r="E10" i="100"/>
  <c r="E9" i="100"/>
  <c r="E8" i="100"/>
  <c r="E7" i="100"/>
  <c r="E6" i="100"/>
  <c r="E5" i="100"/>
  <c r="E4" i="100"/>
  <c r="E3" i="100"/>
  <c r="E2" i="100"/>
  <c r="E3" i="99"/>
  <c r="E4" i="99"/>
  <c r="E5" i="99"/>
  <c r="E6" i="99"/>
  <c r="E7" i="99"/>
  <c r="E8" i="99"/>
  <c r="E9" i="99"/>
  <c r="E10" i="99"/>
  <c r="E11" i="99"/>
  <c r="E12" i="99"/>
  <c r="E13" i="99"/>
  <c r="E14" i="99"/>
  <c r="E18" i="99"/>
  <c r="E19" i="99"/>
  <c r="E20" i="99"/>
  <c r="E21" i="99"/>
  <c r="E22" i="99"/>
  <c r="E23" i="99"/>
  <c r="E24" i="99"/>
  <c r="E25" i="99"/>
  <c r="E26" i="99"/>
  <c r="E27" i="99"/>
  <c r="E28" i="99"/>
  <c r="E29" i="99"/>
  <c r="E30" i="99"/>
  <c r="E31" i="99"/>
  <c r="E35" i="99"/>
  <c r="E33" i="99"/>
  <c r="E34" i="99"/>
  <c r="E32" i="99"/>
  <c r="E37" i="99"/>
  <c r="E38" i="99"/>
  <c r="E39" i="99"/>
  <c r="E40" i="99"/>
  <c r="E41" i="99"/>
  <c r="E2" i="99"/>
  <c r="E2" i="87"/>
  <c r="C3" i="99"/>
  <c r="C4" i="99"/>
  <c r="C5" i="99"/>
  <c r="C6" i="99"/>
  <c r="C7" i="99"/>
  <c r="C8" i="99"/>
  <c r="C9" i="99"/>
  <c r="C10" i="99"/>
  <c r="C11" i="99"/>
  <c r="C12" i="99"/>
  <c r="C13" i="99"/>
  <c r="C14" i="99"/>
  <c r="C18" i="99"/>
  <c r="C19" i="99"/>
  <c r="C20" i="99"/>
  <c r="C21" i="99"/>
  <c r="C22" i="99"/>
  <c r="C23" i="99"/>
  <c r="C24" i="99"/>
  <c r="C25" i="99"/>
  <c r="C26" i="99"/>
  <c r="C27" i="99"/>
  <c r="C28" i="99"/>
  <c r="C29" i="99"/>
  <c r="C30" i="99"/>
  <c r="C31" i="99"/>
  <c r="C35" i="99"/>
  <c r="C33" i="99"/>
  <c r="C34" i="99"/>
  <c r="C32" i="99"/>
  <c r="C37" i="99"/>
  <c r="C38" i="99"/>
  <c r="C39" i="99"/>
  <c r="C40" i="99"/>
  <c r="C41" i="99"/>
  <c r="C2" i="99"/>
  <c r="C2" i="87"/>
  <c r="E2" i="97"/>
  <c r="E3" i="97"/>
  <c r="E4" i="97"/>
  <c r="E5" i="97"/>
  <c r="E6" i="97"/>
  <c r="E7" i="97"/>
  <c r="E8" i="97"/>
  <c r="E9" i="97"/>
  <c r="E10" i="97"/>
  <c r="E11" i="97"/>
  <c r="E12" i="97"/>
  <c r="E13" i="97"/>
  <c r="E14" i="97"/>
  <c r="E15" i="97"/>
  <c r="E16" i="97"/>
  <c r="E17" i="97"/>
  <c r="E18" i="97"/>
  <c r="E19" i="97"/>
  <c r="E20" i="97"/>
  <c r="E21" i="97"/>
  <c r="C2" i="97"/>
  <c r="C3" i="97"/>
  <c r="C4" i="97"/>
  <c r="C5" i="97"/>
  <c r="C6" i="97"/>
  <c r="C7" i="97"/>
  <c r="C8" i="97"/>
  <c r="C9" i="97"/>
  <c r="C10" i="97"/>
  <c r="C11" i="97"/>
  <c r="C12" i="97"/>
  <c r="C13" i="97"/>
  <c r="C14" i="97"/>
  <c r="C15" i="97"/>
  <c r="C16" i="97"/>
  <c r="C17" i="97"/>
  <c r="C18" i="97"/>
  <c r="C19" i="97"/>
  <c r="C20" i="97"/>
  <c r="C21" i="97"/>
  <c r="C2" i="15"/>
  <c r="E2" i="94"/>
  <c r="E3" i="94"/>
  <c r="E4" i="94"/>
  <c r="E5" i="94"/>
  <c r="E6" i="94"/>
  <c r="E7" i="94"/>
  <c r="E8" i="94"/>
  <c r="C3" i="94"/>
  <c r="C4" i="94"/>
  <c r="C5" i="94"/>
  <c r="C6" i="94"/>
  <c r="C7" i="94"/>
  <c r="C8" i="94"/>
  <c r="C2" i="94"/>
  <c r="E3" i="93"/>
  <c r="C3" i="93"/>
  <c r="E2" i="93"/>
  <c r="C2" i="93"/>
  <c r="C2" i="86"/>
  <c r="N5" i="87"/>
  <c r="E5" i="87"/>
  <c r="C5" i="87"/>
  <c r="E22" i="92"/>
  <c r="C22" i="92"/>
  <c r="C11" i="92"/>
  <c r="C12" i="92"/>
  <c r="C13" i="92"/>
  <c r="C14" i="92"/>
  <c r="C15" i="92"/>
  <c r="C16" i="92"/>
  <c r="C17" i="92"/>
  <c r="C18" i="92"/>
  <c r="C19" i="92"/>
  <c r="C21" i="92"/>
  <c r="E11" i="92"/>
  <c r="E12" i="92"/>
  <c r="E13" i="92"/>
  <c r="E14" i="92"/>
  <c r="E15" i="92"/>
  <c r="E16" i="92"/>
  <c r="E17" i="92"/>
  <c r="E18" i="92"/>
  <c r="E19" i="92"/>
  <c r="E21" i="92"/>
  <c r="E10" i="92"/>
  <c r="C10" i="92"/>
  <c r="E9" i="92"/>
  <c r="C9" i="92"/>
  <c r="E8" i="92"/>
  <c r="C8" i="92"/>
  <c r="E7" i="92"/>
  <c r="C7" i="92"/>
  <c r="E6" i="92"/>
  <c r="C6" i="92"/>
  <c r="E5" i="92"/>
  <c r="C5" i="92"/>
  <c r="E4" i="92"/>
  <c r="C4" i="92"/>
  <c r="E3" i="92"/>
  <c r="C3" i="92"/>
  <c r="E2" i="92"/>
  <c r="C2" i="92"/>
  <c r="C2" i="88"/>
  <c r="C3" i="88"/>
  <c r="C4" i="88"/>
  <c r="C5" i="88"/>
  <c r="C6" i="88"/>
  <c r="C7" i="88"/>
  <c r="C8" i="88"/>
  <c r="C9" i="88"/>
  <c r="C10" i="88"/>
  <c r="C11" i="88"/>
  <c r="C12" i="88"/>
  <c r="C13" i="88"/>
  <c r="C14" i="88"/>
  <c r="C15" i="88"/>
  <c r="C16" i="88"/>
  <c r="C17" i="88"/>
  <c r="C18" i="88"/>
  <c r="C21" i="88"/>
  <c r="C22" i="88"/>
  <c r="C24" i="88"/>
  <c r="C19" i="88"/>
  <c r="C25" i="88"/>
  <c r="C26" i="88"/>
  <c r="C27" i="88"/>
  <c r="E2" i="88"/>
  <c r="E3" i="88"/>
  <c r="E4" i="88"/>
  <c r="E5" i="88"/>
  <c r="E6" i="88"/>
  <c r="E7" i="88"/>
  <c r="E8" i="88"/>
  <c r="E9" i="88"/>
  <c r="E10" i="88"/>
  <c r="E11" i="88"/>
  <c r="E12" i="88"/>
  <c r="E13" i="88"/>
  <c r="E14" i="88"/>
  <c r="E15" i="88"/>
  <c r="E16" i="88"/>
  <c r="E17" i="88"/>
  <c r="E18" i="88"/>
  <c r="E21" i="88"/>
  <c r="E22" i="88"/>
  <c r="E24" i="88"/>
  <c r="E19" i="88"/>
  <c r="E25" i="88"/>
  <c r="E26" i="88"/>
  <c r="E27" i="88"/>
  <c r="C3" i="87"/>
  <c r="C4" i="87"/>
  <c r="C6" i="87"/>
  <c r="C7" i="87"/>
  <c r="C8" i="87"/>
  <c r="C9" i="87"/>
  <c r="C10" i="87"/>
  <c r="C11" i="87"/>
  <c r="C12" i="87"/>
  <c r="C13" i="87"/>
  <c r="C14" i="87"/>
  <c r="C15" i="87"/>
  <c r="C16" i="87"/>
  <c r="C17" i="87"/>
  <c r="C18" i="87"/>
  <c r="C19" i="87"/>
  <c r="C20" i="87"/>
  <c r="C21" i="87"/>
  <c r="C22" i="87"/>
  <c r="C23" i="87"/>
  <c r="C24" i="87"/>
  <c r="C25" i="87"/>
  <c r="C26" i="87"/>
  <c r="C27" i="87"/>
  <c r="C28" i="87"/>
  <c r="C29" i="87"/>
  <c r="C30" i="87"/>
  <c r="C31" i="87"/>
  <c r="C32" i="87"/>
  <c r="C36" i="87"/>
  <c r="C37" i="87"/>
  <c r="C38" i="87"/>
  <c r="C39" i="87"/>
  <c r="C40" i="87"/>
  <c r="C41" i="87"/>
  <c r="C42" i="87"/>
  <c r="C43" i="87"/>
  <c r="E3" i="87"/>
  <c r="E4" i="87"/>
  <c r="E6" i="87"/>
  <c r="E7" i="87"/>
  <c r="E8" i="87"/>
  <c r="E9" i="87"/>
  <c r="E10" i="87"/>
  <c r="E11" i="87"/>
  <c r="E12" i="87"/>
  <c r="E13" i="87"/>
  <c r="E14" i="87"/>
  <c r="E15" i="87"/>
  <c r="E16" i="87"/>
  <c r="E17" i="87"/>
  <c r="E18" i="87"/>
  <c r="E19" i="87"/>
  <c r="E20" i="87"/>
  <c r="E21" i="87"/>
  <c r="E22" i="87"/>
  <c r="E23" i="87"/>
  <c r="E24" i="87"/>
  <c r="E25" i="87"/>
  <c r="E26" i="87"/>
  <c r="E27" i="87"/>
  <c r="E28" i="87"/>
  <c r="E29" i="87"/>
  <c r="E30" i="87"/>
  <c r="E31" i="87"/>
  <c r="E32" i="87"/>
  <c r="E36" i="87"/>
  <c r="E37" i="87"/>
  <c r="E38" i="87"/>
  <c r="E39" i="87"/>
  <c r="E40" i="87"/>
  <c r="E41" i="87"/>
  <c r="E42" i="87"/>
  <c r="E43" i="87"/>
  <c r="N2" i="87"/>
  <c r="N3" i="87"/>
  <c r="N4" i="87"/>
  <c r="N6" i="87"/>
  <c r="N7" i="87"/>
  <c r="N8" i="87"/>
  <c r="N9" i="87"/>
  <c r="N10" i="87"/>
  <c r="N11" i="87"/>
  <c r="N12" i="87"/>
  <c r="N13" i="87"/>
  <c r="N14" i="87"/>
  <c r="N15" i="87"/>
  <c r="N16" i="87"/>
  <c r="N17" i="87"/>
  <c r="N18" i="87"/>
  <c r="N19" i="87"/>
  <c r="N20" i="87"/>
  <c r="N21" i="87"/>
  <c r="N22" i="87"/>
  <c r="N23" i="87"/>
  <c r="N24" i="87"/>
  <c r="N25" i="87"/>
  <c r="N26" i="87"/>
  <c r="N27" i="87"/>
  <c r="N28" i="87"/>
  <c r="N29" i="87"/>
  <c r="N30" i="87"/>
  <c r="N31" i="87"/>
  <c r="N32" i="87"/>
  <c r="N36" i="87"/>
  <c r="N37" i="87"/>
  <c r="N38" i="87"/>
  <c r="N39" i="87"/>
  <c r="N40" i="87"/>
  <c r="N41" i="87"/>
  <c r="N42" i="87"/>
  <c r="N43" i="87"/>
  <c r="C3" i="86"/>
  <c r="C4" i="86"/>
  <c r="C5" i="86"/>
  <c r="C6" i="86"/>
  <c r="C7" i="86"/>
  <c r="C8" i="86"/>
  <c r="C9" i="86"/>
  <c r="C10" i="86"/>
  <c r="C11" i="86"/>
  <c r="C12" i="86"/>
  <c r="C13" i="86"/>
  <c r="C14" i="86"/>
  <c r="C15" i="86"/>
  <c r="C16" i="86"/>
  <c r="C17" i="86"/>
  <c r="C18" i="86"/>
  <c r="C19" i="86"/>
  <c r="C20" i="86"/>
  <c r="C21" i="86"/>
  <c r="C22" i="86"/>
  <c r="C23" i="86"/>
  <c r="C24" i="86"/>
  <c r="C25" i="86"/>
  <c r="C26" i="86"/>
  <c r="C27" i="86"/>
  <c r="C28" i="86"/>
  <c r="C29" i="86"/>
  <c r="C30" i="86"/>
  <c r="C31" i="86"/>
  <c r="C35" i="86"/>
  <c r="C36" i="86"/>
  <c r="C37" i="86"/>
  <c r="C38" i="86"/>
  <c r="C39" i="86"/>
  <c r="C40" i="86"/>
  <c r="C41" i="86"/>
  <c r="C42" i="86"/>
  <c r="E2" i="86"/>
  <c r="E3" i="86"/>
  <c r="E4" i="86"/>
  <c r="E5" i="86"/>
  <c r="E6" i="86"/>
  <c r="E7" i="86"/>
  <c r="E8" i="86"/>
  <c r="E9" i="86"/>
  <c r="E10" i="86"/>
  <c r="E11" i="86"/>
  <c r="E12" i="86"/>
  <c r="E13" i="86"/>
  <c r="E14" i="86"/>
  <c r="E15" i="86"/>
  <c r="E16" i="86"/>
  <c r="E17" i="86"/>
  <c r="E18" i="86"/>
  <c r="E19" i="86"/>
  <c r="E20" i="86"/>
  <c r="E21" i="86"/>
  <c r="E22" i="86"/>
  <c r="E23" i="86"/>
  <c r="E24" i="86"/>
  <c r="E25" i="86"/>
  <c r="E26" i="86"/>
  <c r="E27" i="86"/>
  <c r="E28" i="86"/>
  <c r="E29" i="86"/>
  <c r="E30" i="86"/>
  <c r="E31" i="86"/>
  <c r="E35" i="86"/>
  <c r="E36" i="86"/>
  <c r="E37" i="86"/>
  <c r="E38" i="86"/>
  <c r="E39" i="86"/>
  <c r="E40" i="86"/>
  <c r="E41" i="86"/>
  <c r="E42" i="86"/>
  <c r="N2" i="86"/>
  <c r="N3" i="86"/>
  <c r="N4" i="86"/>
  <c r="N5" i="86"/>
  <c r="N6" i="86"/>
  <c r="N7" i="86"/>
  <c r="N8" i="86"/>
  <c r="N9" i="86"/>
  <c r="N10" i="86"/>
  <c r="N11" i="86"/>
  <c r="N12" i="86"/>
  <c r="N13" i="86"/>
  <c r="N14" i="86"/>
  <c r="N15" i="86"/>
  <c r="N16" i="86"/>
  <c r="N17" i="86"/>
  <c r="N18" i="86"/>
  <c r="N19" i="86"/>
  <c r="N20" i="86"/>
  <c r="N21" i="86"/>
  <c r="N22" i="86"/>
  <c r="N23" i="86"/>
  <c r="N24" i="86"/>
  <c r="N25" i="86"/>
  <c r="N26" i="86"/>
  <c r="N27" i="86"/>
  <c r="N28" i="86"/>
  <c r="N29" i="86"/>
  <c r="N30" i="86"/>
  <c r="N31" i="86"/>
  <c r="N35" i="86"/>
  <c r="N36" i="86"/>
  <c r="N37" i="86"/>
  <c r="N38" i="86"/>
  <c r="N39" i="86"/>
  <c r="N40" i="86"/>
  <c r="N41" i="86"/>
  <c r="N42" i="86"/>
  <c r="E2" i="15"/>
  <c r="C61" i="15"/>
  <c r="C62" i="15"/>
  <c r="C63" i="15"/>
  <c r="E61" i="15"/>
  <c r="E62" i="15"/>
  <c r="E63" i="15"/>
  <c r="G61" i="15"/>
  <c r="G62" i="15"/>
  <c r="G63" i="15"/>
  <c r="C59" i="15"/>
  <c r="C60" i="15"/>
  <c r="E59" i="15"/>
  <c r="E60" i="15"/>
  <c r="G59" i="15"/>
  <c r="G60" i="15"/>
  <c r="C53" i="15"/>
  <c r="C54" i="15"/>
  <c r="C55" i="15"/>
  <c r="C56" i="15"/>
  <c r="C57" i="15"/>
  <c r="C58" i="15"/>
  <c r="E53" i="15"/>
  <c r="E54" i="15"/>
  <c r="E55" i="15"/>
  <c r="E56" i="15"/>
  <c r="E57" i="15"/>
  <c r="E58" i="15"/>
  <c r="G53" i="15"/>
  <c r="G54" i="15"/>
  <c r="G55" i="15"/>
  <c r="G56" i="15"/>
  <c r="G57" i="15"/>
  <c r="G58" i="15"/>
  <c r="G52" i="15"/>
  <c r="E52" i="15"/>
  <c r="C52" i="15"/>
  <c r="G51" i="15"/>
  <c r="E51" i="15"/>
  <c r="C51" i="15"/>
  <c r="G50" i="15"/>
  <c r="E50" i="15"/>
  <c r="C50" i="15"/>
  <c r="C43" i="15"/>
  <c r="C44" i="15"/>
  <c r="C45" i="15"/>
  <c r="C46" i="15"/>
  <c r="C47" i="15"/>
  <c r="C48" i="15"/>
  <c r="C49" i="15"/>
  <c r="E43" i="15"/>
  <c r="E44" i="15"/>
  <c r="E45" i="15"/>
  <c r="E46" i="15"/>
  <c r="E47" i="15"/>
  <c r="E48" i="15"/>
  <c r="E49" i="15"/>
  <c r="G43" i="15"/>
  <c r="G44" i="15"/>
  <c r="G45" i="15"/>
  <c r="G46" i="15"/>
  <c r="G47" i="15"/>
  <c r="G48" i="15"/>
  <c r="G49" i="15"/>
  <c r="G42" i="15"/>
  <c r="E42" i="15"/>
  <c r="C42" i="15"/>
  <c r="C40" i="15"/>
  <c r="C41" i="15"/>
  <c r="E40" i="15"/>
  <c r="E41" i="15"/>
  <c r="G40" i="15"/>
  <c r="G41" i="15"/>
  <c r="C36" i="15"/>
  <c r="C37" i="15"/>
  <c r="C38" i="15"/>
  <c r="C39" i="15"/>
  <c r="E36" i="15"/>
  <c r="E37" i="15"/>
  <c r="E38" i="15"/>
  <c r="E39" i="15"/>
  <c r="G36" i="15"/>
  <c r="G37" i="15"/>
  <c r="G38" i="15"/>
  <c r="G39" i="15"/>
  <c r="E35" i="15"/>
  <c r="C35" i="15"/>
  <c r="E34" i="15"/>
  <c r="C34" i="15"/>
  <c r="E33" i="15"/>
  <c r="C33" i="15"/>
  <c r="E32" i="15"/>
  <c r="C32" i="15"/>
  <c r="C24" i="15"/>
  <c r="E24" i="15"/>
  <c r="C25" i="15"/>
  <c r="E25" i="15"/>
  <c r="E3" i="15"/>
  <c r="E4" i="15"/>
  <c r="E5" i="15"/>
  <c r="E6" i="15"/>
  <c r="E7" i="15"/>
  <c r="E8" i="15"/>
  <c r="E9" i="15"/>
  <c r="E10" i="15"/>
  <c r="E11" i="15"/>
  <c r="E12" i="15"/>
  <c r="E13" i="15"/>
  <c r="E14" i="15"/>
  <c r="E15" i="15"/>
  <c r="E16" i="15"/>
  <c r="E17" i="15"/>
  <c r="E18" i="15"/>
  <c r="E19" i="15"/>
  <c r="E20" i="15"/>
  <c r="E21" i="15"/>
  <c r="E22" i="15"/>
  <c r="E23" i="15"/>
  <c r="E26" i="15"/>
  <c r="E27" i="15"/>
  <c r="E28" i="15"/>
  <c r="E29" i="15"/>
  <c r="E30" i="15"/>
  <c r="E31" i="15"/>
  <c r="C3" i="15"/>
  <c r="C4" i="15"/>
  <c r="C5" i="15"/>
  <c r="C6" i="15"/>
  <c r="C7" i="15"/>
  <c r="C8" i="15"/>
  <c r="C9" i="15"/>
  <c r="C10" i="15"/>
  <c r="C11" i="15"/>
  <c r="C12" i="15"/>
  <c r="C13" i="15"/>
  <c r="C14" i="15"/>
  <c r="C15" i="15"/>
  <c r="C16" i="15"/>
  <c r="C17" i="15"/>
  <c r="C18" i="15"/>
  <c r="C19" i="15"/>
  <c r="C20" i="15"/>
  <c r="C21" i="15"/>
  <c r="C22" i="15"/>
  <c r="C23" i="15"/>
  <c r="C26" i="15"/>
  <c r="C27" i="15"/>
  <c r="C28" i="15"/>
  <c r="C29" i="15"/>
  <c r="C30" i="15"/>
  <c r="C31" i="15"/>
</calcChain>
</file>

<file path=xl/sharedStrings.xml><?xml version="1.0" encoding="utf-8"?>
<sst xmlns="http://schemas.openxmlformats.org/spreadsheetml/2006/main" count="27967" uniqueCount="1297">
  <si>
    <t>Month</t>
  </si>
  <si>
    <t>Client</t>
  </si>
  <si>
    <t>Program Name</t>
  </si>
  <si>
    <t>Batch</t>
  </si>
  <si>
    <t>Mentor</t>
  </si>
  <si>
    <t>Total Hours</t>
  </si>
  <si>
    <t>Total Sessions</t>
  </si>
  <si>
    <t>Session Dates</t>
  </si>
  <si>
    <t>Expleo</t>
  </si>
  <si>
    <t>Level 2 – Delivery Excellence</t>
  </si>
  <si>
    <t>Batch 2</t>
  </si>
  <si>
    <t>Dr.Priya</t>
  </si>
  <si>
    <t>Sailesh</t>
  </si>
  <si>
    <t>Apr 2, Apr 3, Apr 23</t>
  </si>
  <si>
    <t>Swami</t>
  </si>
  <si>
    <t>Apr 9, Apr 10, Apr 16, Apr 17</t>
  </si>
  <si>
    <t>Wipro</t>
  </si>
  <si>
    <t>Program management</t>
  </si>
  <si>
    <t>Batch 13</t>
  </si>
  <si>
    <t>Rathina</t>
  </si>
  <si>
    <t>Apr 28, Apr 29</t>
  </si>
  <si>
    <t>Projet management</t>
  </si>
  <si>
    <t>Swaminathan</t>
  </si>
  <si>
    <t>Ashutosh</t>
  </si>
  <si>
    <t>May 7, May 11, May 14, May 15</t>
  </si>
  <si>
    <t>May 21, May 28</t>
  </si>
  <si>
    <t>May 8, May 10, May 22, May 29</t>
  </si>
  <si>
    <t>Batch 12</t>
  </si>
  <si>
    <t>May 19, May 20</t>
  </si>
  <si>
    <t>Sathish Rajamani</t>
  </si>
  <si>
    <t>Batch 14</t>
  </si>
  <si>
    <t>Batch 15</t>
  </si>
  <si>
    <t>Batch 16</t>
  </si>
  <si>
    <t>Jun 20, Jun 23</t>
  </si>
  <si>
    <t>Batch 17</t>
  </si>
  <si>
    <t>Batch 18</t>
  </si>
  <si>
    <t>Jul 22, Jul 23</t>
  </si>
  <si>
    <t>Batch 19</t>
  </si>
  <si>
    <t>Batch 20</t>
  </si>
  <si>
    <t>Batch 21</t>
  </si>
  <si>
    <t>Aug 25, Aug 26</t>
  </si>
  <si>
    <t>Aug 7, Aug 25, Aug 26</t>
  </si>
  <si>
    <t>Sep 3, Sep 4</t>
  </si>
  <si>
    <t>Batch 22</t>
  </si>
  <si>
    <t>Sep 9, Sep 10, Sep 11</t>
  </si>
  <si>
    <t>Batch 23</t>
  </si>
  <si>
    <t>Sep 22, Sep 24</t>
  </si>
  <si>
    <t>Sep 25, Sep 26</t>
  </si>
  <si>
    <t>Batch 24</t>
  </si>
  <si>
    <t>Oct 13, Oct 14, Oct 23, Oct 24</t>
  </si>
  <si>
    <t>Batch 25</t>
  </si>
  <si>
    <t>Oct 27, Oct 28, Oct 29, Oct 30</t>
  </si>
  <si>
    <t>Nov 24, Nov 28</t>
  </si>
  <si>
    <t>Batch 26</t>
  </si>
  <si>
    <t>Dec 9, Dec 10, Dec 11, Dec 12</t>
  </si>
  <si>
    <t>Batch 27</t>
  </si>
  <si>
    <t>Dec 15, Dec 16, Dec 17, Dec 18</t>
  </si>
  <si>
    <t>CTS</t>
  </si>
  <si>
    <t>Salesforce</t>
  </si>
  <si>
    <t>N/A</t>
  </si>
  <si>
    <t>RNP</t>
  </si>
  <si>
    <t>Persistent</t>
  </si>
  <si>
    <t>ACDP</t>
  </si>
  <si>
    <t>Prashant Baj</t>
  </si>
  <si>
    <t>Jan 28, Jan 29</t>
  </si>
  <si>
    <t>SR Team + Persistent</t>
  </si>
  <si>
    <t>Harish Challa</t>
  </si>
  <si>
    <t>Jan 19, Jan 22, Jan 23</t>
  </si>
  <si>
    <t>Ayusha</t>
  </si>
  <si>
    <t>Feb 20, Feb 25</t>
  </si>
  <si>
    <t>Nivarti</t>
  </si>
  <si>
    <t>Feb 3, Feb 13, Feb 18</t>
  </si>
  <si>
    <t>Raghavendra</t>
  </si>
  <si>
    <t>Feb 6, Feb 10</t>
  </si>
  <si>
    <t>Upgrade2Architect</t>
  </si>
  <si>
    <t>Feb 13, Feb 16, Feb 18, Feb 20, Feb 23, Feb 25, Feb 27</t>
  </si>
  <si>
    <t>Eaton</t>
  </si>
  <si>
    <t>AI Value Discovery Workshop</t>
  </si>
  <si>
    <t>Ravi</t>
  </si>
  <si>
    <t>Feb 2, Feb 3</t>
  </si>
  <si>
    <t>NCS</t>
  </si>
  <si>
    <t>Elevate</t>
  </si>
  <si>
    <t>Manohar</t>
  </si>
  <si>
    <t>Feb 5, Feb 6, Feb 26, Feb 27</t>
  </si>
  <si>
    <t>Feb 2, Feb 3, Feb 4, Feb 5, Feb 6, Feb 10, Feb 11, Feb 12, Feb 13, Feb 16, Feb 18, Feb 19, Feb 20, Feb 23, Feb 24, Feb 25, Feb 26, Feb 27</t>
  </si>
  <si>
    <t>Srikanth</t>
  </si>
  <si>
    <t>Feb 19, Feb 20</t>
  </si>
  <si>
    <t>Vikas</t>
  </si>
  <si>
    <t>Feb 2, Feb 3, Feb 4, Feb 5, Feb 6, Feb 10, Feb 11, Feb 12, Feb 13, Feb 16, Feb 18, Feb 23, Feb 24, Feb 25, Feb 26</t>
  </si>
  <si>
    <t>CNA Level 1</t>
  </si>
  <si>
    <t>Batch 7</t>
  </si>
  <si>
    <t>Manoj Ajmer</t>
  </si>
  <si>
    <t>Mar 23, Mar 25, Mar 30</t>
  </si>
  <si>
    <t>SR Team</t>
  </si>
  <si>
    <t>CX Elevate</t>
  </si>
  <si>
    <t>Uttam</t>
  </si>
  <si>
    <t>Mar 24, Mar 27, Mar 31</t>
  </si>
  <si>
    <t>Mar 6, Mar 11, Mar 13, Mar 18, Mar 25, Mar 27</t>
  </si>
  <si>
    <t>Mar 6, Mar 9, Mar 11, Mar 13, Mar 16, Mar 18, Mar 25, Mar 30</t>
  </si>
  <si>
    <t>DXC</t>
  </si>
  <si>
    <t>Project Manager</t>
  </si>
  <si>
    <t>Batch 1</t>
  </si>
  <si>
    <t>Anupam</t>
  </si>
  <si>
    <t>Mar 10, Mar 12, Mar 17, Mar 24, Mar 31</t>
  </si>
  <si>
    <t>Batch 3</t>
  </si>
  <si>
    <t>Mar 12, Mar 17, Mar 24</t>
  </si>
  <si>
    <t>Batch 4</t>
  </si>
  <si>
    <t>Mar 3, Mar 10, Mar 12, Mar 17, Mar 24, Mar 31</t>
  </si>
  <si>
    <t>Technology Architect Program</t>
  </si>
  <si>
    <t>Ajay Mall</t>
  </si>
  <si>
    <t>Mar 17, Mar 20</t>
  </si>
  <si>
    <t>Mar 16, Mar 18</t>
  </si>
  <si>
    <t>Kishore</t>
  </si>
  <si>
    <t>Mar 25, Mar 30</t>
  </si>
  <si>
    <t>Mar 18, Mar 23</t>
  </si>
  <si>
    <t>Indium</t>
  </si>
  <si>
    <t>Enterprise Data Solutions Architect Program</t>
  </si>
  <si>
    <t>Ritesh</t>
  </si>
  <si>
    <t>Mar 25, Mar 26, Mar 27, Mar 31</t>
  </si>
  <si>
    <t>Amrita Aggarwal</t>
  </si>
  <si>
    <t>Mar 10, Mar 11</t>
  </si>
  <si>
    <t>Mar 5, Mar 6, Mar 31</t>
  </si>
  <si>
    <t>Mar 2, Mar 5, Mar 6, Mar 9, Mar 10, Mar 11, Mar 12, Mar 13, Mar 16, Mar 17, Mar 18, Mar 19, Mar 20, Mar 23, Mar 24, Mar 25</t>
  </si>
  <si>
    <t>Mar 11, Mar 12, Mar 13</t>
  </si>
  <si>
    <t>Mar 2, Mar 5, Mar 6, Mar 9, Mar 10, Mar 16, Mar 17, Mar 18, Mar 19, Mar 20, Mar 23, Mar 24, Mar 25, Mar 26</t>
  </si>
  <si>
    <t>Mar 17, Mar 18, Mar 19, Mar 20, Mar 23, Mar 24, Mar 25, Mar 26, Mar 27, Mar 31</t>
  </si>
  <si>
    <t>Mar 9, Mar 10, Mar 11, Mar 12, Mar 13, Mar 16</t>
  </si>
  <si>
    <t>Ashish Juyal</t>
  </si>
  <si>
    <t>Mar 26, Mar 30, Mar 31</t>
  </si>
  <si>
    <t>Mar 9, Mar 10, Mar 11, Mar 12, Mar 13</t>
  </si>
  <si>
    <t>Mar 24, Mar 25</t>
  </si>
  <si>
    <t>Mar 17, Mar 18, Mar 19</t>
  </si>
  <si>
    <t>UST</t>
  </si>
  <si>
    <t>Aspiring Architect</t>
  </si>
  <si>
    <t>Mar 16, Mar 18, Mar 23, Mar 25, Mar 27, Mar 30</t>
  </si>
  <si>
    <t>Batch 5</t>
  </si>
  <si>
    <t>BA Level 1</t>
  </si>
  <si>
    <t>Mar 16, Mar 25</t>
  </si>
  <si>
    <t>Stivan</t>
  </si>
  <si>
    <t>Mar 18, Mar 23, Mar 30</t>
  </si>
  <si>
    <t>Rushikesh</t>
  </si>
  <si>
    <t>Mar 16, Mar 18, Mar 23, Mar 30</t>
  </si>
  <si>
    <t>BA Level 2</t>
  </si>
  <si>
    <t>Apr 1, Apr 6, Apr 8, Apr 13, Apr 16, Apr 20, Apr 22, Apr 27, Apr 29</t>
  </si>
  <si>
    <t>Apr 10, Apr 22</t>
  </si>
  <si>
    <t>Apr 20, Apr 21, Apr 28</t>
  </si>
  <si>
    <t>Apr 2, Apr 15, Apr 17, Apr 30</t>
  </si>
  <si>
    <t>Apr 6, Apr 13</t>
  </si>
  <si>
    <t>Apr 1, Apr 8, Apr 10, Apr 17, Apr 22</t>
  </si>
  <si>
    <t>Apr 1, Apr 6, Apr 8, Apr 10</t>
  </si>
  <si>
    <t>Apr 7, Apr 16, Apr 21, Apr 28, Apr 30</t>
  </si>
  <si>
    <t>Apr 7, Apr 9, Apr 21, Apr 23, Apr 28, Apr 30</t>
  </si>
  <si>
    <t>Apr 7, Apr 16, Apr 21, Apr 28</t>
  </si>
  <si>
    <t>Apr 2, Apr 7, Apr 9, Apr 16, Apr 17</t>
  </si>
  <si>
    <t>Apr 1, Apr 6, Apr 8, Apr 14, Apr 15, Apr 20, Apr 22</t>
  </si>
  <si>
    <t>Apr 2, Apr 7, Apr 9, Apr 14, Apr 16</t>
  </si>
  <si>
    <t>Apr 1, Apr 14, Apr 20, Apr 22</t>
  </si>
  <si>
    <t>Apr 7, Apr 8</t>
  </si>
  <si>
    <t>Enterprise Architect Program</t>
  </si>
  <si>
    <t>Sanddep R Didd</t>
  </si>
  <si>
    <t>Apr 16, Apr 29</t>
  </si>
  <si>
    <t>Epiroc</t>
  </si>
  <si>
    <t>Agile Mindset Program</t>
  </si>
  <si>
    <t>Sriram</t>
  </si>
  <si>
    <t>Gayathri</t>
  </si>
  <si>
    <t>Apr 9, Apr 10, Apr 16, Apr 17, Apr 21, Apr 24, Apr 30</t>
  </si>
  <si>
    <t>Apr 1, Apr 7</t>
  </si>
  <si>
    <t>Apr 9, Apr 10</t>
  </si>
  <si>
    <t>Apr 1, Apr 15, Apr 16, Apr 17, Apr 23, Apr 24</t>
  </si>
  <si>
    <t>Persistent Manager's</t>
  </si>
  <si>
    <t>Apr 6, Apr 7</t>
  </si>
  <si>
    <t>Apr 1, Apr 2, Apr 6, Apr 7, Apr 8, Apr 9, Apr 10, Apr 13, Apr 14, Apr 15, Apr 16, Apr 17, Apr 21, Apr 22, Apr 23, Apr 24, Apr 27, Apr 28, Apr 29, Apr 30</t>
  </si>
  <si>
    <t>Apr 1, Apr 2, Apr 6, Apr 7, Apr 8, Apr 9, Apr 10, Apr 13, Apr 14, Apr 15, Apr 16, Apr 17, Apr 20, Apr 21, Apr 22, Apr 23, Apr 24, Apr 27, Apr 28, Apr 29, Apr 30</t>
  </si>
  <si>
    <t>Apr 1, Apr 2, Apr 6, Apr 8, Apr 10, Apr 13, Apr 16, Apr 17, Apr 22, Apr 24, Apr 27</t>
  </si>
  <si>
    <t>Apr 1, Apr 2, Apr 6, Apr 9, Apr 10, Apr 13, Apr 16, Apr 17, Apr 20, Apr 22, Apr 24, Apr 27</t>
  </si>
  <si>
    <t>Apr 13, Apr 20, Apr 22, Apr 27</t>
  </si>
  <si>
    <t>Apr 1, Apr 8</t>
  </si>
  <si>
    <t>Apr 13, Apr 22, Apr 27</t>
  </si>
  <si>
    <t>Apr 1, Apr 8, Apr 20, Apr 29</t>
  </si>
  <si>
    <t>Manan</t>
  </si>
  <si>
    <t>Apr 7, Apr 13, Apr 16, Apr 21</t>
  </si>
  <si>
    <t>Apr 28, Apr 30</t>
  </si>
  <si>
    <t>Apr 7, Apr 10, Apr 16, Apr 21, Apr 28, Apr 30</t>
  </si>
  <si>
    <t>Data Architect – Level 1</t>
  </si>
  <si>
    <t>Re-Imagining the BA / PO Role</t>
  </si>
  <si>
    <t>SR Team+UST</t>
  </si>
  <si>
    <t>May 4, May 6, May 11, May 13, May 18, May 20</t>
  </si>
  <si>
    <t>May 8, May 12, May 15, May 19, May 22</t>
  </si>
  <si>
    <t>May 5, May 7, May 12, May 19, May 21, May 26, May 28</t>
  </si>
  <si>
    <t>May 5, May 7, May 14, May 21, May 26, May 28</t>
  </si>
  <si>
    <t>May 5, May 7, May 14, May 19, May 21, May 28</t>
  </si>
  <si>
    <t>May 5, May 7, May 12, May 19, May 21</t>
  </si>
  <si>
    <t>May 5, May 12, May 19</t>
  </si>
  <si>
    <t>May 7, May 15, May 22</t>
  </si>
  <si>
    <t>May 7, May 20, May 22</t>
  </si>
  <si>
    <t>May 5, May 7, May 8, May 14, May 15, May 19, May 21, May 22, May 26, May 29</t>
  </si>
  <si>
    <t>Lowes</t>
  </si>
  <si>
    <t>Engineering Beyond Code Program</t>
  </si>
  <si>
    <t>May 18, May 19</t>
  </si>
  <si>
    <t>SR + Lowes</t>
  </si>
  <si>
    <t>May 11, May 12</t>
  </si>
  <si>
    <t>TEKsystem</t>
  </si>
  <si>
    <t>Aspiring Architect Upskilling Program</t>
  </si>
  <si>
    <t>SR+Teksystems</t>
  </si>
  <si>
    <t>Tredence</t>
  </si>
  <si>
    <t>Advanced Data Modelling program</t>
  </si>
  <si>
    <t>Shayantan</t>
  </si>
  <si>
    <t>May 13, May 14, May 15, May 18, May 19, May 20, May 21, May 22, May 25, May 26</t>
  </si>
  <si>
    <t>May 6, May 8, May 11, May 13, May 15, May 18, May 20, May 21, May 22, May 25</t>
  </si>
  <si>
    <t>May 11, May 13, May 18, May 20</t>
  </si>
  <si>
    <t>May 6, May 11, May 13, May 18, May 20</t>
  </si>
  <si>
    <t>May 5, May 21, May 26, May 28</t>
  </si>
  <si>
    <t>May 19, May 21, May 26, May 28</t>
  </si>
  <si>
    <t>May 5, May 7, May 12</t>
  </si>
  <si>
    <t>May 5, May 6, May 7, May 12, May 13, May 14, May 20</t>
  </si>
  <si>
    <t>Zensar</t>
  </si>
  <si>
    <t>Pinnacle</t>
  </si>
  <si>
    <t>May 18, May 19, May 20, May 21, May 22, May 25, May 26, May 29</t>
  </si>
  <si>
    <t>Rise</t>
  </si>
  <si>
    <t>May 11, May 12, May 14, May 15, May 18, May 19, May 21, May 22</t>
  </si>
  <si>
    <t>Jun 2, Jun 4, Jun 9, Jun 11, Jun 16, Jun 18, Jun 23, Jun 25, Jun 30</t>
  </si>
  <si>
    <t>Jun 2, Jun 9, Jun 11, Jun 16, Jun 18, Jun 23, Jun 25, Jun 30</t>
  </si>
  <si>
    <t>Jun 2, Jun 9, Jun 11, Jun 23, Jun 30</t>
  </si>
  <si>
    <t>Jun 16, Jun 18</t>
  </si>
  <si>
    <t>Jun 2, Jun 3, Jun 9, Jun 11, Jun 16, Jun 18, Jun 23, Jun 25</t>
  </si>
  <si>
    <t>Jun 2, Jun 18, Jun 23, Jun 25, Jun 30</t>
  </si>
  <si>
    <t>Jun 5, Jun 18, Jun 23, Jun 25, Jun 30</t>
  </si>
  <si>
    <t>Jun 5, Jun 17, Jun 19, Jun 23, Jun 30</t>
  </si>
  <si>
    <t>Jun 3, Jun 10, Jun 17, Jun 26</t>
  </si>
  <si>
    <t>Jun 4, Jun 5, Jun 9, Jun 11, Jun 12, Jun 16, Jun 18, Jun 23, Jun 25, Jun 26, Jun 30</t>
  </si>
  <si>
    <t>Gagan</t>
  </si>
  <si>
    <t>Jun 1, Jun 3, Jun 4, Jun 8, Jun 9, Jun 11</t>
  </si>
  <si>
    <t>Jun 15, Jun 16, Jun 18, Jun 22, Jun 23, Jun 29, Jun 30</t>
  </si>
  <si>
    <t>Jun 3, Jun 5, Jun 8, Jun 10, Jun 12, Jun 17, Jun 19, Jun 22, Jun 24, Jun 26, Jun 29</t>
  </si>
  <si>
    <t>Pranav</t>
  </si>
  <si>
    <t>Jun 17, Jun 19, Jun 26, Jun 29</t>
  </si>
  <si>
    <t>Jun 1, Jun 3, Jun 8</t>
  </si>
  <si>
    <t>Jun 4, Jun 16</t>
  </si>
  <si>
    <t>Jun 9, Jun 11</t>
  </si>
  <si>
    <t>Jun 4, Jun 9, Jun 11, Jun 16, Jun 23</t>
  </si>
  <si>
    <t>Jun 16, Jun 23</t>
  </si>
  <si>
    <t>Jun 1, Jun 3, Jun 8, Jun 10, Jun 15, Jun 17, Jun 22, Jun 24, Jun 29</t>
  </si>
  <si>
    <t>Harish</t>
  </si>
  <si>
    <t>Jun 17, Jun 23, Jun 25, Jun 30</t>
  </si>
  <si>
    <t>Jun 2, Jun 3, Jun 4, Jun 9, Jun 10, Jun 11</t>
  </si>
  <si>
    <t>Jul 7, Jul 9, Jul 14, Jul 16, Jul 21, Jul 23</t>
  </si>
  <si>
    <t>Jul 7, Jul 14, Jul 16, Jul 21, Jul 23, Jul 28, Jul 30</t>
  </si>
  <si>
    <t>Jul 2, Jul 9, Jul 16, Jul 21, Jul 23, Jul 30</t>
  </si>
  <si>
    <t>Jul 1, Jul 7, Jul 9, Jul 13, Jul 16, Jul 21, Jul 22</t>
  </si>
  <si>
    <t>Jul 7, Jul 14, Jul 21, Jul 28</t>
  </si>
  <si>
    <t>Jul 8, Jul 15, Jul 22, Jul 29</t>
  </si>
  <si>
    <t>Jul 1, Jul 8, Jul 15, Jul 24</t>
  </si>
  <si>
    <t>Jul 2, Jul 3, Jul 7, Jul 16, Jul 17, Jul 21, Jul 23, Jul 24, Jul 28, Jul 31</t>
  </si>
  <si>
    <t>Jul 9, Jul 10, Jul 14</t>
  </si>
  <si>
    <t>Ashish Sharma</t>
  </si>
  <si>
    <t>Jul 13, Jul 14, Jul 16, Jul 20, Jul 21, Jul 27, Jul 28</t>
  </si>
  <si>
    <t>Dr Anil</t>
  </si>
  <si>
    <t>Jul 20, Jul 22, Jul 24, Jul 27, Jul 29, Jul 31</t>
  </si>
  <si>
    <t>Jul 1, Jul 3, Jul 6, Jul 8, Jul 10, Jul 15, Jul 17</t>
  </si>
  <si>
    <t>Jul 6, Jul 8</t>
  </si>
  <si>
    <t>Jul 1, Jul 8, Jul 13, Jul 15, Jul 20, Jul 22, Jul 27, Jul 29</t>
  </si>
  <si>
    <t>Jul 1, Jul 7, Jul 8, Jul 14, Jul 21, Jul 22, Jul 23, Jul 28, Jul 29, Jul 30</t>
  </si>
  <si>
    <t>Jul 15, Jul 16</t>
  </si>
  <si>
    <t>Aug 4, Aug 6, Aug 11</t>
  </si>
  <si>
    <t>Aug 3, Aug 4, Aug 10, Aug 11, Aug 13, Aug 17, Aug 18, Aug 20</t>
  </si>
  <si>
    <t>Aug 24, Aug 25, Aug 31</t>
  </si>
  <si>
    <t>Dr Anil (Observer)</t>
  </si>
  <si>
    <t>Aug 5, Aug 7</t>
  </si>
  <si>
    <t>Aug 3, Aug 5, Aug 10, Aug 17</t>
  </si>
  <si>
    <t>Aug 4, Aug 5, Aug 6, Aug 11, Aug 12, Aug 13</t>
  </si>
  <si>
    <t>Aug 19, Aug 20, Aug 25</t>
  </si>
  <si>
    <t>Sep 1, Sep 7, Sep 8</t>
  </si>
  <si>
    <t>Sep 15, Sep 17, Sep 21, Sep 22, Sep 24, Sep 28, Sep 29</t>
  </si>
  <si>
    <t>Total</t>
  </si>
  <si>
    <t>S. No</t>
  </si>
  <si>
    <t>Date</t>
  </si>
  <si>
    <t>Day</t>
  </si>
  <si>
    <t>Session Time (IST)</t>
  </si>
  <si>
    <t>Year</t>
  </si>
  <si>
    <t>Duration(Hrs.)</t>
  </si>
  <si>
    <t>ProgramName</t>
  </si>
  <si>
    <t>Program Co-ordinator</t>
  </si>
  <si>
    <t>Course Module / Session Name</t>
  </si>
  <si>
    <t>Total Duration(Hrs.)</t>
  </si>
  <si>
    <t>LMS Status</t>
  </si>
  <si>
    <t>Mentor 1</t>
  </si>
  <si>
    <t>Mentor 2</t>
  </si>
  <si>
    <t>Mentor 3</t>
  </si>
  <si>
    <t>Clash Status</t>
  </si>
  <si>
    <t>Tuesday</t>
  </si>
  <si>
    <t>09:30 AM - 12:00 PM</t>
  </si>
  <si>
    <t>April</t>
  </si>
  <si>
    <t>TekSystem</t>
  </si>
  <si>
    <t xml:space="preserve">Immersive Architect - Delivery Plan </t>
  </si>
  <si>
    <t>Wednesday</t>
  </si>
  <si>
    <t>9:30 AM - 12:00 PM</t>
  </si>
  <si>
    <t xml:space="preserve">Level 2 – Delivery Excellence					</t>
  </si>
  <si>
    <t xml:space="preserve">Negotiation and Conflict Management - 1 </t>
  </si>
  <si>
    <t>Thursday</t>
  </si>
  <si>
    <t>10:00 AM - 12:00 PM</t>
  </si>
  <si>
    <t>Negotiation and Conflict Management-2</t>
  </si>
  <si>
    <t>Friday</t>
  </si>
  <si>
    <t>Monday</t>
  </si>
  <si>
    <t>02:00 PM - 06:00 PM</t>
  </si>
  <si>
    <t>Building a Consulting Mindset - 1</t>
  </si>
  <si>
    <t>Building a Consulting Mindset - 2</t>
  </si>
  <si>
    <t>Building a Consulting Mindset - 3</t>
  </si>
  <si>
    <t>Building a Consulting Mindset - 4</t>
  </si>
  <si>
    <t>The Art of story telling</t>
  </si>
  <si>
    <t>Continuing Professional Development</t>
  </si>
  <si>
    <t>06:30 PM - 08:30 PM</t>
  </si>
  <si>
    <t>Arya</t>
  </si>
  <si>
    <t>Benefits Management</t>
  </si>
  <si>
    <t>08:30 PM - 10:30 PM</t>
  </si>
  <si>
    <t>Reimagining Program Management</t>
  </si>
  <si>
    <t>Advanced Risk Management</t>
  </si>
  <si>
    <t>Integrated Program Mgmt. (Multi-Geo, Multi-Vendor)</t>
  </si>
  <si>
    <t>09:30 AM - 01:30 PM</t>
  </si>
  <si>
    <t>May</t>
  </si>
  <si>
    <t>Building your personal brand for Authenticity Centric Guidance</t>
  </si>
  <si>
    <t>9:30 AM - 11:30 PM</t>
  </si>
  <si>
    <t>Introspect 3 - Present the feasibility study to grow the account, present the plan</t>
  </si>
  <si>
    <t>Saturday</t>
  </si>
  <si>
    <t>Growth Mindset</t>
  </si>
  <si>
    <t>Sunday</t>
  </si>
  <si>
    <t>Standign tall on the commitment</t>
  </si>
  <si>
    <t>A leader's guide to saying "NO”</t>
  </si>
  <si>
    <t xml:space="preserve">Care and Candor for Delivery Leadership </t>
  </si>
  <si>
    <t xml:space="preserve">Reimagining Program Management </t>
  </si>
  <si>
    <t xml:space="preserve">Influencing : The Art and Science of Getting Commitment and Results </t>
  </si>
  <si>
    <t>Overcoming Adversity</t>
  </si>
  <si>
    <t>02:30 PM - 06:30 PM</t>
  </si>
  <si>
    <t>Reimagining Program Management &amp; Integrated Program Mgmt. (Multi-Geo, Multi-Vendor)</t>
  </si>
  <si>
    <t>Increasing one's capacity with effective delegation</t>
  </si>
  <si>
    <t>Benefits Management &amp; Advanced Risk Management</t>
  </si>
  <si>
    <t>Embracing Change-1</t>
  </si>
  <si>
    <t>10:30 AM - 02:30 PM</t>
  </si>
  <si>
    <t>June</t>
  </si>
  <si>
    <t>July</t>
  </si>
  <si>
    <t>Reimagining Program Management &amp; Integrated Program Mgmt</t>
  </si>
  <si>
    <t xml:space="preserve">Benefits Management </t>
  </si>
  <si>
    <t xml:space="preserve"> Integrated Program Management</t>
  </si>
  <si>
    <t>August</t>
  </si>
  <si>
    <t xml:space="preserve">
Benefits Management &amp; Advanced Risk Management</t>
  </si>
  <si>
    <t>07:00 PM - 09:00 PM</t>
  </si>
  <si>
    <t>September</t>
  </si>
  <si>
    <t>Integrated Program Mgmt</t>
  </si>
  <si>
    <t>04:00 PM - 06:00 PM</t>
  </si>
  <si>
    <t>02:00 PM - 04:00 PM</t>
  </si>
  <si>
    <t xml:space="preserve">7:00 PM - 9:00 PM </t>
  </si>
  <si>
    <t>October</t>
  </si>
  <si>
    <t>Integrated program management</t>
  </si>
  <si>
    <t>Advance Risk Management</t>
  </si>
  <si>
    <t xml:space="preserve">5:30 PM - 7:30 PM </t>
  </si>
  <si>
    <t xml:space="preserve">4:00 PM - 6:00 PM </t>
  </si>
  <si>
    <t>November</t>
  </si>
  <si>
    <t>8:30 PM - 10:30 PM</t>
  </si>
  <si>
    <t>December</t>
  </si>
  <si>
    <t>09:00 am to 10:00 am</t>
  </si>
  <si>
    <t>January</t>
  </si>
  <si>
    <t>Shubham</t>
  </si>
  <si>
    <t>Inauguration &amp; Roll Out of 180 Degree Survey</t>
  </si>
  <si>
    <t>February</t>
  </si>
  <si>
    <t>DMI</t>
  </si>
  <si>
    <t>180 degree assessment (Getting Ready for the Program + Kick off)</t>
  </si>
  <si>
    <t>3:00-4:00 PM, IST</t>
  </si>
  <si>
    <t>Neeti</t>
  </si>
  <si>
    <t xml:space="preserve">Kickoff + Roll out of 270 degree Survey roll out
</t>
  </si>
  <si>
    <t>3:00 PM to 6:00 PM</t>
  </si>
  <si>
    <t>180 de-briefing of participants Slot (15 mins slot for each learners)</t>
  </si>
  <si>
    <t>8:00 AM to 11:00 AM</t>
  </si>
  <si>
    <t>2:00 PM to 4:00 PM</t>
  </si>
  <si>
    <t>10:00AM-12:30PM</t>
  </si>
  <si>
    <t>Kalpana</t>
  </si>
  <si>
    <t>Reimagine Enterprise CRM Architecture for the AI age</t>
  </si>
  <si>
    <t>9.30 AM - 5:30 PM</t>
  </si>
  <si>
    <t>Session 1</t>
  </si>
  <si>
    <t>08:00 am to 11:00 am</t>
  </si>
  <si>
    <t>Domain Driven Design 1</t>
  </si>
  <si>
    <t>Session 2</t>
  </si>
  <si>
    <t xml:space="preserve">Ravi </t>
  </si>
  <si>
    <t xml:space="preserve">Business Value of CRM </t>
  </si>
  <si>
    <t xml:space="preserve">RNP </t>
  </si>
  <si>
    <t>Case Driven approach to Domain Driven Design</t>
  </si>
  <si>
    <t>Modern Architecture Patterns- 1</t>
  </si>
  <si>
    <t>2:00PM-6:00 PM, IST</t>
  </si>
  <si>
    <t>Master class (Reimagining leadership, Leadership style, JOHARI window) 
Coaching &amp; Mentoring (Identification of Mentees for mentoring / Reverse Mentoring)</t>
  </si>
  <si>
    <t>Modern Architecture Patterns- 2</t>
  </si>
  <si>
    <t xml:space="preserve">Building &amp; Managing Relationships </t>
  </si>
  <si>
    <t>CRM Capabilities and Conceptual Reference Architecture</t>
  </si>
  <si>
    <t>Case Driven approach to Modern Architecture Patterns</t>
  </si>
  <si>
    <t>Reserve Slot</t>
  </si>
  <si>
    <t>CRM Applications/ Platforms and Enterprise Connection</t>
  </si>
  <si>
    <t>Cloud Design Principles</t>
  </si>
  <si>
    <t>Test Driven Development</t>
  </si>
  <si>
    <t>1:00PM-5:00 PM, IST</t>
  </si>
  <si>
    <t xml:space="preserve">Critical Thinking &amp; Complex Problem Solving </t>
  </si>
  <si>
    <t>Microservices implementations with API gateways- 1</t>
  </si>
  <si>
    <t>10:00  AM to 12:00 PM</t>
  </si>
  <si>
    <t>Program Info + Design patterns</t>
  </si>
  <si>
    <t>Self-awareness for better leadership</t>
  </si>
  <si>
    <t>Amrita</t>
  </si>
  <si>
    <t>March</t>
  </si>
  <si>
    <t>Mastering time and priorities</t>
  </si>
  <si>
    <t>CRM in Cognitive era</t>
  </si>
  <si>
    <t>Microservices implementations with API gateways- 2</t>
  </si>
  <si>
    <t>Modern Architecture Pattens</t>
  </si>
  <si>
    <t>Case driven approach to Microservices implementations with API gateways</t>
  </si>
  <si>
    <t>Prompt Engg. for Architects</t>
  </si>
  <si>
    <t xml:space="preserve">Introspect 1 </t>
  </si>
  <si>
    <t>Case study driven approach in using new architectural patterns and concepts</t>
  </si>
  <si>
    <t>Business value of IT - Understanding the challenge from customer perspective i.e. Pain relievers, Gain creators</t>
  </si>
  <si>
    <t xml:space="preserve">Types of architecture </t>
  </si>
  <si>
    <t>Salesforce CRM overview, advanced capabilities, CRM solution architect roles, EA alignment, Tableau &amp; Informatica capabilities and V2MOM centric initiatives design</t>
  </si>
  <si>
    <t xml:space="preserve">Ayusha </t>
  </si>
  <si>
    <t xml:space="preserve">Value streams and analysis </t>
  </si>
  <si>
    <t>Architectural Tools &amp; Techniques</t>
  </si>
  <si>
    <t>Introspect 1- Evidence of Understanding</t>
  </si>
  <si>
    <t>180 degree survey</t>
  </si>
  <si>
    <t>Leveraging AI/ML across Architecture</t>
  </si>
  <si>
    <t>06:00 pm to 7:00 pm</t>
  </si>
  <si>
    <t xml:space="preserve">Leveraging Cross cutting concerns </t>
  </si>
  <si>
    <t>AWS Serverless Implementation-1</t>
  </si>
  <si>
    <t>Art of Storytelling &amp; Authenticity-Centric Guidance</t>
  </si>
  <si>
    <t>AWS Serverless Implementation-2</t>
  </si>
  <si>
    <t>Cloud Essentials for Architects</t>
  </si>
  <si>
    <t>Leading Through Complexity: The Three Roles of a Modern Leader</t>
  </si>
  <si>
    <t xml:space="preserve">Reserve Slot </t>
  </si>
  <si>
    <t>Case Driven approach to AWS Serverless Implementation</t>
  </si>
  <si>
    <t>Modern OPDIVO's/Intrados'sDemo</t>
  </si>
  <si>
    <t>2:00 PM - 4:30 PM</t>
  </si>
  <si>
    <t>Project Management : Pathways to Customer Success</t>
  </si>
  <si>
    <t xml:space="preserve">Rathina </t>
  </si>
  <si>
    <t>06:00 PM to 07:00PM</t>
  </si>
  <si>
    <t>DXC Kickoff Session+Release of Independent Learning </t>
  </si>
  <si>
    <t>Leading by Example</t>
  </si>
  <si>
    <t>Case Driven approach to Modern AppDevOps/InfraDevOps Demo</t>
  </si>
  <si>
    <t xml:space="preserve">Enterprise Data Solutions Architect Program </t>
  </si>
  <si>
    <t>Ayesha</t>
  </si>
  <si>
    <t xml:space="preserve">Program Kickoff </t>
  </si>
  <si>
    <t>Cloud Architecture for Architects (Advanced)</t>
  </si>
  <si>
    <t>Client Trust and Value</t>
  </si>
  <si>
    <t>Salesforce Multi-Cloud CRM &amp; Omnichannel Customer Journeys</t>
  </si>
  <si>
    <t>Modern Monitoring and logging approaches using ELK Stack</t>
  </si>
  <si>
    <t>11:00 AM to 11:30 AM</t>
  </si>
  <si>
    <t xml:space="preserve">Info Session </t>
  </si>
  <si>
    <t>02:00 PM to 02:30 PM</t>
  </si>
  <si>
    <t>06:00 PM to 06:30PM</t>
  </si>
  <si>
    <t>06:45 PM to 07:15 PM</t>
  </si>
  <si>
    <t xml:space="preserve">Design patterns and other aspects of microservices architecture </t>
  </si>
  <si>
    <t>Case Driven approach to Modern Monitoring and logging approaches using ELK Stack</t>
  </si>
  <si>
    <t>3:00 pm to 6:00 pm</t>
  </si>
  <si>
    <t>6:00 pm to 9:00 pm</t>
  </si>
  <si>
    <t>10:00 AM - 11:00 AM</t>
  </si>
  <si>
    <t xml:space="preserve">CX Elevate </t>
  </si>
  <si>
    <t xml:space="preserve">Kick Off Session </t>
  </si>
  <si>
    <t>12:00 PM - 2:30 PM</t>
  </si>
  <si>
    <t>Project Management : Outputs to Outcomes</t>
  </si>
  <si>
    <t>Building a Growth Mindset,Growing to be a trusted Advisor</t>
  </si>
  <si>
    <t>Solution Architecture Approach- 1</t>
  </si>
  <si>
    <t>07:00 pm to 07:30 pm</t>
  </si>
  <si>
    <t xml:space="preserve">UST </t>
  </si>
  <si>
    <t xml:space="preserve">Shrabani </t>
  </si>
  <si>
    <t>Program Kick-Off</t>
  </si>
  <si>
    <t xml:space="preserve">GitHub Copilot Developer Demos + Cognitive Activity </t>
  </si>
  <si>
    <t>Staying Current and Getting Ahead - Learn, Unlearn &amp; Relearn</t>
  </si>
  <si>
    <t>Solution Architecture Approach- 2</t>
  </si>
  <si>
    <t>11:00 AM - 01:30 PM</t>
  </si>
  <si>
    <t>Reimagine Project Management
(Developments Driving the need for reimagining Project/Program Management )</t>
  </si>
  <si>
    <t>Solution Architecture Approach- 3</t>
  </si>
  <si>
    <t>10:00 AM - 11:30 PM</t>
  </si>
  <si>
    <t>Reimagine Enterprise CX CRM Architecture for the AI age </t>
  </si>
  <si>
    <t>App Modernization Tools/ Services</t>
  </si>
  <si>
    <t>Review &amp; Refactor</t>
  </si>
  <si>
    <t>Enterprise-Grade Integration &amp; Extensibility Patterns in Salesforce CRM</t>
  </si>
  <si>
    <t>08:00 am to 12:30 am</t>
  </si>
  <si>
    <t>Introspect 2-Viva Voce Slot-1</t>
  </si>
  <si>
    <t>9:30 am to 12:30 pm</t>
  </si>
  <si>
    <t>Understanding the Modern BA Role in Global Consulting</t>
  </si>
  <si>
    <t>07:00 pm to 10:00 pm</t>
  </si>
  <si>
    <t>10:00 AM to 1:00 PM</t>
  </si>
  <si>
    <t>Understanding critical elements of SDLC- 1</t>
  </si>
  <si>
    <t>8:00 PM to 10:00 PM</t>
  </si>
  <si>
    <t>02:00 PM to 04:00 PM</t>
  </si>
  <si>
    <t>Reimagine Architecture: Digital Architecture in AI era</t>
  </si>
  <si>
    <t xml:space="preserve">Harish Challa </t>
  </si>
  <si>
    <t>Transitioning into DevOps/AIOps</t>
  </si>
  <si>
    <t>Introspect 2-Viva Voce Slot-2</t>
  </si>
  <si>
    <t>08:00 am to 12:00 am</t>
  </si>
  <si>
    <t>Recap Session</t>
  </si>
  <si>
    <t>11:00 AM to 01:00 PM</t>
  </si>
  <si>
    <t>06:30 PM to 08:30 PM</t>
  </si>
  <si>
    <t>PM Knowledge Area-1
Scope Management, Time Management, Quality Management</t>
  </si>
  <si>
    <t>10:00 AM - 10:45 AM</t>
  </si>
  <si>
    <t xml:space="preserve">Kick Off (Roll-out of Self-guided study materials) </t>
  </si>
  <si>
    <t>Stakeholder Collaboration and Communication</t>
  </si>
  <si>
    <t>Understanding critical elements of SDLC- 2</t>
  </si>
  <si>
    <t>10:00 AM - 12:30 PM</t>
  </si>
  <si>
    <t>2.5 </t>
  </si>
  <si>
    <t>Architectural Thinking for Enterprise Application </t>
  </si>
  <si>
    <t>Architecture Foundations &amp; Patterns in Practice</t>
  </si>
  <si>
    <t xml:space="preserve">Containerisation Core </t>
  </si>
  <si>
    <t xml:space="preserve">Migration/Modernization approaches with a real world case study. Security first approach for Microservices </t>
  </si>
  <si>
    <t>08:00 am to 1:00 pm</t>
  </si>
  <si>
    <t>08:00 pm to 08:30 pm</t>
  </si>
  <si>
    <t>Kick off session</t>
  </si>
  <si>
    <t>DevSecOps and Introduction to AIOps</t>
  </si>
  <si>
    <t>Case Driven Approach to Leveraging AI/ML across Architecture</t>
  </si>
  <si>
    <t>Applying Design Thinking for Architecture Practice​</t>
  </si>
  <si>
    <t>Requirements Engineering – Deep Dive</t>
  </si>
  <si>
    <t>Architecture Patterns, choosing the appropriate Styles, Concepts, Techniques and Tools- 1</t>
  </si>
  <si>
    <t>Understanding critical elements of SDLC- 3</t>
  </si>
  <si>
    <t>Cloud-Native Infrastructure &amp; Platform Thinking</t>
  </si>
  <si>
    <t>Cloud Native Security Architecture</t>
  </si>
  <si>
    <t>Role Deep-Dive &amp; Consulting Mindset</t>
  </si>
  <si>
    <t>Business Value of CRM and Customer Engagement Technologies, and health KPIs </t>
  </si>
  <si>
    <t xml:space="preserve">Uttam </t>
  </si>
  <si>
    <t>PM Knowledge Area-1 
Scope Management, Time Management, Quality Management</t>
  </si>
  <si>
    <t xml:space="preserve">PM Knowledge Area-2 
Managing Risks and Risk Communication to Stakeholders &amp; AI Project Management basics </t>
  </si>
  <si>
    <t>Well-architected Framework</t>
  </si>
  <si>
    <t>8:00 AM - 11:00 AM</t>
  </si>
  <si>
    <t>Architecture Concepts, Techniques and Tools- 1​</t>
  </si>
  <si>
    <t>Process Thinking and Solution Evaluation</t>
  </si>
  <si>
    <t>Architecture Patterns, choosing the appropriate Styles, Concepts, Techniques and Tools- 2</t>
  </si>
  <si>
    <t>9:00 am to 11:30 am</t>
  </si>
  <si>
    <t>Reimagine Modern Data Architecture-1</t>
  </si>
  <si>
    <t>Integration &amp; API Ecosystems</t>
  </si>
  <si>
    <t>Containerisation with a Serverless Architecture &amp; GenAI</t>
  </si>
  <si>
    <t>Salesforce CRM Scalability, Performance &amp; Technical Sustainability</t>
  </si>
  <si>
    <t>Communicating Architecture to Stakeholders</t>
  </si>
  <si>
    <t>Week 1 Recap Session 1</t>
  </si>
  <si>
    <t>Reimagine Modern Data Architecture-2 &amp; Modern Data Architecture Patterns and Design Principles-1</t>
  </si>
  <si>
    <t>9:30 PM - 12:00 AM</t>
  </si>
  <si>
    <t>Week 1 Recap Session 2</t>
  </si>
  <si>
    <t>Architecture Patterns, choosing the appropriate Styles, Concepts, Techniques and Tools- 3</t>
  </si>
  <si>
    <t>CX CRM Applications/ Platforms evolution and Enterprise Connection </t>
  </si>
  <si>
    <t>Modern Data Architecture Patterns and Design Principles-2</t>
  </si>
  <si>
    <t>Enterprise grade information security, Governance, Compliance and Resilience to risks in Salesforce CRM</t>
  </si>
  <si>
    <t>Week 1 Recap Session 3</t>
  </si>
  <si>
    <t>Architecture Concepts, Techniques and Tools- 2​</t>
  </si>
  <si>
    <t>Domain Knowledge Acquisition</t>
  </si>
  <si>
    <t>Leveraging GenAI across SDLC architecture</t>
  </si>
  <si>
    <t>Data Architecture at Scale</t>
  </si>
  <si>
    <t>Considerations for selecting a Cloud Migration strategy</t>
  </si>
  <si>
    <t>Review Session Introspect 2</t>
  </si>
  <si>
    <t>Generic CX platform Architecture deep-dive  </t>
  </si>
  <si>
    <t>Modern Data Architecture Patterns and Design Principles-3 &amp; Data Mesh &amp; Data Fabric – Modern Integration Paradigms-1</t>
  </si>
  <si>
    <t xml:space="preserve">PM Knowledge Area-2 
 Managing Risks and Risk Communication to Stakeholders &amp; AI Project Management basics </t>
  </si>
  <si>
    <t>PM Knowledge Area-3
Cost Management and Budgeting Techniques</t>
  </si>
  <si>
    <t>Engaging Stakeholders and Influencing &amp; Appreciative Inquiry</t>
  </si>
  <si>
    <t>Architecture Patterns and choosing the appropriate Styles- 1​</t>
  </si>
  <si>
    <t>Gap Analysis Using AS-IS and TO-BE Models</t>
  </si>
  <si>
    <t xml:space="preserve">FinOps: Balancing cost optimization and cloud performance </t>
  </si>
  <si>
    <t>Architecture Patterns, choosing the appropriate Styles, Concepts, Techniques and Tools- 4</t>
  </si>
  <si>
    <t>Data Mesh &amp; Data Fabric – Modern Integration Paradigms-2</t>
  </si>
  <si>
    <t>Infrastructure &amp; Platform Architecture (Virtualization &amp; Compute) -1</t>
  </si>
  <si>
    <t>GenAI assisted Cloud Migration Strategy</t>
  </si>
  <si>
    <t>Appreciative Inquiry - Probing Skills,Negotiation and Conflict</t>
  </si>
  <si>
    <t>Config vs Custom vs Packaged vs External Build Decisions in CRM implementation, Testing, Validation, Cut-off &amp; Parallel runs</t>
  </si>
  <si>
    <t xml:space="preserve">Srikanth </t>
  </si>
  <si>
    <t>Domain driven design, Microservices patterns, Building Blocks of Cloud Native and High-Level system design- 1</t>
  </si>
  <si>
    <t>Architecture Patterns, choosing the appropriate Styles, Concepts, Techniques and Tools- 5</t>
  </si>
  <si>
    <t>Enterprise grade information security, Governance, Compliance and Resilience  </t>
  </si>
  <si>
    <t>Architecture Patterns and choosing the appropriate Styles- 2​</t>
  </si>
  <si>
    <t>Domain driven design, Microservices patterns, Building Blocks of Cloud Native and High-Level system design- 2</t>
  </si>
  <si>
    <t>Leveraging GenAI across SDLC architecture - 1</t>
  </si>
  <si>
    <t>Infrastructure &amp; Platform Architecture (Virtualization &amp; Compute) -2</t>
  </si>
  <si>
    <t>AI-Augmented Architectural Governance</t>
  </si>
  <si>
    <t>As per slots</t>
  </si>
  <si>
    <t>Introspect 3- Presentation with proper Solution Architecture Documentation</t>
  </si>
  <si>
    <t>Strategic Stakeholder Engagement</t>
  </si>
  <si>
    <t>Data Mesh &amp; Data Fabric – Modern Integration Paradigms-3</t>
  </si>
  <si>
    <t>PM Knowledge Area-4
Interaction of Scope, Time, Quality and Risk Management​</t>
  </si>
  <si>
    <t>GenAI and Prompt Engg for Architects- 1</t>
  </si>
  <si>
    <t>Value-Driven Prioritization and KPI Alignment</t>
  </si>
  <si>
    <t>Domain driven design, Microservices patterns, Building Blocks of Cloud Native and High-Level system design- 3</t>
  </si>
  <si>
    <t>AI &amp; Intelligent Systems</t>
  </si>
  <si>
    <t>AI-Augmented Architect Workflow</t>
  </si>
  <si>
    <t>Data Intelligence, analytics, Customization, Personalization, &amp; AI in Salesforce Architecture</t>
  </si>
  <si>
    <t>Leveraging GenAI across SDLC architecture - 2</t>
  </si>
  <si>
    <t>Serverless and Data Processing-1</t>
  </si>
  <si>
    <t>Systems Thinking</t>
  </si>
  <si>
    <t>Advanced Requirements Engineering &amp; Traceability</t>
  </si>
  <si>
    <t>Domain driven design, Microservices patterns, Building Blocks of Cloud Native and High-Level system design- 4</t>
  </si>
  <si>
    <t>Introspect 1 </t>
  </si>
  <si>
    <t>Serverless and Data Processing-2 &amp; Data Quality, Governance, and Observability-1</t>
  </si>
  <si>
    <t xml:space="preserve">AI-Augmented Architect Workflow + Cognitive activity </t>
  </si>
  <si>
    <t>Introspect 1- Individual Submission</t>
  </si>
  <si>
    <t>Managing Change</t>
  </si>
  <si>
    <t>Fact-based decision making and Storytelling</t>
  </si>
  <si>
    <t>GenAI and Prompt Engg for Architects- 2</t>
  </si>
  <si>
    <t>AI Awareness for Business Analysts</t>
  </si>
  <si>
    <t>10:00 AM to 12:00 PM</t>
  </si>
  <si>
    <t>Understanding Non-functional requirements</t>
  </si>
  <si>
    <t>Orthodox Easter Monday — Bulgaria, Spring Festival — Egypt</t>
  </si>
  <si>
    <t>Introspect 2</t>
  </si>
  <si>
    <t>Security &amp; Compliance by Design</t>
  </si>
  <si>
    <t>Contact Centre in CRM Solutions </t>
  </si>
  <si>
    <t>Architectural Trade-Offs</t>
  </si>
  <si>
    <t>1:00-6:00 PM, IST</t>
  </si>
  <si>
    <t>Continuous Professional Development</t>
  </si>
  <si>
    <t>Workshop</t>
  </si>
  <si>
    <t>Design and deploy DevOps pipeline and Automation Essentials- 1​</t>
  </si>
  <si>
    <t>Solution Evaluation &amp; Value Measurement</t>
  </si>
  <si>
    <t>Process of Architecting (7 Steps discovery), Architecture Vision &amp; Roadmap</t>
  </si>
  <si>
    <t>Data Quality, Governance, and Observability-2</t>
  </si>
  <si>
    <t>Governance, risk, and responsibility (critical for enterprise PMs)</t>
  </si>
  <si>
    <t>12:00-6:00 PM, IST</t>
  </si>
  <si>
    <t>Review &amp; Refactor Part 1-(Leadership Manifesto)</t>
  </si>
  <si>
    <t>Architecture Definition Document and Documentation</t>
  </si>
  <si>
    <t>CRM multi-cloud architecture &amp; NFRs </t>
  </si>
  <si>
    <t>Data Quality, Governance, and Observability-3 &amp; Visualizing and Communicating Data Insights-1</t>
  </si>
  <si>
    <t>Consulting acumen, Authenticity centric guidance</t>
  </si>
  <si>
    <t>Design and deploy DevOps pipeline and Automation Essentials-2​</t>
  </si>
  <si>
    <t>Data Fluency and Storytelling</t>
  </si>
  <si>
    <t>-</t>
  </si>
  <si>
    <t xml:space="preserve">Introspect 1: Cognitive Activity | Group Assignments </t>
  </si>
  <si>
    <t>Data Intelligence, business, &amp; process analytics,  </t>
  </si>
  <si>
    <t xml:space="preserve">Influencing without Authority </t>
  </si>
  <si>
    <t xml:space="preserve">Fact based decision making and Storytelling </t>
  </si>
  <si>
    <t>Visualizing and Communicating Data Insights-2</t>
  </si>
  <si>
    <t>Agility – Scrum, Kanban, DevOps Practices</t>
  </si>
  <si>
    <t>11:00 am to 12:00 pm</t>
  </si>
  <si>
    <t>Shrabani</t>
  </si>
  <si>
    <t>Deployment Patterns and Software Testing Primer​</t>
  </si>
  <si>
    <t>BA + AI Collaboration – What Changes?</t>
  </si>
  <si>
    <t>Case drives discussions on Driving Architectural Decision with Well-architected Framework- 1</t>
  </si>
  <si>
    <t>Domain driven design, Microservices patterns, Building Blocks of Cloud Native and High-Level system design- 5</t>
  </si>
  <si>
    <t>Introspect 2 </t>
  </si>
  <si>
    <t>Architecture Artifacts &amp; Decision Défense</t>
  </si>
  <si>
    <t>Introspect 2-Viva Voce Slot-3</t>
  </si>
  <si>
    <t>TBD</t>
  </si>
  <si>
    <t>Introspect 1</t>
  </si>
  <si>
    <t>Individual Presentation (Virtual) on
Section A-Leadership Manifesto (Individual Presentation)
Section B-Self Reflection &amp; Application</t>
  </si>
  <si>
    <t>0.25 / learner</t>
  </si>
  <si>
    <t>Case drives discussions on Driving Architectural Decision with Well-architected Framework- 2</t>
  </si>
  <si>
    <t>Domain driven design, Microservices patterns, Building Blocks of Cloud Native and High-Level system design- 6</t>
  </si>
  <si>
    <t>Security and Trust in Data Projects-1</t>
  </si>
  <si>
    <t>10:00 am to 12:30 pm</t>
  </si>
  <si>
    <t>Data Architecture Overview</t>
  </si>
  <si>
    <t>Security By Design</t>
  </si>
  <si>
    <t>Personal Roadmap for AI-Readiness</t>
  </si>
  <si>
    <t>Putting it all together</t>
  </si>
  <si>
    <t>9:30 am- 12:00 pm</t>
  </si>
  <si>
    <t xml:space="preserve"> Agile Mindset Program</t>
  </si>
  <si>
    <t>Master Class</t>
  </si>
  <si>
    <t>7:30 PM to 8:00 PM</t>
  </si>
  <si>
    <t>Kick-Off Session </t>
  </si>
  <si>
    <t>AI Fundamentals for BAs – Beyond the Buzzwords</t>
  </si>
  <si>
    <t>"Introspect 1-Part A-Cognititve Activity on LMS 
Part B-Group Assignment Submission on LMS (Deadline-3rd May 2026)"</t>
  </si>
  <si>
    <t>Delivering Agile Way (Predictability, Release planning), Managing Risks Agile Way</t>
  </si>
  <si>
    <t>Process of Architecting (7 Steps discovery), Architecture Vision &amp; Roadmap​</t>
  </si>
  <si>
    <t>Strategic Questioning Frameworks</t>
  </si>
  <si>
    <t>AI-Enabled Problem Solving &amp; Solution Evaluation</t>
  </si>
  <si>
    <t>CX CRM extension solution, examples and engineering disciplines </t>
  </si>
  <si>
    <t>11:00 am to 12:30 pm</t>
  </si>
  <si>
    <t>Security &amp; Trust</t>
  </si>
  <si>
    <t>Architecture Definition Document and Documentation​</t>
  </si>
  <si>
    <t>Introspect-2: Documentation Submission | Individual Viva Voce</t>
  </si>
  <si>
    <t xml:space="preserve">Introspect 3 - Case Study Analysis + Presentation </t>
  </si>
  <si>
    <t>Additional Session</t>
  </si>
  <si>
    <t>7:30 PM to 10:00 PM</t>
  </si>
  <si>
    <t>Architectural Thinking &amp; EA Foundations </t>
  </si>
  <si>
    <t>Data Fluency &amp; Storytelling</t>
  </si>
  <si>
    <t>Architecture Artifacts, Architectural decisions </t>
  </si>
  <si>
    <t>09:00 AM to 01:00 PM</t>
  </si>
  <si>
    <t>Case Study Session 1</t>
  </si>
  <si>
    <t>4:30 PM to 08:30 PM</t>
  </si>
  <si>
    <t>Holistic Practice on your own project</t>
  </si>
  <si>
    <t>EA Governance &amp; Value Realization </t>
  </si>
  <si>
    <t>Case driven workshops on Architecting for Digital Transformation-1​ (Application Architecture)</t>
  </si>
  <si>
    <t>Meeting Preparation and Strategic Framing</t>
  </si>
  <si>
    <t>12:30 pm- 2 pm</t>
  </si>
  <si>
    <t>Coaching Session</t>
  </si>
  <si>
    <t>Intelligent Enterprise Concepts </t>
  </si>
  <si>
    <t>Tools &amp; Templates for AI-Augmented BA Work</t>
  </si>
  <si>
    <t>Fault-Tolerant Design</t>
  </si>
  <si>
    <t>02:00 PM to 06:00 PM</t>
  </si>
  <si>
    <t>Group Presentation</t>
  </si>
  <si>
    <t>12:00 PM to 12:45 PM</t>
  </si>
  <si>
    <t>Elyas</t>
  </si>
  <si>
    <t>Kick-off</t>
  </si>
  <si>
    <t>Introspect 3 </t>
  </si>
  <si>
    <t>9:00 AM - 1:00 PM</t>
  </si>
  <si>
    <t>Case driven workshops on Architecting for Digital Transformation-2​ (Application Architecture)</t>
  </si>
  <si>
    <t>Root Cause Analysis and Retrospectives</t>
  </si>
  <si>
    <t>6PM to 7PM (IST)</t>
  </si>
  <si>
    <t>Kavya</t>
  </si>
  <si>
    <t>Kick-off + Release of Pre Program Activities</t>
  </si>
  <si>
    <t xml:space="preserve">SR + Lowes </t>
  </si>
  <si>
    <t>Intelligent &amp; Agentic Systems </t>
  </si>
  <si>
    <t>Future Skills &amp; Self-Development Path</t>
  </si>
  <si>
    <t>Review and refactor  1</t>
  </si>
  <si>
    <t xml:space="preserve">Sailesh </t>
  </si>
  <si>
    <t>MDM</t>
  </si>
  <si>
    <t>Case Study Session 2</t>
  </si>
  <si>
    <t>Understanding Requirements Lifecycle for Customer Success and Business Outcomes</t>
  </si>
  <si>
    <t>9:00 AM - 2:00 PM</t>
  </si>
  <si>
    <t>Foundations of Data Modeling &amp; Need for Modeling Proficiency</t>
  </si>
  <si>
    <t>Shayantan </t>
  </si>
  <si>
    <t>Data Products &amp; Intelligent Operations </t>
  </si>
  <si>
    <t>Case driven workshops on Architecting for Digital Transformation-3 (Application Architecture)</t>
  </si>
  <si>
    <t>Visual Thinking and Solution Prototyping</t>
  </si>
  <si>
    <t>Case drives discussions on Driving Architectural Decision with Well-architected Framework- 3</t>
  </si>
  <si>
    <t>Requirements Gathering &amp; Translating Business Needs into Models</t>
  </si>
  <si>
    <t>Session 3</t>
  </si>
  <si>
    <t>Operational Resilience, Governance &amp; FinOps </t>
  </si>
  <si>
    <t>Data Modeling Tools (DBDesigner / Erwin / Alternatives) &amp; ERD Construction</t>
  </si>
  <si>
    <t>Session 4</t>
  </si>
  <si>
    <t>Review and refactor  2</t>
  </si>
  <si>
    <t>Advanced Modelling (1)</t>
  </si>
  <si>
    <t>Git / GitHub for Model Versioning &amp; Collaboration</t>
  </si>
  <si>
    <t>Session 5</t>
  </si>
  <si>
    <t>7:00 PM - 11:00 PM</t>
  </si>
  <si>
    <t xml:space="preserve">Pinnacle </t>
  </si>
  <si>
    <t>6PM to 8PM (IST)</t>
  </si>
  <si>
    <t>Reimagine Principal Engineering at Lowe’s</t>
  </si>
  <si>
    <t>Review and Refactor for Final Introspect ( Group)​</t>
  </si>
  <si>
    <t xml:space="preserve">Advanced Visualization Techniques </t>
  </si>
  <si>
    <t>Model Management, Standards &amp; Day 3-5 Check-In Assessment</t>
  </si>
  <si>
    <t>Session 6</t>
  </si>
  <si>
    <t>Enterprise Moments that Create Principals</t>
  </si>
  <si>
    <t>Strategic Meeting Preparation &amp; Framing</t>
  </si>
  <si>
    <t>Final Capstone 
(Team of 2)  Slot 1</t>
  </si>
  <si>
    <t>Advanced Modelling (2)</t>
  </si>
  <si>
    <t>Case Study Session 3</t>
  </si>
  <si>
    <t>Project KPIs and Metrics</t>
  </si>
  <si>
    <t>JAD, Collaborative Design &amp; Advanced Modeling Patterns</t>
  </si>
  <si>
    <t>7:30 PM to 10:30 PM</t>
  </si>
  <si>
    <t>Insight-Led Decision Making &amp; Business Case - Capstone</t>
  </si>
  <si>
    <t>Modern Data Platforms</t>
  </si>
  <si>
    <t xml:space="preserve">Final Introspect and Summary with best presentations and best documentations </t>
  </si>
  <si>
    <t>Alignment with Agile Product Delivery</t>
  </si>
  <si>
    <t>Introspect 2:Part-B Individual Viva Voice - Slot-1</t>
  </si>
  <si>
    <t>Dimensional Modeling, SCD, Surrogate Keys &amp; Midpoint Milestone</t>
  </si>
  <si>
    <t>Session 7</t>
  </si>
  <si>
    <t>Deep-Dive into Consultative Questioning</t>
  </si>
  <si>
    <t>Introspect 2:Part-B Individual Viva Voice - Slot-2</t>
  </si>
  <si>
    <t>Advanced Modelling (3)</t>
  </si>
  <si>
    <t>Building a Shift-left Mindset for Risk Mitigation in Strategic Partnerships</t>
  </si>
  <si>
    <t>9:30 am- 6:30 pm</t>
  </si>
  <si>
    <t xml:space="preserve">Full day workshop </t>
  </si>
  <si>
    <t>Source Profiling, ETL/ELT &amp; Source-to-Target Mapping (STTM)</t>
  </si>
  <si>
    <t>Session 8</t>
  </si>
  <si>
    <t>7:30 PM to 8:30 PM</t>
  </si>
  <si>
    <t>Kick-off session + Release of Self Study Guide (AI-enabled learning approach introduction) </t>
  </si>
  <si>
    <t>Monthly Reserve Slot</t>
  </si>
  <si>
    <t>Introspect 2:Part-B Individual Viva Voice - Slot-3</t>
  </si>
  <si>
    <t>Final Capstone 
(Team of 2) Slot 2</t>
  </si>
  <si>
    <t>Advanced Modelling (4)</t>
  </si>
  <si>
    <t>Data Governance, Quality, Validation &amp; MDM</t>
  </si>
  <si>
    <t>Introspect 2:Part-B Individual Viva Voice - Slot-4 &amp; Group Documentation Submission</t>
  </si>
  <si>
    <t>Final Proctored Capstone Workshop (Shadey Inc. Retail/CPG)</t>
  </si>
  <si>
    <t>Visual Thinking &amp; Simulation Tools for Bas</t>
  </si>
  <si>
    <t>Streaming (Kafka 1)</t>
  </si>
  <si>
    <t>Leader's Connect 1 + Program Orchestration Fundamentals (from Projects to Programs)</t>
  </si>
  <si>
    <t>Program Kick-off + Release of Self Study Guide</t>
  </si>
  <si>
    <t>Root Cause Analysis &amp; Retrospective Facilitation</t>
  </si>
  <si>
    <t>Resource &amp; Capacity Orchestration Across Projects</t>
  </si>
  <si>
    <t>Streaming (Kafka 2)</t>
  </si>
  <si>
    <t>Data-Intensive Design Core</t>
  </si>
  <si>
    <t>Value Validation Fundamentals</t>
  </si>
  <si>
    <t>9:00 AM - 10:30 AM</t>
  </si>
  <si>
    <t>Capstone presentation</t>
  </si>
  <si>
    <t xml:space="preserve">Reimagine Enterprise Architecture </t>
  </si>
  <si>
    <t>Case Study Session 4</t>
  </si>
  <si>
    <t>Leader's Connect 2 + Contracting the Work: Scope, Roles &amp; Controls</t>
  </si>
  <si>
    <t>10:00 AM to 11:30 AM</t>
  </si>
  <si>
    <t xml:space="preserve">AI SDLC Foundations &amp; Spec-Driven Development session 1 </t>
  </si>
  <si>
    <t xml:space="preserve">Kishore </t>
  </si>
  <si>
    <t>TOGAF Overview &amp; Enterprise Architecture Frameworks</t>
  </si>
  <si>
    <t>Domain &amp; Data Modelling Strategy</t>
  </si>
  <si>
    <t>Architectural Concepts in Data</t>
  </si>
  <si>
    <t>Financial Acumen for Bas</t>
  </si>
  <si>
    <t xml:space="preserve">Agile Business Architecture and Value Stream-1 </t>
  </si>
  <si>
    <t>Schema, Encoding &amp; Distribution</t>
  </si>
  <si>
    <t>Modelling Masterclass: BPMN, UML &amp; AI Extensions</t>
  </si>
  <si>
    <t>Streaming (Kafka 3)</t>
  </si>
  <si>
    <t>Service Mindset to Product Mindset - Customer Centricity - Design Thinking</t>
  </si>
  <si>
    <t>AI SDLC Foundations &amp; Spec-Driven Development session 2</t>
  </si>
  <si>
    <t>Case Study 1 – Architecting Complex Data Solutions and Business vs. Technical Trade-offs in Data Solutions</t>
  </si>
  <si>
    <t>AI SDLC Foundations &amp; Spec-Driven Development session 3</t>
  </si>
  <si>
    <t>Polyglot Persistence &amp; Streaming Architecture</t>
  </si>
  <si>
    <t>Case Analysis-1 (GROUP)</t>
  </si>
  <si>
    <t>Commercial Impact &amp; Business Case Evaluation</t>
  </si>
  <si>
    <t xml:space="preserve">Agile Business Architecture and Value Stream-2 </t>
  </si>
  <si>
    <t>Systems Thinking &amp; Architectural Framing</t>
  </si>
  <si>
    <t>Change Advocacy &amp; Influence Under Uncertainty</t>
  </si>
  <si>
    <t>Review Refactor for Introspect 1- Session 1</t>
  </si>
  <si>
    <t>Product Mindset - Platform Mindset – Agentic Mindset</t>
  </si>
  <si>
    <t xml:space="preserve">RAG Foundations session 1 </t>
  </si>
  <si>
    <t>Enterprise Architecture Governance</t>
  </si>
  <si>
    <t xml:space="preserve">Enterprise Architecture in Practice </t>
  </si>
  <si>
    <t>Introspect 1 – Data-Intensive Architecture &amp; Design</t>
  </si>
  <si>
    <t>Review and Refactor - 1</t>
  </si>
  <si>
    <t>9:00 am to 11:00 am</t>
  </si>
  <si>
    <t>Review Refactor for Introspect 1- Session 2</t>
  </si>
  <si>
    <t>Fact Based Decision Making</t>
  </si>
  <si>
    <t>RAG Foundations session 2</t>
  </si>
  <si>
    <t>Case Study 2 – Architecting Complex Data Solutions and Business vs. Technical Trade-offs in Data Solutions</t>
  </si>
  <si>
    <t xml:space="preserve">Introspect 2- Introspect 2 – Cognitive Activity + Scenario-based questions  </t>
  </si>
  <si>
    <t>Cloud-Native Reference Architectures</t>
  </si>
  <si>
    <t>Introduction to Data Modelling</t>
  </si>
  <si>
    <t>Final Introspect</t>
  </si>
  <si>
    <t xml:space="preserve">Masterclass: Enterprise Operations &amp; SRE </t>
  </si>
  <si>
    <t>Performance Engineering &amp; Scalability</t>
  </si>
  <si>
    <t>Review and Refactor - 2</t>
  </si>
  <si>
    <t>Introspect- 1</t>
  </si>
  <si>
    <t xml:space="preserve"> Leader's Connect 3 + Agentic AI concepts PMs must understand (not build)</t>
  </si>
  <si>
    <t>RAG Foundations session 3</t>
  </si>
  <si>
    <t xml:space="preserve">Masterclass: AI as a Way of Working in Enterprise Architecture </t>
  </si>
  <si>
    <t xml:space="preserve">Nivarti </t>
  </si>
  <si>
    <t>Dimensional Modelling</t>
  </si>
  <si>
    <t>Architecting for Business Value and Non-Functional Excellence</t>
  </si>
  <si>
    <t>Observability &amp; Operability (SRE-aligned)</t>
  </si>
  <si>
    <t>FinOps</t>
  </si>
  <si>
    <t>How PMs design agentic workflows (without coding)</t>
  </si>
  <si>
    <t>RAG Foundations session 4</t>
  </si>
  <si>
    <t>Industry  Practitioner Connect</t>
  </si>
  <si>
    <t>Sandeep</t>
  </si>
  <si>
    <t>Consulting Mindset for Architects</t>
  </si>
  <si>
    <t>Advanced RAG Patterns session 1</t>
  </si>
  <si>
    <t>CI/CD, Release &amp; Supply-Chain Security</t>
  </si>
  <si>
    <t>Data Platform Architecture Decisions</t>
  </si>
  <si>
    <t xml:space="preserve">Masterclass: Sustainable &amp; FinOps-driven Architecture </t>
  </si>
  <si>
    <t>Resilience &amp; Recovery Engineering</t>
  </si>
  <si>
    <t>Systems Thinking &amp; Architectural Judgment</t>
  </si>
  <si>
    <t>12:00 PM - 1:30 PM</t>
  </si>
  <si>
    <t>Strategic thinking: Aligning project vision with strategy – Integrated Solutioning</t>
  </si>
  <si>
    <t>Leader's Connect 3 + Agentic AI concepts PMs must understand (not build)</t>
  </si>
  <si>
    <t>Advanced RAG Patterns session 2</t>
  </si>
  <si>
    <t xml:space="preserve">De-brief – Introduction to Case-based Learning </t>
  </si>
  <si>
    <t>Advanced Security </t>
  </si>
  <si>
    <t>Stakeholder Management: Understanding Stakeholder Interest &amp; Concerns</t>
  </si>
  <si>
    <t>Advanced RAG Patterns session 3</t>
  </si>
  <si>
    <t>"Data Pipeline Orchestration and Automation"</t>
  </si>
  <si>
    <t>Advanced RAG Patterns session 4</t>
  </si>
  <si>
    <t>Decision-making Under Ambiguity</t>
  </si>
  <si>
    <t>Serverless Data Architectures</t>
  </si>
  <si>
    <t xml:space="preserve">Case-driven Architecture Analysis-1 </t>
  </si>
  <si>
    <t>Trade-off Articulation to Technical &amp; Business Stakeholders</t>
  </si>
  <si>
    <t>10:00 AM to 01:00 PM</t>
  </si>
  <si>
    <t>Business Drivers &amp; Enterprise Context for Architects</t>
  </si>
  <si>
    <t>02:00 PM to 05:00 PM</t>
  </si>
  <si>
    <t>06:30 PM to 09:30 PM</t>
  </si>
  <si>
    <t>Building Trust with team members</t>
  </si>
  <si>
    <t xml:space="preserve">Agentic AI &amp; Multi-Agent Workflows session 1 </t>
  </si>
  <si>
    <t>Case-driven Architecture Analysis-2</t>
  </si>
  <si>
    <t>Introspect 2 – Operability, Reliability, Platform Golden Paths</t>
  </si>
  <si>
    <t>Agentic AI &amp; Multi-Agent Workflows session 2</t>
  </si>
  <si>
    <t>Agentic AI &amp; Multi-Agent Workflows session 3</t>
  </si>
  <si>
    <t>(Assessment through LMS)</t>
  </si>
  <si>
    <t xml:space="preserve">Introspect 1 – Cognitive Activity </t>
  </si>
  <si>
    <t xml:space="preserve">Case-driven Architecture Analysis-3 </t>
  </si>
  <si>
    <t>DataOps (1)</t>
  </si>
  <si>
    <t>Constraints &amp; Regulatory/Compliance Factors</t>
  </si>
  <si>
    <t>Influencing (without Authority) Skills ​</t>
  </si>
  <si>
    <t>Agentic AI &amp; Multi-Agent Workflows session 4</t>
  </si>
  <si>
    <t>Case-driven Architecture Analysis-4</t>
  </si>
  <si>
    <t>Azure Databricks Architecture</t>
  </si>
  <si>
    <t>Architecture Decision Records, ARB &amp; EA Documentation</t>
  </si>
  <si>
    <t>DataOps (2)</t>
  </si>
  <si>
    <t>Collaboration</t>
  </si>
  <si>
    <t>Enterprise AI Architecture &amp; Security session 1</t>
  </si>
  <si>
    <t>DataOps (3)</t>
  </si>
  <si>
    <t>Endemic Problem Discovery &amp; Framing</t>
  </si>
  <si>
    <t>Performance Optimization &amp; Index Architecture</t>
  </si>
  <si>
    <t xml:space="preserve">Enterprise Architecture Program Management </t>
  </si>
  <si>
    <t>Structured Diagnosis &amp; Systems Thinking</t>
  </si>
  <si>
    <t>Cloud Native (1)</t>
  </si>
  <si>
    <t>Technology Landscape &amp; Architecture Trade-offs</t>
  </si>
  <si>
    <t xml:space="preserve">Conflict Management </t>
  </si>
  <si>
    <t>Enterprise AI Architecture &amp; Security session 2</t>
  </si>
  <si>
    <t>Fact-Based Decision Making for Architects</t>
  </si>
  <si>
    <t xml:space="preserve">From Storytelling to Story-Selling </t>
  </si>
  <si>
    <t>Experimentation &amp; Safe Rollouts</t>
  </si>
  <si>
    <t>Cloud Native (2)</t>
  </si>
  <si>
    <t>Negotiations for Mutually beneficial agreements</t>
  </si>
  <si>
    <t>Enterprise AI Architecture &amp; Security session 3</t>
  </si>
  <si>
    <t>Case Study 3 – Architecting Complex Data Solutions and Business vs. Technical Trade-offs in Data Solutions</t>
  </si>
  <si>
    <t>Evaluation (Evals) as SDLC Artifact session 1</t>
  </si>
  <si>
    <t xml:space="preserve">Dr Anil </t>
  </si>
  <si>
    <t>POC → POT → Production with ROI</t>
  </si>
  <si>
    <t>Principles of Data Cleansing</t>
  </si>
  <si>
    <t>Immersive Sessions with Coaching &amp; -Mentoring -1</t>
  </si>
  <si>
    <t>Automation &amp; Portfolio Accelerators</t>
  </si>
  <si>
    <t>Review Refactor for Introspect 2- Session 1</t>
  </si>
  <si>
    <t>Review Refactor</t>
  </si>
  <si>
    <t>DXC Internal Session</t>
  </si>
  <si>
    <t>Evaluation (Evals) as SDLC Artifact session 2</t>
  </si>
  <si>
    <t>Immersive Sessions with Coaching &amp; -Mentoring -2</t>
  </si>
  <si>
    <t>Case Analysis-2 (GROUP)</t>
  </si>
  <si>
    <t>Immersive Sessions with Coaching &amp; -Mentoring -3</t>
  </si>
  <si>
    <t>Review Refactor for Introspect 2- Session 2</t>
  </si>
  <si>
    <t>Evaluation (Evals) as SDLC Artifact session 3</t>
  </si>
  <si>
    <t>9:00 am to 12:00 pm</t>
  </si>
  <si>
    <t>Case Study 4 – Architecting Complex Data Solutions and Business vs. Technical Trade-offs in Data Solutions</t>
  </si>
  <si>
    <t xml:space="preserve">LLMOps, Observability &amp; Cost Optimization session 1 </t>
  </si>
  <si>
    <t>Structured Problem Diagnosis &amp; Hypothesis Framing</t>
  </si>
  <si>
    <t>Immersive Sessions with Coaching &amp; -Mentoring -4</t>
  </si>
  <si>
    <t>Introspect 3 – Systemic Problem Solving &amp; Accelerators</t>
  </si>
  <si>
    <t>Case Study 5 – Architecting Complex Data Solutions and Business vs. Technical Trade-offs in Data Solutions -1</t>
  </si>
  <si>
    <t xml:space="preserve">LLMOps, Observability &amp; Cost Optimization session 2 </t>
  </si>
  <si>
    <t>Data Governance Primer</t>
  </si>
  <si>
    <t xml:space="preserve">De-brief – EA Evidence, Opportunity Canvas, Documentation </t>
  </si>
  <si>
    <t xml:space="preserve">LLMOps, Observability &amp; Cost Optimization session 3 </t>
  </si>
  <si>
    <t>AI Use-Case Architecture Selection</t>
  </si>
  <si>
    <t>Data Governance Primer / Data Quality Fundamentals</t>
  </si>
  <si>
    <t>Consulting Acumen: Strategic Thinking</t>
  </si>
  <si>
    <t>Enterprise GenAI Patterns</t>
  </si>
  <si>
    <t>Coaching &amp; Mentoring Session- 1</t>
  </si>
  <si>
    <t xml:space="preserve">Introspect 3 – Group Presentation
</t>
  </si>
  <si>
    <t>Introspect 3 – Group Presentation</t>
  </si>
  <si>
    <t xml:space="preserve">Review and Refactor </t>
  </si>
  <si>
    <t xml:space="preserve">Consulting Acumen: System Thinking &amp; Modelling </t>
  </si>
  <si>
    <t>Data Lakes &amp; Warehouses
Security Fundamentals / Dashboarding / Platform Engineering</t>
  </si>
  <si>
    <t>Consulting Acumen: Interaction Excellence &amp; Stakeholder Management</t>
  </si>
  <si>
    <t>Coaching &amp; Mentoring Session- 2</t>
  </si>
  <si>
    <t>Capstone Project – GenAI Solution</t>
  </si>
  <si>
    <t>Coaching &amp; Mentoring Session- 3</t>
  </si>
  <si>
    <t>Responsible AI, Privacy &amp; Governance</t>
  </si>
  <si>
    <t>Consulting Acumen: Independent Research &amp; Industry Insights</t>
  </si>
  <si>
    <t>LLMOps/MLOps &amp; Observability</t>
  </si>
  <si>
    <t>Individual Account-based Presentation​</t>
  </si>
  <si>
    <t xml:space="preserve">Developing Perspectives &amp; Thought Leadership </t>
  </si>
  <si>
    <t xml:space="preserve">Authenticity-Centric Guidance </t>
  </si>
  <si>
    <t>Cost/Latency Optimization at Scale</t>
  </si>
  <si>
    <t>Driving Alignment Across Business, Security, Legal, and Platform Stakeholders</t>
  </si>
  <si>
    <t>Communicating AI Risk, Value, and Trade-offs with Executive Clarity</t>
  </si>
  <si>
    <t>Technical Article / Poster &amp; EA Documentation Review (Mentoring) - Slot- 1 (Slot-wise)</t>
  </si>
  <si>
    <t xml:space="preserve">Cloud Cost Optimization / AI in Data Architecture </t>
  </si>
  <si>
    <t>Technical Article / Poster &amp; EA Documentation Review (Mentoring) - Slot- 2 (Slot-wise)</t>
  </si>
  <si>
    <t>Introspect 4 – AI &amp; Intelligent Systems—Responsible Integration</t>
  </si>
  <si>
    <t>Engineering Standards &amp; Quality Systems</t>
  </si>
  <si>
    <t>Case Analysis-3 (GROUP)</t>
  </si>
  <si>
    <t>Technical Article / Poster &amp; EA Documentation Review (Mentoring) - Slot- 3 (Slot-wise)</t>
  </si>
  <si>
    <t>Architecture Review &amp; Technical Governance</t>
  </si>
  <si>
    <t>Phase 3 Exit: Blog / Poster + EA Documentation - Individual Submission </t>
  </si>
  <si>
    <t>Mentorship at Scale</t>
  </si>
  <si>
    <t>Org-Level Leverage</t>
  </si>
  <si>
    <t>Case Analysis-3(GROUP)</t>
  </si>
  <si>
    <t>Executive Communication &amp; Technical Storytelling</t>
  </si>
  <si>
    <t>Introspect 5 – Standards, Governance, Raising the Bar</t>
  </si>
  <si>
    <t>Introspect 2 - Group Presentation</t>
  </si>
  <si>
    <t>Influence Without Authority</t>
  </si>
  <si>
    <t>Strategic Communication</t>
  </si>
  <si>
    <t>Conflict Resolution &amp; Negotiation</t>
  </si>
  <si>
    <t>Cross-Org Consultation</t>
  </si>
  <si>
    <t>Technical Leadership Presence</t>
  </si>
  <si>
    <t>Coaching &amp; Mentoring Session</t>
  </si>
  <si>
    <t>Introspect 6 – Influence Without Authority + Final Readiness</t>
  </si>
  <si>
    <t>Release of Post Program -180 Degree</t>
  </si>
  <si>
    <t>Phase 3B: Aspiring Architect Program Essentials (UST Internal Workshop)</t>
  </si>
  <si>
    <t>UST specific contextualized internal workshop</t>
  </si>
  <si>
    <t>Coforge</t>
  </si>
  <si>
    <t>Orion</t>
  </si>
  <si>
    <t>Dell</t>
  </si>
  <si>
    <t>Sigmoid</t>
  </si>
  <si>
    <t>TCS</t>
  </si>
  <si>
    <t>30 mins</t>
  </si>
  <si>
    <t>Info Session</t>
  </si>
  <si>
    <t xml:space="preserve">Program Kick-off + Release of Self Learning </t>
  </si>
  <si>
    <t>10am to 11:30am</t>
  </si>
  <si>
    <t>Designing AI-Ready Information Architectures-1</t>
  </si>
  <si>
    <t>Designing AI-Ready Information Architectures-2</t>
  </si>
  <si>
    <t>Reimagine Enterprise Architecture (SA+ to EA transition, Enterprise context, AI-driven EA evolution) </t>
  </si>
  <si>
    <t xml:space="preserve">6:00 PM to 7:00 PM </t>
  </si>
  <si>
    <t>Principal Engineer Readiness Program</t>
  </si>
  <si>
    <t>GenAI Foundations for Architects-1</t>
  </si>
  <si>
    <t>Agile Business Architecture and Value Stream-1 (Platform value streams, ecosystem thinking, AI insights) </t>
  </si>
  <si>
    <t>GenAI Foundations for Architects-2</t>
  </si>
  <si>
    <t>GenAI Foundations for Architects-3</t>
  </si>
  <si>
    <t xml:space="preserve">6:00 PM to 8:00 PM </t>
  </si>
  <si>
    <t>Agile Business Architecture and Value Stream-2 (Monetization, platform business models, AI-driven value realization) </t>
  </si>
  <si>
    <t>Enterprise Architecture Governance (incl. Zero Trust Security, Compliance, AI-enabled governance) </t>
  </si>
  <si>
    <t>AI-Native Development (SDLC + Code Generation)-1</t>
  </si>
  <si>
    <t>Enterprise Architecture in Practice (Industry examples + Enterprise Integration patterns + AI use cases) </t>
  </si>
  <si>
    <t>AI-Native Development (SDLC + Code Generation)-2</t>
  </si>
  <si>
    <t>AI-Native Development (SDLC + Code Generation)-3</t>
  </si>
  <si>
    <t>Masterclass: Enterprise Operations &amp; SRE (Automation, AIOps, Reliability Engineering) </t>
  </si>
  <si>
    <t>Masterclass: AI as a Way of Working in Enterprise Architecture (embedded use across EA lifecycle) </t>
  </si>
  <si>
    <t>AI-Native Development (SDLC + Code Generation)-4</t>
  </si>
  <si>
    <t>Masterclass: Sustainable &amp; FinOps-driven Architecture (cost, efficiency, green IT with AI insights) </t>
  </si>
  <si>
    <t>Phase 1 Exit – Cognitive Activities (Enterprise + AI + Platform understanding) - Individual Submission in LMS</t>
  </si>
  <si>
    <t>RAG – Architecture &amp; Hands-on-1</t>
  </si>
  <si>
    <t>RAG – Architecture &amp; Hands-on-2</t>
  </si>
  <si>
    <t>RAG – Architecture &amp; Hands-on-3</t>
  </si>
  <si>
    <t>RAG – Architecture &amp; Hands-on-4</t>
  </si>
  <si>
    <t>Agentic AI – Multi-Agent Systems-1</t>
  </si>
  <si>
    <t>Agentic AI – Multi-Agent Systems-2</t>
  </si>
  <si>
    <t xml:space="preserve">Introspect- 1		</t>
  </si>
  <si>
    <t>Agentic AI – Multi-Agent Systems-3</t>
  </si>
  <si>
    <t>Agentic AI – Multi-Agent Systems-4</t>
  </si>
  <si>
    <t>AI-led Data Migration &amp; Integration-1</t>
  </si>
  <si>
    <t>AI-led Data Migration &amp; Integration-2</t>
  </si>
  <si>
    <t>LLMOps &amp; Evaluation (Evals)-1</t>
  </si>
  <si>
    <t>LLMOps &amp; Evaluation (Evals)-2</t>
  </si>
  <si>
    <t>Introspect 1 – Cognitive Activity (MCQ)</t>
  </si>
  <si>
    <t xml:space="preserve">Introspect 2		</t>
  </si>
  <si>
    <t xml:space="preserve">Introspect 2 </t>
  </si>
  <si>
    <t>De-brief – Introduction to Case-based Learning (Enterprise + Platform scenarios) </t>
  </si>
  <si>
    <t>Case-driven Architecture Analysis-1 (Business + Application + Platform Architecture) </t>
  </si>
  <si>
    <t>Case-driven Architecture Analysis-2 (Data, Analytics &amp; Information Architecture – AI-driven insights) </t>
  </si>
  <si>
    <t>Case-driven Architecture Analysis-3 (Integration, APIs, Ecosystem &amp; Distributed Architecture) </t>
  </si>
  <si>
    <t>Case-driven Architecture Analysis-4 (NFRs, SRE, Reliability, Performance &amp; Scalability) </t>
  </si>
  <si>
    <t>Architecture Decision Records, ARB &amp; EA Documentation (AI-assisted decisioning &amp; documentation) </t>
  </si>
  <si>
    <t>Santosh K</t>
  </si>
  <si>
    <t>Enterprise Architecture Program Management (Roadmapping, value tracking, AI-enabled reporting) </t>
  </si>
  <si>
    <t xml:space="preserve">Manohar </t>
  </si>
  <si>
    <t>Fact-Based Decision Making for Architects (Data, Analytics &amp; AI-driven decisioning) </t>
  </si>
  <si>
    <t>From Storytelling to Story-Selling (Data + AI-backed narratives for stakeholders) </t>
  </si>
  <si>
    <t>Immersive Sessions with Coaching &amp; -Mentoring (Platform + Enterprise solutioning use cases) -1</t>
  </si>
  <si>
    <t>Immersive Sessions with Coaching &amp; Mentoring (Platform + Enterprise solutioning use cases) -2</t>
  </si>
  <si>
    <t>Immersive Sessions with Coaching &amp; Mentoring (Platform + Enterprise solutioning use cases) -3</t>
  </si>
  <si>
    <t>Immersive Sessions with Coaching &amp; Mentoring (Platform + Enterprise solutioning use cases) -4</t>
  </si>
  <si>
    <t xml:space="preserve">Phase 2 Exit: Roleplays on EA Decision-Making (Consultative + Solution focus) - Group Presentation </t>
  </si>
  <si>
    <t>De-brief – EA Evidence, Opportunity Canvas, Documentation (AI-supported research &amp; synthesis) </t>
  </si>
  <si>
    <t>Consulting Acumen: Strategic Thinking (Enterprise strategy + AI-driven decision making) </t>
  </si>
  <si>
    <t>Consulting Acumen: System Thinking &amp; Modelling (Platform ecosystems, architecture modelling) </t>
  </si>
  <si>
    <t>Consulting Acumen: Interaction Excellence &amp; Stakeholder Management (Consultative influence) </t>
  </si>
  <si>
    <t>Consulting Acumen: Independent Research &amp; Industry Insights (AI-assisted research) </t>
  </si>
  <si>
    <t>Developing Perspectives &amp; Thought Leadership (Data-driven and AI-augmented perspectives) </t>
  </si>
  <si>
    <t>Authenticity-Centric Guidance (Trusted advisor mindset, consultative positioning) </t>
  </si>
  <si>
    <t>LMS uploads</t>
  </si>
  <si>
    <t>1 </t>
  </si>
  <si>
    <r>
      <rPr>
        <b/>
        <sz val="12"/>
        <color rgb="FFFF0000"/>
        <rFont val="Candara"/>
        <family val="2"/>
      </rPr>
      <t>Kick-off session + Release of Self Study Guide (AI-enabled learning approach introduction) </t>
    </r>
  </si>
  <si>
    <t>2 </t>
  </si>
  <si>
    <r>
      <t>Masterclass: </t>
    </r>
    <r>
      <rPr>
        <sz val="12"/>
        <color rgb="FF000000"/>
        <rFont val="Candara"/>
        <family val="2"/>
      </rPr>
      <t xml:space="preserve">Enterprise Operations &amp; SRE </t>
    </r>
  </si>
  <si>
    <r>
      <t>Masterclass:</t>
    </r>
    <r>
      <rPr>
        <sz val="12"/>
        <color rgb="FF000000"/>
        <rFont val="Candara"/>
        <family val="2"/>
      </rPr>
      <t xml:space="preserve"> AI as a Way of Working in Enterprise Architecture </t>
    </r>
  </si>
  <si>
    <r>
      <t>Masterclass: </t>
    </r>
    <r>
      <rPr>
        <sz val="12"/>
        <color rgb="FF000000"/>
        <rFont val="Candara"/>
        <family val="2"/>
      </rPr>
      <t xml:space="preserve">Sustainable &amp; FinOps-driven Architecture </t>
    </r>
  </si>
  <si>
    <t>10 </t>
  </si>
  <si>
    <t>11 </t>
  </si>
  <si>
    <t>12 </t>
  </si>
  <si>
    <t>13 </t>
  </si>
  <si>
    <t>14 </t>
  </si>
  <si>
    <t>15 </t>
  </si>
  <si>
    <t>16 </t>
  </si>
  <si>
    <t>17 </t>
  </si>
  <si>
    <t>18 </t>
  </si>
  <si>
    <t>  </t>
  </si>
  <si>
    <t>19 </t>
  </si>
  <si>
    <t>20 </t>
  </si>
  <si>
    <t>21 </t>
  </si>
  <si>
    <t>22 </t>
  </si>
  <si>
    <t>23 </t>
  </si>
  <si>
    <t>24 </t>
  </si>
  <si>
    <t>25 </t>
  </si>
  <si>
    <r>
      <t>Phase 3 Exit: Blog / Poster + EA Documentation - Individual Submission</t>
    </r>
    <r>
      <rPr>
        <b/>
        <sz val="11"/>
        <color theme="1"/>
        <rFont val="Aptos Narrow"/>
        <family val="2"/>
        <scheme val="minor"/>
      </rPr>
      <t> </t>
    </r>
  </si>
  <si>
    <t>I1</t>
  </si>
  <si>
    <t>I2</t>
  </si>
  <si>
    <t>I3</t>
  </si>
  <si>
    <t>I4</t>
  </si>
  <si>
    <t>I5</t>
  </si>
  <si>
    <t>I6</t>
  </si>
  <si>
    <r>
      <t>Kick-Off Session</t>
    </r>
    <r>
      <rPr>
        <sz val="11"/>
        <color rgb="FFFF0000"/>
        <rFont val="Candara"/>
        <family val="2"/>
      </rPr>
      <t> </t>
    </r>
  </si>
  <si>
    <t>completed</t>
  </si>
  <si>
    <t>Completed</t>
  </si>
  <si>
    <r>
      <t> </t>
    </r>
    <r>
      <rPr>
        <sz val="11"/>
        <color rgb="FF000000"/>
        <rFont val="Candara"/>
        <family val="2"/>
      </rPr>
      <t> </t>
    </r>
  </si>
  <si>
    <r>
      <t>Introspect 1</t>
    </r>
    <r>
      <rPr>
        <b/>
        <sz val="11"/>
        <color rgb="FF000000"/>
        <rFont val="Candara"/>
        <family val="2"/>
      </rPr>
      <t> </t>
    </r>
  </si>
  <si>
    <t>7 </t>
  </si>
  <si>
    <t>8 </t>
  </si>
  <si>
    <t>9 </t>
  </si>
  <si>
    <r>
      <t>Introspect 2</t>
    </r>
    <r>
      <rPr>
        <b/>
        <sz val="11"/>
        <color rgb="FF000000"/>
        <rFont val="Candara"/>
        <family val="2"/>
      </rPr>
      <t> </t>
    </r>
  </si>
  <si>
    <r>
      <t>Introspect 3</t>
    </r>
    <r>
      <rPr>
        <b/>
        <sz val="11"/>
        <color rgb="FF000000"/>
        <rFont val="Candara"/>
        <family val="2"/>
      </rPr>
      <t> </t>
    </r>
  </si>
  <si>
    <t xml:space="preserve"> </t>
  </si>
  <si>
    <r>
      <rPr>
        <sz val="11"/>
        <color rgb="FF000000"/>
        <rFont val="Candara"/>
      </rPr>
      <t xml:space="preserve">Master class (Reimagining leadership, Leadership style, JOHARI window) 
Coaching &amp; Mentoring </t>
    </r>
    <r>
      <rPr>
        <b/>
        <sz val="11"/>
        <color rgb="FFC00000"/>
        <rFont val="Candara"/>
      </rPr>
      <t>(Identification of Mentees for mentoring / Reverse Mentoring)</t>
    </r>
  </si>
  <si>
    <t>S.No</t>
  </si>
  <si>
    <t>Clients</t>
  </si>
  <si>
    <t>Trainings</t>
  </si>
  <si>
    <t>Solution Type</t>
  </si>
  <si>
    <t>Cust Code</t>
  </si>
  <si>
    <t>Project Code</t>
  </si>
  <si>
    <t>Cost Code</t>
  </si>
  <si>
    <t>Jan</t>
  </si>
  <si>
    <t xml:space="preserve">Zelis Healthcare India Private Limited </t>
  </si>
  <si>
    <t>Leadership Workshop</t>
  </si>
  <si>
    <t>Transformative</t>
  </si>
  <si>
    <t>S00625-SMP001ISDL001N001</t>
  </si>
  <si>
    <t>Tek Systems Global Services Private Limited</t>
  </si>
  <si>
    <t xml:space="preserve"> Immersive Architect Upskilling Program (Core)</t>
  </si>
  <si>
    <t>S00622-000000ISDL001N001</t>
  </si>
  <si>
    <t xml:space="preserve">Aspiring Architect Upskilling Program </t>
  </si>
  <si>
    <t>S00623-000000ISDL001N001</t>
  </si>
  <si>
    <t>Happiest Minds Technologies Limited</t>
  </si>
  <si>
    <t>Business Analyst  (SHIFT)- Batch-2</t>
  </si>
  <si>
    <t>S00624-135553ISDL001N001</t>
  </si>
  <si>
    <t>Expleo Solutions Ltd</t>
  </si>
  <si>
    <t>Project Manager (Batch-1)</t>
  </si>
  <si>
    <t>S00644-SMP001ISDL001N001</t>
  </si>
  <si>
    <t>Delivery Excellence (Batch-1)</t>
  </si>
  <si>
    <t>S00645-SMP001ISDL001N001</t>
  </si>
  <si>
    <t>Training - Continuing education</t>
  </si>
  <si>
    <t>S00646-135553ISDL001N001</t>
  </si>
  <si>
    <t>Cognizant Technology Solutions India Private Limited (IN307),</t>
  </si>
  <si>
    <t xml:space="preserve">Technical Proficiency Enhancement (SRE) </t>
  </si>
  <si>
    <t>S00653-SMP001ISDL001N001</t>
  </si>
  <si>
    <t>Tredence Analytics Solutions Private Limited</t>
  </si>
  <si>
    <t>Data Modelling V2 Advanced  (Batch-1)</t>
  </si>
  <si>
    <t>S00649-SMP001ISDL001N001</t>
  </si>
  <si>
    <t>Feb</t>
  </si>
  <si>
    <t>S00669-SMP001ISDL001N001</t>
  </si>
  <si>
    <t>NCSI Technologies (India) Pvt. Ltd.</t>
  </si>
  <si>
    <t>Elevate (Senior/ P5)/Aspire (P3/ P4)/Ignite (P1/ P2)</t>
  </si>
  <si>
    <t>S00697-000000ISDL001N001</t>
  </si>
  <si>
    <t>Mar</t>
  </si>
  <si>
    <t>Tata Consultancy Services Ltd.,</t>
  </si>
  <si>
    <r>
      <t>Enterprise Architecture -</t>
    </r>
    <r>
      <rPr>
        <b/>
        <sz val="10"/>
        <color theme="1"/>
        <rFont val="Candara"/>
        <family val="2"/>
      </rPr>
      <t>Batch 4</t>
    </r>
  </si>
  <si>
    <t>S00701-SMP001ISDL001N001</t>
  </si>
  <si>
    <r>
      <t>Enterprise Architecture -</t>
    </r>
    <r>
      <rPr>
        <b/>
        <sz val="10"/>
        <color theme="1"/>
        <rFont val="Candara"/>
        <family val="2"/>
      </rPr>
      <t>Batch 3</t>
    </r>
  </si>
  <si>
    <t>S00702-SMP001ISDL001N001</t>
  </si>
  <si>
    <t xml:space="preserve">Wipro Limited </t>
  </si>
  <si>
    <t>Program Management training (7 batches)+(2 batches)</t>
  </si>
  <si>
    <t>S00704-000000ISDL001N001</t>
  </si>
  <si>
    <r>
      <t xml:space="preserve">CNA Level-1 </t>
    </r>
    <r>
      <rPr>
        <b/>
        <sz val="10"/>
        <color theme="1"/>
        <rFont val="Candara"/>
        <family val="2"/>
      </rPr>
      <t>(Batch-5- India)</t>
    </r>
  </si>
  <si>
    <t>S00708-SMP001ISDL001N001</t>
  </si>
  <si>
    <t>Coforge Ltd</t>
  </si>
  <si>
    <r>
      <t xml:space="preserve">Enterprise Architect Build </t>
    </r>
    <r>
      <rPr>
        <b/>
        <sz val="10"/>
        <color theme="1"/>
        <rFont val="Candara"/>
        <family val="2"/>
      </rPr>
      <t>Batch 1</t>
    </r>
  </si>
  <si>
    <t>S00725-SMP001ISDL001N001</t>
  </si>
  <si>
    <t>Technical Proficiency Enhancement (SRE)</t>
  </si>
  <si>
    <t>S00726-SMP001ISDL001N001</t>
  </si>
  <si>
    <t>Onsite Workshop</t>
  </si>
  <si>
    <t>S00741-000000ISDL001N001</t>
  </si>
  <si>
    <t>Cognizant United States (US410)</t>
  </si>
  <si>
    <t xml:space="preserve"> Level-1 Cloud Native (GGM Batch-2)</t>
  </si>
  <si>
    <t>S00744-000000ISDL001N001</t>
  </si>
  <si>
    <t xml:space="preserve"> Level-2 Cloud Native (GGM Batch-2)</t>
  </si>
  <si>
    <t>S00760-000000ISDL001N001</t>
  </si>
  <si>
    <t>Indus Valley Partners (India) Pvt Ltd</t>
  </si>
  <si>
    <t>BA &amp; SBA Training Program</t>
  </si>
  <si>
    <t>S00765-SMP001ISDL001N001</t>
  </si>
  <si>
    <r>
      <t xml:space="preserve">Technical Proficiency Enhancement (SRE)  </t>
    </r>
    <r>
      <rPr>
        <b/>
        <sz val="10"/>
        <rFont val="Candara"/>
        <family val="2"/>
      </rPr>
      <t>Batch 3</t>
    </r>
  </si>
  <si>
    <t>S00812-SMP001ISDL001N001</t>
  </si>
  <si>
    <t>Persistent Systems Limited</t>
  </si>
  <si>
    <r>
      <t>Persistent “Propeller –</t>
    </r>
    <r>
      <rPr>
        <b/>
        <sz val="10"/>
        <rFont val="Candara"/>
        <family val="2"/>
      </rPr>
      <t xml:space="preserve"> (Batch-15)</t>
    </r>
  </si>
  <si>
    <t>S00817-000000ISDL001N001</t>
  </si>
  <si>
    <t>TVS Motor Company Ltd</t>
  </si>
  <si>
    <r>
      <t xml:space="preserve">Product Management Program </t>
    </r>
    <r>
      <rPr>
        <b/>
        <sz val="10"/>
        <color theme="1"/>
        <rFont val="Candara"/>
        <family val="2"/>
      </rPr>
      <t xml:space="preserve">Batch-2 </t>
    </r>
  </si>
  <si>
    <t>S00891-000000ISDL001N001</t>
  </si>
  <si>
    <r>
      <t xml:space="preserve">Data Modelling V2 Advanced </t>
    </r>
    <r>
      <rPr>
        <b/>
        <sz val="10"/>
        <rFont val="Candara"/>
        <family val="2"/>
      </rPr>
      <t> (Batch-2)</t>
    </r>
  </si>
  <si>
    <t>S00905-SMP001ISDL001N001</t>
  </si>
  <si>
    <t>Eaton India Innovation Center LLP</t>
  </si>
  <si>
    <t>AI Program for EIIC Leadership</t>
  </si>
  <si>
    <t>S00913-SMP001ISDL001N001</t>
  </si>
  <si>
    <t>Cognizant Technology Solutions India Private Limited(IN307),</t>
  </si>
  <si>
    <r>
      <t>Technical Proficiency Enhancement (SRE)</t>
    </r>
    <r>
      <rPr>
        <b/>
        <sz val="10"/>
        <rFont val="Candara"/>
        <family val="2"/>
      </rPr>
      <t xml:space="preserve"> Batch 4</t>
    </r>
  </si>
  <si>
    <t>S00915-SMP001ISDL001N001</t>
  </si>
  <si>
    <r>
      <rPr>
        <b/>
        <sz val="10"/>
        <color rgb="FF000000"/>
        <rFont val="Candara"/>
      </rPr>
      <t>DXC</t>
    </r>
    <r>
      <rPr>
        <sz val="10"/>
        <color rgb="FF000000"/>
        <rFont val="Candara"/>
      </rPr>
      <t>- EIT Services India Private Limited</t>
    </r>
  </si>
  <si>
    <t>Aspiring Architect Program Stcak route</t>
  </si>
  <si>
    <t>S00923-SMP001ISDL001N001</t>
  </si>
  <si>
    <t>Tiger Analytics India Consulting Pvt Ltd</t>
  </si>
  <si>
    <r>
      <t xml:space="preserve">Data Architecture Foundation </t>
    </r>
    <r>
      <rPr>
        <b/>
        <sz val="10"/>
        <color theme="1"/>
        <rFont val="Candara"/>
        <family val="2"/>
      </rPr>
      <t>Batch-2</t>
    </r>
  </si>
  <si>
    <t>S00926-000000ISDL001N001</t>
  </si>
  <si>
    <t>Virtusa Consulting Services Pvt Ltd</t>
  </si>
  <si>
    <t>Consulting Mindset Program(Batch 1)</t>
  </si>
  <si>
    <t>S00925-SMP001ISDL001N001</t>
  </si>
  <si>
    <t>Program Management training (4 batches)</t>
  </si>
  <si>
    <t>S00939-000000ISDL001N001</t>
  </si>
  <si>
    <r>
      <t xml:space="preserve">Enterprise Architect Build </t>
    </r>
    <r>
      <rPr>
        <b/>
        <sz val="10"/>
        <color theme="1"/>
        <rFont val="Candara"/>
        <family val="2"/>
      </rPr>
      <t>Batch 2</t>
    </r>
  </si>
  <si>
    <t>S00952-SMP001ISDL001N001</t>
  </si>
  <si>
    <t>Program Management training (10 batches)</t>
  </si>
  <si>
    <t>S00959-000000ISDL001N001</t>
  </si>
  <si>
    <r>
      <t xml:space="preserve">Technical Proficiency Enhancement (SRE) </t>
    </r>
    <r>
      <rPr>
        <b/>
        <sz val="10"/>
        <rFont val="Candara"/>
        <family val="2"/>
      </rPr>
      <t>Batch 5</t>
    </r>
  </si>
  <si>
    <t>S00976-SMP001ISDL001N001</t>
  </si>
  <si>
    <t>ORION INDIA SYSTEMS PRIVATE LIMITED</t>
  </si>
  <si>
    <r>
      <t xml:space="preserve">Architect Program </t>
    </r>
    <r>
      <rPr>
        <b/>
        <sz val="10"/>
        <color rgb="FF000000"/>
        <rFont val="Candara"/>
        <family val="2"/>
      </rPr>
      <t>Level-2</t>
    </r>
  </si>
  <si>
    <t>S00999-SMP001ISDL001N00</t>
  </si>
  <si>
    <t>Bosch Global Software Tech. Pvt Ltd</t>
  </si>
  <si>
    <t>PMFB - Batch 3</t>
  </si>
  <si>
    <t>S01003-SMP001ISDL001N001</t>
  </si>
  <si>
    <r>
      <rPr>
        <sz val="10"/>
        <color rgb="FF000000"/>
        <rFont val="Candara"/>
        <family val="2"/>
      </rPr>
      <t>Technical Proficiency Enhancement</t>
    </r>
    <r>
      <rPr>
        <b/>
        <sz val="10"/>
        <color rgb="FF000000"/>
        <rFont val="Candara"/>
        <family val="2"/>
      </rPr>
      <t xml:space="preserve"> (SRE) Batch 6</t>
    </r>
  </si>
  <si>
    <t>S01006-SMP001ISDL001N001</t>
  </si>
  <si>
    <r>
      <rPr>
        <b/>
        <sz val="10"/>
        <color rgb="FF000000"/>
        <rFont val="Candara"/>
      </rPr>
      <t>UST</t>
    </r>
    <r>
      <rPr>
        <sz val="10"/>
        <color rgb="FF000000"/>
        <rFont val="Candara"/>
      </rPr>
      <t xml:space="preserve"> Global</t>
    </r>
  </si>
  <si>
    <r>
      <rPr>
        <sz val="10"/>
        <color rgb="FF000000"/>
        <rFont val="Candara"/>
      </rPr>
      <t xml:space="preserve">UST Global Aspiring Architect </t>
    </r>
    <r>
      <rPr>
        <b/>
        <sz val="10"/>
        <color rgb="FF000000"/>
        <rFont val="Candara"/>
      </rPr>
      <t xml:space="preserve">Batch-1 </t>
    </r>
  </si>
  <si>
    <t>S01008-SMP001ISDL001N001</t>
  </si>
  <si>
    <r>
      <rPr>
        <sz val="10"/>
        <color rgb="FF000000"/>
        <rFont val="Candara"/>
      </rPr>
      <t>CNA Level-1 (</t>
    </r>
    <r>
      <rPr>
        <b/>
        <sz val="10"/>
        <color rgb="FF000000"/>
        <rFont val="Candara"/>
      </rPr>
      <t>Batch-6-</t>
    </r>
    <r>
      <rPr>
        <sz val="10"/>
        <color rgb="FF000000"/>
        <rFont val="Candara"/>
      </rPr>
      <t xml:space="preserve"> India)</t>
    </r>
  </si>
  <si>
    <t>S01072-SMP001ISDL001N001</t>
  </si>
  <si>
    <r>
      <rPr>
        <sz val="10"/>
        <color rgb="FF000000"/>
        <rFont val="Candara"/>
        <family val="2"/>
      </rPr>
      <t xml:space="preserve">Technical Proficiency  Enhancement </t>
    </r>
    <r>
      <rPr>
        <b/>
        <sz val="10"/>
        <color rgb="FF000000"/>
        <rFont val="Candara"/>
        <family val="2"/>
      </rPr>
      <t>(SRE) - Batch 7</t>
    </r>
  </si>
  <si>
    <t>S01033-SMP001ISDL001N001</t>
  </si>
  <si>
    <t xml:space="preserve">Zensar Technologies Ltd  </t>
  </si>
  <si>
    <r>
      <rPr>
        <sz val="10"/>
        <color rgb="FF000000"/>
        <rFont val="Candara"/>
      </rPr>
      <t xml:space="preserve">Rise -Project Management -- </t>
    </r>
    <r>
      <rPr>
        <b/>
        <sz val="10"/>
        <color rgb="FF000000"/>
        <rFont val="Candara"/>
      </rPr>
      <t>4 batches</t>
    </r>
  </si>
  <si>
    <t>S01040-SMP001ISDL001N001</t>
  </si>
  <si>
    <r>
      <rPr>
        <sz val="10"/>
        <color rgb="FF000000"/>
        <rFont val="Candara"/>
      </rPr>
      <t>Pinnacle -Project Management -</t>
    </r>
    <r>
      <rPr>
        <b/>
        <sz val="10"/>
        <color rgb="FF000000"/>
        <rFont val="Candara"/>
      </rPr>
      <t xml:space="preserve"> 4 batches</t>
    </r>
  </si>
  <si>
    <t>S01041-SMP001ISDL001N001</t>
  </si>
  <si>
    <r>
      <rPr>
        <sz val="10"/>
        <color rgb="FF000000"/>
        <rFont val="Candara"/>
      </rPr>
      <t>Data Modelling V2 Advanced  </t>
    </r>
    <r>
      <rPr>
        <b/>
        <sz val="10"/>
        <color rgb="FF000000"/>
        <rFont val="Candara"/>
      </rPr>
      <t>(Batch-2)</t>
    </r>
  </si>
  <si>
    <t>S01050-SMP001ISDL001N001</t>
  </si>
  <si>
    <t>Sept</t>
  </si>
  <si>
    <t>Tata Consultancy Services  Limited</t>
  </si>
  <si>
    <t>Learning, Technical Training
NIIT, Enterprise Architecture, Virtual</t>
  </si>
  <si>
    <t>S01092-SMP001ISDL001N001</t>
  </si>
  <si>
    <r>
      <rPr>
        <sz val="10"/>
        <color rgb="FF000000"/>
        <rFont val="Candara"/>
      </rPr>
      <t xml:space="preserve">Project Manager Level 1 </t>
    </r>
    <r>
      <rPr>
        <b/>
        <sz val="10"/>
        <color rgb="FF000000"/>
        <rFont val="Candara"/>
      </rPr>
      <t>(Batch-2)</t>
    </r>
  </si>
  <si>
    <t>S01098-SMP001ISDL001N001</t>
  </si>
  <si>
    <r>
      <rPr>
        <b/>
        <sz val="10"/>
        <color rgb="FF000000"/>
        <rFont val="Candara"/>
      </rPr>
      <t xml:space="preserve">UST </t>
    </r>
    <r>
      <rPr>
        <sz val="10"/>
        <color rgb="FF000000"/>
        <rFont val="Candara"/>
      </rPr>
      <t>Global</t>
    </r>
  </si>
  <si>
    <r>
      <rPr>
        <sz val="10"/>
        <color rgb="FF000000"/>
        <rFont val="Candara"/>
      </rPr>
      <t xml:space="preserve">Aspiring Architect  </t>
    </r>
    <r>
      <rPr>
        <b/>
        <sz val="10"/>
        <color rgb="FF000000"/>
        <rFont val="Candara"/>
      </rPr>
      <t>(Batch- 2, 3 , 4 &amp; 5)</t>
    </r>
  </si>
  <si>
    <t>S01128-SMP001ISDL001N001</t>
  </si>
  <si>
    <t xml:space="preserve"> CNA Level 2-AWS
Batch 1 (GGM Location)</t>
  </si>
  <si>
    <t>S01104-SMP001ISDL001N001</t>
  </si>
  <si>
    <t>CNA Level -2 (AWS) India</t>
  </si>
  <si>
    <t>S01123-SMP001ISDL001N001</t>
  </si>
  <si>
    <t>Dell International Services India Private Limited</t>
  </si>
  <si>
    <r>
      <rPr>
        <sz val="10"/>
        <color rgb="FF000000"/>
        <rFont val="Candara"/>
      </rPr>
      <t xml:space="preserve">Dell- TechEdge Engg &amp; Services </t>
    </r>
    <r>
      <rPr>
        <b/>
        <sz val="10"/>
        <color rgb="FF000000"/>
        <rFont val="Candara"/>
      </rPr>
      <t>Batch-5</t>
    </r>
  </si>
  <si>
    <t>S01132-SMP001ISDL001N001</t>
  </si>
  <si>
    <t>Oct</t>
  </si>
  <si>
    <t>Accent Apex Agile program (Batch-1)</t>
  </si>
  <si>
    <t>S01158-SMP001ISDL001N001</t>
  </si>
  <si>
    <t>Ernst and Young LLP</t>
  </si>
  <si>
    <t xml:space="preserve">Aspiring Data Architect Training Program  </t>
  </si>
  <si>
    <t>S01159-SMP001ISDL001N001</t>
  </si>
  <si>
    <r>
      <rPr>
        <b/>
        <sz val="10"/>
        <color rgb="FF000000"/>
        <rFont val="Candara"/>
      </rPr>
      <t>Sigmoid -</t>
    </r>
    <r>
      <rPr>
        <sz val="10"/>
        <color rgb="FF000000"/>
        <rFont val="Candara"/>
      </rPr>
      <t xml:space="preserve"> ASTAR DATA LLP</t>
    </r>
  </si>
  <si>
    <t>Building a Consulting Mindset</t>
  </si>
  <si>
    <t>S01195-SMP001ISDL001N001</t>
  </si>
  <si>
    <r>
      <rPr>
        <sz val="10"/>
        <color rgb="FF000000"/>
        <rFont val="Candara"/>
      </rPr>
      <t>Propeller - ACDP-</t>
    </r>
    <r>
      <rPr>
        <b/>
        <sz val="10"/>
        <color rgb="FF000000"/>
        <rFont val="Candara"/>
      </rPr>
      <t>Batch-16</t>
    </r>
  </si>
  <si>
    <t>S01201-SMP001ISDL001N001</t>
  </si>
  <si>
    <t>Mindsprint Digital (India) Private Ltd</t>
  </si>
  <si>
    <t>Engineering Manager Training Program</t>
  </si>
  <si>
    <t>S01316-SMP001ISDL001N001</t>
  </si>
  <si>
    <t>Triveni Turbine Limited</t>
  </si>
  <si>
    <t>Talent Advisory Services</t>
  </si>
  <si>
    <t>S01304-SMP001ISDL001N001</t>
  </si>
  <si>
    <t>Nov</t>
  </si>
  <si>
    <t>Aspiring Architect Essentials Program</t>
  </si>
  <si>
    <t>S01217-SMP001ISDL001N001</t>
  </si>
  <si>
    <t>CX Architect Elevation Program</t>
  </si>
  <si>
    <t>S01219-SMP001ISDL001N001</t>
  </si>
  <si>
    <t>GenAI Advisory Accelerator: Tech enablement for Advisory Associates</t>
  </si>
  <si>
    <t>S01220-SMP001ISDL001N001</t>
  </si>
  <si>
    <r>
      <rPr>
        <sz val="10"/>
        <color rgb="FF000000"/>
        <rFont val="Candara"/>
      </rPr>
      <t>Professional Architect - Level 2 -</t>
    </r>
    <r>
      <rPr>
        <b/>
        <sz val="10"/>
        <color rgb="FF000000"/>
        <rFont val="Candara"/>
      </rPr>
      <t xml:space="preserve"> ( Batch 4 to 10)</t>
    </r>
  </si>
  <si>
    <t>S01281-SMP001ISDL001N001</t>
  </si>
  <si>
    <t>Dec</t>
  </si>
  <si>
    <t>Upgrade2Architect – Azure - Phase II</t>
  </si>
  <si>
    <t>S01374-SMP001ISDL001N001</t>
  </si>
  <si>
    <t>Salesforce Architect Program</t>
  </si>
  <si>
    <t>S01393-SMP001ISDL001N001</t>
  </si>
  <si>
    <t>27th Jan'26</t>
  </si>
  <si>
    <t>SBA Training Program</t>
  </si>
  <si>
    <t>CTN Under Process</t>
  </si>
  <si>
    <t>23rd Jan'26</t>
  </si>
  <si>
    <r>
      <t xml:space="preserve">Propeller  </t>
    </r>
    <r>
      <rPr>
        <b/>
        <sz val="10"/>
        <color rgb="FF000000"/>
        <rFont val="Cambria"/>
        <family val="1"/>
      </rPr>
      <t>(Batch-17 &amp; Batch 18)</t>
    </r>
  </si>
  <si>
    <t>S01408-SMP001ISDL001N001</t>
  </si>
  <si>
    <t>28th Jan'26</t>
  </si>
  <si>
    <r>
      <rPr>
        <sz val="10"/>
        <color rgb="FF000000"/>
        <rFont val="Candara"/>
      </rPr>
      <t xml:space="preserve">Ignite/Aspire/Elevate- </t>
    </r>
    <r>
      <rPr>
        <b/>
        <sz val="10"/>
        <color rgb="FF000000"/>
        <rFont val="Candara"/>
      </rPr>
      <t>Batch-2</t>
    </r>
  </si>
  <si>
    <t>S01409-SMP001ISDL001N001</t>
  </si>
  <si>
    <t>29th Jan'26</t>
  </si>
  <si>
    <t>Propeller  (Batch-17 &amp; Batch 18)</t>
  </si>
  <si>
    <t>Jan'26</t>
  </si>
  <si>
    <t>Ignite/Aspire/Elevate</t>
  </si>
  <si>
    <t>Feb'26</t>
  </si>
  <si>
    <t>Engineering Excellence -
Potential ADH (ADH-1)</t>
  </si>
  <si>
    <t>S01410-SMP001ISDL001N001</t>
  </si>
  <si>
    <t>DMI HOUSING FINANCE PRIVATE LIMITED</t>
  </si>
  <si>
    <t>Leadership Development Program</t>
  </si>
  <si>
    <t>S01426-SMP001ISDL001N001</t>
  </si>
  <si>
    <t>Upgrade2Architect-AWS (Batch-2)</t>
  </si>
  <si>
    <t>S01437-SMP001ISDL001N001</t>
  </si>
  <si>
    <t>Eaton Technologies Private Limited</t>
  </si>
  <si>
    <t>Value Discovery Workshop- 2 days</t>
  </si>
  <si>
    <t>DXC-EIT Services India Private Limited</t>
  </si>
  <si>
    <r>
      <rPr>
        <sz val="10"/>
        <color rgb="FF000000"/>
        <rFont val="Candara"/>
      </rPr>
      <t xml:space="preserve">Technology Architect - </t>
    </r>
    <r>
      <rPr>
        <b/>
        <sz val="10"/>
        <color rgb="FF000000"/>
        <rFont val="Candara"/>
      </rPr>
      <t>4 Batches</t>
    </r>
  </si>
  <si>
    <t>S01453-SMP001ISDL001N001</t>
  </si>
  <si>
    <r>
      <rPr>
        <sz val="10"/>
        <color rgb="FF000000"/>
        <rFont val="Candara"/>
      </rPr>
      <t xml:space="preserve">Project Management Program- </t>
    </r>
    <r>
      <rPr>
        <b/>
        <sz val="10"/>
        <color rgb="FF000000"/>
        <rFont val="Candara"/>
      </rPr>
      <t>4 Batches</t>
    </r>
  </si>
  <si>
    <t>S01470-SMP001ISDL001N001</t>
  </si>
  <si>
    <t>GenAI Advisory Accelerator: Tech enablement for Advisory Associates - Prompt Engineering</t>
  </si>
  <si>
    <t>S01471-SMP001ISDL001N001</t>
  </si>
  <si>
    <r>
      <rPr>
        <sz val="10"/>
        <color rgb="FF000000"/>
        <rFont val="Candara"/>
      </rPr>
      <t xml:space="preserve">Persistent Propeller </t>
    </r>
    <r>
      <rPr>
        <b/>
        <sz val="10"/>
        <color rgb="FF000000"/>
        <rFont val="Candara"/>
      </rPr>
      <t>Batch 19 &amp; 20</t>
    </r>
  </si>
  <si>
    <t>S01476-SMP001ISDL001N001</t>
  </si>
  <si>
    <t>Mindsprint Digital (India) Private Limited</t>
  </si>
  <si>
    <t>NIIT - CBO (Product Selling) Training</t>
  </si>
  <si>
    <t>S01477-SMP001ISDL001N001</t>
  </si>
  <si>
    <t>02nd Mar'26</t>
  </si>
  <si>
    <t>31st Mar'26</t>
  </si>
  <si>
    <t>Indium Software (India) Private Limited</t>
  </si>
  <si>
    <t>Enterprise Data Solution Architect Program</t>
  </si>
  <si>
    <t>S01487-SMP001ISDL001N001</t>
  </si>
  <si>
    <t>06th Mar'26</t>
  </si>
  <si>
    <t>06th May'26</t>
  </si>
  <si>
    <t>Business Analyst Program (Level 1 &amp; Level 2)-Batch-1</t>
  </si>
  <si>
    <t>S01496-SMP001ISDL001N001</t>
  </si>
  <si>
    <t xml:space="preserve"> Execution to  Ownership Workshop</t>
  </si>
  <si>
    <t>Program</t>
  </si>
  <si>
    <t>Batch Details</t>
  </si>
  <si>
    <t>Month Number</t>
  </si>
  <si>
    <t>Month Name</t>
  </si>
  <si>
    <t>EA Compass</t>
  </si>
  <si>
    <t>Batch 6</t>
  </si>
  <si>
    <t>SRE</t>
  </si>
  <si>
    <t>Architecting For Performance</t>
  </si>
  <si>
    <t>Global Aspiring Architect</t>
  </si>
  <si>
    <t>CNA Level 2 AWS GGM</t>
  </si>
  <si>
    <t>CNA Level 2 AWS(India)</t>
  </si>
  <si>
    <t>Engg</t>
  </si>
  <si>
    <t>Services</t>
  </si>
  <si>
    <t>Project Management</t>
  </si>
  <si>
    <t>Consulting Mindset</t>
  </si>
  <si>
    <t>Potential ADH</t>
  </si>
  <si>
    <t>EA for an Agile Business Program</t>
  </si>
  <si>
    <t>CX Architect Program</t>
  </si>
  <si>
    <t>Professional Architect</t>
  </si>
  <si>
    <t>GenAI for Advisory Associates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</si>
</sst>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mmmm\ dd\,\ yyyy"/>
  </numFmts>
  <fonts count="42">
    <font>
      <sz val="11"/>
      <color theme="1"/>
      <name val="Aptos Narrow"/>
      <family val="2"/>
      <scheme val="minor"/>
    </font>
    <font>
      <sz val="11"/>
      <color theme="1"/>
      <name val="Candara"/>
      <family val="2"/>
    </font>
    <font>
      <sz val="11"/>
      <color rgb="FF000000"/>
      <name val="Candara"/>
      <family val="2"/>
    </font>
    <font>
      <b/>
      <sz val="11"/>
      <color rgb="FF000000"/>
      <name val="Candara"/>
      <family val="2"/>
    </font>
    <font>
      <sz val="12"/>
      <color rgb="FF000000"/>
      <name val="Candara"/>
      <family val="2"/>
    </font>
    <font>
      <b/>
      <sz val="12"/>
      <color rgb="FF000000"/>
      <name val="Candara"/>
      <family val="2"/>
    </font>
    <font>
      <sz val="10"/>
      <color rgb="FF000000"/>
      <name val="Candara"/>
      <family val="2"/>
    </font>
    <font>
      <b/>
      <sz val="11"/>
      <color rgb="FFFF0000"/>
      <name val="Candara"/>
      <family val="2"/>
    </font>
    <font>
      <sz val="10"/>
      <color theme="1"/>
      <name val="Candara"/>
      <family val="2"/>
    </font>
    <font>
      <b/>
      <sz val="11"/>
      <color theme="1"/>
      <name val="Candara"/>
      <family val="2"/>
    </font>
    <font>
      <sz val="11"/>
      <color theme="1"/>
      <name val="Candara"/>
    </font>
    <font>
      <sz val="11"/>
      <color rgb="FF000000"/>
      <name val="Candara"/>
    </font>
    <font>
      <b/>
      <sz val="11"/>
      <color theme="1"/>
      <name val="Candara"/>
    </font>
    <font>
      <b/>
      <sz val="11"/>
      <color rgb="FF000000"/>
      <name val="Candara"/>
    </font>
    <font>
      <b/>
      <sz val="11"/>
      <name val="Candara"/>
    </font>
    <font>
      <b/>
      <sz val="11"/>
      <color rgb="FFFF0000"/>
      <name val="Candara"/>
    </font>
    <font>
      <sz val="11"/>
      <color rgb="FF000000"/>
      <name val="Candara"/>
      <family val="2"/>
      <charset val="1"/>
    </font>
    <font>
      <b/>
      <sz val="10"/>
      <name val="Candara"/>
      <family val="2"/>
    </font>
    <font>
      <b/>
      <sz val="10"/>
      <color theme="1"/>
      <name val="Candara"/>
      <family val="2"/>
    </font>
    <font>
      <sz val="10"/>
      <name val="Candara"/>
      <family val="2"/>
    </font>
    <font>
      <b/>
      <sz val="10"/>
      <color rgb="FF000000"/>
      <name val="Candara"/>
      <family val="2"/>
    </font>
    <font>
      <sz val="10"/>
      <color rgb="FF000000"/>
      <name val="Candara"/>
    </font>
    <font>
      <b/>
      <sz val="10"/>
      <color rgb="FF000000"/>
      <name val="Candara"/>
    </font>
    <font>
      <b/>
      <sz val="13"/>
      <color rgb="FF000000"/>
      <name val="Candara"/>
    </font>
    <font>
      <sz val="13"/>
      <color theme="1"/>
      <name val="Candara"/>
    </font>
    <font>
      <b/>
      <sz val="11"/>
      <color rgb="FF000000"/>
      <name val="Calibri"/>
      <family val="2"/>
    </font>
    <font>
      <b/>
      <sz val="11"/>
      <color rgb="FFC00000"/>
      <name val="Candara"/>
    </font>
    <font>
      <sz val="10"/>
      <color rgb="FF000000"/>
      <name val="Aptos"/>
      <family val="2"/>
    </font>
    <font>
      <sz val="10"/>
      <color theme="5"/>
      <name val="Candara"/>
      <family val="2"/>
    </font>
    <font>
      <sz val="10"/>
      <color rgb="FF000000"/>
      <name val="Candara"/>
      <charset val="1"/>
    </font>
    <font>
      <sz val="10"/>
      <name val="Candara"/>
    </font>
    <font>
      <sz val="10"/>
      <color theme="1"/>
      <name val="Candara"/>
      <charset val="1"/>
    </font>
    <font>
      <b/>
      <sz val="11"/>
      <color rgb="FFFFFFFF"/>
      <name val="Aptos Narrow"/>
      <family val="2"/>
      <scheme val="minor"/>
    </font>
    <font>
      <b/>
      <sz val="10"/>
      <color rgb="FF000000"/>
      <name val="Cambria"/>
      <family val="1"/>
    </font>
    <font>
      <sz val="11"/>
      <color theme="1"/>
      <name val="Calibri"/>
    </font>
    <font>
      <b/>
      <sz val="11"/>
      <color theme="1"/>
      <name val="Calibri"/>
    </font>
    <font>
      <sz val="11"/>
      <color rgb="FFFF0000"/>
      <name val="Candara"/>
      <family val="2"/>
    </font>
    <font>
      <b/>
      <sz val="12"/>
      <color rgb="FFFF0000"/>
      <name val="Candara"/>
      <family val="2"/>
    </font>
    <font>
      <sz val="11"/>
      <name val="Candara"/>
    </font>
    <font>
      <sz val="10"/>
      <color theme="1"/>
      <name val="Aptos Display"/>
      <family val="2"/>
      <scheme val="major"/>
    </font>
    <font>
      <b/>
      <sz val="11"/>
      <color theme="1"/>
      <name val="Aptos Narrow"/>
      <family val="2"/>
      <scheme val="minor"/>
    </font>
    <font>
      <sz val="11"/>
      <color rgb="FF000000"/>
      <name val="Candara"/>
      <charset val="1"/>
    </font>
  </fonts>
  <fills count="1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C000"/>
        <bgColor rgb="FFFFC000"/>
      </patternFill>
    </fill>
    <fill>
      <patternFill patternType="solid">
        <fgColor rgb="FF00B0F0"/>
        <bgColor rgb="FF00B0F0"/>
      </patternFill>
    </fill>
    <fill>
      <patternFill patternType="solid">
        <fgColor rgb="FFFFFF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2F2F2"/>
        <bgColor indexed="64"/>
      </patternFill>
    </fill>
    <fill>
      <patternFill patternType="solid">
        <fgColor rgb="FF1F4E78"/>
        <bgColor indexed="64"/>
      </patternFill>
    </fill>
    <fill>
      <patternFill patternType="solid">
        <fgColor theme="9" tint="0.39997558519241921"/>
        <bgColor indexed="64"/>
      </patternFill>
    </fill>
    <fill>
      <patternFill patternType="solid">
        <fgColor rgb="FFFFFFFF"/>
        <bgColor rgb="FF000000"/>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bottom style="thin">
        <color theme="4" tint="0.39997558519241921"/>
      </bottom>
      <diagonal/>
    </border>
    <border>
      <left style="thin">
        <color auto="1"/>
      </left>
      <right style="thin">
        <color auto="1"/>
      </right>
      <top style="thin">
        <color auto="1"/>
      </top>
      <bottom style="thin">
        <color auto="1"/>
      </bottom>
      <diagonal/>
    </border>
    <border>
      <left/>
      <right style="thin">
        <color indexed="64"/>
      </right>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rgb="FF000000"/>
      </left>
      <right style="thin">
        <color rgb="FF000000"/>
      </right>
      <top style="thin">
        <color theme="4" tint="0.39997558519241921"/>
      </top>
      <bottom style="thin">
        <color rgb="FF000000"/>
      </bottom>
      <diagonal/>
    </border>
    <border>
      <left style="thin">
        <color indexed="64"/>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auto="1"/>
      </left>
      <right/>
      <top style="thin">
        <color auto="1"/>
      </top>
      <bottom/>
      <diagonal/>
    </border>
    <border>
      <left style="thin">
        <color auto="1"/>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top/>
      <bottom/>
      <diagonal/>
    </border>
  </borders>
  <cellStyleXfs count="1">
    <xf numFmtId="0" fontId="0" fillId="0" borderId="0"/>
  </cellStyleXfs>
  <cellXfs count="282">
    <xf numFmtId="0" fontId="0" fillId="0" borderId="0" xfId="0"/>
    <xf numFmtId="0" fontId="0" fillId="2" borderId="0" xfId="0" applyFill="1"/>
    <xf numFmtId="0" fontId="10" fillId="2" borderId="1" xfId="0" applyFont="1" applyFill="1" applyBorder="1" applyAlignment="1">
      <alignment horizontal="left"/>
    </xf>
    <xf numFmtId="0" fontId="10" fillId="0" borderId="0" xfId="0" applyFont="1"/>
    <xf numFmtId="0" fontId="10" fillId="2" borderId="1" xfId="0" applyFont="1" applyFill="1" applyBorder="1" applyAlignment="1">
      <alignment horizontal="center" vertical="center"/>
    </xf>
    <xf numFmtId="0" fontId="10" fillId="2" borderId="5" xfId="0" applyFont="1" applyFill="1" applyBorder="1" applyAlignment="1">
      <alignment horizontal="center" vertical="center"/>
    </xf>
    <xf numFmtId="0" fontId="1" fillId="2" borderId="1" xfId="0" applyFont="1" applyFill="1" applyBorder="1" applyAlignment="1">
      <alignment horizontal="left" vertical="top"/>
    </xf>
    <xf numFmtId="0" fontId="2" fillId="2" borderId="1" xfId="0" applyFont="1" applyFill="1" applyBorder="1" applyAlignment="1">
      <alignment horizontal="left" vertical="top"/>
    </xf>
    <xf numFmtId="164" fontId="2" fillId="2" borderId="1" xfId="0" applyNumberFormat="1" applyFont="1" applyFill="1" applyBorder="1" applyAlignment="1">
      <alignment horizontal="left" vertical="top"/>
    </xf>
    <xf numFmtId="164" fontId="11" fillId="2" borderId="1" xfId="0" applyNumberFormat="1" applyFont="1" applyFill="1" applyBorder="1" applyAlignment="1">
      <alignment horizontal="left" vertical="top"/>
    </xf>
    <xf numFmtId="0" fontId="0" fillId="2" borderId="1" xfId="0" applyFill="1" applyBorder="1" applyAlignment="1">
      <alignment vertical="top"/>
    </xf>
    <xf numFmtId="164" fontId="11" fillId="2" borderId="5" xfId="0" applyNumberFormat="1" applyFont="1" applyFill="1" applyBorder="1" applyAlignment="1">
      <alignment horizontal="left" vertical="top"/>
    </xf>
    <xf numFmtId="0" fontId="11" fillId="2" borderId="1" xfId="0" applyFont="1" applyFill="1" applyBorder="1" applyAlignment="1">
      <alignment horizontal="left" vertical="top"/>
    </xf>
    <xf numFmtId="0" fontId="10" fillId="2" borderId="5" xfId="0" applyFont="1" applyFill="1" applyBorder="1" applyAlignment="1">
      <alignment horizontal="left" vertical="top"/>
    </xf>
    <xf numFmtId="0" fontId="11" fillId="2" borderId="1" xfId="0" applyFont="1" applyFill="1" applyBorder="1" applyAlignment="1">
      <alignment horizontal="left" vertical="top" wrapText="1"/>
    </xf>
    <xf numFmtId="164" fontId="2" fillId="6" borderId="1" xfId="0" applyNumberFormat="1" applyFont="1" applyFill="1" applyBorder="1" applyAlignment="1">
      <alignment horizontal="left" vertical="top"/>
    </xf>
    <xf numFmtId="0" fontId="16" fillId="3" borderId="1" xfId="0" applyFont="1" applyFill="1" applyBorder="1" applyAlignment="1">
      <alignment wrapText="1"/>
    </xf>
    <xf numFmtId="0" fontId="16" fillId="0" borderId="1" xfId="0" applyFont="1" applyBorder="1"/>
    <xf numFmtId="0" fontId="17" fillId="7" borderId="14" xfId="0" applyFont="1" applyFill="1" applyBorder="1" applyAlignment="1">
      <alignment horizontal="center" vertical="center"/>
    </xf>
    <xf numFmtId="0" fontId="17" fillId="7" borderId="14" xfId="0" applyFont="1" applyFill="1" applyBorder="1" applyAlignment="1">
      <alignment horizontal="center" vertical="center" wrapText="1"/>
    </xf>
    <xf numFmtId="0" fontId="17" fillId="0" borderId="14" xfId="0" applyFont="1" applyBorder="1" applyAlignment="1">
      <alignment horizontal="center" vertical="center"/>
    </xf>
    <xf numFmtId="0" fontId="8" fillId="0" borderId="14" xfId="0" applyFont="1" applyBorder="1" applyAlignment="1">
      <alignment horizontal="left"/>
    </xf>
    <xf numFmtId="0" fontId="8" fillId="0" borderId="14" xfId="0" applyFont="1" applyBorder="1" applyAlignment="1">
      <alignment horizontal="center"/>
    </xf>
    <xf numFmtId="0" fontId="6" fillId="0" borderId="14" xfId="0" applyFont="1" applyBorder="1" applyAlignment="1">
      <alignment horizontal="center"/>
    </xf>
    <xf numFmtId="0" fontId="8" fillId="0" borderId="14" xfId="0" applyFont="1" applyBorder="1" applyAlignment="1">
      <alignment horizontal="center" wrapText="1"/>
    </xf>
    <xf numFmtId="0" fontId="19" fillId="0" borderId="14" xfId="0" applyFont="1" applyBorder="1" applyAlignment="1">
      <alignment horizontal="center"/>
    </xf>
    <xf numFmtId="0" fontId="19" fillId="0" borderId="14" xfId="0" applyFont="1" applyBorder="1" applyAlignment="1">
      <alignment horizontal="left"/>
    </xf>
    <xf numFmtId="0" fontId="6" fillId="0" borderId="14" xfId="0" applyFont="1" applyBorder="1" applyAlignment="1">
      <alignment horizontal="center" wrapText="1"/>
    </xf>
    <xf numFmtId="0" fontId="19" fillId="0" borderId="14" xfId="0" applyFont="1" applyBorder="1" applyAlignment="1">
      <alignment horizontal="center" wrapText="1"/>
    </xf>
    <xf numFmtId="0" fontId="6" fillId="0" borderId="14" xfId="0" applyFont="1" applyBorder="1" applyAlignment="1">
      <alignment horizontal="left"/>
    </xf>
    <xf numFmtId="0" fontId="8" fillId="0" borderId="14" xfId="0" applyFont="1" applyBorder="1" applyAlignment="1">
      <alignment horizontal="left" wrapText="1"/>
    </xf>
    <xf numFmtId="0" fontId="8" fillId="0" borderId="14" xfId="0" applyFont="1" applyBorder="1" applyAlignment="1">
      <alignment horizontal="left" vertical="center"/>
    </xf>
    <xf numFmtId="0" fontId="19" fillId="0" borderId="14" xfId="0" applyFont="1" applyBorder="1" applyAlignment="1">
      <alignment horizontal="center" vertical="center"/>
    </xf>
    <xf numFmtId="0" fontId="6" fillId="0" borderId="14" xfId="0" applyFont="1" applyBorder="1" applyAlignment="1">
      <alignment horizontal="left" vertical="center"/>
    </xf>
    <xf numFmtId="0" fontId="21" fillId="0" borderId="14" xfId="0" applyFont="1" applyBorder="1" applyAlignment="1">
      <alignment horizontal="left"/>
    </xf>
    <xf numFmtId="0" fontId="10" fillId="2" borderId="1" xfId="0" applyFont="1" applyFill="1" applyBorder="1" applyAlignment="1">
      <alignment horizontal="left" vertical="top"/>
    </xf>
    <xf numFmtId="164" fontId="11" fillId="6" borderId="1" xfId="0" applyNumberFormat="1" applyFont="1" applyFill="1" applyBorder="1" applyAlignment="1">
      <alignment horizontal="left" vertical="top"/>
    </xf>
    <xf numFmtId="0" fontId="24" fillId="2" borderId="1" xfId="0" applyFont="1" applyFill="1" applyBorder="1" applyAlignment="1">
      <alignment horizontal="center"/>
    </xf>
    <xf numFmtId="164" fontId="24" fillId="2" borderId="1" xfId="0" applyNumberFormat="1" applyFont="1" applyFill="1" applyBorder="1" applyAlignment="1">
      <alignment horizontal="center" vertical="top"/>
    </xf>
    <xf numFmtId="0" fontId="24" fillId="2" borderId="1" xfId="0" applyFont="1" applyFill="1" applyBorder="1" applyAlignment="1">
      <alignment horizontal="center" vertical="center"/>
    </xf>
    <xf numFmtId="0" fontId="24" fillId="2" borderId="1" xfId="0" applyFont="1" applyFill="1" applyBorder="1" applyAlignment="1">
      <alignment horizontal="left"/>
    </xf>
    <xf numFmtId="0" fontId="11" fillId="2" borderId="5" xfId="0" applyFont="1" applyFill="1" applyBorder="1" applyAlignment="1">
      <alignment horizontal="left" vertical="top"/>
    </xf>
    <xf numFmtId="0" fontId="0" fillId="0" borderId="0" xfId="0" applyAlignment="1">
      <alignment horizontal="center"/>
    </xf>
    <xf numFmtId="0" fontId="24" fillId="2" borderId="1" xfId="0" applyFont="1" applyFill="1" applyBorder="1" applyAlignment="1">
      <alignment horizontal="left" wrapText="1"/>
    </xf>
    <xf numFmtId="0" fontId="0" fillId="0" borderId="1" xfId="0" applyBorder="1"/>
    <xf numFmtId="0" fontId="24" fillId="2" borderId="1" xfId="0" applyFont="1" applyFill="1" applyBorder="1" applyAlignment="1">
      <alignment horizontal="center" wrapText="1"/>
    </xf>
    <xf numFmtId="164" fontId="23" fillId="9" borderId="13" xfId="0" applyNumberFormat="1" applyFont="1" applyFill="1" applyBorder="1" applyAlignment="1">
      <alignment horizontal="center"/>
    </xf>
    <xf numFmtId="0" fontId="23" fillId="9" borderId="13" xfId="0" applyFont="1" applyFill="1" applyBorder="1" applyAlignment="1">
      <alignment horizontal="center"/>
    </xf>
    <xf numFmtId="0" fontId="23" fillId="9" borderId="13" xfId="0" applyFont="1" applyFill="1" applyBorder="1" applyAlignment="1">
      <alignment horizontal="left" wrapText="1"/>
    </xf>
    <xf numFmtId="0" fontId="25" fillId="4" borderId="8" xfId="0" applyFont="1" applyFill="1" applyBorder="1" applyAlignment="1">
      <alignment horizontal="left"/>
    </xf>
    <xf numFmtId="164" fontId="25" fillId="4" borderId="8" xfId="0" applyNumberFormat="1" applyFont="1" applyFill="1" applyBorder="1" applyAlignment="1">
      <alignment horizontal="left"/>
    </xf>
    <xf numFmtId="0" fontId="25" fillId="5" borderId="8" xfId="0" applyFont="1" applyFill="1" applyBorder="1" applyAlignment="1">
      <alignment horizontal="left"/>
    </xf>
    <xf numFmtId="0" fontId="0" fillId="6" borderId="0" xfId="0" applyFill="1"/>
    <xf numFmtId="0" fontId="0" fillId="0" borderId="5" xfId="0" applyBorder="1" applyAlignment="1">
      <alignment horizontal="left"/>
    </xf>
    <xf numFmtId="0" fontId="0" fillId="2" borderId="1" xfId="0" applyFill="1" applyBorder="1" applyAlignment="1">
      <alignment horizontal="center"/>
    </xf>
    <xf numFmtId="0" fontId="0" fillId="2" borderId="0" xfId="0" applyFill="1" applyAlignment="1">
      <alignment horizontal="center"/>
    </xf>
    <xf numFmtId="0" fontId="0" fillId="2" borderId="2" xfId="0" applyFill="1" applyBorder="1" applyAlignment="1">
      <alignment horizontal="center"/>
    </xf>
    <xf numFmtId="0" fontId="0" fillId="2" borderId="4" xfId="0" applyFill="1" applyBorder="1" applyAlignment="1">
      <alignment horizontal="center"/>
    </xf>
    <xf numFmtId="0" fontId="10" fillId="2" borderId="1" xfId="0" applyFont="1" applyFill="1" applyBorder="1" applyAlignment="1">
      <alignment horizontal="center"/>
    </xf>
    <xf numFmtId="164" fontId="10" fillId="2" borderId="1" xfId="0" applyNumberFormat="1" applyFont="1" applyFill="1" applyBorder="1" applyAlignment="1">
      <alignment horizontal="center" vertical="top"/>
    </xf>
    <xf numFmtId="0" fontId="0" fillId="11" borderId="1" xfId="0" applyFill="1" applyBorder="1" applyAlignment="1">
      <alignment horizontal="center"/>
    </xf>
    <xf numFmtId="0" fontId="23" fillId="9" borderId="1" xfId="0" applyFont="1" applyFill="1" applyBorder="1" applyAlignment="1">
      <alignment horizontal="center"/>
    </xf>
    <xf numFmtId="0" fontId="8" fillId="0" borderId="14" xfId="0" applyFont="1" applyBorder="1"/>
    <xf numFmtId="0" fontId="27" fillId="0" borderId="14" xfId="0" applyFont="1" applyBorder="1" applyAlignment="1">
      <alignment horizontal="left" vertical="center" wrapText="1"/>
    </xf>
    <xf numFmtId="0" fontId="6" fillId="0" borderId="14" xfId="0" applyFont="1" applyBorder="1" applyAlignment="1">
      <alignment horizontal="center" vertical="center" wrapText="1"/>
    </xf>
    <xf numFmtId="0" fontId="19" fillId="0" borderId="14" xfId="0" applyFont="1" applyBorder="1"/>
    <xf numFmtId="0" fontId="28" fillId="0" borderId="14" xfId="0" applyFont="1" applyBorder="1"/>
    <xf numFmtId="0" fontId="28" fillId="0" borderId="14" xfId="0" applyFont="1" applyBorder="1" applyAlignment="1">
      <alignment horizontal="left"/>
    </xf>
    <xf numFmtId="0" fontId="28" fillId="0" borderId="14" xfId="0" applyFont="1" applyBorder="1" applyAlignment="1">
      <alignment horizontal="center" wrapText="1"/>
    </xf>
    <xf numFmtId="0" fontId="28" fillId="0" borderId="14" xfId="0" applyFont="1" applyBorder="1" applyAlignment="1">
      <alignment horizontal="center"/>
    </xf>
    <xf numFmtId="0" fontId="21" fillId="0" borderId="7" xfId="0" applyFont="1" applyBorder="1"/>
    <xf numFmtId="0" fontId="21" fillId="0" borderId="14" xfId="0" applyFont="1" applyBorder="1" applyAlignment="1">
      <alignment horizontal="left" vertical="center"/>
    </xf>
    <xf numFmtId="0" fontId="6" fillId="0" borderId="14" xfId="0" applyFont="1" applyBorder="1"/>
    <xf numFmtId="0" fontId="6" fillId="0" borderId="9" xfId="0" applyFont="1" applyBorder="1"/>
    <xf numFmtId="0" fontId="21" fillId="0" borderId="9" xfId="0" applyFont="1" applyBorder="1"/>
    <xf numFmtId="0" fontId="6" fillId="0" borderId="9" xfId="0" applyFont="1" applyBorder="1" applyAlignment="1">
      <alignment wrapText="1"/>
    </xf>
    <xf numFmtId="0" fontId="6" fillId="0" borderId="7" xfId="0" applyFont="1" applyBorder="1"/>
    <xf numFmtId="0" fontId="6" fillId="0" borderId="10" xfId="0" applyFont="1" applyBorder="1" applyAlignment="1">
      <alignment wrapText="1"/>
    </xf>
    <xf numFmtId="0" fontId="6" fillId="0" borderId="10" xfId="0" applyFont="1" applyBorder="1"/>
    <xf numFmtId="0" fontId="6" fillId="0" borderId="8" xfId="0" applyFont="1" applyBorder="1"/>
    <xf numFmtId="0" fontId="6" fillId="0" borderId="12" xfId="0" applyFont="1" applyBorder="1"/>
    <xf numFmtId="0" fontId="19" fillId="0" borderId="6" xfId="0" applyFont="1" applyBorder="1" applyAlignment="1">
      <alignment horizontal="center"/>
    </xf>
    <xf numFmtId="0" fontId="6" fillId="0" borderId="11" xfId="0" applyFont="1" applyBorder="1"/>
    <xf numFmtId="0" fontId="6" fillId="0" borderId="1" xfId="0" applyFont="1" applyBorder="1"/>
    <xf numFmtId="0" fontId="6" fillId="0" borderId="2" xfId="0" applyFont="1" applyBorder="1"/>
    <xf numFmtId="0" fontId="29" fillId="3" borderId="1" xfId="0" applyFont="1" applyFill="1" applyBorder="1" applyAlignment="1">
      <alignment wrapText="1"/>
    </xf>
    <xf numFmtId="0" fontId="30" fillId="0" borderId="1" xfId="0" applyFont="1" applyBorder="1" applyAlignment="1">
      <alignment horizontal="center"/>
    </xf>
    <xf numFmtId="0" fontId="31" fillId="0" borderId="1" xfId="0" applyFont="1" applyBorder="1"/>
    <xf numFmtId="0" fontId="19" fillId="0" borderId="9" xfId="0" applyFont="1" applyBorder="1"/>
    <xf numFmtId="0" fontId="6" fillId="0" borderId="9" xfId="0" applyFont="1" applyBorder="1" applyAlignment="1">
      <alignment horizontal="center"/>
    </xf>
    <xf numFmtId="0" fontId="6" fillId="0" borderId="10" xfId="0" applyFont="1" applyBorder="1" applyAlignment="1">
      <alignment vertical="center"/>
    </xf>
    <xf numFmtId="0" fontId="21" fillId="0" borderId="10" xfId="0" applyFont="1" applyBorder="1" applyAlignment="1">
      <alignment vertical="center"/>
    </xf>
    <xf numFmtId="0" fontId="6" fillId="0" borderId="10" xfId="0" applyFont="1" applyBorder="1" applyAlignment="1">
      <alignment horizontal="center" vertical="center"/>
    </xf>
    <xf numFmtId="0" fontId="0" fillId="0" borderId="0" xfId="0" applyAlignment="1">
      <alignment vertical="center"/>
    </xf>
    <xf numFmtId="0" fontId="17" fillId="0" borderId="6" xfId="0" applyFont="1" applyBorder="1" applyAlignment="1">
      <alignment horizontal="center" vertical="center"/>
    </xf>
    <xf numFmtId="0" fontId="6" fillId="0" borderId="10" xfId="0" applyFont="1" applyBorder="1" applyAlignment="1">
      <alignment horizontal="center"/>
    </xf>
    <xf numFmtId="0" fontId="17" fillId="0" borderId="1" xfId="0" applyFont="1" applyBorder="1" applyAlignment="1">
      <alignment horizontal="center" vertical="center"/>
    </xf>
    <xf numFmtId="0" fontId="19" fillId="0" borderId="1" xfId="0" applyFont="1" applyBorder="1"/>
    <xf numFmtId="0" fontId="19" fillId="0" borderId="7" xfId="0" applyFont="1" applyBorder="1"/>
    <xf numFmtId="0" fontId="32" fillId="12" borderId="0" xfId="0" applyFont="1" applyFill="1"/>
    <xf numFmtId="0" fontId="10" fillId="2" borderId="5" xfId="0" applyFont="1" applyFill="1" applyBorder="1" applyAlignment="1">
      <alignment horizontal="center"/>
    </xf>
    <xf numFmtId="164" fontId="10" fillId="2" borderId="5" xfId="0" applyNumberFormat="1" applyFont="1" applyFill="1" applyBorder="1" applyAlignment="1">
      <alignment horizontal="center" vertical="top"/>
    </xf>
    <xf numFmtId="0" fontId="0" fillId="0" borderId="0" xfId="0" applyAlignment="1">
      <alignment vertical="top"/>
    </xf>
    <xf numFmtId="0" fontId="23" fillId="9" borderId="15" xfId="0" applyFont="1" applyFill="1" applyBorder="1" applyAlignment="1">
      <alignment horizontal="left" vertical="top"/>
    </xf>
    <xf numFmtId="164" fontId="23" fillId="9" borderId="13" xfId="0" applyNumberFormat="1" applyFont="1" applyFill="1" applyBorder="1" applyAlignment="1">
      <alignment horizontal="left" vertical="top"/>
    </xf>
    <xf numFmtId="0" fontId="23" fillId="9" borderId="13" xfId="0" applyFont="1" applyFill="1" applyBorder="1" applyAlignment="1">
      <alignment horizontal="left" vertical="top"/>
    </xf>
    <xf numFmtId="0" fontId="23" fillId="9" borderId="13" xfId="0" applyFont="1" applyFill="1" applyBorder="1" applyAlignment="1">
      <alignment horizontal="center" vertical="top"/>
    </xf>
    <xf numFmtId="164" fontId="11" fillId="6" borderId="5" xfId="0" applyNumberFormat="1" applyFont="1" applyFill="1" applyBorder="1" applyAlignment="1">
      <alignment horizontal="left" vertical="top"/>
    </xf>
    <xf numFmtId="0" fontId="6" fillId="0" borderId="7" xfId="0" applyFont="1" applyBorder="1" applyAlignment="1">
      <alignment wrapText="1"/>
    </xf>
    <xf numFmtId="0" fontId="17" fillId="0" borderId="16" xfId="0" applyFont="1" applyBorder="1" applyAlignment="1">
      <alignment horizontal="center" vertical="center"/>
    </xf>
    <xf numFmtId="0" fontId="6" fillId="0" borderId="12" xfId="0" applyFont="1" applyBorder="1" applyAlignment="1">
      <alignment horizontal="center"/>
    </xf>
    <xf numFmtId="0" fontId="6" fillId="0" borderId="2" xfId="0" applyFont="1" applyBorder="1" applyAlignment="1">
      <alignment horizontal="center"/>
    </xf>
    <xf numFmtId="0" fontId="6" fillId="0" borderId="1" xfId="0" applyFont="1" applyBorder="1" applyAlignment="1">
      <alignment vertical="center"/>
    </xf>
    <xf numFmtId="0" fontId="19" fillId="0" borderId="9" xfId="0" applyFont="1" applyBorder="1" applyAlignment="1">
      <alignment horizontal="center"/>
    </xf>
    <xf numFmtId="0" fontId="6" fillId="0" borderId="5" xfId="0" applyFont="1" applyBorder="1"/>
    <xf numFmtId="0" fontId="19" fillId="0" borderId="5" xfId="0" applyFont="1" applyBorder="1"/>
    <xf numFmtId="0" fontId="6" fillId="0" borderId="17" xfId="0" applyFont="1" applyBorder="1" applyAlignment="1">
      <alignment wrapText="1"/>
    </xf>
    <xf numFmtId="0" fontId="19" fillId="0" borderId="12" xfId="0" applyFont="1" applyBorder="1"/>
    <xf numFmtId="0" fontId="19" fillId="0" borderId="8" xfId="0" applyFont="1" applyBorder="1"/>
    <xf numFmtId="0" fontId="8" fillId="0" borderId="1" xfId="0" applyFont="1" applyBorder="1" applyAlignment="1">
      <alignment horizontal="left"/>
    </xf>
    <xf numFmtId="0" fontId="21" fillId="0" borderId="1" xfId="0" applyFont="1" applyBorder="1" applyAlignment="1">
      <alignment horizontal="left"/>
    </xf>
    <xf numFmtId="0" fontId="8" fillId="0" borderId="2" xfId="0" applyFont="1" applyBorder="1" applyAlignment="1">
      <alignment horizontal="center"/>
    </xf>
    <xf numFmtId="0" fontId="6" fillId="0" borderId="1" xfId="0" applyFont="1" applyBorder="1" applyAlignment="1">
      <alignment horizontal="center"/>
    </xf>
    <xf numFmtId="0" fontId="6" fillId="0" borderId="4" xfId="0" applyFont="1" applyBorder="1"/>
    <xf numFmtId="0" fontId="0" fillId="0" borderId="1" xfId="0" applyBorder="1" applyAlignment="1">
      <alignment horizontal="center"/>
    </xf>
    <xf numFmtId="0" fontId="6" fillId="0" borderId="14" xfId="0" applyFont="1" applyBorder="1" applyAlignment="1">
      <alignment wrapText="1"/>
    </xf>
    <xf numFmtId="0" fontId="6" fillId="0" borderId="18" xfId="0" applyFont="1" applyBorder="1"/>
    <xf numFmtId="0" fontId="6" fillId="0" borderId="19" xfId="0" applyFont="1" applyBorder="1"/>
    <xf numFmtId="0" fontId="19" fillId="0" borderId="7" xfId="0" applyFont="1" applyBorder="1" applyAlignment="1">
      <alignment wrapText="1"/>
    </xf>
    <xf numFmtId="0" fontId="21" fillId="0" borderId="10" xfId="0" applyFont="1" applyBorder="1"/>
    <xf numFmtId="0" fontId="24" fillId="2" borderId="4" xfId="0" applyFont="1" applyFill="1" applyBorder="1" applyAlignment="1">
      <alignment horizontal="center"/>
    </xf>
    <xf numFmtId="0" fontId="21" fillId="0" borderId="1" xfId="0" applyFont="1" applyBorder="1"/>
    <xf numFmtId="0" fontId="23" fillId="9" borderId="20" xfId="0" applyFont="1" applyFill="1" applyBorder="1" applyAlignment="1">
      <alignment horizontal="center"/>
    </xf>
    <xf numFmtId="164" fontId="23" fillId="9" borderId="22" xfId="0" applyNumberFormat="1" applyFont="1" applyFill="1" applyBorder="1" applyAlignment="1">
      <alignment horizontal="center"/>
    </xf>
    <xf numFmtId="0" fontId="23" fillId="9" borderId="23" xfId="0" applyFont="1" applyFill="1" applyBorder="1" applyAlignment="1">
      <alignment horizontal="center"/>
    </xf>
    <xf numFmtId="0" fontId="13" fillId="9" borderId="15" xfId="0" applyFont="1" applyFill="1" applyBorder="1" applyAlignment="1">
      <alignment horizontal="left" vertical="top"/>
    </xf>
    <xf numFmtId="164" fontId="13" fillId="9" borderId="13" xfId="0" applyNumberFormat="1" applyFont="1" applyFill="1" applyBorder="1" applyAlignment="1">
      <alignment horizontal="left" vertical="top"/>
    </xf>
    <xf numFmtId="0" fontId="13" fillId="9" borderId="13" xfId="0" applyFont="1" applyFill="1" applyBorder="1" applyAlignment="1">
      <alignment horizontal="left" vertical="top"/>
    </xf>
    <xf numFmtId="0" fontId="13" fillId="9" borderId="13" xfId="0" applyFont="1" applyFill="1" applyBorder="1" applyAlignment="1">
      <alignment horizontal="center" vertical="top"/>
    </xf>
    <xf numFmtId="0" fontId="10" fillId="2" borderId="4" xfId="0" applyFont="1" applyFill="1" applyBorder="1" applyAlignment="1">
      <alignment horizontal="center"/>
    </xf>
    <xf numFmtId="0" fontId="10" fillId="2" borderId="1" xfId="0" applyFont="1" applyFill="1" applyBorder="1" applyAlignment="1">
      <alignment horizontal="center" wrapText="1"/>
    </xf>
    <xf numFmtId="0" fontId="15" fillId="2" borderId="1" xfId="0" applyFont="1" applyFill="1" applyBorder="1" applyAlignment="1">
      <alignment horizontal="left" wrapText="1"/>
    </xf>
    <xf numFmtId="0" fontId="10" fillId="2" borderId="1" xfId="0" applyFont="1" applyFill="1" applyBorder="1" applyAlignment="1">
      <alignment horizontal="left" wrapText="1"/>
    </xf>
    <xf numFmtId="0" fontId="12" fillId="8" borderId="1" xfId="0" applyFont="1" applyFill="1" applyBorder="1" applyAlignment="1">
      <alignment horizontal="left" wrapText="1"/>
    </xf>
    <xf numFmtId="0" fontId="12" fillId="2" borderId="1" xfId="0" applyFont="1" applyFill="1" applyBorder="1" applyAlignment="1">
      <alignment horizontal="left" wrapText="1"/>
    </xf>
    <xf numFmtId="0" fontId="10" fillId="2" borderId="26" xfId="0" applyFont="1" applyFill="1" applyBorder="1" applyAlignment="1">
      <alignment horizontal="center"/>
    </xf>
    <xf numFmtId="0" fontId="10" fillId="2" borderId="5" xfId="0" applyFont="1" applyFill="1" applyBorder="1" applyAlignment="1">
      <alignment horizontal="center" wrapText="1"/>
    </xf>
    <xf numFmtId="0" fontId="10" fillId="2" borderId="5" xfId="0" applyFont="1" applyFill="1" applyBorder="1" applyAlignment="1">
      <alignment horizontal="left" wrapText="1"/>
    </xf>
    <xf numFmtId="0" fontId="12" fillId="8" borderId="5" xfId="0" applyFont="1" applyFill="1" applyBorder="1" applyAlignment="1">
      <alignment horizontal="left" wrapText="1"/>
    </xf>
    <xf numFmtId="0" fontId="10" fillId="2" borderId="25" xfId="0" applyFont="1" applyFill="1" applyBorder="1" applyAlignment="1">
      <alignment horizontal="center"/>
    </xf>
    <xf numFmtId="0" fontId="12" fillId="2" borderId="1" xfId="0" applyFont="1" applyFill="1" applyBorder="1" applyAlignment="1">
      <alignment horizontal="left"/>
    </xf>
    <xf numFmtId="0" fontId="15" fillId="2" borderId="1" xfId="0" applyFont="1" applyFill="1" applyBorder="1" applyAlignment="1">
      <alignment horizontal="left"/>
    </xf>
    <xf numFmtId="0" fontId="12" fillId="8" borderId="1" xfId="0" applyFont="1" applyFill="1" applyBorder="1" applyAlignment="1">
      <alignment horizontal="left"/>
    </xf>
    <xf numFmtId="0" fontId="13" fillId="2" borderId="1" xfId="0" applyFont="1" applyFill="1" applyBorder="1" applyAlignment="1">
      <alignment horizontal="left" wrapText="1"/>
    </xf>
    <xf numFmtId="0" fontId="3" fillId="2" borderId="14" xfId="0" applyFont="1" applyFill="1" applyBorder="1" applyAlignment="1">
      <alignment vertical="center" wrapText="1"/>
    </xf>
    <xf numFmtId="0" fontId="13" fillId="13" borderId="1" xfId="0" applyFont="1" applyFill="1" applyBorder="1" applyAlignment="1">
      <alignment horizontal="left" wrapText="1"/>
    </xf>
    <xf numFmtId="0" fontId="12" fillId="13" borderId="1" xfId="0" applyFont="1" applyFill="1" applyBorder="1" applyAlignment="1">
      <alignment horizontal="left" wrapText="1"/>
    </xf>
    <xf numFmtId="0" fontId="10" fillId="0" borderId="0" xfId="0" applyFont="1" applyAlignment="1">
      <alignment vertical="top"/>
    </xf>
    <xf numFmtId="164" fontId="10" fillId="3" borderId="2" xfId="0" applyNumberFormat="1" applyFont="1" applyFill="1" applyBorder="1" applyAlignment="1">
      <alignment horizontal="center" vertical="top"/>
    </xf>
    <xf numFmtId="0" fontId="10" fillId="2" borderId="3" xfId="0" applyFont="1" applyFill="1" applyBorder="1" applyAlignment="1">
      <alignment horizontal="center"/>
    </xf>
    <xf numFmtId="0" fontId="13" fillId="2" borderId="1" xfId="0" applyFont="1" applyFill="1" applyBorder="1" applyAlignment="1">
      <alignment horizontal="left"/>
    </xf>
    <xf numFmtId="0" fontId="13" fillId="13" borderId="1" xfId="0" applyFont="1" applyFill="1" applyBorder="1" applyAlignment="1">
      <alignment horizontal="left"/>
    </xf>
    <xf numFmtId="0" fontId="12" fillId="13" borderId="1" xfId="0" applyFont="1" applyFill="1" applyBorder="1" applyAlignment="1">
      <alignment horizontal="left"/>
    </xf>
    <xf numFmtId="0" fontId="10" fillId="2" borderId="21" xfId="0" applyFont="1" applyFill="1" applyBorder="1" applyAlignment="1">
      <alignment horizontal="center"/>
    </xf>
    <xf numFmtId="0" fontId="7" fillId="2" borderId="14" xfId="0" applyFont="1" applyFill="1" applyBorder="1" applyAlignment="1">
      <alignment vertical="center" wrapText="1"/>
    </xf>
    <xf numFmtId="16" fontId="6" fillId="0" borderId="1" xfId="0" applyNumberFormat="1" applyFont="1" applyBorder="1"/>
    <xf numFmtId="0" fontId="21" fillId="0" borderId="12" xfId="0" applyFont="1" applyBorder="1"/>
    <xf numFmtId="0" fontId="6" fillId="0" borderId="0" xfId="0" applyFont="1"/>
    <xf numFmtId="0" fontId="0" fillId="0" borderId="5" xfId="0" applyBorder="1" applyAlignment="1">
      <alignment horizontal="center"/>
    </xf>
    <xf numFmtId="0" fontId="6" fillId="0" borderId="5" xfId="0" applyFont="1" applyBorder="1" applyAlignment="1">
      <alignment horizontal="center"/>
    </xf>
    <xf numFmtId="0" fontId="19" fillId="0" borderId="11" xfId="0" applyFont="1" applyBorder="1" applyAlignment="1">
      <alignment wrapText="1"/>
    </xf>
    <xf numFmtId="16" fontId="19" fillId="0" borderId="11" xfId="0" applyNumberFormat="1" applyFont="1" applyBorder="1" applyAlignment="1">
      <alignment wrapText="1"/>
    </xf>
    <xf numFmtId="0" fontId="19" fillId="0" borderId="10" xfId="0" applyFont="1" applyBorder="1"/>
    <xf numFmtId="0" fontId="19" fillId="0" borderId="10" xfId="0" applyFont="1" applyBorder="1" applyAlignment="1">
      <alignment horizontal="center"/>
    </xf>
    <xf numFmtId="0" fontId="6" fillId="0" borderId="17" xfId="0" applyFont="1" applyBorder="1" applyAlignment="1">
      <alignment horizontal="center"/>
    </xf>
    <xf numFmtId="0" fontId="19" fillId="0" borderId="17" xfId="0" applyFont="1" applyBorder="1"/>
    <xf numFmtId="0" fontId="6" fillId="0" borderId="17" xfId="0" applyFont="1" applyBorder="1"/>
    <xf numFmtId="0" fontId="19" fillId="0" borderId="19" xfId="0" applyFont="1" applyBorder="1"/>
    <xf numFmtId="0" fontId="11" fillId="2" borderId="5" xfId="0" applyFont="1" applyFill="1" applyBorder="1" applyAlignment="1">
      <alignment horizontal="center"/>
    </xf>
    <xf numFmtId="164" fontId="11" fillId="2" borderId="5" xfId="0" applyNumberFormat="1" applyFont="1" applyFill="1" applyBorder="1" applyAlignment="1">
      <alignment horizontal="center" vertical="top"/>
    </xf>
    <xf numFmtId="20" fontId="10" fillId="2" borderId="5" xfId="0" applyNumberFormat="1" applyFont="1" applyFill="1" applyBorder="1" applyAlignment="1">
      <alignment horizontal="center"/>
    </xf>
    <xf numFmtId="0" fontId="1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7" fillId="2" borderId="1" xfId="0" applyFont="1" applyFill="1" applyBorder="1" applyAlignment="1">
      <alignment horizontal="left" vertical="center"/>
    </xf>
    <xf numFmtId="0" fontId="2" fillId="2" borderId="1" xfId="0" applyFont="1" applyFill="1" applyBorder="1" applyAlignment="1">
      <alignment horizontal="center" vertical="center"/>
    </xf>
    <xf numFmtId="0" fontId="7" fillId="2" borderId="1" xfId="0" applyFont="1" applyFill="1" applyBorder="1" applyAlignment="1">
      <alignment horizontal="left" vertical="center" wrapText="1"/>
    </xf>
    <xf numFmtId="0" fontId="4" fillId="2" borderId="1" xfId="0" applyFont="1" applyFill="1" applyBorder="1" applyAlignment="1">
      <alignment horizontal="center" vertical="center"/>
    </xf>
    <xf numFmtId="0" fontId="12" fillId="10" borderId="5" xfId="0" applyFont="1" applyFill="1" applyBorder="1" applyAlignment="1">
      <alignment horizontal="left" wrapText="1"/>
    </xf>
    <xf numFmtId="0" fontId="1" fillId="2" borderId="14" xfId="0" applyFont="1" applyFill="1" applyBorder="1" applyAlignment="1">
      <alignment horizontal="center" vertical="top" wrapText="1"/>
    </xf>
    <xf numFmtId="15" fontId="10" fillId="2" borderId="1" xfId="0" applyNumberFormat="1" applyFont="1" applyFill="1" applyBorder="1" applyAlignment="1">
      <alignment horizontal="center"/>
    </xf>
    <xf numFmtId="0" fontId="11" fillId="2" borderId="1" xfId="0" applyFont="1" applyFill="1" applyBorder="1" applyAlignment="1">
      <alignment horizontal="center"/>
    </xf>
    <xf numFmtId="0" fontId="11" fillId="2" borderId="1" xfId="0" applyFont="1" applyFill="1" applyBorder="1" applyAlignment="1">
      <alignment horizontal="left" wrapText="1"/>
    </xf>
    <xf numFmtId="0" fontId="11" fillId="2" borderId="5" xfId="0" applyFont="1" applyFill="1" applyBorder="1" applyAlignment="1">
      <alignment horizontal="left" wrapText="1"/>
    </xf>
    <xf numFmtId="0" fontId="13" fillId="10" borderId="1" xfId="0" applyFont="1" applyFill="1" applyBorder="1" applyAlignment="1">
      <alignment horizontal="left" wrapText="1"/>
    </xf>
    <xf numFmtId="0" fontId="2" fillId="2" borderId="14" xfId="0" applyFont="1" applyFill="1" applyBorder="1" applyAlignment="1">
      <alignment horizontal="center" vertical="top" wrapText="1"/>
    </xf>
    <xf numFmtId="0" fontId="38" fillId="2" borderId="4" xfId="0" applyFont="1" applyFill="1" applyBorder="1" applyAlignment="1">
      <alignment horizontal="center"/>
    </xf>
    <xf numFmtId="15" fontId="38" fillId="2" borderId="1" xfId="0" applyNumberFormat="1" applyFont="1" applyFill="1" applyBorder="1" applyAlignment="1">
      <alignment horizontal="center"/>
    </xf>
    <xf numFmtId="0" fontId="38" fillId="2" borderId="1" xfId="0" applyFont="1" applyFill="1" applyBorder="1" applyAlignment="1">
      <alignment horizontal="left" wrapText="1"/>
    </xf>
    <xf numFmtId="0" fontId="38" fillId="2" borderId="1" xfId="0" applyFont="1" applyFill="1" applyBorder="1" applyAlignment="1">
      <alignment horizontal="center" vertical="center"/>
    </xf>
    <xf numFmtId="0" fontId="38" fillId="2" borderId="26" xfId="0" applyFont="1" applyFill="1" applyBorder="1" applyAlignment="1">
      <alignment horizontal="center"/>
    </xf>
    <xf numFmtId="0" fontId="38" fillId="2" borderId="5" xfId="0" applyFont="1" applyFill="1" applyBorder="1" applyAlignment="1">
      <alignment horizontal="left" wrapText="1"/>
    </xf>
    <xf numFmtId="0" fontId="14" fillId="10" borderId="1" xfId="0" applyFont="1" applyFill="1" applyBorder="1" applyAlignment="1">
      <alignment horizontal="left" wrapText="1"/>
    </xf>
    <xf numFmtId="0" fontId="2" fillId="2" borderId="1" xfId="0" applyFont="1" applyFill="1" applyBorder="1" applyAlignment="1">
      <alignment horizontal="left" vertical="center" wrapText="1"/>
    </xf>
    <xf numFmtId="0" fontId="0" fillId="0" borderId="0" xfId="0" applyAlignment="1">
      <alignment wrapText="1"/>
    </xf>
    <xf numFmtId="0" fontId="39" fillId="0" borderId="14" xfId="0" applyFont="1" applyBorder="1" applyAlignment="1">
      <alignment horizontal="center" vertical="center"/>
    </xf>
    <xf numFmtId="0" fontId="34" fillId="0" borderId="24" xfId="0" applyFont="1" applyBorder="1"/>
    <xf numFmtId="0" fontId="34" fillId="0" borderId="16" xfId="0" applyFont="1" applyBorder="1"/>
    <xf numFmtId="0" fontId="34" fillId="0" borderId="14" xfId="0" applyFont="1" applyBorder="1"/>
    <xf numFmtId="0" fontId="34" fillId="0" borderId="6" xfId="0" applyFont="1" applyBorder="1"/>
    <xf numFmtId="17" fontId="34" fillId="0" borderId="9" xfId="0" applyNumberFormat="1" applyFont="1" applyBorder="1"/>
    <xf numFmtId="16" fontId="34" fillId="0" borderId="16" xfId="0" applyNumberFormat="1" applyFont="1" applyBorder="1"/>
    <xf numFmtId="2" fontId="34" fillId="0" borderId="14" xfId="0" applyNumberFormat="1" applyFont="1" applyBorder="1"/>
    <xf numFmtId="2" fontId="34" fillId="0" borderId="6" xfId="0" applyNumberFormat="1" applyFont="1" applyBorder="1"/>
    <xf numFmtId="1" fontId="34" fillId="0" borderId="14" xfId="0" applyNumberFormat="1" applyFont="1" applyBorder="1"/>
    <xf numFmtId="1" fontId="34" fillId="0" borderId="6" xfId="0" applyNumberFormat="1" applyFont="1" applyBorder="1"/>
    <xf numFmtId="0" fontId="35" fillId="0" borderId="10" xfId="0" applyFont="1" applyBorder="1" applyAlignment="1">
      <alignment horizontal="center"/>
    </xf>
    <xf numFmtId="0" fontId="35" fillId="0" borderId="7" xfId="0" applyFont="1" applyBorder="1" applyAlignment="1">
      <alignment horizontal="center"/>
    </xf>
    <xf numFmtId="2" fontId="35" fillId="0" borderId="7" xfId="0" applyNumberFormat="1" applyFont="1" applyBorder="1" applyAlignment="1">
      <alignment horizontal="center"/>
    </xf>
    <xf numFmtId="1" fontId="35" fillId="0" borderId="7" xfId="0" applyNumberFormat="1" applyFont="1" applyBorder="1" applyAlignment="1">
      <alignment horizontal="center"/>
    </xf>
    <xf numFmtId="0" fontId="35" fillId="0" borderId="11" xfId="0" applyFont="1" applyBorder="1" applyAlignment="1">
      <alignment horizontal="center"/>
    </xf>
    <xf numFmtId="0" fontId="34" fillId="3" borderId="9" xfId="0" applyFont="1" applyFill="1" applyBorder="1"/>
    <xf numFmtId="165" fontId="34" fillId="3" borderId="14" xfId="0" applyNumberFormat="1" applyFont="1" applyFill="1" applyBorder="1"/>
    <xf numFmtId="0" fontId="34" fillId="3" borderId="14" xfId="0" applyFont="1" applyFill="1" applyBorder="1"/>
    <xf numFmtId="0" fontId="34" fillId="3" borderId="16" xfId="0" applyFont="1" applyFill="1" applyBorder="1"/>
    <xf numFmtId="0" fontId="34" fillId="3" borderId="7" xfId="0" applyFont="1" applyFill="1" applyBorder="1"/>
    <xf numFmtId="0" fontId="34" fillId="3" borderId="14" xfId="0" applyFont="1" applyFill="1" applyBorder="1" applyAlignment="1">
      <alignment wrapText="1"/>
    </xf>
    <xf numFmtId="0" fontId="34" fillId="3" borderId="17" xfId="0" applyFont="1" applyFill="1" applyBorder="1"/>
    <xf numFmtId="165" fontId="34" fillId="3" borderId="6" xfId="0" applyNumberFormat="1" applyFont="1" applyFill="1" applyBorder="1"/>
    <xf numFmtId="0" fontId="34" fillId="3" borderId="6" xfId="0" applyFont="1" applyFill="1" applyBorder="1"/>
    <xf numFmtId="0" fontId="34" fillId="3" borderId="24" xfId="0" applyFont="1" applyFill="1" applyBorder="1"/>
    <xf numFmtId="17" fontId="34" fillId="0" borderId="17" xfId="0" applyNumberFormat="1" applyFont="1" applyBorder="1"/>
    <xf numFmtId="0" fontId="34" fillId="0" borderId="8" xfId="0" applyFont="1" applyBorder="1"/>
    <xf numFmtId="0" fontId="34" fillId="0" borderId="27" xfId="0" applyFont="1" applyBorder="1"/>
    <xf numFmtId="0" fontId="4" fillId="2"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17" fontId="34" fillId="0" borderId="12" xfId="0" applyNumberFormat="1" applyFont="1" applyBorder="1"/>
    <xf numFmtId="0" fontId="34" fillId="3" borderId="10" xfId="0" applyFont="1" applyFill="1" applyBorder="1"/>
    <xf numFmtId="165" fontId="34" fillId="3" borderId="7" xfId="0" applyNumberFormat="1" applyFont="1" applyFill="1" applyBorder="1"/>
    <xf numFmtId="0" fontId="34" fillId="3" borderId="11" xfId="0" applyFont="1" applyFill="1" applyBorder="1"/>
    <xf numFmtId="17" fontId="0" fillId="0" borderId="0" xfId="0" applyNumberFormat="1"/>
    <xf numFmtId="0" fontId="3" fillId="8" borderId="14" xfId="0" applyFont="1" applyFill="1" applyBorder="1" applyAlignment="1">
      <alignment horizontal="left" vertical="top" wrapText="1"/>
    </xf>
    <xf numFmtId="15" fontId="10" fillId="2" borderId="5" xfId="0" applyNumberFormat="1" applyFont="1" applyFill="1" applyBorder="1" applyAlignment="1">
      <alignment horizontal="center"/>
    </xf>
    <xf numFmtId="15" fontId="38" fillId="2" borderId="5" xfId="0" applyNumberFormat="1" applyFont="1" applyFill="1" applyBorder="1" applyAlignment="1">
      <alignment horizontal="center"/>
    </xf>
    <xf numFmtId="0" fontId="38" fillId="2" borderId="5" xfId="0" applyFont="1" applyFill="1" applyBorder="1" applyAlignment="1">
      <alignment horizontal="center" vertical="center"/>
    </xf>
    <xf numFmtId="0" fontId="14" fillId="2" borderId="1" xfId="0" applyFont="1" applyFill="1" applyBorder="1" applyAlignment="1">
      <alignment horizontal="left" wrapText="1"/>
    </xf>
    <xf numFmtId="0" fontId="4" fillId="0" borderId="14" xfId="0" applyFont="1" applyBorder="1" applyAlignment="1">
      <alignment wrapText="1" readingOrder="1"/>
    </xf>
    <xf numFmtId="0" fontId="1" fillId="2" borderId="14" xfId="0" applyFont="1" applyFill="1" applyBorder="1" applyAlignment="1">
      <alignment horizontal="center" vertical="center"/>
    </xf>
    <xf numFmtId="0" fontId="4" fillId="2" borderId="14" xfId="0" applyFont="1" applyFill="1" applyBorder="1" applyAlignment="1">
      <alignment wrapText="1" readingOrder="1"/>
    </xf>
    <xf numFmtId="0" fontId="5" fillId="2" borderId="14" xfId="0" applyFont="1" applyFill="1" applyBorder="1" applyAlignment="1">
      <alignment wrapText="1" readingOrder="1"/>
    </xf>
    <xf numFmtId="0" fontId="5" fillId="10" borderId="14" xfId="0" applyFont="1" applyFill="1" applyBorder="1" applyAlignment="1">
      <alignment wrapText="1" readingOrder="1"/>
    </xf>
    <xf numFmtId="0" fontId="1" fillId="2" borderId="4" xfId="0" applyFont="1" applyFill="1" applyBorder="1" applyAlignment="1">
      <alignment horizontal="center" vertical="center"/>
    </xf>
    <xf numFmtId="0" fontId="13" fillId="9" borderId="13" xfId="0" applyFont="1" applyFill="1" applyBorder="1" applyAlignment="1">
      <alignment horizontal="left" vertical="top" wrapText="1"/>
    </xf>
    <xf numFmtId="0" fontId="1" fillId="2" borderId="26" xfId="0" applyFont="1" applyFill="1" applyBorder="1" applyAlignment="1">
      <alignment horizontal="center" vertical="center"/>
    </xf>
    <xf numFmtId="0" fontId="1" fillId="2" borderId="5" xfId="0" applyFont="1" applyFill="1" applyBorder="1" applyAlignment="1">
      <alignment horizontal="center" vertical="center"/>
    </xf>
    <xf numFmtId="0" fontId="4" fillId="2" borderId="5" xfId="0" applyFont="1" applyFill="1" applyBorder="1" applyAlignment="1">
      <alignment horizontal="left" vertical="center" wrapText="1"/>
    </xf>
    <xf numFmtId="0" fontId="34" fillId="3" borderId="7" xfId="0" applyFont="1" applyFill="1" applyBorder="1" applyAlignment="1">
      <alignment wrapText="1"/>
    </xf>
    <xf numFmtId="0" fontId="34" fillId="3" borderId="6" xfId="0" applyFont="1" applyFill="1" applyBorder="1" applyAlignment="1">
      <alignment wrapText="1"/>
    </xf>
    <xf numFmtId="0" fontId="1" fillId="2"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37" fillId="2" borderId="14" xfId="0" applyFont="1" applyFill="1" applyBorder="1" applyAlignment="1">
      <alignment wrapText="1" readingOrder="1"/>
    </xf>
    <xf numFmtId="0" fontId="41" fillId="0" borderId="0" xfId="0" applyFont="1"/>
    <xf numFmtId="0" fontId="41" fillId="2" borderId="0" xfId="0" applyFont="1" applyFill="1"/>
    <xf numFmtId="0" fontId="5" fillId="8" borderId="14" xfId="0" applyFont="1" applyFill="1" applyBorder="1" applyAlignment="1">
      <alignment wrapText="1" readingOrder="1"/>
    </xf>
    <xf numFmtId="16" fontId="0" fillId="0" borderId="0" xfId="0" applyNumberFormat="1"/>
    <xf numFmtId="0" fontId="6" fillId="14" borderId="14" xfId="0" applyFont="1" applyFill="1" applyBorder="1"/>
    <xf numFmtId="0" fontId="2" fillId="2" borderId="14" xfId="0" applyFont="1" applyFill="1" applyBorder="1" applyAlignment="1">
      <alignment horizontal="center" wrapText="1"/>
    </xf>
    <xf numFmtId="15" fontId="2" fillId="2" borderId="14" xfId="0" applyNumberFormat="1" applyFont="1" applyFill="1" applyBorder="1" applyAlignment="1">
      <alignment horizontal="center" wrapText="1"/>
    </xf>
    <xf numFmtId="0" fontId="7" fillId="2" borderId="14" xfId="0" applyFont="1" applyFill="1" applyBorder="1" applyAlignment="1">
      <alignment wrapText="1"/>
    </xf>
    <xf numFmtId="0" fontId="2" fillId="2" borderId="14" xfId="0" applyFont="1" applyFill="1" applyBorder="1" applyAlignment="1">
      <alignment wrapText="1"/>
    </xf>
    <xf numFmtId="0" fontId="3" fillId="2" borderId="14" xfId="0" applyFont="1" applyFill="1" applyBorder="1" applyAlignment="1">
      <alignment wrapText="1"/>
    </xf>
    <xf numFmtId="0" fontId="3" fillId="13" borderId="14" xfId="0" applyFont="1" applyFill="1" applyBorder="1" applyAlignment="1">
      <alignment wrapText="1"/>
    </xf>
    <xf numFmtId="0" fontId="2" fillId="14" borderId="14" xfId="0" applyFont="1" applyFill="1" applyBorder="1" applyAlignment="1">
      <alignment horizontal="center"/>
    </xf>
    <xf numFmtId="0" fontId="34" fillId="0" borderId="11" xfId="0" applyFont="1" applyBorder="1"/>
    <xf numFmtId="0" fontId="34" fillId="0" borderId="17" xfId="0" applyFont="1" applyBorder="1"/>
    <xf numFmtId="0" fontId="34" fillId="0" borderId="10" xfId="0" applyFont="1" applyBorder="1"/>
    <xf numFmtId="0" fontId="34" fillId="0" borderId="9" xfId="0" applyFont="1" applyBorder="1"/>
    <xf numFmtId="165" fontId="34" fillId="0" borderId="14" xfId="0" applyNumberFormat="1" applyFont="1" applyBorder="1"/>
    <xf numFmtId="0" fontId="34" fillId="0" borderId="14" xfId="0" applyFont="1" applyBorder="1" applyAlignment="1">
      <alignment wrapText="1"/>
    </xf>
    <xf numFmtId="0" fontId="34" fillId="0" borderId="7" xfId="0" applyFont="1" applyBorder="1"/>
    <xf numFmtId="165" fontId="34" fillId="0" borderId="6" xfId="0" applyNumberFormat="1" applyFont="1" applyBorder="1"/>
  </cellXfs>
  <cellStyles count="1">
    <cellStyle name="Normal" xfId="0" builtinId="0"/>
  </cellStyles>
  <dxfs count="850">
    <dxf>
      <font>
        <b/>
        <color rgb="FFFFFFFF"/>
      </font>
      <fill>
        <patternFill patternType="solid">
          <fgColor indexed="64"/>
          <bgColor rgb="FF1F4E78"/>
        </patternFill>
      </fill>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Candara"/>
      </font>
      <fill>
        <patternFill patternType="solid">
          <fgColor indexed="64"/>
          <bgColor theme="0"/>
        </patternFill>
      </fill>
      <alignment horizontal="lef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indexed="64"/>
        </bottom>
      </border>
    </dxf>
    <dxf>
      <border outline="0">
        <top style="thin">
          <color indexed="64"/>
        </top>
      </border>
    </dxf>
    <dxf>
      <font>
        <sz val="11"/>
        <name val="Candara"/>
      </font>
      <fill>
        <patternFill patternType="solid">
          <fgColor indexed="64"/>
          <bgColor theme="0"/>
        </patternFill>
      </fill>
      <alignment horizontal="left" vertical="top"/>
    </dxf>
    <dxf>
      <font>
        <b/>
        <strike val="0"/>
        <condense val="0"/>
        <extend val="0"/>
        <outline val="0"/>
        <shadow val="0"/>
        <vertAlign val="baseline"/>
        <sz val="11"/>
        <color rgb="FF000000"/>
        <name val="Calibri"/>
        <family val="2"/>
      </font>
      <fill>
        <patternFill patternType="solid">
          <fgColor rgb="FFFFC000"/>
          <bgColor rgb="FFFFC000"/>
        </patternFill>
      </fill>
      <alignment horizontal="left" vertical="bottom"/>
      <border>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theme="4" tint="0.39997558519241921"/>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theme="4" tint="0.39997558519241921"/>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rgb="FFFFFFFF"/>
        </patternFill>
      </fill>
      <alignment horizontal="center"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numFmt numFmtId="164" formatCode="[$-409]mmmm\ d\,\ yyyy;@"/>
      <fill>
        <patternFill patternType="solid">
          <fgColor indexed="64"/>
          <bgColor rgb="FFFFFFFF"/>
        </patternFill>
      </fill>
      <alignment horizontal="center"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numFmt numFmtId="164" formatCode="[$-409]mmmm\ d\,\ yyyy;@"/>
      <fill>
        <patternFill patternType="solid">
          <fgColor indexed="64"/>
          <bgColor rgb="FFFFFFFF"/>
        </patternFill>
      </fill>
      <alignment horizontal="center"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top style="thin">
          <color indexed="64"/>
        </top>
        <bottom style="thin">
          <color rgb="FF000000"/>
        </bottom>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rgb="FFFFFFFF"/>
        </patternFill>
      </fill>
      <alignment horizontal="center"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25" formatCode="h:mm"/>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25" formatCode="h:mm"/>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3"/>
        <color rgb="FF000000"/>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3"/>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2"/>
        <color rgb="FF000000"/>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ndara"/>
        <scheme val="none"/>
      </font>
      <numFmt numFmtId="20" formatCode="d\-mmm\-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20" formatCode="d\-mmm\-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20" formatCode="d\-mmm\-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rgb="FF000000"/>
        </right>
        <top style="thin">
          <color rgb="FF000000"/>
        </top>
        <bottom style="thin">
          <color rgb="FF000000"/>
        </bottom>
        <vertical/>
        <horizontal/>
      </border>
    </dxf>
    <dxf>
      <border outline="0">
        <bottom style="thin">
          <color theme="4" tint="0.39997558519241921"/>
        </bottom>
      </border>
    </dxf>
    <dxf>
      <border outline="0">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Candara"/>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auto="1"/>
        </left>
        <right style="thin">
          <color rgb="FF000000"/>
        </right>
        <top style="thin">
          <color rgb="FF000000"/>
        </top>
        <bottom style="thin">
          <color rgb="FF000000"/>
        </bottom>
        <vertical/>
        <horizontal/>
      </border>
    </dxf>
    <dxf>
      <border outline="0">
        <bottom style="thin">
          <color theme="4" tint="0.39997558519241921"/>
        </bottom>
      </border>
    </dxf>
    <dxf>
      <border outline="0">
        <top style="thin">
          <color indexed="64"/>
        </top>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3"/>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FF0000"/>
        <name val="Candara"/>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FF0000"/>
        <name val="Candara"/>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fill>
        <patternFill patternType="solid">
          <fgColor indexed="64"/>
          <bgColor theme="0"/>
        </patternFill>
      </fill>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fill>
        <patternFill patternType="solid">
          <fgColor indexed="64"/>
          <bgColor theme="0"/>
        </patternFill>
      </fill>
      <alignment horizontal="cent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fill>
        <patternFill patternType="solid">
          <fgColor indexed="64"/>
          <bgColor theme="0"/>
        </patternFill>
      </fill>
      <alignment horizontal="center"/>
    </dxf>
    <dxf>
      <font>
        <sz val="11"/>
      </font>
      <fill>
        <patternFill patternType="solid">
          <fgColor indexed="64"/>
          <bgColor theme="0"/>
        </patternFill>
      </fill>
      <alignment horizontal="cent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general" vertical="bottom" textRotation="0" wrapText="1" indent="0" justifyLastLine="0" shrinkToFit="0" readingOrder="1"/>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Candara"/>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scheme val="none"/>
      </font>
      <numFmt numFmtId="164" formatCode="[$-409]mmmm\ d\,\ yyyy;@"/>
      <fill>
        <patternFill patternType="solid">
          <fgColor indexed="64"/>
          <bgColor theme="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ndara"/>
        <family val="2"/>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theme="4" tint="0.39997558519241921"/>
        </bottom>
      </border>
    </dxf>
    <dxf>
      <border outline="0">
        <left style="thin">
          <color auto="1"/>
        </left>
        <top style="thin">
          <color indexed="64"/>
        </top>
        <bottom style="thin">
          <color rgb="FF000000"/>
        </bottom>
      </border>
    </dxf>
    <dxf>
      <font>
        <b val="0"/>
        <i val="0"/>
        <strike val="0"/>
        <condense val="0"/>
        <extend val="0"/>
        <outline val="0"/>
        <shadow val="0"/>
        <u val="none"/>
        <vertAlign val="baseline"/>
        <sz val="11"/>
        <color theme="1"/>
        <name val="Candara"/>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ndara"/>
        <scheme val="none"/>
      </font>
      <fill>
        <patternFill patternType="solid">
          <fgColor indexed="64"/>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numFmt numFmtId="165" formatCode="mmmm\ dd\,\ yyyy"/>
      <fill>
        <patternFill patternType="none"/>
      </fill>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sz val="11"/>
        <name val="Calibri"/>
      </font>
      <fill>
        <patternFill patternType="none"/>
      </fill>
      <border diagonalUp="0" diagonalDown="0">
        <left/>
        <right style="thin">
          <color auto="1"/>
        </right>
        <top style="thin">
          <color indexed="64"/>
        </top>
        <bottom style="thin">
          <color indexed="64"/>
        </bottom>
        <vertical style="thin">
          <color auto="1"/>
        </vertical>
        <horizontal style="thin">
          <color indexed="64"/>
        </horizontal>
      </border>
    </dxf>
    <dxf>
      <border>
        <top style="thin">
          <color indexed="64"/>
        </top>
      </border>
    </dxf>
    <dxf>
      <border>
        <bottom style="thin">
          <color indexed="64"/>
        </bottom>
      </border>
    </dxf>
    <dxf>
      <border diagonalUp="0" diagonalDown="0">
        <left style="thin">
          <color auto="1"/>
        </left>
        <right style="thin">
          <color auto="1"/>
        </right>
        <top style="thin">
          <color auto="1"/>
        </top>
        <bottom style="thin">
          <color auto="1"/>
        </bottom>
      </border>
    </dxf>
    <dxf>
      <font>
        <sz val="11"/>
        <name val="Calibri"/>
      </font>
      <fill>
        <patternFill patternType="none"/>
      </fill>
    </dxf>
    <dxf>
      <font>
        <sz val="11"/>
        <name val="Calibri"/>
      </font>
      <fill>
        <patternFill patternType="none"/>
      </fill>
      <border diagonalUp="0" diagonalDown="0">
        <left style="thin">
          <color auto="1"/>
        </left>
        <right style="thin">
          <color auto="1"/>
        </right>
        <top/>
        <bottom/>
        <vertical style="thin">
          <color auto="1"/>
        </vertical>
        <horizontal style="thin">
          <color indexed="64"/>
        </horizontal>
      </border>
    </dxf>
    <dxf>
      <numFmt numFmtId="22" formatCode="mmm\-yy"/>
    </dxf>
    <dxf>
      <border>
        <bottom style="thin">
          <color indexed="64"/>
        </bottom>
      </border>
    </dxf>
    <dxf>
      <font>
        <b/>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border>
    </dxf>
  </dxfs>
  <tableStyles count="0" defaultTableStyle="TableStyleMedium2" defaultPivotStyle="PivotStyleMedium9"/>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28B0925-DE0F-4D4D-A82F-8C37007A660C}">
    <nsvFilter filterId="{FD054392-0342-441D-9C97-415D4CDCE695}" ref="A1:Q24" tableId="67"/>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67A5925-1A7B-478A-AD00-EFDD87EBBB0B}">
    <nsvFilter filterId="{014996DC-04AD-4E17-A686-27AA76C1572F}" ref="A1:Q22" tableId="19"/>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1F4FC2F-3A8D-4167-AA31-4AEE502C4339}">
    <nsvFilter filterId="{533225A1-8251-44CA-B30F-DE1520B63928}" ref="A1:Q42" tableId="11">
      <columnFilter colId="4" id="{FDA7141D-D900-426A-B308-F1AB8B2B0C23}">
        <filter colId="4">
          <x:filters>
            <x:filter val="March"/>
          </x:filters>
        </filter>
      </columnFilter>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419E046-4249-46B3-8270-D6CB5E3EAEAE}">
    <nsvFilter filterId="{533225A1-8251-44CA-B30F-DE1520B63928}" ref="A1:Q43" tableId="12"/>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F20C06C-51D6-4B8C-A5E8-EFF3F63CD276}" name="SOWTable" displayName="SOWTable" ref="A1:H239" totalsRowCount="1" headerRowDxfId="849" headerRowBorderDxfId="848">
  <autoFilter ref="A1:H238" xr:uid="{BF20C06C-51D6-4B8C-A5E8-EFF3F63CD276}">
    <filterColumn colId="0">
      <filters>
        <dateGroupItem year="2026" month="6" dateTimeGrouping="month"/>
      </filters>
    </filterColumn>
  </autoFilter>
  <tableColumns count="8">
    <tableColumn id="1" xr3:uid="{C4022E8C-CA1B-4CDA-B6E8-75CBA57499E3}" name="Month" totalsRowLabel="Total" dataDxfId="847"/>
    <tableColumn id="2" xr3:uid="{00B411DE-D0C2-4D8C-9D7E-3667D81D1701}" name="Client"/>
    <tableColumn id="3" xr3:uid="{FF44FD7B-6716-4C0F-A208-A49A13443391}" name="Program Name"/>
    <tableColumn id="4" xr3:uid="{A17202C1-613C-4C52-B2B3-E138FE4AB670}" name="Batch"/>
    <tableColumn id="5" xr3:uid="{A5544D2A-1C78-492E-B1E2-730BE2A91CD7}" name="Mentor"/>
    <tableColumn id="6" xr3:uid="{3C332E1A-0B26-405D-8DE8-F9916704F36D}" name="Total Hours" totalsRowFunction="sum"/>
    <tableColumn id="7" xr3:uid="{A5E8CCDC-3181-4293-88D8-36293E84F30A}" name="Total Sessions" totalsRowFunction="sum"/>
    <tableColumn id="8" xr3:uid="{8AB9FB60-9E5B-416B-9BF9-0AC110F1FDFD}" name="Session Dates"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D805450-310F-4A6E-9622-B1449C43949D}" name="MasterCalendar" displayName="MasterCalendar" ref="A1:R1407" totalsRowShown="0" headerRowDxfId="846" dataDxfId="845" headerRowBorderDxfId="843" tableBorderDxfId="844" totalsRowBorderDxfId="842">
  <autoFilter ref="A1:R1407" xr:uid="{7D805450-310F-4A6E-9622-B1449C43949D}"/>
  <sortState xmlns:xlrd2="http://schemas.microsoft.com/office/spreadsheetml/2017/richdata2" ref="A2:Q1407">
    <sortCondition ref="B2:B1407"/>
  </sortState>
  <tableColumns count="18">
    <tableColumn id="1" xr3:uid="{E794BF4D-58AA-44D0-BE0B-7682E04DC099}" name="S. No" dataDxfId="841"/>
    <tableColumn id="2" xr3:uid="{9E1C62B4-245C-4C20-83B2-80EAA77CA3CF}" name="Date" dataDxfId="840"/>
    <tableColumn id="3" xr3:uid="{EB923FB8-8C43-4406-9901-CCF4A5F6D7FA}" name="Day" dataDxfId="839"/>
    <tableColumn id="4" xr3:uid="{989998C1-7DE7-4BF0-B535-38CB65206583}" name="Session Time (IST)" dataDxfId="838"/>
    <tableColumn id="5" xr3:uid="{810D234B-C81E-46FC-9C92-005AAE713AFE}" name="Month" dataDxfId="837"/>
    <tableColumn id="6" xr3:uid="{AB3E0BD2-3A85-4975-9D66-DF4DB4CAD88B}" name="Year" dataDxfId="836"/>
    <tableColumn id="7" xr3:uid="{533F499B-C78E-4FBC-9E47-C90AD876F796}" name="Duration(Hrs.)" dataDxfId="835"/>
    <tableColumn id="8" xr3:uid="{BFD22108-2EB1-44E1-BD35-8C953BB86708}" name="Client" dataDxfId="834"/>
    <tableColumn id="9" xr3:uid="{DCB00E7A-C46E-4AC7-BE3D-BD333AA8076E}" name="ProgramName" dataDxfId="833"/>
    <tableColumn id="10" xr3:uid="{166F0375-D4EA-4653-B0FF-19360A5D80D5}" name="Program Co-ordinator" dataDxfId="832"/>
    <tableColumn id="11" xr3:uid="{434D55EF-A013-4AFB-B9BA-4BD0864F72AA}" name="Batch" dataDxfId="831"/>
    <tableColumn id="12" xr3:uid="{00474A24-8443-4A5A-944E-29748120901F}" name="Course Module / Session Name" dataDxfId="830"/>
    <tableColumn id="13" xr3:uid="{F95A00DC-F23B-4564-B94C-CCD1AA69E2E4}" name="Total Duration(Hrs.)" dataDxfId="829"/>
    <tableColumn id="14" xr3:uid="{369747BB-D878-4254-B1C4-F46205E7AC89}" name="LMS Status" dataDxfId="828"/>
    <tableColumn id="15" xr3:uid="{FDA5BA7A-5979-40C5-984C-3161C07CEFA0}" name="Mentor 1" dataDxfId="827"/>
    <tableColumn id="16" xr3:uid="{B2980F3E-9FE5-479E-8DE0-8CFB29ADDA2C}" name="Mentor 2" dataDxfId="826"/>
    <tableColumn id="17" xr3:uid="{4BF8F5F9-1F42-45A3-B3D5-7DE1C5AFFCE1}" name="Mentor 3" dataDxfId="825"/>
    <tableColumn id="18" xr3:uid="{3701096B-96C6-44EB-B18E-CE50110D9311}" name="Clash Status" dataDxfId="824"/>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2F24AE5-F102-4206-9994-73B7B2296EB9}" name="Table7" displayName="Table7" ref="A1:Q39" totalsRowShown="0" headerRowDxfId="823" dataDxfId="822" headerRowBorderDxfId="820" tableBorderDxfId="821" totalsRowBorderDxfId="819">
  <autoFilter ref="A1:Q39" xr:uid="{12F24AE5-F102-4206-9994-73B7B2296EB9}">
    <filterColumn colId="7">
      <filters>
        <filter val="Expleo"/>
      </filters>
    </filterColumn>
  </autoFilter>
  <tableColumns count="17">
    <tableColumn id="1" xr3:uid="{5CECB0D0-1437-4067-A619-0701B62BB143}" name="S. No" dataDxfId="818"/>
    <tableColumn id="2" xr3:uid="{C57235AD-64C8-4424-B320-3E5946020F54}" name="Date" dataDxfId="817"/>
    <tableColumn id="3" xr3:uid="{488683C4-650A-4329-B60F-5C74E16757CA}" name="Day" dataDxfId="816">
      <calculatedColumnFormula>TEXT(B2,"dddd")</calculatedColumnFormula>
    </tableColumn>
    <tableColumn id="4" xr3:uid="{28B37B90-504F-4376-993C-BDBEB29AC16D}" name="Session Time (IST)" dataDxfId="815"/>
    <tableColumn id="5" xr3:uid="{DC151311-7CFF-4FD5-BF50-9433608D73AB}" name="Month" dataDxfId="814">
      <calculatedColumnFormula>TEXT(B2,"mmmm")</calculatedColumnFormula>
    </tableColumn>
    <tableColumn id="6" xr3:uid="{05E94BD2-2A38-4F96-82F9-84B7F4F32E26}" name="Year" dataDxfId="813"/>
    <tableColumn id="7" xr3:uid="{4DC6F657-B679-4AFD-916F-96237D3C6058}" name="Duration(Hrs.)" dataDxfId="812">
      <calculatedColumnFormula>(TEXT(RIGHT(D2,8), "hh:mm AM/PM") - TEXT(LEFT(D2,8), "hh:mm AM/PM")) * 24</calculatedColumnFormula>
    </tableColumn>
    <tableColumn id="8" xr3:uid="{E3566AE9-9889-4D9D-809B-C4803A9B1E83}" name="Client" dataDxfId="811"/>
    <tableColumn id="9" xr3:uid="{B20609F1-801B-4A32-BEC6-0E07AAEBC3F6}" name="ProgramName" dataDxfId="810"/>
    <tableColumn id="10" xr3:uid="{ACCCF397-0535-4EFA-B0FB-DCAADE8F0815}" name="Program Co-ordinator" dataDxfId="809"/>
    <tableColumn id="11" xr3:uid="{A309DB4B-5D93-4947-926F-90B462B8844D}" name="Batch" dataDxfId="808"/>
    <tableColumn id="12" xr3:uid="{7958A2F9-7D51-4659-ABD6-8773B8FFD40E}" name="Course Module / Session Name" dataDxfId="807"/>
    <tableColumn id="13" xr3:uid="{0C83D13E-5DD0-4AF5-93B9-9AE3882D3796}" name="LMS uploads" dataDxfId="806"/>
    <tableColumn id="14" xr3:uid="{94A2E405-9544-43B8-8196-F137F68D6CB4}" name="Total Duration(Hrs.)" dataDxfId="805"/>
    <tableColumn id="15" xr3:uid="{9F15C8D7-F775-4DC3-8260-A20E6E1F054E}" name="Mentor 1" dataDxfId="804"/>
    <tableColumn id="16" xr3:uid="{9009EEDC-E761-4FC1-A43C-164E6B5C2F2B}" name="Mentor 2" dataDxfId="803"/>
    <tableColumn id="17" xr3:uid="{82D1AA37-E805-4A1C-A8AB-CC24842BA8F7}" name="Mentor 3" dataDxfId="80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6B4834-9A6C-4483-BD51-1B6C0D59DC19}" name="Table72697071727374757652" displayName="Table72697071727374757652" ref="A1:Q19" totalsRowShown="0" headerRowDxfId="801" dataDxfId="800" headerRowBorderDxfId="798" tableBorderDxfId="799" totalsRowBorderDxfId="797">
  <autoFilter ref="A1:Q19" xr:uid="{5F6B4834-9A6C-4483-BD51-1B6C0D59DC19}"/>
  <tableColumns count="17">
    <tableColumn id="1" xr3:uid="{67F0C695-B44E-4CA4-8A8B-1F5710CF67D7}" name="S. No" dataDxfId="796"/>
    <tableColumn id="2" xr3:uid="{B0EBF04B-7BC5-42BB-8D8E-C6D52CF66675}" name="Date" dataDxfId="795"/>
    <tableColumn id="3" xr3:uid="{500677D3-1452-4F1F-AC2F-8DD6E87585E6}" name="Day" dataDxfId="794">
      <calculatedColumnFormula>TEXT(B2,"dddd")</calculatedColumnFormula>
    </tableColumn>
    <tableColumn id="4" xr3:uid="{DD3F308A-8721-4125-950F-495EA397A187}" name="Session Time (IST)" dataDxfId="793"/>
    <tableColumn id="5" xr3:uid="{688931B9-3586-41D0-9007-643C213BBC75}" name="Month" dataDxfId="792">
      <calculatedColumnFormula>TEXT(B2,"mmmm")</calculatedColumnFormula>
    </tableColumn>
    <tableColumn id="6" xr3:uid="{1043DD8C-D12C-44A3-8BF3-30B8A9DF0203}" name="Year" dataDxfId="791"/>
    <tableColumn id="7" xr3:uid="{40B0B4E5-D8B7-4C69-9A2F-3BF8F51FF857}" name="Duration(Hrs.)" dataDxfId="790"/>
    <tableColumn id="8" xr3:uid="{681C9978-0F29-4212-A99F-B3987FCB071A}" name="Client" dataDxfId="789"/>
    <tableColumn id="9" xr3:uid="{072DCF13-C7E2-4D10-9B79-7220EB70A481}" name="ProgramName" dataDxfId="788"/>
    <tableColumn id="10" xr3:uid="{F698DBD9-BA80-4616-8F93-5E730AE31EA1}" name="Program Co-ordinator" dataDxfId="787"/>
    <tableColumn id="11" xr3:uid="{A4339DF2-BB25-4528-9B2C-932F8FECB11D}" name="Batch" dataDxfId="786"/>
    <tableColumn id="12" xr3:uid="{5A2D3EE9-7B76-4219-9223-35502E86B976}" name="Course Module / Session Name" dataDxfId="785"/>
    <tableColumn id="13" xr3:uid="{2F9F6A48-083A-43A6-B9A6-BCF31521DCD1}" name="LMS uploads" dataDxfId="784"/>
    <tableColumn id="14" xr3:uid="{0DC29D14-2A0A-4BCA-8EA5-177EA3BCC995}" name="Total Duration(Hrs.)" dataDxfId="783"/>
    <tableColumn id="15" xr3:uid="{97F064E0-9C41-4E27-8F24-DE8F4B779043}" name="Mentor 1" dataDxfId="782"/>
    <tableColumn id="16" xr3:uid="{A477BDC2-F5CE-421A-8A18-BD8C4EBE73B8}" name="Mentor 2" dataDxfId="781"/>
    <tableColumn id="17" xr3:uid="{3FD46019-0C40-4A09-837B-905B658EC628}" name="Mentor 3" dataDxfId="78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D903AD-B53E-4922-AFB2-60D7B60962A5}" name="Table7269707172737475765" displayName="Table7269707172737475765" ref="A1:Q13" totalsRowShown="0" headerRowDxfId="779" dataDxfId="778" headerRowBorderDxfId="776" tableBorderDxfId="777" totalsRowBorderDxfId="775">
  <autoFilter ref="A1:Q13" xr:uid="{FD054392-0342-441D-9C97-415D4CDCE695}"/>
  <tableColumns count="17">
    <tableColumn id="1" xr3:uid="{843128BB-5139-4534-82E1-4707A0E93E5D}" name="S. No" dataDxfId="774"/>
    <tableColumn id="2" xr3:uid="{8D2EACB7-1772-4A1D-9CEE-6EB0F31CF3C0}" name="Date" dataDxfId="773"/>
    <tableColumn id="3" xr3:uid="{D5093CDA-1B22-4C93-A022-ED3B4E215D21}" name="Day" dataDxfId="772">
      <calculatedColumnFormula>TEXT(B2,"dddd")</calculatedColumnFormula>
    </tableColumn>
    <tableColumn id="4" xr3:uid="{8D143B8D-62DE-420E-B939-872E85391083}" name="Session Time (IST)" dataDxfId="771"/>
    <tableColumn id="5" xr3:uid="{1CB84DD6-8963-447E-9DE6-5859C7D6AF3B}" name="Month" dataDxfId="770">
      <calculatedColumnFormula>TEXT(B2,"mmmm")</calculatedColumnFormula>
    </tableColumn>
    <tableColumn id="6" xr3:uid="{2BF9E082-D6A2-4C8D-BCF7-B5C492CB70B2}" name="Year" dataDxfId="769"/>
    <tableColumn id="7" xr3:uid="{1D7643EE-B456-4957-A29F-34D1FE6E3030}" name="Duration(Hrs.)" dataDxfId="768"/>
    <tableColumn id="8" xr3:uid="{9B7A2213-D5E5-43C1-BE0D-186268ED68C8}" name="Client" dataDxfId="767"/>
    <tableColumn id="9" xr3:uid="{6BC95AC5-61D8-42ED-AB41-844641E90B1D}" name="ProgramName" dataDxfId="766"/>
    <tableColumn id="10" xr3:uid="{46AE0BC3-E0BD-4304-9012-292EF6770C40}" name="Program Co-ordinator" dataDxfId="765"/>
    <tableColumn id="11" xr3:uid="{2D0A542C-FB24-472C-9B2B-62D11DC4F57C}" name="Batch" dataDxfId="764"/>
    <tableColumn id="12" xr3:uid="{20AEDB85-B672-4994-BD2B-1DA512C9BB9D}" name="Course Module / Session Name" dataDxfId="763"/>
    <tableColumn id="13" xr3:uid="{FAEE88D5-2180-4CF2-9537-3E4F2D0EA636}" name="LMS uploads" dataDxfId="762"/>
    <tableColumn id="14" xr3:uid="{388462BD-2BBD-4DDA-AE35-612D7F998AAF}" name="Total Duration(Hrs.)" dataDxfId="761"/>
    <tableColumn id="15" xr3:uid="{BF1A3B5C-8315-4FFB-A488-1C2D294A84DF}" name="Mentor 1" dataDxfId="760"/>
    <tableColumn id="16" xr3:uid="{44735DEF-B1C3-4887-8523-294999F0CFF7}" name="Mentor 2" dataDxfId="759"/>
    <tableColumn id="17" xr3:uid="{60C3A980-26D0-411E-B720-3871001C35D8}" name="Mentor 3" dataDxfId="75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A7CB49-F187-4570-AC3B-2331C7D43372}" name="Table7269707172737475766" displayName="Table7269707172737475766" ref="A1:Q9" totalsRowShown="0" headerRowDxfId="757" dataDxfId="756" headerRowBorderDxfId="754" tableBorderDxfId="755" totalsRowBorderDxfId="753">
  <autoFilter ref="A1:Q9" xr:uid="{FD054392-0342-441D-9C97-415D4CDCE695}"/>
  <tableColumns count="17">
    <tableColumn id="1" xr3:uid="{D015AE20-68CE-4F10-B6BD-76C471F422F2}" name="S. No" dataDxfId="752"/>
    <tableColumn id="2" xr3:uid="{322A07D7-D2CA-407E-BDEF-6BF5EE37A930}" name="Date" dataDxfId="751"/>
    <tableColumn id="3" xr3:uid="{57E5C38E-7B5E-4BEA-BB89-609D51FD22ED}" name="Day" dataDxfId="750">
      <calculatedColumnFormula>TEXT(B2,"dddd")</calculatedColumnFormula>
    </tableColumn>
    <tableColumn id="4" xr3:uid="{1A72DB94-4388-4DBE-9339-946C2586BCF0}" name="Session Time (IST)" dataDxfId="749"/>
    <tableColumn id="5" xr3:uid="{656833D1-0D6B-49A0-A898-6830D2DD2BEB}" name="Month" dataDxfId="748">
      <calculatedColumnFormula>TEXT(B2,"mmmm")</calculatedColumnFormula>
    </tableColumn>
    <tableColumn id="6" xr3:uid="{692775D4-6C7B-49BA-A12F-2C7B633C82D2}" name="Year" dataDxfId="747"/>
    <tableColumn id="7" xr3:uid="{A3B0F508-DB97-4BF9-9015-0906E74E9DF0}" name="Duration(Hrs.)" dataDxfId="746"/>
    <tableColumn id="8" xr3:uid="{4A110B85-99B2-47DD-96B3-69F767B3E8CB}" name="Client" dataDxfId="745"/>
    <tableColumn id="9" xr3:uid="{CF5E9D09-E1A2-4DFD-8522-ED9EE04D8418}" name="ProgramName" dataDxfId="744"/>
    <tableColumn id="10" xr3:uid="{528C9AD3-F563-4688-8A4C-8CA40903E5E0}" name="Program Co-ordinator" dataDxfId="743"/>
    <tableColumn id="11" xr3:uid="{C337814F-3084-4C5F-9894-229499AF72A9}" name="Batch" dataDxfId="742"/>
    <tableColumn id="12" xr3:uid="{429AD634-D4A8-4F18-B26D-07E48CDD8F1D}" name="Course Module / Session Name" dataDxfId="741"/>
    <tableColumn id="13" xr3:uid="{2103CC18-ABD5-406A-938A-A2049DFF6D9C}" name="LMS uploads" dataDxfId="740"/>
    <tableColumn id="14" xr3:uid="{E23E1F8A-4059-454A-B0F1-08CC56849D25}" name="Total Duration(Hrs.)" dataDxfId="739"/>
    <tableColumn id="15" xr3:uid="{2D4FE2A1-5D76-4EB1-8D75-7F79C63B4EDA}" name="Mentor 1" dataDxfId="738"/>
    <tableColumn id="16" xr3:uid="{9C9BB846-1B99-4626-B7C4-F3B83C9E9434}" name="Mentor 2" dataDxfId="737"/>
    <tableColumn id="17" xr3:uid="{DF8C40F5-D250-4232-935D-65168386F37F}" name="Mentor 3" dataDxfId="73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6340FE-DE2E-4BEE-94D6-68AE78F03F5B}" name="Table72697071727374757667" displayName="Table72697071727374757667" ref="A1:Q9" totalsRowShown="0" headerRowDxfId="735" dataDxfId="734" headerRowBorderDxfId="732" tableBorderDxfId="733" totalsRowBorderDxfId="731">
  <autoFilter ref="A1:Q9" xr:uid="{FD054392-0342-441D-9C97-415D4CDCE695}"/>
  <tableColumns count="17">
    <tableColumn id="1" xr3:uid="{96106E74-5281-4E85-8D2F-EA98CF2A0E25}" name="S. No" dataDxfId="730"/>
    <tableColumn id="2" xr3:uid="{AAF6E0D2-24FD-4BA7-BF09-1FAFC5B8355E}" name="Date"/>
    <tableColumn id="3" xr3:uid="{53C81B14-1F07-4738-8B8A-D210A193337A}" name="Day" dataDxfId="729">
      <calculatedColumnFormula>TEXT(B2,"dddd")</calculatedColumnFormula>
    </tableColumn>
    <tableColumn id="4" xr3:uid="{D0A37AE2-1042-4FC4-935C-9881BEC331B3}" name="Session Time (IST)" dataDxfId="728"/>
    <tableColumn id="5" xr3:uid="{8734212F-2722-4883-BCC8-B83604AFA7BC}" name="Month" dataDxfId="727">
      <calculatedColumnFormula>TEXT(B2,"mmmm")</calculatedColumnFormula>
    </tableColumn>
    <tableColumn id="6" xr3:uid="{DF12CB86-815C-47BB-82A6-EF16EA05CA6F}" name="Year" dataDxfId="726"/>
    <tableColumn id="7" xr3:uid="{171DAA86-6E8E-43EC-AD7A-4E75DC734F08}" name="Duration(Hrs.)" dataDxfId="725"/>
    <tableColumn id="8" xr3:uid="{889DB861-3476-42CD-AAB8-9068FBC04407}" name="Client" dataDxfId="724"/>
    <tableColumn id="9" xr3:uid="{4301CCEE-8A15-4313-B192-FB08BB40F669}" name="ProgramName" dataDxfId="723"/>
    <tableColumn id="10" xr3:uid="{0E77F1C6-73C1-4D90-B024-0F155CFE64E3}" name="Program Co-ordinator" dataDxfId="722"/>
    <tableColumn id="11" xr3:uid="{4016778A-8280-4372-AB69-72FC41207A2D}" name="Batch" dataDxfId="721"/>
    <tableColumn id="12" xr3:uid="{80757936-63A2-4488-9258-7970E91F3467}" name="Course Module / Session Name" dataDxfId="720"/>
    <tableColumn id="13" xr3:uid="{E6A8F7B9-3D5E-431F-B5FA-E2041DD17C08}" name="LMS uploads" dataDxfId="719"/>
    <tableColumn id="14" xr3:uid="{0B95FF55-C9A7-4496-AE78-397BF3BCF0E8}" name="Total Duration(Hrs.)" dataDxfId="718"/>
    <tableColumn id="15" xr3:uid="{7156A270-9482-44C3-9BA9-3897AD7E8463}" name="Mentor 1" dataDxfId="717"/>
    <tableColumn id="16" xr3:uid="{0A8C8A83-4DD6-4C32-8D93-C8D413E127ED}" name="Mentor 2" dataDxfId="716"/>
    <tableColumn id="17" xr3:uid="{9F8538BB-DB65-4AC0-B030-7C47D797DEAE}" name="Mentor 3" dataDxfId="71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1B6CB758-D4BA-40EC-81E4-A13F44607C3E}" name="Table726970717273747576" displayName="Table726970717273747576" ref="A1:Q3" totalsRowShown="0" headerRowDxfId="714" dataDxfId="713" headerRowBorderDxfId="711" tableBorderDxfId="712" totalsRowBorderDxfId="710">
  <autoFilter ref="A1:Q3" xr:uid="{FD054392-0342-441D-9C97-415D4CDCE695}"/>
  <tableColumns count="17">
    <tableColumn id="1" xr3:uid="{C334D7B4-07A6-4C93-AA6A-2D388C972E3D}" name="S. No" dataDxfId="709"/>
    <tableColumn id="2" xr3:uid="{410E007A-3314-4B08-A7BA-036F5D62CCA2}" name="Date" dataDxfId="708"/>
    <tableColumn id="3" xr3:uid="{101DC181-DA22-474F-B422-D6AF700DA9CA}" name="Day" dataDxfId="707">
      <calculatedColumnFormula>TEXT(B2,"dddd")</calculatedColumnFormula>
    </tableColumn>
    <tableColumn id="4" xr3:uid="{A148835C-08A4-4454-983F-12E2F0217B73}" name="Session Time (IST)" dataDxfId="706"/>
    <tableColumn id="5" xr3:uid="{D45F2D7C-4AAE-4054-B2F8-0E7BB275C89A}" name="Month" dataDxfId="705">
      <calculatedColumnFormula>TEXT(B2,"mmmm")</calculatedColumnFormula>
    </tableColumn>
    <tableColumn id="6" xr3:uid="{14C4209C-4E89-46D3-8053-D20ADE60C166}" name="Year" dataDxfId="704"/>
    <tableColumn id="7" xr3:uid="{D2CE2C3D-CA85-4BB7-A275-8721B0A02349}" name="Duration(Hrs.)" dataDxfId="703"/>
    <tableColumn id="8" xr3:uid="{3F8C8839-C875-46EA-AB5E-A15511303A4A}" name="Client" dataDxfId="702"/>
    <tableColumn id="9" xr3:uid="{077C9CBE-B87F-4E93-9E72-208CC8AC6322}" name="ProgramName" dataDxfId="701"/>
    <tableColumn id="10" xr3:uid="{054D4D02-D365-42C9-A780-3BD187E44846}" name="Program Co-ordinator" dataDxfId="700"/>
    <tableColumn id="11" xr3:uid="{978CAB05-90E9-4AAA-B82A-8B1FD4EAF2F4}" name="Batch" dataDxfId="699"/>
    <tableColumn id="12" xr3:uid="{6F9A02C1-B6CF-46D0-B98E-CAA5E28D5282}" name="Course Module / Session Name" dataDxfId="698"/>
    <tableColumn id="13" xr3:uid="{62FC5CF7-3EAA-479C-8D42-FAC3AD6A3A3C}" name="LMS uploads" dataDxfId="697"/>
    <tableColumn id="14" xr3:uid="{C7DD81A4-C131-475A-BDB7-4A674752F234}" name="Total Duration(Hrs.)" dataDxfId="696"/>
    <tableColumn id="15" xr3:uid="{CBEF199F-7C0D-43E1-B7EA-5EFE01CEDA92}" name="Mentor 1" dataDxfId="695"/>
    <tableColumn id="16" xr3:uid="{885BE62A-AD59-455C-9C98-01459676BEDA}" name="Mentor 2" dataDxfId="694"/>
    <tableColumn id="17" xr3:uid="{E25E0A46-2441-4684-AB38-AC6D55F0AE8E}" name="Mentor 3" dataDxfId="69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BCD32B-F109-421F-8D65-B54BFA6DC871}" name="Table72697071727374" displayName="Table72697071727374" ref="A1:Q31" totalsRowShown="0" headerRowDxfId="692" dataDxfId="691" headerRowBorderDxfId="689" tableBorderDxfId="690" totalsRowBorderDxfId="688">
  <autoFilter ref="A1:Q31" xr:uid="{94BCD32B-F109-421F-8D65-B54BFA6DC871}"/>
  <tableColumns count="17">
    <tableColumn id="1" xr3:uid="{B470F3F5-B8E8-4590-BC18-2B3D93483FC3}" name="S. No" dataDxfId="687"/>
    <tableColumn id="2" xr3:uid="{DB9405F0-A5D5-4805-8D06-3A79BC9C8A35}" name="Date" dataDxfId="686"/>
    <tableColumn id="3" xr3:uid="{8A2972C7-7331-4DAE-8032-020D3F059CB0}" name="Day" dataDxfId="685">
      <calculatedColumnFormula>TEXT(B2,"dddd")</calculatedColumnFormula>
    </tableColumn>
    <tableColumn id="4" xr3:uid="{D8672910-E3E7-47BB-8809-C9DF4E13E60B}" name="Session Time (IST)" dataDxfId="684"/>
    <tableColumn id="5" xr3:uid="{C793F17F-648A-4ACF-81FC-E7F63937BD26}" name="Month" dataDxfId="683">
      <calculatedColumnFormula>TEXT(B2,"mmmm")</calculatedColumnFormula>
    </tableColumn>
    <tableColumn id="6" xr3:uid="{1C9F4383-657D-419B-AEF0-060FE2A00AEA}" name="Year" dataDxfId="682"/>
    <tableColumn id="7" xr3:uid="{0D4B2C19-6F49-4CC6-8525-78622DD54A7F}" name="Duration(Hrs.)" dataDxfId="681"/>
    <tableColumn id="8" xr3:uid="{A6E36370-2520-4F4C-AF4C-CD8256B1862E}" name="Client" dataDxfId="680"/>
    <tableColumn id="9" xr3:uid="{00BE10B5-ED5A-48A3-AD9E-D6D300269FD7}" name="ProgramName" dataDxfId="679"/>
    <tableColumn id="10" xr3:uid="{BF5EC3C0-CCCA-4C3B-8646-FCF27D700B75}" name="Program Co-ordinator" dataDxfId="678"/>
    <tableColumn id="11" xr3:uid="{FE923992-7EFD-419F-84B2-B7E2288941BF}" name="Batch" dataDxfId="677"/>
    <tableColumn id="12" xr3:uid="{ABBA0DB0-09A0-4309-8DBB-61AE1C99F515}" name="Course Module / Session Name" dataDxfId="676"/>
    <tableColumn id="13" xr3:uid="{4AB26404-F60E-492A-B25C-141489BC562E}" name="LMS uploads" dataDxfId="675"/>
    <tableColumn id="14" xr3:uid="{81D5465B-54B8-44A8-B878-8A9C5CAEDA98}" name="Total Duration(Hrs.)" dataDxfId="674"/>
    <tableColumn id="15" xr3:uid="{B4D10F52-CFE9-45B3-9B1E-7C581D1DFC57}" name="Mentor 1" dataDxfId="673"/>
    <tableColumn id="16" xr3:uid="{654C0C53-B7E6-4E1B-804A-9A078F3303C1}" name="Mentor 2" dataDxfId="672"/>
    <tableColumn id="17" xr3:uid="{969CC044-FCFC-4670-8199-92543D763F6A}" name="Mentor 3" dataDxfId="67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BE5CFFE1-4272-4D1E-ADCA-2B20DFF96495}" name="Table7269707172737475" displayName="Table7269707172737475" ref="A1:Q39" totalsRowShown="0" headerRowDxfId="670" dataDxfId="669" headerRowBorderDxfId="667" tableBorderDxfId="668" totalsRowBorderDxfId="666">
  <autoFilter ref="A1:Q39" xr:uid="{FD054392-0342-441D-9C97-415D4CDCE695}"/>
  <tableColumns count="17">
    <tableColumn id="1" xr3:uid="{D61F393E-E09C-480D-8DC8-885D5A106905}" name="S. No" dataDxfId="665"/>
    <tableColumn id="2" xr3:uid="{52DFFBAD-F0CA-4362-938D-9360CA678E43}" name="Date" dataDxfId="664"/>
    <tableColumn id="3" xr3:uid="{4E5712C6-58DF-4EDA-B61D-17A59C4B44D5}" name="Day" dataDxfId="663">
      <calculatedColumnFormula>TEXT(B2,"dddd")</calculatedColumnFormula>
    </tableColumn>
    <tableColumn id="4" xr3:uid="{7A62737E-56F1-4D71-85E1-D8BB7B1DE7C5}" name="Session Time (IST)" dataDxfId="662"/>
    <tableColumn id="5" xr3:uid="{A6741A17-E9F5-4167-A18C-044F7E054A95}" name="Month" dataDxfId="661">
      <calculatedColumnFormula>TEXT(B2,"mmmm")</calculatedColumnFormula>
    </tableColumn>
    <tableColumn id="6" xr3:uid="{CB260405-401A-4734-8706-E5BFEC4C24F4}" name="Year" dataDxfId="660"/>
    <tableColumn id="7" xr3:uid="{7EFB055F-1B2B-4EAC-9F5E-186477E5B3E6}" name="Duration(Hrs.)" dataDxfId="659"/>
    <tableColumn id="8" xr3:uid="{C3E116CA-B552-433B-89B5-BC37FAD9541C}" name="Client" dataDxfId="658"/>
    <tableColumn id="9" xr3:uid="{F4C001B5-DB9A-4BF6-A628-E7B654978CF1}" name="ProgramName" dataDxfId="657"/>
    <tableColumn id="10" xr3:uid="{6306273D-D1FC-4EA7-979B-24EBEB116E12}" name="Program Co-ordinator" dataDxfId="656"/>
    <tableColumn id="11" xr3:uid="{D479C7AA-5946-423C-872A-5248CD8A1FC7}" name="Batch" dataDxfId="655"/>
    <tableColumn id="12" xr3:uid="{55E0DD50-D56F-4968-9815-83E2F843B4C7}" name="Course Module / Session Name" dataDxfId="654"/>
    <tableColumn id="13" xr3:uid="{890F3342-C644-481C-8E1E-9B25984067D9}" name="LMS uploads" dataDxfId="653"/>
    <tableColumn id="14" xr3:uid="{24F97333-6116-427F-AD50-4857816BB59A}" name="Total Duration(Hrs.)" dataDxfId="652"/>
    <tableColumn id="15" xr3:uid="{58FBCEE0-2EDD-4020-9A43-E78212451416}" name="Mentor 1" dataDxfId="651"/>
    <tableColumn id="16" xr3:uid="{B03BA411-2809-41F6-92FC-0D7FE5C13919}" name="Mentor 2" dataDxfId="650"/>
    <tableColumn id="17" xr3:uid="{0278C2CD-8CD0-415C-9EDD-CC608A20FEF6}" name="Mentor 3" dataDxfId="64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880ABF34-07D3-4301-8D3A-3BE47847BFDF}" name="Table726970717273" displayName="Table726970717273" ref="A1:Q56" totalsRowShown="0" headerRowDxfId="648" dataDxfId="647" headerRowBorderDxfId="645" tableBorderDxfId="646" totalsRowBorderDxfId="644">
  <autoFilter ref="A1:Q56" xr:uid="{FD054392-0342-441D-9C97-415D4CDCE695}"/>
  <tableColumns count="17">
    <tableColumn id="1" xr3:uid="{83140C23-8DD7-4FAF-86ED-4306EF2C679A}" name="S. No" dataDxfId="643"/>
    <tableColumn id="2" xr3:uid="{E30ACCAF-C609-4A91-A6C7-8BDFA781B8C1}" name="Date" dataDxfId="642"/>
    <tableColumn id="3" xr3:uid="{F3D18C05-B397-4B59-AE19-CC8D67E62B45}" name="Day" dataDxfId="641">
      <calculatedColumnFormula>TEXT(B2,"dddd")</calculatedColumnFormula>
    </tableColumn>
    <tableColumn id="4" xr3:uid="{1D4F22AF-B704-42B1-91F0-8AB883F397D3}" name="Session Time (IST)" dataDxfId="640"/>
    <tableColumn id="5" xr3:uid="{B188BEEA-2E77-4D27-BE5C-13C10502101F}" name="Month" dataDxfId="639">
      <calculatedColumnFormula>TEXT(B2,"mmmm")</calculatedColumnFormula>
    </tableColumn>
    <tableColumn id="6" xr3:uid="{C43E534D-7848-4AEA-9B81-936BDDB7F229}" name="Year" dataDxfId="638"/>
    <tableColumn id="7" xr3:uid="{D788F4B2-1DB1-4E3F-87F6-83E99717B8DE}" name="Duration(Hrs.)" dataDxfId="637"/>
    <tableColumn id="8" xr3:uid="{BAC92622-D614-4E45-BE13-F00C9E056142}" name="Client" dataDxfId="636"/>
    <tableColumn id="9" xr3:uid="{9710963A-07C1-4184-B88D-FA24C28A7616}" name="ProgramName" dataDxfId="635"/>
    <tableColumn id="10" xr3:uid="{5905F69B-7391-4BE7-B647-90ACA7D4BA2C}" name="Program Co-ordinator" dataDxfId="634"/>
    <tableColumn id="11" xr3:uid="{807E4240-1508-4D7B-BE6F-B2954C8FB8E1}" name="Batch" dataDxfId="633"/>
    <tableColumn id="12" xr3:uid="{925278AB-D257-4EC4-8242-0EFF06F04197}" name="Course Module / Session Name" dataDxfId="632"/>
    <tableColumn id="13" xr3:uid="{FF465F95-5477-423F-8B28-3CCBA03F6DF3}" name="LMS uploads" dataDxfId="631"/>
    <tableColumn id="14" xr3:uid="{4F9979D7-9A18-4DDE-A4F9-CDD544965998}" name="Total Duration(Hrs.)" dataDxfId="630"/>
    <tableColumn id="15" xr3:uid="{DFCE7205-CB3D-4835-AFA2-06B32DBD1E65}" name="Mentor 1"/>
    <tableColumn id="16" xr3:uid="{A629BEA0-D949-480F-8B98-007EA62AE538}" name="Mentor 2" dataDxfId="629"/>
    <tableColumn id="17" xr3:uid="{CE2B79E6-FDB8-4CC9-850A-B0FA9CDB60A3}" name="Mentor 3" dataDxfId="62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9C5FB9F-30DD-47FE-BD04-F0AD4E6BF4E9}" name="Table7269707172" displayName="Table7269707172" ref="A1:Q9" totalsRowShown="0" headerRowDxfId="627" dataDxfId="626" headerRowBorderDxfId="624" tableBorderDxfId="625" totalsRowBorderDxfId="623">
  <autoFilter ref="A1:Q9" xr:uid="{FD054392-0342-441D-9C97-415D4CDCE695}"/>
  <tableColumns count="17">
    <tableColumn id="1" xr3:uid="{C974C0A5-56B1-498C-91FD-F9D489BA949D}" name="S. No" dataDxfId="622"/>
    <tableColumn id="2" xr3:uid="{DB9F6B8B-2324-46D0-A4FF-3DD79104A55E}" name="Date" dataDxfId="621"/>
    <tableColumn id="3" xr3:uid="{FE172013-D700-4352-A229-C1BA0ADC2577}" name="Day" dataDxfId="620">
      <calculatedColumnFormula>TEXT(B2,"dddd")</calculatedColumnFormula>
    </tableColumn>
    <tableColumn id="4" xr3:uid="{61CEB215-6EA9-4C76-901D-FE32AABE0A66}" name="Session Time (IST)" dataDxfId="619"/>
    <tableColumn id="5" xr3:uid="{AEE7D24B-3E6F-4A9B-98CE-96D15F87AF09}" name="Month" dataDxfId="618">
      <calculatedColumnFormula>TEXT(B2,"mmmm")</calculatedColumnFormula>
    </tableColumn>
    <tableColumn id="6" xr3:uid="{C00BB1AF-DA72-497C-A6F8-160A4C4B1939}" name="Year" dataDxfId="617"/>
    <tableColumn id="7" xr3:uid="{56D0D571-D863-4499-BDF2-197560577B82}" name="Duration(Hrs.)" dataDxfId="616"/>
    <tableColumn id="8" xr3:uid="{65047931-2D83-4BF4-8CD5-D353F812A59D}" name="Client" dataDxfId="615"/>
    <tableColumn id="9" xr3:uid="{4CD054A4-68BD-41AD-92E8-CF01498E9E30}" name="ProgramName" dataDxfId="614"/>
    <tableColumn id="10" xr3:uid="{522B1995-6ED3-4E07-9725-E00C2339D980}" name="Program Co-ordinator" dataDxfId="613"/>
    <tableColumn id="11" xr3:uid="{1FA67B4B-9F47-4EF9-A299-9A6CC35BEDDF}" name="Batch" dataDxfId="612"/>
    <tableColumn id="12" xr3:uid="{3C633E0F-E6C6-4D70-AA6F-9AF4995D7820}" name="Course Module / Session Name" dataDxfId="611"/>
    <tableColumn id="13" xr3:uid="{7A6FA7A1-7FB0-44D7-B9FD-DB4052F05CD6}" name="LMS uploads" dataDxfId="610"/>
    <tableColumn id="14" xr3:uid="{7D51546A-9F7F-413B-ABD2-1AA734F0E622}" name="Total Duration(Hrs.)" dataDxfId="609"/>
    <tableColumn id="15" xr3:uid="{89AC0A55-08AC-43BB-AE1E-55F0D418339F}" name="Mentor 1" dataDxfId="608"/>
    <tableColumn id="16" xr3:uid="{61D9CCA6-B348-4DA4-BBD9-0CEFE247218D}" name="Mentor 2" dataDxfId="607"/>
    <tableColumn id="17" xr3:uid="{57A9FE09-8877-47F3-ABA5-93F45A7BB363}" name="Mentor 3" dataDxfId="60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5706217-4C84-4AD6-B2B4-AD21FFB43ADF}" name="Table72697071" displayName="Table72697071" ref="A1:Q32" totalsRowShown="0" headerRowDxfId="605" dataDxfId="604" headerRowBorderDxfId="602" tableBorderDxfId="603" totalsRowBorderDxfId="601">
  <autoFilter ref="A1:Q32" xr:uid="{FD054392-0342-441D-9C97-415D4CDCE695}"/>
  <tableColumns count="17">
    <tableColumn id="1" xr3:uid="{207543F3-0699-4F00-B6E2-EE0B6F6367E8}" name="S. No" dataDxfId="600"/>
    <tableColumn id="2" xr3:uid="{F51CEAC2-344E-4AB0-9E73-557BA37A1BDF}" name="Date" dataDxfId="599"/>
    <tableColumn id="3" xr3:uid="{D55779D1-3AEA-4F10-8AD3-0428B2A5A78E}" name="Day" dataDxfId="598">
      <calculatedColumnFormula>TEXT(B2,"dddd")</calculatedColumnFormula>
    </tableColumn>
    <tableColumn id="4" xr3:uid="{FA70CEA2-7C06-4166-A1C0-9AD4B36700B1}" name="Session Time (IST)" dataDxfId="597"/>
    <tableColumn id="5" xr3:uid="{F5BC1B3C-DC98-43D3-A049-C8AAFED332C2}" name="Month" dataDxfId="596">
      <calculatedColumnFormula>TEXT(B2,"mmmm")</calculatedColumnFormula>
    </tableColumn>
    <tableColumn id="6" xr3:uid="{52F43D99-108C-4417-912A-B597E1B4FB04}" name="Year" dataDxfId="595"/>
    <tableColumn id="7" xr3:uid="{C4F09979-8785-4543-B0F2-6C1BC0FA4E75}" name="Duration(Hrs.)" dataDxfId="594"/>
    <tableColumn id="8" xr3:uid="{BFED149B-EBC1-40BD-8031-52C94DF85E7A}" name="Client" dataDxfId="593"/>
    <tableColumn id="9" xr3:uid="{83494E80-3734-4A87-9C7D-C0601CB51AAB}" name="ProgramName" dataDxfId="592"/>
    <tableColumn id="10" xr3:uid="{BA7F8617-AEC0-4AD9-8EF4-9F29C64CBDD6}" name="Program Co-ordinator" dataDxfId="591"/>
    <tableColumn id="11" xr3:uid="{7608B72A-F6EE-4AE3-A720-55BCF16F341C}" name="Batch" dataDxfId="590"/>
    <tableColumn id="12" xr3:uid="{02616A87-05F7-4302-A8AC-3E4C78A4146B}" name="Course Module / Session Name" dataDxfId="589"/>
    <tableColumn id="13" xr3:uid="{58DB0C85-1E5D-4A01-BE4A-76A6A672A9E6}" name="LMS uploads" dataDxfId="588"/>
    <tableColumn id="14" xr3:uid="{93F40D78-5F15-4739-BC8D-FBBE8099799E}" name="Total Duration(Hrs.)" dataDxfId="587"/>
    <tableColumn id="15" xr3:uid="{037B51CD-345C-4A30-B1AA-BAA03A9497CD}" name="Mentor 1" dataDxfId="586"/>
    <tableColumn id="16" xr3:uid="{D1B21A94-99B4-4C37-887D-569154B047A8}" name="Mentor 2" dataDxfId="585"/>
    <tableColumn id="17" xr3:uid="{F9C22EB8-A95D-46D7-B3D1-A597FDA3248D}" name="Mentor 3" dataDxfId="58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4A43DF62-BAF3-4F13-A645-3AFF4DEE41EF}" name="Table7269" displayName="Table7269" ref="A1:Q20" totalsRowShown="0" headerRowDxfId="583" dataDxfId="582" headerRowBorderDxfId="580" tableBorderDxfId="581" totalsRowBorderDxfId="579">
  <autoFilter ref="A1:Q20" xr:uid="{FD054392-0342-441D-9C97-415D4CDCE695}"/>
  <tableColumns count="17">
    <tableColumn id="1" xr3:uid="{248B9982-79AC-4FBF-A35B-DB45A60E480D}" name="S. No" dataDxfId="578"/>
    <tableColumn id="2" xr3:uid="{B43FD83F-40DE-40C6-9228-9AA42A635474}" name="Date" dataDxfId="577"/>
    <tableColumn id="3" xr3:uid="{60E711C7-47E7-48A7-AC8E-950A16FB0986}" name="Day" dataDxfId="576">
      <calculatedColumnFormula>TEXT(B2,"dddd")</calculatedColumnFormula>
    </tableColumn>
    <tableColumn id="4" xr3:uid="{53DA1B65-D347-4AF6-AD7F-B8054C0A007D}" name="Session Time (IST)" dataDxfId="575"/>
    <tableColumn id="5" xr3:uid="{433CF92F-70F2-4068-A007-011367042092}" name="Month" dataDxfId="574">
      <calculatedColumnFormula>TEXT(B2,"mmmm")</calculatedColumnFormula>
    </tableColumn>
    <tableColumn id="6" xr3:uid="{30ED8A4C-4327-40A8-A759-22409D6CBD5E}" name="Year" dataDxfId="573"/>
    <tableColumn id="7" xr3:uid="{BBF2A74B-F743-490F-B88A-787C252F7952}" name="Duration(Hrs.)" dataDxfId="572"/>
    <tableColumn id="8" xr3:uid="{EF724142-3B52-4CEC-9A33-350584A464E2}" name="Client" dataDxfId="571"/>
    <tableColumn id="9" xr3:uid="{0BD35C90-6979-4FEA-832B-FB26DF1E8062}" name="ProgramName" dataDxfId="570"/>
    <tableColumn id="10" xr3:uid="{6C2B667A-801A-4BBF-81B2-1EC50296F662}" name="Program Co-ordinator" dataDxfId="569"/>
    <tableColumn id="11" xr3:uid="{8CC97EAA-0290-4089-ADBE-803B4C2554B4}" name="Batch" dataDxfId="568"/>
    <tableColumn id="12" xr3:uid="{D1FC3E52-85EC-49B9-8A86-7BE0FEFF5A37}" name="Course Module / Session Name" dataDxfId="567"/>
    <tableColumn id="13" xr3:uid="{8BF5204E-CF82-4D67-B5FC-3981B12A8A46}" name="LMS uploads" dataDxfId="566"/>
    <tableColumn id="14" xr3:uid="{D3684040-8461-47EA-AF6B-C49EB34056BB}" name="Total Duration(Hrs.)" dataDxfId="565"/>
    <tableColumn id="15" xr3:uid="{73A322CD-4B81-4202-BE90-BB8122BE992C}" name="Mentor 1" dataDxfId="564"/>
    <tableColumn id="16" xr3:uid="{42774163-EA62-494A-9208-09691C26A34F}" name="Mentor 2" dataDxfId="563"/>
    <tableColumn id="17" xr3:uid="{7AC8C953-2F00-4723-9FDA-175289A74518}" name="Mentor 3" dataDxfId="56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FD054392-0342-441D-9C97-415D4CDCE695}" name="Table72" displayName="Table72" ref="A1:Q24" totalsRowShown="0" headerRowDxfId="561" dataDxfId="560" headerRowBorderDxfId="558" tableBorderDxfId="559" totalsRowBorderDxfId="557">
  <autoFilter ref="A1:Q24" xr:uid="{FD054392-0342-441D-9C97-415D4CDCE695}"/>
  <tableColumns count="17">
    <tableColumn id="1" xr3:uid="{215B3662-63C4-4046-9F15-36707AA7BD02}" name="S. No" dataDxfId="556"/>
    <tableColumn id="2" xr3:uid="{703B7596-13D7-4102-97B1-AF807708822C}" name="Date" dataDxfId="555"/>
    <tableColumn id="3" xr3:uid="{130C879C-DBCD-4859-AAF5-8D4C92AB6202}" name="Day" dataDxfId="554">
      <calculatedColumnFormula>TEXT(B2,"dddd")</calculatedColumnFormula>
    </tableColumn>
    <tableColumn id="4" xr3:uid="{E59CF5B9-0B2A-4E18-BC3D-13E4C1ED147B}" name="Session Time (IST)" dataDxfId="553"/>
    <tableColumn id="5" xr3:uid="{8A9C3211-A7C4-4FF0-8870-61011CD06A5B}" name="Month" dataDxfId="552">
      <calculatedColumnFormula>TEXT(B2,"mmmm")</calculatedColumnFormula>
    </tableColumn>
    <tableColumn id="6" xr3:uid="{C4A153A9-2ECF-444A-B32E-2ADCEA336720}" name="Year" dataDxfId="551"/>
    <tableColumn id="7" xr3:uid="{A8F57AC9-E0B5-436E-8396-AD0BA7A99A19}" name="Duration(Hrs.)" dataDxfId="550"/>
    <tableColumn id="8" xr3:uid="{572B5A1B-ED63-4259-ABEF-E84C06E85B03}" name="Client" dataDxfId="549"/>
    <tableColumn id="9" xr3:uid="{37C3D530-026E-41A6-92C2-559FDADCA972}" name="ProgramName" dataDxfId="548"/>
    <tableColumn id="10" xr3:uid="{A8B6F386-D3E7-4E04-9D9A-24024B1C082F}" name="Program Co-ordinator" dataDxfId="547"/>
    <tableColumn id="11" xr3:uid="{DAB58C71-B4DB-49CD-8CB0-618FB06E69B5}" name="Batch" dataDxfId="546"/>
    <tableColumn id="12" xr3:uid="{D6D25A11-F073-460A-9BD9-3B47D352EE0B}" name="Course Module / Session Name" dataDxfId="545"/>
    <tableColumn id="13" xr3:uid="{65313D83-586C-4AD2-8ECA-F6056E93C59F}" name="LMS uploads" dataDxfId="544"/>
    <tableColumn id="14" xr3:uid="{00941790-C5A2-4B80-8B84-BCA1EA1280B2}" name="Total Duration(Hrs.)" dataDxfId="543"/>
    <tableColumn id="15" xr3:uid="{C2740F6C-6AB5-4CD8-B4B1-BEE84DEC1400}" name="Mentor 1" dataDxfId="542"/>
    <tableColumn id="16" xr3:uid="{1F10E7CB-539D-475F-A25E-932D67A77949}" name="Mentor 2" dataDxfId="541"/>
    <tableColumn id="17" xr3:uid="{816B0CEF-D1E6-48E1-A243-A33700BBD8DC}" name="Mentor 3" dataDxfId="54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7BFA680-4741-465A-B958-F6727AA20E3D}" name="Table43" displayName="Table43" ref="A1:Q24" totalsRowShown="0" headerRowDxfId="539" dataDxfId="538" headerRowBorderDxfId="536" tableBorderDxfId="537" totalsRowBorderDxfId="535">
  <autoFilter ref="A1:Q24" xr:uid="{D7BFA680-4741-465A-B958-F6727AA20E3D}"/>
  <tableColumns count="17">
    <tableColumn id="1" xr3:uid="{5FE35B2C-AD20-430E-86D3-7CF99C639427}" name="S. No" dataDxfId="534"/>
    <tableColumn id="2" xr3:uid="{0A8085F9-73EC-48A4-B377-C0A4B3637018}" name="Date" dataDxfId="533"/>
    <tableColumn id="3" xr3:uid="{D682BFA0-38F2-4039-BB2F-EAA691CCBA06}" name="Day" dataDxfId="532">
      <calculatedColumnFormula>TEXT(B2,"dddd")</calculatedColumnFormula>
    </tableColumn>
    <tableColumn id="4" xr3:uid="{12ED1291-F45D-4017-96FC-18890C79D97D}" name="Session Time (IST)" dataDxfId="531"/>
    <tableColumn id="5" xr3:uid="{782042AE-817F-4A92-B6F3-9C07579D9426}" name="Month" dataDxfId="530">
      <calculatedColumnFormula>TEXT(B2,"mmmm")</calculatedColumnFormula>
    </tableColumn>
    <tableColumn id="6" xr3:uid="{1C2E70FC-CDFA-45C2-A10E-DAFB099D8E73}" name="Year" dataDxfId="529"/>
    <tableColumn id="7" xr3:uid="{425F436F-5F8A-406E-995D-A272B00267FF}" name="Duration(Hrs.)" dataDxfId="528"/>
    <tableColumn id="8" xr3:uid="{49652E7B-1240-4034-91D3-8936C3FB43CC}" name="Client" dataDxfId="527"/>
    <tableColumn id="9" xr3:uid="{92D92D6D-13B2-4438-9AFA-29EF27B52098}" name="ProgramName" dataDxfId="526"/>
    <tableColumn id="10" xr3:uid="{9EF07D47-EC80-45C9-82C8-8DF365FB09C0}" name="Program Co-ordinator" dataDxfId="525"/>
    <tableColumn id="11" xr3:uid="{6EA44404-8033-496E-A0AD-16ED723220D1}" name="Batch" dataDxfId="524"/>
    <tableColumn id="12" xr3:uid="{46F24A78-21CC-4AF9-AFA9-29A7649F94F6}" name="Course Module / Session Name" dataDxfId="523"/>
    <tableColumn id="13" xr3:uid="{A4AC8981-9DB4-4B2E-9CA7-4A3CE4DDB801}" name="LMS uploads" dataDxfId="522"/>
    <tableColumn id="14" xr3:uid="{D670E376-6604-42FA-8657-1775066260E4}" name="Total Duration(Hrs.)" dataDxfId="521"/>
    <tableColumn id="15" xr3:uid="{9E7A6C32-BC61-49E8-8EA6-9B9162D16E75}" name="Mentor 1" dataDxfId="520"/>
    <tableColumn id="16" xr3:uid="{2153A59A-0ADD-4DC1-95DE-6A0B5F5F829B}" name="Mentor 2" dataDxfId="519"/>
    <tableColumn id="17" xr3:uid="{730DFE21-46F6-4572-8DF3-E4123406EBC7}" name="Mentor 3" dataDxfId="51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9FFB2D2-289A-4F4E-A429-CCF70EE89E04}" name="Table38" displayName="Table38" ref="A1:Q24" totalsRowShown="0" headerRowDxfId="517" dataDxfId="516" headerRowBorderDxfId="514" tableBorderDxfId="515">
  <autoFilter ref="A1:Q24" xr:uid="{29FFB2D2-289A-4F4E-A429-CCF70EE89E04}"/>
  <tableColumns count="17">
    <tableColumn id="1" xr3:uid="{AB3AF612-3C55-4B96-A845-1B5524D489B4}" name="S. No" dataDxfId="513"/>
    <tableColumn id="2" xr3:uid="{DEC5A67C-A4C8-4C9C-9776-A6E8483A4762}" name="Date" dataDxfId="512"/>
    <tableColumn id="3" xr3:uid="{BC832B32-1168-48A0-B45E-8E778CEA1DD1}" name="Day" dataDxfId="511">
      <calculatedColumnFormula>TEXT(B2,"dddd")</calculatedColumnFormula>
    </tableColumn>
    <tableColumn id="4" xr3:uid="{62CA4650-05D2-49DD-B571-7EBD2DC99F39}" name="Session Time (IST)" dataDxfId="510"/>
    <tableColumn id="5" xr3:uid="{A255517B-8897-4F6E-ADDA-C4BE96EE90F7}" name="Month" dataDxfId="509">
      <calculatedColumnFormula>TEXT(B2,"mmmm")</calculatedColumnFormula>
    </tableColumn>
    <tableColumn id="6" xr3:uid="{C807DA57-5EDF-4B62-89F0-91AF14128C4A}" name="Year" dataDxfId="508"/>
    <tableColumn id="7" xr3:uid="{5E4D1129-1CED-4288-9E35-BF75B9B9F7C0}" name="Duration(Hrs.)" dataDxfId="507"/>
    <tableColumn id="8" xr3:uid="{4B567798-A77F-472A-A2D0-EFA5220EB430}" name="Client" dataDxfId="506"/>
    <tableColumn id="9" xr3:uid="{F67BD7DF-B505-4F41-9273-BE2A4079C65C}" name="ProgramName" dataDxfId="505"/>
    <tableColumn id="10" xr3:uid="{E883E011-045D-412C-8000-D56E10363706}" name="Program Co-ordinator" dataDxfId="504"/>
    <tableColumn id="11" xr3:uid="{2D4F3780-E504-47E8-AC2E-5F4A689214ED}" name="Batch" dataDxfId="503"/>
    <tableColumn id="12" xr3:uid="{EB0C8885-9D09-48EA-95A3-AD39CA9A789B}" name="Course Module / Session Name" dataDxfId="502"/>
    <tableColumn id="13" xr3:uid="{B082A7BB-32FE-4157-A9DE-394CF87DD881}" name="LMS uploads" dataDxfId="501"/>
    <tableColumn id="14" xr3:uid="{796744C5-2132-45BA-A397-E2B1AB2A1327}" name="Total Duration(Hrs.)" dataDxfId="500"/>
    <tableColumn id="15" xr3:uid="{41FFEF1D-4573-47F9-A76C-848B902173BD}" name="Mentor 1" dataDxfId="499"/>
    <tableColumn id="16" xr3:uid="{D4FEA5FA-1EEF-4093-8828-293E56631D94}" name="Mentor 2" dataDxfId="498"/>
    <tableColumn id="17" xr3:uid="{2AA93886-3A89-497F-8EA2-62003425CFB9}" name="Mentor 3" dataDxfId="497"/>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D4860A6-A7AF-473C-A004-B7AFAFDF1D02}" name="Table41" displayName="Table41" ref="A1:Q24" totalsRowShown="0" headerRowDxfId="496" dataDxfId="495" headerRowBorderDxfId="493" tableBorderDxfId="494">
  <autoFilter ref="A1:Q24" xr:uid="{3D4860A6-A7AF-473C-A004-B7AFAFDF1D02}">
    <filterColumn colId="14">
      <filters>
        <filter val="Stivan"/>
      </filters>
    </filterColumn>
  </autoFilter>
  <tableColumns count="17">
    <tableColumn id="1" xr3:uid="{C275DF91-7537-4019-A256-671FC9DCEF95}" name="S. No" dataDxfId="492"/>
    <tableColumn id="2" xr3:uid="{4BE4F912-285F-4E46-B721-991074C37C2C}" name="Date" dataDxfId="491"/>
    <tableColumn id="3" xr3:uid="{8FA23720-B137-4526-ADD4-EF7516F8BA48}" name="Day" dataDxfId="490">
      <calculatedColumnFormula>TEXT(B2,"dddd")</calculatedColumnFormula>
    </tableColumn>
    <tableColumn id="4" xr3:uid="{0321DCDC-1C35-4051-A103-F48BB589F32E}" name="Session Time (IST)" dataDxfId="489"/>
    <tableColumn id="5" xr3:uid="{BB437BD1-B98F-4FC5-813F-273B8DA9D5F2}" name="Month" dataDxfId="488">
      <calculatedColumnFormula>TEXT(B2,"mmmm")</calculatedColumnFormula>
    </tableColumn>
    <tableColumn id="6" xr3:uid="{0A683927-DFEE-4B68-A8AE-8A746755C3F4}" name="Year" dataDxfId="487"/>
    <tableColumn id="7" xr3:uid="{65C39678-BE2A-4A22-A673-6FE25933A777}" name="Duration(Hrs.)" dataDxfId="486"/>
    <tableColumn id="8" xr3:uid="{089DD3E1-CEA9-49D4-9F5F-B320AC29A3CE}" name="Client" dataDxfId="485"/>
    <tableColumn id="9" xr3:uid="{81D84329-3645-4086-8BC4-AF4F852A3B8D}" name="ProgramName" dataDxfId="484"/>
    <tableColumn id="10" xr3:uid="{9822FA28-008F-4B31-8060-EC8B3A3AC558}" name="Program Co-ordinator" dataDxfId="483"/>
    <tableColumn id="11" xr3:uid="{6D60D56D-CB30-4B33-AB1F-207CE70FF485}" name="Batch" dataDxfId="482"/>
    <tableColumn id="12" xr3:uid="{47E06803-76A8-4E4A-9966-74CD5801F7E2}" name="Course Module / Session Name" dataDxfId="481"/>
    <tableColumn id="13" xr3:uid="{350FF40D-864F-466C-BBF5-71A792754914}" name="LMS uploads" dataDxfId="480"/>
    <tableColumn id="14" xr3:uid="{88BA5E83-2D67-4806-B300-B6FD647DBB12}" name="Total Duration(Hrs.)" dataDxfId="479"/>
    <tableColumn id="15" xr3:uid="{A01CD9AA-C508-4884-8D7C-A23342098B8B}" name="Mentor 1" dataDxfId="478"/>
    <tableColumn id="16" xr3:uid="{EA6A1D40-B404-4B66-871F-529F5F1ADDEE}" name="Mentor 2" dataDxfId="477"/>
    <tableColumn id="17" xr3:uid="{D226FA42-87E9-49B4-8376-00A51F62C160}" name="Mentor 3" dataDxfId="476"/>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D9E24A9-09E5-4ACB-8A35-FA735C9E3186}" name="Table37" displayName="Table37" ref="A1:Q21" totalsRowShown="0" headerRowDxfId="475" dataDxfId="474" headerRowBorderDxfId="472" tableBorderDxfId="473" totalsRowBorderDxfId="471">
  <autoFilter ref="A1:Q21" xr:uid="{FD9E24A9-09E5-4ACB-8A35-FA735C9E3186}"/>
  <tableColumns count="17">
    <tableColumn id="1" xr3:uid="{0974DF61-3FF5-46E3-94A9-09715F2B8211}" name="S. No" dataDxfId="470"/>
    <tableColumn id="2" xr3:uid="{96068919-5129-40FE-9EB5-94DBB7CDFE5E}" name="Date" dataDxfId="469"/>
    <tableColumn id="3" xr3:uid="{A74E27CA-1580-4CAF-A2FF-C3C526DC39FC}" name="Day" dataDxfId="468">
      <calculatedColumnFormula>TEXT(B2,"dddd")</calculatedColumnFormula>
    </tableColumn>
    <tableColumn id="4" xr3:uid="{29BA6C7F-F96E-4A83-AD1C-053773502293}" name="Session Time (IST)" dataDxfId="467"/>
    <tableColumn id="5" xr3:uid="{B867471B-F3AF-4C28-8B1F-2ADEF6FF6185}" name="Month" dataDxfId="466">
      <calculatedColumnFormula>TEXT(B2,"mmmm")</calculatedColumnFormula>
    </tableColumn>
    <tableColumn id="6" xr3:uid="{911B7237-19F1-41C4-9E48-76F0ABC93232}" name="Year" dataDxfId="465"/>
    <tableColumn id="7" xr3:uid="{83169043-ABB4-4C4D-93D5-CBDCCC36696A}" name="Duration(Hrs.)" dataDxfId="464"/>
    <tableColumn id="8" xr3:uid="{2B9D7BEF-F9D6-4952-AE68-9869455702C6}" name="Client" dataDxfId="463"/>
    <tableColumn id="9" xr3:uid="{64531604-7894-4C71-840A-4E71D903A84D}" name="ProgramName" dataDxfId="462"/>
    <tableColumn id="10" xr3:uid="{3AF2406C-BA55-4EC8-ABAD-C66FAF011635}" name="Program Co-ordinator" dataDxfId="461"/>
    <tableColumn id="11" xr3:uid="{86BD6AC6-8B9F-4520-A8F7-A8B591BAEBAA}" name="Batch" dataDxfId="460"/>
    <tableColumn id="12" xr3:uid="{71BCB8D5-E7A0-49DE-BDAF-237998032E1A}" name="Course Module / Session Name" dataDxfId="459"/>
    <tableColumn id="13" xr3:uid="{E88A315D-11EF-456A-B997-69C3E1AE37FC}" name="LMS uploads" dataDxfId="458"/>
    <tableColumn id="15" xr3:uid="{2E07B7F0-5155-40C7-A9E9-642444281758}" name="Total Duration(Hrs.)" dataDxfId="457"/>
    <tableColumn id="19" xr3:uid="{8E15AFFE-7D8A-4BB2-8E9B-26CEF6A6EF5B}" name="Mentor 1" dataDxfId="456"/>
    <tableColumn id="20" xr3:uid="{C4E37748-413F-4909-84CE-06BBAFB5B86D}" name="Mentor 2" dataDxfId="455"/>
    <tableColumn id="21" xr3:uid="{A4D618A7-C157-46BB-8C79-24F477C876B7}" name="Mentor 3" dataDxfId="45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A7B9624-1C3F-4A7B-8887-F4CC8A3A7E81}" name="Table3741" displayName="Table3741" ref="A1:Q33" totalsRowShown="0" headerRowDxfId="453" dataDxfId="452" headerRowBorderDxfId="450" tableBorderDxfId="451" totalsRowBorderDxfId="449">
  <autoFilter ref="A1:Q33" xr:uid="{FD9E24A9-09E5-4ACB-8A35-FA735C9E3186}"/>
  <tableColumns count="17">
    <tableColumn id="1" xr3:uid="{87BB1EE6-46A1-4175-9BBA-98D0C4BC888C}" name="S. No" dataDxfId="448"/>
    <tableColumn id="2" xr3:uid="{473F23E4-1C80-4A11-9B61-19983B879752}" name="Date" dataDxfId="447"/>
    <tableColumn id="3" xr3:uid="{84D990C7-0C50-42D0-B58A-6C375573C97D}" name="Day" dataDxfId="446">
      <calculatedColumnFormula>TEXT(B2,"dddd")</calculatedColumnFormula>
    </tableColumn>
    <tableColumn id="4" xr3:uid="{92C8A7FD-3964-4087-A32A-E5CEB257496C}" name="Session Time (IST)" dataDxfId="445"/>
    <tableColumn id="5" xr3:uid="{930D6E0B-0986-4A1C-BD79-3EC818AB10A6}" name="Month" dataDxfId="444">
      <calculatedColumnFormula>TEXT(B2,"mmmm")</calculatedColumnFormula>
    </tableColumn>
    <tableColumn id="6" xr3:uid="{899C1CB9-A8A2-4077-8186-25A1B7D6FF0F}" name="Year" dataDxfId="443"/>
    <tableColumn id="7" xr3:uid="{8D4A2168-0226-40DD-AE62-1C31F27ADACF}" name="Duration(Hrs.)" dataDxfId="442"/>
    <tableColumn id="8" xr3:uid="{BD1444A6-C7EA-4405-A9E4-9CD7C0B988A6}" name="Client" dataDxfId="441"/>
    <tableColumn id="9" xr3:uid="{D8873573-CE14-4848-B97D-4297F1ABF3CF}" name="ProgramName" dataDxfId="440"/>
    <tableColumn id="10" xr3:uid="{BA469A96-9C44-45AC-8807-5139B592DCEF}" name="Program Co-ordinator" dataDxfId="439"/>
    <tableColumn id="11" xr3:uid="{0DA75D05-58E1-4AEC-92AF-5B2C26660296}" name="Batch" dataDxfId="438"/>
    <tableColumn id="12" xr3:uid="{54F5B326-A931-4BC6-B506-A31456F1842C}" name="Course Module / Session Name" dataDxfId="437"/>
    <tableColumn id="13" xr3:uid="{0B056E94-E242-4929-A374-28B341C9A6A1}" name="LMS uploads" dataDxfId="436"/>
    <tableColumn id="15" xr3:uid="{9103F411-DFA8-4F8B-A097-287DC7F17F72}" name="Total Duration(Hrs.)" dataDxfId="435"/>
    <tableColumn id="19" xr3:uid="{BB9F626A-4C05-4E8A-8BD2-CCCA0EE63341}" name="Mentor 1" dataDxfId="434"/>
    <tableColumn id="20" xr3:uid="{CF695871-E7B0-4710-81F1-C5F1DD44F5BD}" name="Mentor 2" dataDxfId="433"/>
    <tableColumn id="21" xr3:uid="{3AE0E5E4-C45C-4797-AEAE-49C7CA166E7F}" name="Mentor 3" dataDxfId="43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BDC5EA4-9DF0-494F-AC87-11EF1BEAB600}" name="Table36" displayName="Table36" ref="A1:Q22" totalsRowShown="0" headerRowDxfId="431" dataDxfId="430" headerRowBorderDxfId="428" tableBorderDxfId="429" totalsRowBorderDxfId="427">
  <autoFilter ref="A1:Q22" xr:uid="{7BDC5EA4-9DF0-494F-AC87-11EF1BEAB600}">
    <filterColumn colId="4">
      <filters>
        <filter val="April"/>
      </filters>
    </filterColumn>
  </autoFilter>
  <tableColumns count="17">
    <tableColumn id="1" xr3:uid="{D12FA471-73A9-4B74-85A9-4802B4BF786D}" name="S. No" dataDxfId="426"/>
    <tableColumn id="2" xr3:uid="{F0BA6B01-8A7F-48C8-9516-6AD18E561D63}" name="Date" dataDxfId="425"/>
    <tableColumn id="3" xr3:uid="{3CF7D72C-E145-48F4-8B81-0070B8037410}" name="Day" dataDxfId="424">
      <calculatedColumnFormula>TEXT(B2,"dddd")</calculatedColumnFormula>
    </tableColumn>
    <tableColumn id="4" xr3:uid="{11634933-FFFD-4655-A2C6-FE92BADCCCB4}" name="Session Time (IST)" dataDxfId="423"/>
    <tableColumn id="5" xr3:uid="{9F553DE6-CA6C-4B8F-B161-F688AA72F829}" name="Month" dataDxfId="422">
      <calculatedColumnFormula>TEXT(B2,"mmmm")</calculatedColumnFormula>
    </tableColumn>
    <tableColumn id="6" xr3:uid="{1E8873A2-7BA1-4009-94D2-CE69445A3AAB}" name="Year" dataDxfId="421"/>
    <tableColumn id="7" xr3:uid="{7FC3604C-1086-40D4-8DDA-C09A948F9777}" name="Duration(Hrs.)" dataDxfId="420"/>
    <tableColumn id="8" xr3:uid="{5D65FD18-31F9-4506-BCA9-45CF588A0F4B}" name="Client" dataDxfId="419"/>
    <tableColumn id="9" xr3:uid="{CC708659-B793-4289-B81C-72FC1C16DDF7}" name="ProgramName" dataDxfId="418"/>
    <tableColumn id="10" xr3:uid="{E3A99ED2-B668-4B54-83DA-404A2E2D4AE7}" name="Program Co-ordinator" dataDxfId="417"/>
    <tableColumn id="11" xr3:uid="{FAC84CCC-818F-40F5-9E8A-07C03954859E}" name="Batch" dataDxfId="416"/>
    <tableColumn id="12" xr3:uid="{FB4C850C-66F9-4287-B41D-FDCFE371398C}" name="Course Module / Session Name" dataDxfId="415"/>
    <tableColumn id="13" xr3:uid="{54BB293D-C2FE-4687-B88C-7A8D1ACAF50A}" name="LMS uploads" dataDxfId="414"/>
    <tableColumn id="15" xr3:uid="{06BD7FDD-5BCB-4082-857B-FBDCBB025A2A}" name="Total Duration(Hrs.)" dataDxfId="413"/>
    <tableColumn id="19" xr3:uid="{187EA662-80E4-4E8E-AA0B-BFE9F79235BF}" name="Mentor 1" dataDxfId="412"/>
    <tableColumn id="20" xr3:uid="{5A44A741-CC52-416B-A0B8-DF821F50B96F}" name="Mentor 2" dataDxfId="411"/>
    <tableColumn id="21" xr3:uid="{69D78C6D-5022-4CB5-860A-70E2BA3E7610}" name="Mentor 3" dataDxfId="41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CD6836-CA61-4AED-AB99-85D8A880B07C}" name="Table726970" displayName="Table726970" ref="A1:Q52" totalsRowShown="0" headerRowDxfId="409" dataDxfId="408" headerRowBorderDxfId="406" tableBorderDxfId="407" totalsRowBorderDxfId="405">
  <autoFilter ref="A1:Q52" xr:uid="{80CD6836-CA61-4AED-AB99-85D8A880B07C}"/>
  <tableColumns count="17">
    <tableColumn id="1" xr3:uid="{B21083FA-45AD-4D63-AD33-BE194FE30714}" name="S. No" dataDxfId="404"/>
    <tableColumn id="2" xr3:uid="{DC3952FF-C41C-44D2-B286-BB9EEA4BCAE8}" name="Date" dataDxfId="403"/>
    <tableColumn id="3" xr3:uid="{52DCD1AB-7E76-4902-9728-A03995D5D185}" name="Day" dataDxfId="402">
      <calculatedColumnFormula>TEXT(B2,"dddd")</calculatedColumnFormula>
    </tableColumn>
    <tableColumn id="4" xr3:uid="{B59874D5-7246-4DD1-8CC6-6B6B8B8ED44A}" name="Session Time (IST)" dataDxfId="401"/>
    <tableColumn id="5" xr3:uid="{95A3E109-B8A7-41F3-8F30-28FDC84CBB8E}" name="Month" dataDxfId="400">
      <calculatedColumnFormula>TEXT(B2,"mmmm")</calculatedColumnFormula>
    </tableColumn>
    <tableColumn id="6" xr3:uid="{963E6807-CE85-47DF-A5D8-B2C6F4900848}" name="Year" dataDxfId="399"/>
    <tableColumn id="7" xr3:uid="{EE502247-FB41-40D9-85A2-756CFCD24760}" name="Duration(Hrs.)" dataDxfId="398"/>
    <tableColumn id="8" xr3:uid="{BECDEF1F-D997-4145-B21C-87A85C4D2D1A}" name="Client" dataDxfId="397"/>
    <tableColumn id="9" xr3:uid="{A33C3B29-9EDA-42CB-BE46-0F3787E17A4D}" name="ProgramName" dataDxfId="396"/>
    <tableColumn id="10" xr3:uid="{7291586C-DFB6-4210-BF56-9423ACF4FA97}" name="Program Co-ordinator" dataDxfId="395"/>
    <tableColumn id="11" xr3:uid="{2FC65062-763D-4F03-9753-4AF005FC6507}" name="Batch" dataDxfId="394"/>
    <tableColumn id="12" xr3:uid="{AF2AB878-DEFA-4919-87AE-837968F1B77B}" name="Course Module / Session Name" dataDxfId="393"/>
    <tableColumn id="13" xr3:uid="{0A374512-B326-4D36-8F2D-3ECB514F35EB}" name="LMS uploads" dataDxfId="392"/>
    <tableColumn id="14" xr3:uid="{6EA3A57A-E56F-4560-9E7A-6D77BFEE0F0A}" name="Total Duration(Hrs.)" dataDxfId="391"/>
    <tableColumn id="15" xr3:uid="{A5911705-667C-409C-8888-17DD0661D1EB}" name="Mentor 1" dataDxfId="390"/>
    <tableColumn id="16" xr3:uid="{C27E084F-2A0E-4876-AF38-84CDDBA62CCF}" name="Mentor 2" dataDxfId="389"/>
    <tableColumn id="17" xr3:uid="{C0316C22-1795-4D22-B24A-ABDCEE0756E1}" name="Mentor 3" dataDxfId="388"/>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B6BE9B0-7C0A-4E98-B316-34DDE5F4F882}" name="Table32" displayName="Table32" ref="A1:Q31" totalsRowShown="0" headerRowDxfId="387" dataDxfId="386" headerRowBorderDxfId="384" tableBorderDxfId="385" totalsRowBorderDxfId="383">
  <autoFilter ref="A1:Q31" xr:uid="{EB6BE9B0-7C0A-4E98-B316-34DDE5F4F882}"/>
  <tableColumns count="17">
    <tableColumn id="1" xr3:uid="{1D071B1F-671A-4E0F-A544-8731BF798968}" name="S. No" dataDxfId="382"/>
    <tableColumn id="2" xr3:uid="{A1DE05B4-C9B6-48A8-9915-28503ECD9372}" name="Date" dataDxfId="381"/>
    <tableColumn id="3" xr3:uid="{603BBF38-4F57-4B7B-9040-E67057967B5C}" name="Day" dataDxfId="380">
      <calculatedColumnFormula>TEXT(B2,"dddd")</calculatedColumnFormula>
    </tableColumn>
    <tableColumn id="4" xr3:uid="{52EF3CE1-F36B-4EE6-9668-1FFFEDF3C8AE}" name="Session Time (IST)" dataDxfId="379"/>
    <tableColumn id="5" xr3:uid="{5A4F6B4E-8540-4C94-A89B-9612C62B1B81}" name="Month" dataDxfId="378">
      <calculatedColumnFormula>TEXT(B2,"mmmm")</calculatedColumnFormula>
    </tableColumn>
    <tableColumn id="6" xr3:uid="{D5D19E81-D755-4D0D-98AD-16B82CF3BB52}" name="Year" dataDxfId="377"/>
    <tableColumn id="7" xr3:uid="{4B0535BF-5DAB-445A-A3EC-052C0C16C357}" name="Duration(Hrs.)" dataDxfId="376"/>
    <tableColumn id="8" xr3:uid="{7FC2C2F4-34AE-48DC-B15F-F68C1A5C66D0}" name="Client" dataDxfId="375"/>
    <tableColumn id="9" xr3:uid="{F45B3744-4D80-4428-9F5A-3D3211DADA88}" name="ProgramName" dataDxfId="374"/>
    <tableColumn id="10" xr3:uid="{F855F93F-DF1A-4C3A-88A4-7EA21F2BAC75}" name="Program Co-ordinator" dataDxfId="373"/>
    <tableColumn id="11" xr3:uid="{DE4114E7-F2CF-4A76-A069-C5B2151A3F95}" name="Batch" dataDxfId="372"/>
    <tableColumn id="12" xr3:uid="{2A0CF947-9276-4DF6-8B6C-6D1029B0CDD1}" name="Course Module / Session Name" dataDxfId="371"/>
    <tableColumn id="13" xr3:uid="{F7B2FC09-0745-4CD3-BB3F-F0F2A0215588}" name="LMS uploads" dataDxfId="370"/>
    <tableColumn id="15" xr3:uid="{6101EBBC-5DC3-41B1-9896-0F1F8EE122A8}" name="Total Duration(Hrs.)" dataDxfId="369"/>
    <tableColumn id="19" xr3:uid="{B93CCB86-860E-4C59-B05C-A433C5949467}" name="Mentor 1" dataDxfId="368"/>
    <tableColumn id="20" xr3:uid="{9B55B3EE-A6BA-4A60-A931-EDA62ED07A82}" name="Mentor 2" dataDxfId="367"/>
    <tableColumn id="21" xr3:uid="{FB4EFE04-C810-4BEC-B404-6B6FD4CEAE11}" name="Mentor 3" dataDxfId="366"/>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C24EBC45-7DC2-4073-90CC-200B1DC13350}" name="Table3234" displayName="Table3234" ref="A1:Q33" totalsRowShown="0" headerRowDxfId="365" dataDxfId="364" headerRowBorderDxfId="362" tableBorderDxfId="363" totalsRowBorderDxfId="361">
  <autoFilter ref="A1:Q33" xr:uid="{EB6BE9B0-7C0A-4E98-B316-34DDE5F4F882}"/>
  <tableColumns count="17">
    <tableColumn id="1" xr3:uid="{A4BC06F0-3ABC-4E4E-B3B9-38ADC50F9AC4}" name="S. No" dataDxfId="360"/>
    <tableColumn id="2" xr3:uid="{ACA9773C-18B5-43A0-ACEF-1DFB69901361}" name="Date" dataDxfId="359"/>
    <tableColumn id="3" xr3:uid="{6F5F66F9-DA4E-41B8-8454-DE00339628FF}" name="Day" dataDxfId="358">
      <calculatedColumnFormula>TEXT(B2,"dddd")</calculatedColumnFormula>
    </tableColumn>
    <tableColumn id="4" xr3:uid="{20AA0D04-1676-44C3-9FF0-EF55A4CBCF68}" name="Session Time (IST)" dataDxfId="357"/>
    <tableColumn id="5" xr3:uid="{1B872C5C-F772-41D2-8060-2A51C793C18C}" name="Month" dataDxfId="356">
      <calculatedColumnFormula>TEXT(B2,"mmmm")</calculatedColumnFormula>
    </tableColumn>
    <tableColumn id="6" xr3:uid="{49076D66-37DE-449C-B99D-276C6253D934}" name="Year" dataDxfId="355"/>
    <tableColumn id="7" xr3:uid="{B37C1D21-74C6-4C21-A38E-F54D1D9B6F13}" name="Duration(Hrs.)" dataDxfId="354"/>
    <tableColumn id="8" xr3:uid="{4686C5E5-0070-40B0-8C42-82754F8BE84B}" name="Client" dataDxfId="353"/>
    <tableColumn id="9" xr3:uid="{3464F4F9-2D9B-4261-9AD0-176C9E8A0A1A}" name="ProgramName" dataDxfId="352"/>
    <tableColumn id="10" xr3:uid="{FC5BD1CE-A00D-4859-B09A-60E09DFB62F9}" name="Program Co-ordinator" dataDxfId="351"/>
    <tableColumn id="11" xr3:uid="{F7010DD7-0018-4451-919D-B0778124BFFE}" name="Batch" dataDxfId="350"/>
    <tableColumn id="12" xr3:uid="{8A00248E-F986-420D-BD0E-76CAF5C56ED1}" name="Course Module / Session Name" dataDxfId="349"/>
    <tableColumn id="13" xr3:uid="{FF79426E-E6FA-452C-A1EF-DC26DA6B431C}" name="LMS uploads" dataDxfId="348"/>
    <tableColumn id="15" xr3:uid="{AED807B2-3CA0-4B12-B8F0-911D855B80E6}" name="Total Duration(Hrs.)" dataDxfId="347"/>
    <tableColumn id="19" xr3:uid="{4C50504E-2E65-4BC1-8DE9-32FE5B0F4602}" name="Mentor 1" dataDxfId="346"/>
    <tableColumn id="20" xr3:uid="{79FA86B7-9012-4EB8-81D0-E7E16695487C}" name="Mentor 2" dataDxfId="345"/>
    <tableColumn id="21" xr3:uid="{FBA9EF1C-E10E-4FB2-96AC-E339BB8A26E1}" name="Mentor 3" dataDxfId="34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61D0023-B092-460D-B3EB-80ADA6F4A8C0}" name="Table3235" displayName="Table3235" ref="A1:Q32" totalsRowShown="0" headerRowDxfId="343" dataDxfId="342" headerRowBorderDxfId="340" tableBorderDxfId="341" totalsRowBorderDxfId="339">
  <autoFilter ref="A1:Q32" xr:uid="{EB6BE9B0-7C0A-4E98-B316-34DDE5F4F882}"/>
  <tableColumns count="17">
    <tableColumn id="1" xr3:uid="{E051687F-8666-413A-8135-F6198DEF7FBE}" name="S. No" dataDxfId="338"/>
    <tableColumn id="2" xr3:uid="{08CBF4B4-09ED-4DFD-AF4D-417E5940DF4B}" name="Date" dataDxfId="337"/>
    <tableColumn id="3" xr3:uid="{252A0F11-EBC3-4E9D-B8B4-D0C3230792EC}" name="Day" dataDxfId="336">
      <calculatedColumnFormula>TEXT(B2,"dddd")</calculatedColumnFormula>
    </tableColumn>
    <tableColumn id="4" xr3:uid="{CB9E6122-4E0B-4C11-8F1F-2618F8EACFD9}" name="Session Time (IST)" dataDxfId="335"/>
    <tableColumn id="5" xr3:uid="{9CDFE2FD-C927-48C9-9DF1-B68090B1DC74}" name="Month" dataDxfId="334">
      <calculatedColumnFormula>TEXT(B2,"mmmm")</calculatedColumnFormula>
    </tableColumn>
    <tableColumn id="6" xr3:uid="{CB0A1621-55E3-48A8-8193-90EEEA00AEB5}" name="Year" dataDxfId="333"/>
    <tableColumn id="7" xr3:uid="{E0191276-CE54-4E76-A40C-D5EF634705C6}" name="Duration(Hrs.)" dataDxfId="332"/>
    <tableColumn id="8" xr3:uid="{91FF804D-4D4B-4446-86BD-CC85DC14A2A4}" name="Client" dataDxfId="331"/>
    <tableColumn id="9" xr3:uid="{2702A068-5624-4522-AB02-9F5327F064AA}" name="ProgramName" dataDxfId="330"/>
    <tableColumn id="10" xr3:uid="{ADC9AC5A-556D-43D5-BE1A-60D85B5785EE}" name="Program Co-ordinator" dataDxfId="329"/>
    <tableColumn id="11" xr3:uid="{7D5EF4E7-9816-4EA9-BF4A-A4745C388DE3}" name="Batch" dataDxfId="328"/>
    <tableColumn id="12" xr3:uid="{D22F9315-E766-424A-B611-C4503557EC16}" name="Course Module / Session Name" dataDxfId="327"/>
    <tableColumn id="13" xr3:uid="{37859620-44F1-4A6F-9A8A-616732A94BCB}" name="LMS uploads" dataDxfId="326"/>
    <tableColumn id="15" xr3:uid="{62755823-A8A0-4C15-BB5E-4AF31C3E504F}" name="Total Duration(Hrs.)" dataDxfId="325"/>
    <tableColumn id="19" xr3:uid="{71021389-4027-465F-AF41-9804ACEB38F0}" name="Mentor 1" dataDxfId="324"/>
    <tableColumn id="20" xr3:uid="{0EA0FDBB-4FC3-46C5-90DD-7B0767600DC2}" name="Mentor 2" dataDxfId="323"/>
    <tableColumn id="21" xr3:uid="{1C47C73F-27BE-4C57-B4D0-AC92233BC73C}" name="Mentor 3" dataDxfId="322"/>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E03D144-532F-4FE6-AE09-DD3A7A9F6625}" name="Table323536" displayName="Table323536" ref="A1:Q30" totalsRowShown="0" headerRowDxfId="321" dataDxfId="320" headerRowBorderDxfId="318" tableBorderDxfId="319" totalsRowBorderDxfId="317">
  <autoFilter ref="A1:Q30" xr:uid="{EB6BE9B0-7C0A-4E98-B316-34DDE5F4F882}"/>
  <tableColumns count="17">
    <tableColumn id="1" xr3:uid="{BDF85A10-4411-40E4-8E74-5B73159777B1}" name="S. No" dataDxfId="316"/>
    <tableColumn id="2" xr3:uid="{2990C11C-883B-4A24-AE96-49D23A414731}" name="Date" dataDxfId="315"/>
    <tableColumn id="3" xr3:uid="{3D0FAA27-142E-42F9-BAE2-43242FF8EB90}" name="Day" dataDxfId="314">
      <calculatedColumnFormula>TEXT(B2,"dddd")</calculatedColumnFormula>
    </tableColumn>
    <tableColumn id="4" xr3:uid="{976B24EC-57E8-4B05-86F3-70124FC27199}" name="Session Time (IST)" dataDxfId="313"/>
    <tableColumn id="5" xr3:uid="{01A70801-9EF6-4BD1-A6E6-3D81245E77E8}" name="Month" dataDxfId="312">
      <calculatedColumnFormula>TEXT(B2,"mmmm")</calculatedColumnFormula>
    </tableColumn>
    <tableColumn id="6" xr3:uid="{8E4A3643-4E21-4158-BE9F-B10B875B65B5}" name="Year" dataDxfId="311"/>
    <tableColumn id="7" xr3:uid="{5A148442-F680-40DD-ACDE-055C9291A76F}" name="Duration(Hrs.)" dataDxfId="310"/>
    <tableColumn id="8" xr3:uid="{95FC77A7-C7F2-4EF3-B2DE-C8D0159F9612}" name="Client" dataDxfId="309"/>
    <tableColumn id="9" xr3:uid="{4F088682-9A96-4AB6-9789-8E0D1255F269}" name="ProgramName" dataDxfId="308"/>
    <tableColumn id="10" xr3:uid="{927FF446-4196-4FEA-B1C7-EB2281C6E5F9}" name="Program Co-ordinator" dataDxfId="307"/>
    <tableColumn id="11" xr3:uid="{0B4AE649-A356-43CF-BD2F-2D55CAEC5EF0}" name="Batch" dataDxfId="306"/>
    <tableColumn id="12" xr3:uid="{9D457CD2-768E-4771-8671-80F56E9BF080}" name="Course Module / Session Name" dataDxfId="305"/>
    <tableColumn id="13" xr3:uid="{81BBAD37-A0CF-47E4-B863-B4BEADF236CF}" name="LMS uploads" dataDxfId="304"/>
    <tableColumn id="15" xr3:uid="{919AF62A-7A94-4739-82ED-A1E6EC1ABF86}" name="Total Duration(Hrs.)" dataDxfId="303"/>
    <tableColumn id="19" xr3:uid="{AFC5EFF5-7D6F-456E-88BD-7E3026532DB5}" name="Mentor 1" dataDxfId="302"/>
    <tableColumn id="20" xr3:uid="{1314D7CE-4E8E-4033-B8B1-75A9F1D27B50}" name="Mentor 2" dataDxfId="301"/>
    <tableColumn id="21" xr3:uid="{1DF5B6D2-717F-4667-8162-66E8EC1AA2E8}" name="Mentor 3" dataDxfId="300"/>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F254433-8F76-4DE6-A3F6-2B794B5ABBB7}" name="Table2629303132" displayName="Table2629303132" ref="A1:Q39" totalsRowShown="0" headerRowDxfId="299" dataDxfId="298" headerRowBorderDxfId="296" tableBorderDxfId="297" totalsRowBorderDxfId="295">
  <autoFilter ref="A1:Q39" xr:uid="{4DDDF25A-2CD2-403F-9D9B-6C1BE8F1F140}">
    <filterColumn colId="4">
      <filters>
        <filter val="May"/>
      </filters>
    </filterColumn>
  </autoFilter>
  <tableColumns count="17">
    <tableColumn id="1" xr3:uid="{C4799381-BC24-48D9-8885-DB8B0ACDADCB}" name="S. No" dataDxfId="294"/>
    <tableColumn id="2" xr3:uid="{FB273A34-6947-44E1-8BBF-D7390928E264}" name="Date" dataDxfId="293"/>
    <tableColumn id="3" xr3:uid="{ECC06538-CC39-4D7A-9C43-214D6B5EC1C0}" name="Day" dataDxfId="292">
      <calculatedColumnFormula>TEXT(B2,"dddd")</calculatedColumnFormula>
    </tableColumn>
    <tableColumn id="4" xr3:uid="{A06E8D26-1992-41DC-A69A-3E515E0F496B}" name="Session Time (IST)" dataDxfId="291"/>
    <tableColumn id="5" xr3:uid="{C44FBBCA-01F7-4587-BF17-D78F5B921D11}" name="Month" dataDxfId="290">
      <calculatedColumnFormula>TEXT(B2,"mmmm")</calculatedColumnFormula>
    </tableColumn>
    <tableColumn id="6" xr3:uid="{EEEF31A6-C9EB-4FFF-A9C5-761DE49143CA}" name="Year" dataDxfId="289"/>
    <tableColumn id="7" xr3:uid="{E18A106A-519B-435E-A516-046E84AEB0F5}" name="Duration(Hrs.)" dataDxfId="288"/>
    <tableColumn id="8" xr3:uid="{9D3DB09F-9B66-4FFE-8790-A00BEB77F24A}" name="Client" dataDxfId="287"/>
    <tableColumn id="9" xr3:uid="{9CA6F294-3390-4C66-B1B1-FBC898F42B13}" name="ProgramName" dataDxfId="286"/>
    <tableColumn id="10" xr3:uid="{30FB5B09-493A-45D0-893E-1D8C101E343D}" name="Program Co-ordinator" dataDxfId="285"/>
    <tableColumn id="11" xr3:uid="{FF7DA6C8-E9AE-4483-AD49-17604B32DB62}" name="Batch" dataDxfId="284"/>
    <tableColumn id="12" xr3:uid="{7121AE91-0B81-4162-B531-25092BB2E581}" name="Course Module / Session Name" dataDxfId="283"/>
    <tableColumn id="13" xr3:uid="{C5FE97D5-FEC2-4A49-B66E-59DC39A7147E}" name="LMS uploads" dataDxfId="282"/>
    <tableColumn id="15" xr3:uid="{E7B9DB93-61CE-483B-8078-6F4362251DC0}" name="Total Duration(Hrs.)" dataDxfId="281"/>
    <tableColumn id="19" xr3:uid="{0F3B457E-AECC-4BF6-9AD3-268FDC6FC9E0}" name="Mentor 1" dataDxfId="280"/>
    <tableColumn id="20" xr3:uid="{07336BCB-49B6-4B49-8CE6-C16FF5D64C18}" name="Mentor 2" dataDxfId="279"/>
    <tableColumn id="21" xr3:uid="{33E0A9F6-F81E-44D8-A41D-65A65768BB54}" name="Mentor 3" dataDxfId="27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CDAA672-A0A1-4639-8CEA-EEA47640FD1F}" name="Table26293031" displayName="Table26293031" ref="A1:Q42" totalsRowShown="0" headerRowDxfId="277" dataDxfId="276" headerRowBorderDxfId="274" tableBorderDxfId="275" totalsRowBorderDxfId="273">
  <autoFilter ref="A1:Q42" xr:uid="{4DDDF25A-2CD2-403F-9D9B-6C1BE8F1F140}">
    <filterColumn colId="4">
      <filters>
        <filter val="May"/>
      </filters>
    </filterColumn>
  </autoFilter>
  <tableColumns count="17">
    <tableColumn id="1" xr3:uid="{A225A144-D32C-4F05-9F6D-9B85D33F76E7}" name="S. No" dataDxfId="272"/>
    <tableColumn id="2" xr3:uid="{F73F9391-227B-46F3-9E2A-014E78870A74}" name="Date" dataDxfId="271"/>
    <tableColumn id="3" xr3:uid="{075D4DB6-494E-4160-A78C-4F6BB00E1B8E}" name="Day" dataDxfId="270">
      <calculatedColumnFormula>TEXT(B2,"dddd")</calculatedColumnFormula>
    </tableColumn>
    <tableColumn id="4" xr3:uid="{B4F0D1FD-7F2E-42AC-ACD4-5B9CE439D562}" name="Session Time (IST)" dataDxfId="269"/>
    <tableColumn id="5" xr3:uid="{DA8ADBB1-175D-4444-B906-4ECD3BC9848A}" name="Month" dataDxfId="268">
      <calculatedColumnFormula>TEXT(B2,"mmmm")</calculatedColumnFormula>
    </tableColumn>
    <tableColumn id="6" xr3:uid="{DFB72C8E-84C4-4D05-9BD6-E364911386F6}" name="Year" dataDxfId="267"/>
    <tableColumn id="7" xr3:uid="{BFA7CD95-525B-4F88-B172-38C695A6208B}" name="Duration(Hrs.)" dataDxfId="266"/>
    <tableColumn id="8" xr3:uid="{672BD563-4035-4443-A80E-4C1FE3597267}" name="Client" dataDxfId="265"/>
    <tableColumn id="9" xr3:uid="{1C290F48-566E-48BB-A07F-A352E4DB9AA5}" name="ProgramName" dataDxfId="264"/>
    <tableColumn id="10" xr3:uid="{7A5799DE-CE79-423B-8998-DAF0E2A83C44}" name="Program Co-ordinator" dataDxfId="263"/>
    <tableColumn id="11" xr3:uid="{D6269875-C888-4ADB-B55B-9D6E10B143A8}" name="Batch" dataDxfId="262"/>
    <tableColumn id="12" xr3:uid="{D5987F4B-F2AA-4116-911A-1D4E47EC1B0C}" name="Course Module / Session Name" dataDxfId="261"/>
    <tableColumn id="13" xr3:uid="{7EE451DC-F694-4595-A67C-203153F87E75}" name="LMS uploads" dataDxfId="260"/>
    <tableColumn id="15" xr3:uid="{E9267EB1-9856-422D-90E9-928DF2E9F810}" name="Total Duration(Hrs.)" dataDxfId="259"/>
    <tableColumn id="19" xr3:uid="{6ED406C5-536A-40F3-BF4A-D27671650E86}" name="Mentor 1" dataDxfId="258"/>
    <tableColumn id="20" xr3:uid="{1C5B02EA-A9B3-469A-BA9D-21565E201510}" name="Mentor 2" dataDxfId="257"/>
    <tableColumn id="21" xr3:uid="{1D45040D-F74A-48E3-A4F3-2B346D56C259}" name="Mentor 3" dataDxfId="256"/>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A3ACE40-60D4-4A90-A269-A16535D6EBBA}" name="Table262930" displayName="Table262930" ref="A1:Q39" totalsRowShown="0" headerRowDxfId="255" dataDxfId="254" headerRowBorderDxfId="252" tableBorderDxfId="253" totalsRowBorderDxfId="251">
  <autoFilter ref="A1:Q39" xr:uid="{4DDDF25A-2CD2-403F-9D9B-6C1BE8F1F140}">
    <filterColumn colId="4">
      <filters>
        <filter val="May"/>
      </filters>
    </filterColumn>
  </autoFilter>
  <tableColumns count="17">
    <tableColumn id="1" xr3:uid="{B88970AE-3DE5-4884-B409-F161B1970C18}" name="S. No" dataDxfId="250"/>
    <tableColumn id="2" xr3:uid="{3142A3DD-3220-4C7F-A65F-B3826E5B0FAC}" name="Date" dataDxfId="249"/>
    <tableColumn id="3" xr3:uid="{0E16401F-E61F-43AD-84D6-4C46B8050226}" name="Day" dataDxfId="248">
      <calculatedColumnFormula>TEXT(B2,"dddd")</calculatedColumnFormula>
    </tableColumn>
    <tableColumn id="4" xr3:uid="{D170171D-71D6-49DB-A7AE-181877616B37}" name="Session Time (IST)" dataDxfId="247"/>
    <tableColumn id="5" xr3:uid="{11B0B082-D613-4869-BCAC-61C40B710086}" name="Month" dataDxfId="246">
      <calculatedColumnFormula>TEXT(B2,"mmmm")</calculatedColumnFormula>
    </tableColumn>
    <tableColumn id="6" xr3:uid="{2912AAA0-ED01-4981-8778-B845532975D1}" name="Year" dataDxfId="245"/>
    <tableColumn id="7" xr3:uid="{53A84108-5E88-43C0-ABA9-291FD767DE35}" name="Duration(Hrs.)" dataDxfId="244"/>
    <tableColumn id="8" xr3:uid="{DB6768CF-B430-41BC-9816-FFE153CE450F}" name="Client" dataDxfId="243"/>
    <tableColumn id="9" xr3:uid="{036DD312-C5CE-46DB-A86C-8D8DCB564525}" name="ProgramName" dataDxfId="242"/>
    <tableColumn id="10" xr3:uid="{2B6EF031-58D7-4CB1-849A-007CF2F5A2F4}" name="Program Co-ordinator" dataDxfId="241"/>
    <tableColumn id="11" xr3:uid="{68726DEF-E4AD-4956-B327-D87A6D4B67E8}" name="Batch" dataDxfId="240"/>
    <tableColumn id="12" xr3:uid="{004C6AEB-70D7-4DF1-9BFF-3D0AAC0B3090}" name="Course Module / Session Name" dataDxfId="239"/>
    <tableColumn id="13" xr3:uid="{73902381-8F18-498F-9F15-5D24D976BE73}" name="LMS uploads" dataDxfId="238"/>
    <tableColumn id="15" xr3:uid="{E4374B8C-B929-4959-A0F0-8B51F6D112A2}" name="Total Duration(Hrs.)" dataDxfId="237"/>
    <tableColumn id="19" xr3:uid="{19F34FC2-AF3B-43BE-81E5-31F0AF14D99A}" name="Mentor 1" dataDxfId="236"/>
    <tableColumn id="20" xr3:uid="{8AFFF9EF-CD79-4E03-B50D-6EB1F30A3AC7}" name="Mentor 2" dataDxfId="235"/>
    <tableColumn id="21" xr3:uid="{DA4240EE-EE13-4823-8447-1D0E503CF614}" name="Mentor 3" dataDxfId="234"/>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CE433AC-F71D-4C01-8008-304DF519F04C}" name="Table2629" displayName="Table2629" ref="A1:Q40" totalsRowShown="0" headerRowDxfId="233" dataDxfId="232" headerRowBorderDxfId="230" tableBorderDxfId="231" totalsRowBorderDxfId="229">
  <autoFilter ref="A1:Q40" xr:uid="{4DDDF25A-2CD2-403F-9D9B-6C1BE8F1F140}">
    <filterColumn colId="4">
      <filters>
        <filter val="May"/>
      </filters>
    </filterColumn>
  </autoFilter>
  <tableColumns count="17">
    <tableColumn id="1" xr3:uid="{BDB9D98C-B0F3-4876-A133-7FE64B19CDBD}" name="S. No" dataDxfId="228"/>
    <tableColumn id="2" xr3:uid="{FB90F552-D69C-4A5A-A3E7-4E66E7CED502}" name="Date" dataDxfId="227"/>
    <tableColumn id="3" xr3:uid="{1C6BBCCD-8DFF-4800-B1A6-75F2398A6E4A}" name="Day" dataDxfId="226">
      <calculatedColumnFormula>TEXT(B2,"dddd")</calculatedColumnFormula>
    </tableColumn>
    <tableColumn id="4" xr3:uid="{CD4D847C-CBBF-4AE6-B5ED-4D1190A247D0}" name="Session Time (IST)" dataDxfId="225"/>
    <tableColumn id="5" xr3:uid="{9B3B0E3A-3F0F-4478-92F8-602E6E5A5CC3}" name="Month" dataDxfId="224">
      <calculatedColumnFormula>TEXT(B2,"mmmm")</calculatedColumnFormula>
    </tableColumn>
    <tableColumn id="6" xr3:uid="{1558826D-6C79-4C8B-A24C-A26936965521}" name="Year" dataDxfId="223"/>
    <tableColumn id="7" xr3:uid="{8E67884F-5736-41B4-8F02-270535839C3C}" name="Duration(Hrs.)" dataDxfId="222"/>
    <tableColumn id="8" xr3:uid="{B1E99FEB-A374-49C8-874E-8A8A428828A8}" name="Client" dataDxfId="221"/>
    <tableColumn id="9" xr3:uid="{AFE09A49-62D6-47F9-9187-56FF024F8A95}" name="ProgramName" dataDxfId="220"/>
    <tableColumn id="10" xr3:uid="{4319EFE9-06D6-4276-B0BE-3E210AECE4C1}" name="Program Co-ordinator" dataDxfId="219"/>
    <tableColumn id="11" xr3:uid="{13A39A1F-28C0-47AB-8C6F-E1FE89AA3326}" name="Batch" dataDxfId="218"/>
    <tableColumn id="12" xr3:uid="{1386CB39-F78A-4975-BD60-23D97776D9BD}" name="Course Module / Session Name" dataDxfId="217"/>
    <tableColumn id="13" xr3:uid="{3266ADA1-B938-4606-800E-E9375CFB8932}" name="LMS uploads" dataDxfId="216"/>
    <tableColumn id="15" xr3:uid="{1E94FC44-6F04-4036-B601-B0A811D46477}" name="Total Duration(Hrs.)" dataDxfId="215"/>
    <tableColumn id="19" xr3:uid="{4F365A34-9240-47BC-BFD4-DB9933030325}" name="Mentor 1" dataDxfId="214"/>
    <tableColumn id="20" xr3:uid="{F90969A5-EBDA-4435-82BD-CFCC9F3002ED}" name="Mentor 2" dataDxfId="213"/>
    <tableColumn id="21" xr3:uid="{3C368D11-BD90-4A2B-95EA-489202CC209F}" name="Mentor 3" dataDxfId="212"/>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4FE3FD-5C68-44E1-BA06-486A249570D1}" name="Table24" displayName="Table24" ref="A1:Q21" totalsRowShown="0" headerRowDxfId="211" dataDxfId="210" headerRowBorderDxfId="208" tableBorderDxfId="209" totalsRowBorderDxfId="207">
  <autoFilter ref="A1:Q21" xr:uid="{684FE3FD-5C68-44E1-BA06-486A249570D1}"/>
  <tableColumns count="17">
    <tableColumn id="1" xr3:uid="{47501609-59D5-4BFC-82D0-A7418C306D3B}" name="S. No" dataDxfId="206"/>
    <tableColumn id="2" xr3:uid="{65338158-D80F-4AE5-876A-9FDCAD8E8B7F}" name="Date" dataDxfId="205"/>
    <tableColumn id="3" xr3:uid="{A25782C6-29D0-4EE3-BBBB-1CFACD1EBC5F}" name="Day" dataDxfId="204">
      <calculatedColumnFormula>TEXT(B2,"dddd")</calculatedColumnFormula>
    </tableColumn>
    <tableColumn id="4" xr3:uid="{5EDF6CFA-5DFB-43AB-B7B7-6379EFF8E9F6}" name="Session Time (IST)" dataDxfId="203"/>
    <tableColumn id="5" xr3:uid="{5E9A62A1-3269-458B-BF3B-0AF44AE20DB3}" name="Month" dataDxfId="202">
      <calculatedColumnFormula>TEXT(B2,"mmmm")</calculatedColumnFormula>
    </tableColumn>
    <tableColumn id="6" xr3:uid="{492DA112-C755-4327-BCEC-97AC150A4203}" name="Year" dataDxfId="201"/>
    <tableColumn id="7" xr3:uid="{3F9B7313-5232-44D2-8131-A294E832BE2C}" name="Duration(Hrs.)" dataDxfId="200"/>
    <tableColumn id="8" xr3:uid="{6D015A7E-133C-4B53-AEB2-BEB40350BEE5}" name="Client" dataDxfId="199"/>
    <tableColumn id="9" xr3:uid="{8A44F6C1-58EF-449E-B916-3E16CD26B0FE}" name="ProgramName" dataDxfId="198"/>
    <tableColumn id="10" xr3:uid="{BB126E2B-520B-4413-BB1F-B88ABD60C35F}" name="Program Co-ordinator" dataDxfId="197"/>
    <tableColumn id="11" xr3:uid="{11B3C803-338A-49BE-A36B-5239ECB032F3}" name="Batch" dataDxfId="196"/>
    <tableColumn id="12" xr3:uid="{56F70E71-5152-406D-855B-FE595BE59723}" name="Course Module / Session Name" dataDxfId="195"/>
    <tableColumn id="13" xr3:uid="{82790463-5915-4691-BD52-FA437FF38BC6}" name="LMS uploads" dataDxfId="194"/>
    <tableColumn id="15" xr3:uid="{0B1D498D-6904-4570-AEC2-F950CDF07528}" name="Total Duration(Hrs.)" dataDxfId="193"/>
    <tableColumn id="19" xr3:uid="{D5E457C3-4C56-4701-95EF-08CB64CD1ED2}" name="Mentor 1" dataDxfId="192"/>
    <tableColumn id="20" xr3:uid="{022C5823-2EF0-4AD8-A4B3-74A606E3BF9A}" name="Mentor 2" dataDxfId="191"/>
    <tableColumn id="21" xr3:uid="{3B51A798-616D-482B-927B-61D453072D2F}" name="Mentor 3" dataDxfId="190"/>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C477A80-775A-4214-A4E0-7C9C01CE3FA0}" name="Table16" displayName="Table16" ref="A1:Q8" totalsRowShown="0" headerRowDxfId="189" dataDxfId="188" headerRowBorderDxfId="186" tableBorderDxfId="187" totalsRowBorderDxfId="185">
  <autoFilter ref="A1:Q8" xr:uid="{AC477A80-775A-4214-A4E0-7C9C01CE3FA0}"/>
  <tableColumns count="17">
    <tableColumn id="1" xr3:uid="{A33CB08B-08A8-4BD1-AF0D-756FCF2312C0}" name="S. No" dataDxfId="184"/>
    <tableColumn id="2" xr3:uid="{2BF9390B-A0F8-4889-B775-3A98863BA253}" name="Date" dataDxfId="183"/>
    <tableColumn id="3" xr3:uid="{D77F24D0-10CF-45AB-BB46-5AF66C173F88}" name="Day" dataDxfId="182">
      <calculatedColumnFormula>TEXT(B2,"dddd")</calculatedColumnFormula>
    </tableColumn>
    <tableColumn id="4" xr3:uid="{3DEAD30E-FA70-424B-8FC4-A1BD779AB522}" name="Session Time (IST)" dataDxfId="181"/>
    <tableColumn id="5" xr3:uid="{67973E65-3885-45DC-ABB3-C06CAB10CA2A}" name="Month" dataDxfId="180">
      <calculatedColumnFormula>TEXT(B3,"mmmm")</calculatedColumnFormula>
    </tableColumn>
    <tableColumn id="6" xr3:uid="{0FB771B2-EAC2-4ADC-8EA6-46BD47F126C7}" name="Year" dataDxfId="179"/>
    <tableColumn id="7" xr3:uid="{83BB4C01-6DBD-4406-908A-A1420D25E7B1}" name="Duration(Hrs.)" dataDxfId="178"/>
    <tableColumn id="8" xr3:uid="{9C018007-411D-415C-9F21-CB36F5BA959C}" name="Client" dataDxfId="177"/>
    <tableColumn id="9" xr3:uid="{AAB66661-7BD0-4E43-B92F-DA567477176C}" name="ProgramName" dataDxfId="176"/>
    <tableColumn id="10" xr3:uid="{D4C4CF28-6D1D-46C4-AA3D-7FB64A5B1266}" name="Program Co-ordinator" dataDxfId="175"/>
    <tableColumn id="11" xr3:uid="{F8882EAF-6339-4C31-8916-0B7DAC636160}" name="Batch" dataDxfId="174"/>
    <tableColumn id="12" xr3:uid="{778D2B4E-21D8-471F-92DA-F3550E662CB4}" name="Course Module / Session Name" dataDxfId="173"/>
    <tableColumn id="13" xr3:uid="{C8F9BA49-E5F2-4802-92D7-67F9E5F9E203}" name="LMS uploads" dataDxfId="172"/>
    <tableColumn id="15" xr3:uid="{49BD4243-563D-4F1C-A30E-4A56D2F66791}" name="Total Duration(Hrs.)" dataDxfId="171"/>
    <tableColumn id="19" xr3:uid="{0D4577D8-97BE-4339-9A81-490143F182D3}" name="Mentor 1" dataDxfId="170"/>
    <tableColumn id="20" xr3:uid="{205A6A9A-0ACA-4DAC-96CD-C2611619C1D0}" name="Mentor 2" dataDxfId="169"/>
    <tableColumn id="21" xr3:uid="{733B57A1-E7A4-4DAD-B52C-E24C3DB3F9A4}" name="Mentor 3" dataDxfId="168"/>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667EE2-D99D-44EE-91A2-43E1F0829278}" name="Table20" displayName="Table20" ref="A1:Q3" totalsRowShown="0" headerRowDxfId="167" dataDxfId="166" headerRowBorderDxfId="164" tableBorderDxfId="165" totalsRowBorderDxfId="163">
  <autoFilter ref="A1:Q3" xr:uid="{05667EE2-D99D-44EE-91A2-43E1F0829278}"/>
  <tableColumns count="17">
    <tableColumn id="1" xr3:uid="{B6F7CA26-3F30-40E1-B150-0E19C188D08C}" name="S. No" dataDxfId="162"/>
    <tableColumn id="2" xr3:uid="{C5196A9F-A5E4-487C-A51B-CCBDE7E83E19}" name="Date" dataDxfId="161"/>
    <tableColumn id="3" xr3:uid="{F6E421B8-5DE8-4A47-A746-0E733B759730}" name="Day" dataDxfId="160">
      <calculatedColumnFormula>TEXT(B2,"dddd")</calculatedColumnFormula>
    </tableColumn>
    <tableColumn id="4" xr3:uid="{CD2B034F-0D76-4BA8-8344-4142A2BA6AFE}" name="Session Time (IST)" dataDxfId="159"/>
    <tableColumn id="5" xr3:uid="{6248A57C-6FAB-42E6-9790-EDB513FC8C64}" name="Month" dataDxfId="158">
      <calculatedColumnFormula>TEXT(B2,"mmmm")</calculatedColumnFormula>
    </tableColumn>
    <tableColumn id="6" xr3:uid="{85C98325-BFB8-4F89-AF11-E29E1E70905A}" name="Year" dataDxfId="157"/>
    <tableColumn id="7" xr3:uid="{2AA445FD-AD5D-4D85-BAEC-5E448FE75D73}" name="Duration(Hrs.)" dataDxfId="156"/>
    <tableColumn id="8" xr3:uid="{D1C97028-2F75-4112-A6E1-7B54E17CBD35}" name="Client" dataDxfId="155"/>
    <tableColumn id="9" xr3:uid="{C17D1102-8FF0-464F-838B-93BCC589426F}" name="ProgramName" dataDxfId="154"/>
    <tableColumn id="10" xr3:uid="{9974AC83-E6D7-4DE4-B1A0-65FCAA29544C}" name="Program Co-ordinator" dataDxfId="153"/>
    <tableColumn id="11" xr3:uid="{B24DB9D9-A72C-4322-9035-98D7BCD5C204}" name="Batch" dataDxfId="152"/>
    <tableColumn id="12" xr3:uid="{A1272CC2-94B7-4FDA-97A7-506D4DBCC0DA}" name="Course Module / Session Name" dataDxfId="151"/>
    <tableColumn id="13" xr3:uid="{654A3BCA-8A8F-4BDA-AFDB-693C81CC5B6B}" name="LMS uploads" dataDxfId="150"/>
    <tableColumn id="15" xr3:uid="{315087F5-3807-4CB7-BBF0-E4D43405C437}" name="Total Duration(Hrs.)" dataDxfId="149"/>
    <tableColumn id="19" xr3:uid="{3B559D60-D67D-4D76-87F1-012DC812E233}" name="Mentor 1" dataDxfId="148"/>
    <tableColumn id="20" xr3:uid="{27BC0BC6-F5E1-45BC-B4BA-9957AE3025B2}" name="Mentor 2" dataDxfId="147"/>
    <tableColumn id="21" xr3:uid="{343B22D2-7F2C-41A9-AB53-425DCC013326}" name="Mentor 3" dataDxfId="146"/>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B5328D6-7E2D-4511-AF41-AC79F52EF774}" name="Table1116181920" displayName="Table1116181920" ref="A1:Q22" totalsRowShown="0" headerRowDxfId="145" dataDxfId="144" headerRowBorderDxfId="142" tableBorderDxfId="143">
  <autoFilter ref="A1:Q22" xr:uid="{014996DC-04AD-4E17-A686-27AA76C1572F}"/>
  <tableColumns count="17">
    <tableColumn id="1" xr3:uid="{4D732A3A-5AB7-4888-81D7-901CBFC805EE}" name="S. No" dataDxfId="141"/>
    <tableColumn id="2" xr3:uid="{BA534305-FEC9-47D3-ABA6-AD36E446D0A8}" name="Date" dataDxfId="140"/>
    <tableColumn id="3" xr3:uid="{16AC4B18-87FB-442A-83D3-9A529695C540}" name="Day" dataDxfId="139">
      <calculatedColumnFormula>TEXT(B2,"dddd")</calculatedColumnFormula>
    </tableColumn>
    <tableColumn id="4" xr3:uid="{8D2027E6-5642-4763-8090-5D79F67BF4CB}" name="Session Time (IST)" dataDxfId="138"/>
    <tableColumn id="5" xr3:uid="{D3E53C1E-EDB7-48D2-AC1C-A9FDFF25D75B}" name="Month" dataDxfId="137">
      <calculatedColumnFormula>TEXT(B2,"mmmm")</calculatedColumnFormula>
    </tableColumn>
    <tableColumn id="6" xr3:uid="{1A06C0B6-4601-4276-A3AC-9BD8E507BEC9}" name="Year" dataDxfId="136"/>
    <tableColumn id="7" xr3:uid="{53421EDB-3A26-4003-B37B-9D46BF505F10}" name="Duration(Hrs.)" dataDxfId="135"/>
    <tableColumn id="8" xr3:uid="{6B7C4B26-3612-466E-94B7-789B266E25CE}" name="Client" dataDxfId="134"/>
    <tableColumn id="9" xr3:uid="{41AB3795-F5F8-43CF-AE07-A0736AF54967}" name="ProgramName" dataDxfId="133"/>
    <tableColumn id="10" xr3:uid="{579886FE-ED09-4C43-8B7C-132BA69CC105}" name="Program Co-ordinator" dataDxfId="132"/>
    <tableColumn id="11" xr3:uid="{93648340-FF2B-46FB-9850-79E28C6CABBF}" name="Batch" dataDxfId="131"/>
    <tableColumn id="12" xr3:uid="{ED467F05-1C18-4E97-B524-A8971F7D0596}" name="Course Module / Session Name" dataDxfId="130"/>
    <tableColumn id="13" xr3:uid="{F6CE8D14-CFE8-42F7-8E0C-C0D15EAD0A08}" name="LMS uploads" dataDxfId="129"/>
    <tableColumn id="15" xr3:uid="{3959107A-83C5-4F83-9FAA-D570ED0D77D5}" name="Total Duration(Hrs.)" dataDxfId="128"/>
    <tableColumn id="19" xr3:uid="{63A52BCE-9F90-4ACE-AC0C-AE854C9619EF}" name="Mentor 1" dataDxfId="127"/>
    <tableColumn id="20" xr3:uid="{AD2877AD-0CE5-4A8D-BA5B-4CA78AEBF153}" name="Mentor 2" dataDxfId="126"/>
    <tableColumn id="21" xr3:uid="{5B9EA735-0960-4EA8-B458-6D5BEB17A32C}" name="Mentor 3" dataDxfId="125"/>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ABB472A-A3F3-4A68-9FFD-846CE707D344}" name="Table1116" displayName="Table1116" ref="A1:Q29" totalsRowShown="0" headerRowDxfId="124" dataDxfId="123" headerRowBorderDxfId="121" tableBorderDxfId="122">
  <autoFilter ref="A1:Q29" xr:uid="{014996DC-04AD-4E17-A686-27AA76C1572F}">
    <filterColumn colId="4">
      <filters>
        <filter val="April"/>
      </filters>
    </filterColumn>
    <filterColumn colId="14">
      <filters>
        <filter val="Nivarti"/>
      </filters>
    </filterColumn>
  </autoFilter>
  <tableColumns count="17">
    <tableColumn id="1" xr3:uid="{6CE30A95-1539-4BF5-AA30-2C0FD6403359}" name="S. No" dataDxfId="120"/>
    <tableColumn id="2" xr3:uid="{B76585EE-A44D-407E-B0A6-C2890EB77261}" name="Date" dataDxfId="119"/>
    <tableColumn id="3" xr3:uid="{2351F815-451E-4D2A-A885-B2B1DB7B8DFD}" name="Day" dataDxfId="118">
      <calculatedColumnFormula>TEXT(B2,"dddd")</calculatedColumnFormula>
    </tableColumn>
    <tableColumn id="4" xr3:uid="{5D636AE7-AC5E-4F0A-BD13-8441786BFF31}" name="Session Time (IST)" dataDxfId="117"/>
    <tableColumn id="5" xr3:uid="{22427662-D609-4CC5-BA70-BB2B37AF4DBA}" name="Month" dataDxfId="116">
      <calculatedColumnFormula>TEXT(B2,"mmmm")</calculatedColumnFormula>
    </tableColumn>
    <tableColumn id="6" xr3:uid="{D722A294-68C4-4C44-B343-86E775BB8D4E}" name="Year" dataDxfId="115"/>
    <tableColumn id="7" xr3:uid="{6766A701-7FA3-4404-87BF-EB84B91D3376}" name="Duration(Hrs.)" dataDxfId="114"/>
    <tableColumn id="8" xr3:uid="{F0DD570C-B668-4FFD-852C-9939BEB91AA8}" name="Client" dataDxfId="113"/>
    <tableColumn id="9" xr3:uid="{2F14A617-466F-49A8-A926-D7AC35573F04}" name="ProgramName" dataDxfId="112"/>
    <tableColumn id="10" xr3:uid="{DCB36223-0EE5-4D3F-AA5B-533E0D86C6C1}" name="Program Co-ordinator" dataDxfId="111"/>
    <tableColumn id="11" xr3:uid="{0C36184A-C948-4FE1-BF01-873E4A21410C}" name="Batch" dataDxfId="110"/>
    <tableColumn id="12" xr3:uid="{68BADF1D-D44A-4E52-ABD6-5FD68BA11488}" name="Course Module / Session Name" dataDxfId="109"/>
    <tableColumn id="13" xr3:uid="{86C67ADE-59C4-4C27-9A67-2FCA46EC5EEE}" name="LMS uploads" dataDxfId="108"/>
    <tableColumn id="15" xr3:uid="{F653A90B-3D43-4BFD-9E4C-CDE6B9DDFE36}" name="Total Duration(Hrs.)" dataDxfId="107"/>
    <tableColumn id="19" xr3:uid="{2F9A4BB0-DD29-4BCD-8358-984E56275EED}" name="Mentor 1" dataDxfId="106"/>
    <tableColumn id="20" xr3:uid="{3C4EC055-0A43-4623-92C9-4BB372ECAFB6}" name="Mentor 2" dataDxfId="105"/>
    <tableColumn id="21" xr3:uid="{E0C3565C-A416-43EB-AA39-9F15356E4338}" name="Mentor 3" dataDxfId="104"/>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3DB56BB-3284-4654-8B15-B4BAFB3D3238}" name="Table6812" displayName="Table6812" ref="A1:Q42" totalsRowShown="0" headerRowDxfId="103" dataDxfId="102" headerRowBorderDxfId="100" tableBorderDxfId="101" totalsRowBorderDxfId="99">
  <autoFilter ref="A1:Q42" xr:uid="{533225A1-8251-44CA-B30F-DE1520B63928}"/>
  <tableColumns count="17">
    <tableColumn id="1" xr3:uid="{AE3CFA00-9479-4A30-8A3F-B513F68A86A3}" name="S. No" dataDxfId="98"/>
    <tableColumn id="2" xr3:uid="{F788DEDF-B4C8-4F49-9AF9-FC4D01E79521}" name="Date" dataDxfId="97"/>
    <tableColumn id="3" xr3:uid="{D15FBCC3-399E-42EC-9548-94305F0CA723}" name="Day" dataDxfId="96">
      <calculatedColumnFormula>TEXT(B2,"dddd")</calculatedColumnFormula>
    </tableColumn>
    <tableColumn id="4" xr3:uid="{C458F59B-253B-444E-AC65-99854A5B1E4D}" name="Session Time (IST)" dataDxfId="95"/>
    <tableColumn id="5" xr3:uid="{FDA7141D-D900-426A-B308-F1AB8B2B0C23}" name="Month" dataDxfId="94">
      <calculatedColumnFormula>TEXT(B2,"mmmm")</calculatedColumnFormula>
    </tableColumn>
    <tableColumn id="6" xr3:uid="{89F198A7-B5F4-42DB-A80F-E5B640EDA40E}" name="Year" dataDxfId="93"/>
    <tableColumn id="7" xr3:uid="{5BAD6856-2914-4489-A64B-437D06ACAF1A}" name="Duration(Hrs.)" dataDxfId="92"/>
    <tableColumn id="8" xr3:uid="{3AF9E461-0B86-4E4F-82FE-764B5150DC4C}" name="Client" dataDxfId="91"/>
    <tableColumn id="9" xr3:uid="{26E97013-8AC1-472D-AAC1-C6DFD9C42E21}" name="ProgramName" dataDxfId="90"/>
    <tableColumn id="10" xr3:uid="{C1EE4BF5-72BF-4CCF-B201-5A4B8937441B}" name="Program Co-ordinator" dataDxfId="89"/>
    <tableColumn id="11" xr3:uid="{59AD11FD-C0D1-46E2-B3CC-BD7635CEB098}" name="Batch" dataDxfId="88"/>
    <tableColumn id="12" xr3:uid="{B2982A55-3A86-4BB0-BE32-7EAC9CFDA4D8}" name="Course Module / Session Name" dataDxfId="87"/>
    <tableColumn id="13" xr3:uid="{5A2E8CE4-20C7-4491-8E6F-B47126C07BB4}" name="LMS uploads" dataDxfId="86"/>
    <tableColumn id="15" xr3:uid="{6DF9AF87-18A7-4D06-B076-D6E89BFE4688}" name="Total Duration(Hrs.)" dataDxfId="85">
      <calculatedColumnFormula>M2+G2</calculatedColumnFormula>
    </tableColumn>
    <tableColumn id="19" xr3:uid="{5A260237-767E-4C30-B30B-8279246496FF}" name="Mentor 1" dataDxfId="84"/>
    <tableColumn id="20" xr3:uid="{5EB75301-E82A-45F3-9CFB-575722029041}" name="Mentor 2" dataDxfId="83"/>
    <tableColumn id="21" xr3:uid="{1683EBE5-BD51-4898-8361-9E4F2939DD0A}" name="Mentor 3" dataDxfId="8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7C8F768-60F5-4FD8-9F60-398D7F0D1E3E}" name="Table681213" displayName="Table681213" ref="A1:Q43" totalsRowShown="0" headerRowDxfId="81" dataDxfId="80" headerRowBorderDxfId="78" tableBorderDxfId="79" totalsRowBorderDxfId="77">
  <autoFilter ref="A1:Q43" xr:uid="{533225A1-8251-44CA-B30F-DE1520B63928}">
    <filterColumn colId="4">
      <filters>
        <filter val="February"/>
      </filters>
    </filterColumn>
    <filterColumn colId="14">
      <filters>
        <filter val="Vikas"/>
      </filters>
    </filterColumn>
  </autoFilter>
  <tableColumns count="17">
    <tableColumn id="1" xr3:uid="{BC2C052A-7528-49A3-871C-D931D1BA90B8}" name="S. No" dataDxfId="76"/>
    <tableColumn id="2" xr3:uid="{769BD61A-37DF-4F21-B820-E91F8FA612EC}" name="Date" dataDxfId="75"/>
    <tableColumn id="3" xr3:uid="{B8770692-C17F-45AF-9389-A0D45C32E10D}" name="Day" dataDxfId="74">
      <calculatedColumnFormula>TEXT(B2,"dddd")</calculatedColumnFormula>
    </tableColumn>
    <tableColumn id="4" xr3:uid="{F2B71CB2-93F4-4525-9CFB-8F404D17A68D}" name="Session Time (IST)" dataDxfId="73"/>
    <tableColumn id="5" xr3:uid="{77605467-E9B8-4795-9366-2E8B6131BB0A}" name="Month" dataDxfId="72">
      <calculatedColumnFormula>TEXT(B2,"mmmm")</calculatedColumnFormula>
    </tableColumn>
    <tableColumn id="6" xr3:uid="{1FE920A0-C27A-4E05-9A13-CA5D67FCA7BF}" name="Year" dataDxfId="71"/>
    <tableColumn id="7" xr3:uid="{58FAC93A-71B9-429F-8C5E-C4E95B91E4A1}" name="Duration(Hrs.)" dataDxfId="70"/>
    <tableColumn id="8" xr3:uid="{AF4ABB65-9A65-4508-A1C4-2E19A25C99F5}" name="Client" dataDxfId="69"/>
    <tableColumn id="9" xr3:uid="{391CAC1C-DC0E-49EB-9CF1-108FC42D1194}" name="ProgramName" dataDxfId="68"/>
    <tableColumn id="10" xr3:uid="{210A84B4-82AB-4B26-B540-5B7D524E5FDB}" name="Program Co-ordinator" dataDxfId="67"/>
    <tableColumn id="11" xr3:uid="{55C6265B-A79D-4221-9181-82CF87DA9D36}" name="Batch" dataDxfId="66"/>
    <tableColumn id="12" xr3:uid="{F3DEF34D-9978-46A2-B05D-256A7B6A3B9C}" name="Course Module / Session Name" dataDxfId="65"/>
    <tableColumn id="13" xr3:uid="{488A89EF-238C-4156-B36E-5A2F1785B6AF}" name="LMS uploads" dataDxfId="64"/>
    <tableColumn id="15" xr3:uid="{9B0DAFF2-B881-42ED-A5DC-860227D766B8}" name="Total Duration(Hrs.)" dataDxfId="63">
      <calculatedColumnFormula>M2+G2</calculatedColumnFormula>
    </tableColumn>
    <tableColumn id="19" xr3:uid="{B213534F-C470-4A66-9796-CDB1380CE162}" name="Mentor 1" dataDxfId="62"/>
    <tableColumn id="20" xr3:uid="{3FD1998C-63C0-4EF2-AE96-FCD8D84DE7DF}" name="Mentor 2" dataDxfId="61"/>
    <tableColumn id="21" xr3:uid="{1AA3474D-63BD-4BFA-91AC-5B6EA3EF7889}" name="Mentor 3" dataDxfId="60"/>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B517D6F-17AD-48F8-9969-D3D19DC3F83C}" name="Table27" displayName="Table27" ref="A1:Q44" totalsRowShown="0" headerRowDxfId="59" dataDxfId="58">
  <autoFilter ref="A1:Q44" xr:uid="{AB517D6F-17AD-48F8-9969-D3D19DC3F83C}">
    <filterColumn colId="4">
      <filters>
        <filter val="April"/>
      </filters>
    </filterColumn>
  </autoFilter>
  <tableColumns count="17">
    <tableColumn id="1" xr3:uid="{56B10AE3-7407-42B2-8688-ACDFD579820E}" name="S. No" dataDxfId="57"/>
    <tableColumn id="2" xr3:uid="{4BEC83EB-FB2F-497E-95B1-5B2E0E8AE753}" name="Date" dataDxfId="56"/>
    <tableColumn id="3" xr3:uid="{CFA8AEC1-992E-408B-B629-75B9850BC051}" name="Day" dataDxfId="55">
      <calculatedColumnFormula>TEXT(B2,"dddd")</calculatedColumnFormula>
    </tableColumn>
    <tableColumn id="4" xr3:uid="{59A6C9A6-BF73-4955-9416-9880233A3AB7}" name="Session Time (IST)" dataDxfId="54"/>
    <tableColumn id="5" xr3:uid="{018EDF48-406C-4552-A071-30D9B0D1F2F7}" name="Month" dataDxfId="53">
      <calculatedColumnFormula>TEXT(B2,"mmmm")</calculatedColumnFormula>
    </tableColumn>
    <tableColumn id="6" xr3:uid="{CBAC55C1-8839-4664-8B0B-B4DA94D37D86}" name="Year" dataDxfId="52"/>
    <tableColumn id="7" xr3:uid="{6A19CC63-9F11-4BFA-BDA5-ECA0EE0956BC}" name="Duration(Hrs.)" dataDxfId="51"/>
    <tableColumn id="8" xr3:uid="{33477F86-1AB9-4B12-816D-7A0E29251D9D}" name="Client" dataDxfId="50"/>
    <tableColumn id="9" xr3:uid="{68E6BD8A-797F-4106-BAEF-093A91AF6085}" name="ProgramName" dataDxfId="49"/>
    <tableColumn id="10" xr3:uid="{3F2D9A2B-1396-497C-97EA-6ED4BC5F8D89}" name="Program Co-ordinator" dataDxfId="48"/>
    <tableColumn id="11" xr3:uid="{7FE92B31-417F-4AA8-BE6F-875BFA13C0C3}" name="Batch" dataDxfId="47"/>
    <tableColumn id="12" xr3:uid="{0B7E721F-A664-4758-A0C2-855801087229}" name="Course Module / Session Name" dataDxfId="46"/>
    <tableColumn id="13" xr3:uid="{BB40AB13-263B-4D0C-BCA1-7FECB15526FB}" name="LMS uploads" dataDxfId="45"/>
    <tableColumn id="15" xr3:uid="{09E67E69-2F81-49FF-8E2A-D27B8CC5082F}" name="Total Duration(Hrs.)" dataDxfId="44"/>
    <tableColumn id="19" xr3:uid="{6C9EEA2F-2C01-45DC-8BF2-35F5681F5F66}" name="Mentor 1" dataDxfId="43"/>
    <tableColumn id="20" xr3:uid="{7F5836A8-6704-48DD-A91D-0DAF6FC11F63}" name="Mentor 2" dataDxfId="42"/>
    <tableColumn id="21" xr3:uid="{D0629491-2817-454E-9C11-15935B8FBE2E}" name="Mentor 3" dataDxfId="41"/>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84ABE5A-6305-4BAE-9215-32CD0DE9AE38}" name="Table25" displayName="Table25" ref="A1:Q42" totalsRowShown="0" headerRowDxfId="40" dataDxfId="39">
  <autoFilter ref="A1:Q42" xr:uid="{C84ABE5A-6305-4BAE-9215-32CD0DE9AE38}"/>
  <tableColumns count="17">
    <tableColumn id="1" xr3:uid="{6C2C0138-69F9-4AB9-8960-24AE2F26D2C9}" name="S. No" dataDxfId="38"/>
    <tableColumn id="2" xr3:uid="{315AF881-9A26-4E04-BCC9-E655B11BB372}" name="Date" dataDxfId="37"/>
    <tableColumn id="3" xr3:uid="{B60EB870-8161-4321-9FE0-F4D33298D258}" name="Day" dataDxfId="36">
      <calculatedColumnFormula>TEXT(B2,"dddd")</calculatedColumnFormula>
    </tableColumn>
    <tableColumn id="4" xr3:uid="{BDD7D3F4-338D-40B8-B412-D75864E8000D}" name="Session Time (IST)" dataDxfId="35"/>
    <tableColumn id="5" xr3:uid="{108E4BC3-7AD6-413E-8DE3-A925D7722CE7}" name="Month" dataDxfId="34">
      <calculatedColumnFormula>TEXT(B2,"mmmm")</calculatedColumnFormula>
    </tableColumn>
    <tableColumn id="6" xr3:uid="{7CE63074-4B20-4593-83F1-38C3C8C346E5}" name="Year" dataDxfId="33"/>
    <tableColumn id="7" xr3:uid="{FDB32B63-4FB4-4493-9C28-0C88D42441A3}" name="Duration(Hrs.)" dataDxfId="32"/>
    <tableColumn id="8" xr3:uid="{A4CFA1AB-F376-4A9A-9764-BA3595715EAC}" name="Client" dataDxfId="31"/>
    <tableColumn id="9" xr3:uid="{D340A470-1B97-4559-A9F5-37DDAC0E2D08}" name="ProgramName" dataDxfId="30"/>
    <tableColumn id="10" xr3:uid="{73CE11BC-478E-4DA4-8BBE-36B19B85DE4D}" name="Program Co-ordinator" dataDxfId="29"/>
    <tableColumn id="11" xr3:uid="{46CD0B2A-2706-43A1-839D-C880E95324C7}" name="Batch" dataDxfId="28"/>
    <tableColumn id="12" xr3:uid="{D870E17B-A1E8-4909-A6CA-81133668105D}" name="Course Module / Session Name" dataDxfId="27"/>
    <tableColumn id="13" xr3:uid="{B7D36E72-23FF-4ACD-AB28-5B1F8DFC85E5}" name="LMS uploads" dataDxfId="26"/>
    <tableColumn id="15" xr3:uid="{E21A4CF0-D205-47D0-8D24-AD042A11528E}" name="Total Duration(Hrs.)" dataDxfId="25"/>
    <tableColumn id="19" xr3:uid="{4035A8E4-B8C2-48A7-BFF8-33314F5A39EC}" name="Mentor 1" dataDxfId="24"/>
    <tableColumn id="20" xr3:uid="{39DC17B3-5E69-42E7-BAF1-67EA5C2A9FE4}" name="Mentor 2" dataDxfId="23"/>
    <tableColumn id="21" xr3:uid="{EB124263-DEA6-42AC-BC93-EF35E16C1120}" name="Mentor 3" dataDxfId="22"/>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2" displayName="Table12" ref="A1:Q63" totalsRowShown="0" headerRowDxfId="21" dataDxfId="20" headerRowBorderDxfId="18" tableBorderDxfId="19">
  <autoFilter ref="A1:Q63" xr:uid="{00000000-0009-0000-0100-00000D000000}"/>
  <tableColumns count="17">
    <tableColumn id="1" xr3:uid="{00000000-0010-0000-0C00-000001000000}" name="S. No" dataDxfId="17"/>
    <tableColumn id="2" xr3:uid="{00000000-0010-0000-0C00-000002000000}" name="Date" dataDxfId="16"/>
    <tableColumn id="3" xr3:uid="{00000000-0010-0000-0C00-000003000000}" name="Day" dataDxfId="15">
      <calculatedColumnFormula>TEXT(B2,"dddd")</calculatedColumnFormula>
    </tableColumn>
    <tableColumn id="4" xr3:uid="{00000000-0010-0000-0C00-000004000000}" name="Session Time (IST)" dataDxfId="14"/>
    <tableColumn id="5" xr3:uid="{00000000-0010-0000-0C00-000005000000}" name="Month" dataDxfId="13">
      <calculatedColumnFormula>TEXT(B2,"mmmm")</calculatedColumnFormula>
    </tableColumn>
    <tableColumn id="6" xr3:uid="{00000000-0010-0000-0C00-000006000000}" name="Year" dataDxfId="12"/>
    <tableColumn id="7" xr3:uid="{00000000-0010-0000-0C00-000007000000}" name="Duration(Hrs.)" dataDxfId="11">
      <calculatedColumnFormula>IF(MOD((TIMEVALUE(TRIM(MID(D2,FIND("-",D2)+1,LEN(D2)))) - TIMEVALUE(LEFT(D2,FIND("-",D2)-2))) * 24,1)=0,
INT((TIMEVALUE(TRIM(MID(D2,FIND("-",D2)+1,LEN(D2)))) - TIMEVALUE(LEFT(D2,FIND("-",D2)-2))) * 24),
(TIMEVALUE(TRIM(MID(D2,FIND("-",D2)+1,LEN(D2)))) - TIMEVALUE(LEFT(D2,FIND("-",D2)-2))) * 24)</calculatedColumnFormula>
    </tableColumn>
    <tableColumn id="8" xr3:uid="{00000000-0010-0000-0C00-000008000000}" name="Client" dataDxfId="10"/>
    <tableColumn id="9" xr3:uid="{00000000-0010-0000-0C00-000009000000}" name="ProgramName" dataDxfId="9"/>
    <tableColumn id="10" xr3:uid="{00000000-0010-0000-0C00-00000A000000}" name="Program Co-ordinator" dataDxfId="8"/>
    <tableColumn id="11" xr3:uid="{00000000-0010-0000-0C00-00000B000000}" name="Batch" dataDxfId="7"/>
    <tableColumn id="12" xr3:uid="{00000000-0010-0000-0C00-00000C000000}" name="Course Module / Session Name" dataDxfId="6"/>
    <tableColumn id="13" xr3:uid="{00000000-0010-0000-0C00-00000D000000}" name="LMS uploads" dataDxfId="5"/>
    <tableColumn id="15" xr3:uid="{00000000-0010-0000-0C00-00000F000000}" name="Total Duration(Hrs.)" dataDxfId="4">
      <calculatedColumnFormula>SUM(#REF!,G2)</calculatedColumnFormula>
    </tableColumn>
    <tableColumn id="19" xr3:uid="{00000000-0010-0000-0C00-000013000000}" name="Mentor 1" dataDxfId="3"/>
    <tableColumn id="20" xr3:uid="{00000000-0010-0000-0C00-000014000000}" name="Mentor 2" dataDxfId="2"/>
    <tableColumn id="21" xr3:uid="{00000000-0010-0000-0C00-000015000000}" name="Mentor 3" dataDxfId="1"/>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B23BD3-B704-4F0C-83D8-F96DAEF1C198}" name="SessionSummaryTable" displayName="SessionSummaryTable" ref="A1:G108" totalsRowShown="0" headerRowDxfId="0">
  <autoFilter ref="A1:G108" xr:uid="{F1B23BD3-B704-4F0C-83D8-F96DAEF1C198}"/>
  <tableColumns count="7">
    <tableColumn id="1" xr3:uid="{24F84137-2E97-4416-98FB-F2FD7B10D112}" name="Client"/>
    <tableColumn id="2" xr3:uid="{5A9CEDB2-EE3D-48AC-8648-A1B20D884615}" name="Program"/>
    <tableColumn id="3" xr3:uid="{1BE11FF3-0497-4B6D-9549-2C9EDD4CD556}" name="Batch Details"/>
    <tableColumn id="4" xr3:uid="{933B32B0-C6EE-4A71-BF37-E4D6F151E306}" name="Year"/>
    <tableColumn id="5" xr3:uid="{57A1449A-DFC3-402F-8018-5D26BA5808B1}" name="Month Number"/>
    <tableColumn id="6" xr3:uid="{21238139-038D-4E83-ABB0-EB909CAFA0E5}" name="Month Name"/>
    <tableColumn id="7" xr3:uid="{0F31D368-6343-4A20-8132-999C5CA13628}" name="Total Sess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6.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table" Target="../tables/table36.xml"/></Relationships>
</file>

<file path=xl/worksheets/_rels/sheet37.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table" Target="../tables/table3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C3E2-F667-4554-B413-C8F39C2C9241}">
  <dimension ref="A1:AC343"/>
  <sheetViews>
    <sheetView workbookViewId="0">
      <pane ySplit="1" topLeftCell="A2" activePane="bottomLeft" state="frozen"/>
      <selection pane="bottomLeft" activeCell="A204" sqref="A204:XFD204"/>
    </sheetView>
  </sheetViews>
  <sheetFormatPr defaultColWidth="9.140625" defaultRowHeight="15"/>
  <cols>
    <col min="1" max="1" width="9.140625" style="54" bestFit="1" customWidth="1"/>
    <col min="2" max="2" width="10.140625" style="54" bestFit="1" customWidth="1"/>
    <col min="3" max="3" width="39.28515625" style="54" bestFit="1" customWidth="1"/>
    <col min="4" max="4" width="8.42578125" style="54" bestFit="1" customWidth="1"/>
    <col min="5" max="5" width="19.140625" style="54" bestFit="1" customWidth="1"/>
    <col min="6" max="6" width="13.42578125" style="54" bestFit="1" customWidth="1"/>
    <col min="7" max="7" width="15.7109375" style="54" bestFit="1" customWidth="1"/>
    <col min="8" max="8" width="135.85546875" style="56" bestFit="1" customWidth="1"/>
    <col min="9" max="28" width="9.140625" style="55"/>
    <col min="29" max="29" width="9.140625" style="57"/>
    <col min="30" max="16384" width="9.140625" style="54"/>
  </cols>
  <sheetData>
    <row r="1" spans="1:9" s="53" customFormat="1">
      <c r="A1" s="216" t="s">
        <v>0</v>
      </c>
      <c r="B1" s="217" t="s">
        <v>1</v>
      </c>
      <c r="C1" s="217" t="s">
        <v>2</v>
      </c>
      <c r="D1" s="217" t="s">
        <v>3</v>
      </c>
      <c r="E1" s="217" t="s">
        <v>4</v>
      </c>
      <c r="F1" s="218" t="s">
        <v>5</v>
      </c>
      <c r="G1" s="219" t="s">
        <v>6</v>
      </c>
      <c r="H1" s="220" t="s">
        <v>7</v>
      </c>
      <c r="I1"/>
    </row>
    <row r="2" spans="1:9" hidden="1">
      <c r="A2" s="210">
        <v>45748</v>
      </c>
      <c r="B2" s="208" t="s">
        <v>8</v>
      </c>
      <c r="C2" s="208" t="s">
        <v>9</v>
      </c>
      <c r="D2" s="208" t="s">
        <v>10</v>
      </c>
      <c r="E2" s="208" t="s">
        <v>11</v>
      </c>
      <c r="F2" s="212">
        <v>2.5</v>
      </c>
      <c r="G2" s="214">
        <v>1</v>
      </c>
      <c r="H2" s="211">
        <v>46136</v>
      </c>
      <c r="I2"/>
    </row>
    <row r="3" spans="1:9" s="60" customFormat="1" hidden="1">
      <c r="A3" s="210">
        <v>45748</v>
      </c>
      <c r="B3" s="208" t="s">
        <v>8</v>
      </c>
      <c r="C3" s="208" t="s">
        <v>9</v>
      </c>
      <c r="D3" s="208" t="s">
        <v>10</v>
      </c>
      <c r="E3" s="208" t="s">
        <v>12</v>
      </c>
      <c r="F3" s="212">
        <v>7.5</v>
      </c>
      <c r="G3" s="214">
        <v>3</v>
      </c>
      <c r="H3" s="207" t="s">
        <v>13</v>
      </c>
      <c r="I3"/>
    </row>
    <row r="4" spans="1:9" hidden="1">
      <c r="A4" s="210">
        <v>45748</v>
      </c>
      <c r="B4" s="208" t="s">
        <v>8</v>
      </c>
      <c r="C4" s="208" t="s">
        <v>9</v>
      </c>
      <c r="D4" s="208" t="s">
        <v>10</v>
      </c>
      <c r="E4" s="208" t="s">
        <v>14</v>
      </c>
      <c r="F4" s="212">
        <v>10</v>
      </c>
      <c r="G4" s="214">
        <v>4</v>
      </c>
      <c r="H4" s="207" t="s">
        <v>15</v>
      </c>
      <c r="I4"/>
    </row>
    <row r="5" spans="1:9" s="60" customFormat="1" hidden="1">
      <c r="A5" s="210">
        <v>45748</v>
      </c>
      <c r="B5" s="208" t="s">
        <v>16</v>
      </c>
      <c r="C5" s="208" t="s">
        <v>17</v>
      </c>
      <c r="D5" s="208" t="s">
        <v>18</v>
      </c>
      <c r="E5" s="208" t="s">
        <v>19</v>
      </c>
      <c r="F5" s="212">
        <v>4</v>
      </c>
      <c r="G5" s="214">
        <v>2</v>
      </c>
      <c r="H5" s="207" t="s">
        <v>20</v>
      </c>
      <c r="I5"/>
    </row>
    <row r="6" spans="1:9" hidden="1">
      <c r="A6" s="210">
        <v>45748</v>
      </c>
      <c r="B6" s="208" t="s">
        <v>16</v>
      </c>
      <c r="C6" s="208" t="s">
        <v>21</v>
      </c>
      <c r="D6" s="208" t="s">
        <v>18</v>
      </c>
      <c r="E6" s="208" t="s">
        <v>22</v>
      </c>
      <c r="F6" s="212">
        <v>4</v>
      </c>
      <c r="G6" s="214">
        <v>2</v>
      </c>
      <c r="H6" s="211" t="s">
        <v>20</v>
      </c>
      <c r="I6"/>
    </row>
    <row r="7" spans="1:9" s="60" customFormat="1" hidden="1">
      <c r="A7" s="210">
        <v>45778</v>
      </c>
      <c r="B7" s="208" t="s">
        <v>8</v>
      </c>
      <c r="C7" s="208" t="s">
        <v>9</v>
      </c>
      <c r="D7" s="208" t="s">
        <v>10</v>
      </c>
      <c r="E7" s="208" t="s">
        <v>23</v>
      </c>
      <c r="F7" s="212">
        <v>23</v>
      </c>
      <c r="G7" s="214">
        <v>4</v>
      </c>
      <c r="H7" s="211" t="s">
        <v>24</v>
      </c>
      <c r="I7"/>
    </row>
    <row r="8" spans="1:9" hidden="1">
      <c r="A8" s="210">
        <v>45778</v>
      </c>
      <c r="B8" s="208" t="s">
        <v>8</v>
      </c>
      <c r="C8" s="208" t="s">
        <v>9</v>
      </c>
      <c r="D8" s="208" t="s">
        <v>10</v>
      </c>
      <c r="E8" s="208" t="s">
        <v>12</v>
      </c>
      <c r="F8" s="212">
        <v>16.5</v>
      </c>
      <c r="G8" s="214">
        <v>2</v>
      </c>
      <c r="H8" s="211" t="s">
        <v>25</v>
      </c>
      <c r="I8"/>
    </row>
    <row r="9" spans="1:9" s="60" customFormat="1" hidden="1">
      <c r="A9" s="210">
        <v>45778</v>
      </c>
      <c r="B9" s="208" t="s">
        <v>8</v>
      </c>
      <c r="C9" s="208" t="s">
        <v>9</v>
      </c>
      <c r="D9" s="208" t="s">
        <v>10</v>
      </c>
      <c r="E9" s="208" t="s">
        <v>14</v>
      </c>
      <c r="F9" s="212">
        <v>21.5</v>
      </c>
      <c r="G9" s="214">
        <v>4</v>
      </c>
      <c r="H9" s="211" t="s">
        <v>26</v>
      </c>
      <c r="I9"/>
    </row>
    <row r="10" spans="1:9" hidden="1">
      <c r="A10" s="210">
        <v>45778</v>
      </c>
      <c r="B10" s="208" t="s">
        <v>16</v>
      </c>
      <c r="C10" s="208" t="s">
        <v>17</v>
      </c>
      <c r="D10" s="208" t="s">
        <v>27</v>
      </c>
      <c r="E10" s="208" t="s">
        <v>19</v>
      </c>
      <c r="F10" s="212">
        <v>4</v>
      </c>
      <c r="G10" s="214">
        <v>2</v>
      </c>
      <c r="H10" s="207" t="s">
        <v>28</v>
      </c>
      <c r="I10"/>
    </row>
    <row r="11" spans="1:9" s="60" customFormat="1" hidden="1">
      <c r="A11" s="210">
        <v>45778</v>
      </c>
      <c r="B11" s="208" t="s">
        <v>16</v>
      </c>
      <c r="C11" s="208" t="s">
        <v>17</v>
      </c>
      <c r="D11" s="208" t="s">
        <v>27</v>
      </c>
      <c r="E11" s="208" t="s">
        <v>29</v>
      </c>
      <c r="F11" s="212">
        <v>4</v>
      </c>
      <c r="G11" s="214">
        <v>2</v>
      </c>
      <c r="H11" s="207" t="s">
        <v>28</v>
      </c>
      <c r="I11"/>
    </row>
    <row r="12" spans="1:9" hidden="1">
      <c r="A12" s="210">
        <v>45778</v>
      </c>
      <c r="B12" s="208" t="s">
        <v>16</v>
      </c>
      <c r="C12" s="208" t="s">
        <v>17</v>
      </c>
      <c r="D12" s="208" t="s">
        <v>30</v>
      </c>
      <c r="E12" s="208" t="s">
        <v>19</v>
      </c>
      <c r="F12" s="212">
        <v>4</v>
      </c>
      <c r="G12" s="214">
        <v>1</v>
      </c>
      <c r="H12" s="211">
        <v>46170</v>
      </c>
      <c r="I12"/>
    </row>
    <row r="13" spans="1:9" s="60" customFormat="1" hidden="1">
      <c r="A13" s="210">
        <v>45778</v>
      </c>
      <c r="B13" s="208" t="s">
        <v>16</v>
      </c>
      <c r="C13" s="208" t="s">
        <v>17</v>
      </c>
      <c r="D13" s="208" t="s">
        <v>30</v>
      </c>
      <c r="E13" s="208" t="s">
        <v>29</v>
      </c>
      <c r="F13" s="212">
        <v>4</v>
      </c>
      <c r="G13" s="214">
        <v>1</v>
      </c>
      <c r="H13" s="211">
        <v>46169</v>
      </c>
      <c r="I13"/>
    </row>
    <row r="14" spans="1:9" hidden="1">
      <c r="A14" s="210">
        <v>45809</v>
      </c>
      <c r="B14" s="208" t="s">
        <v>16</v>
      </c>
      <c r="C14" s="208" t="s">
        <v>17</v>
      </c>
      <c r="D14" s="208" t="s">
        <v>31</v>
      </c>
      <c r="E14" s="208" t="s">
        <v>19</v>
      </c>
      <c r="F14" s="212">
        <v>4</v>
      </c>
      <c r="G14" s="214">
        <v>1</v>
      </c>
      <c r="H14" s="211">
        <v>46185</v>
      </c>
      <c r="I14"/>
    </row>
    <row r="15" spans="1:9" s="60" customFormat="1" hidden="1">
      <c r="A15" s="210">
        <v>45809</v>
      </c>
      <c r="B15" s="208" t="s">
        <v>16</v>
      </c>
      <c r="C15" s="208" t="s">
        <v>17</v>
      </c>
      <c r="D15" s="208" t="s">
        <v>31</v>
      </c>
      <c r="E15" s="208" t="s">
        <v>29</v>
      </c>
      <c r="F15" s="212">
        <v>4</v>
      </c>
      <c r="G15" s="214">
        <v>1</v>
      </c>
      <c r="H15" s="211">
        <v>46186</v>
      </c>
      <c r="I15"/>
    </row>
    <row r="16" spans="1:9" hidden="1">
      <c r="A16" s="210">
        <v>45809</v>
      </c>
      <c r="B16" s="208" t="s">
        <v>16</v>
      </c>
      <c r="C16" s="208" t="s">
        <v>17</v>
      </c>
      <c r="D16" s="208" t="s">
        <v>32</v>
      </c>
      <c r="E16" s="208" t="s">
        <v>19</v>
      </c>
      <c r="F16" s="212">
        <v>4</v>
      </c>
      <c r="G16" s="214">
        <v>2</v>
      </c>
      <c r="H16" s="211" t="s">
        <v>33</v>
      </c>
      <c r="I16"/>
    </row>
    <row r="17" spans="1:9" s="60" customFormat="1" hidden="1">
      <c r="A17" s="210">
        <v>45809</v>
      </c>
      <c r="B17" s="208" t="s">
        <v>16</v>
      </c>
      <c r="C17" s="208" t="s">
        <v>17</v>
      </c>
      <c r="D17" s="208" t="s">
        <v>32</v>
      </c>
      <c r="E17" s="208" t="s">
        <v>29</v>
      </c>
      <c r="F17" s="212">
        <v>4</v>
      </c>
      <c r="G17" s="214">
        <v>2</v>
      </c>
      <c r="H17" s="211" t="s">
        <v>33</v>
      </c>
      <c r="I17"/>
    </row>
    <row r="18" spans="1:9" hidden="1">
      <c r="A18" s="210">
        <v>45839</v>
      </c>
      <c r="B18" s="208" t="s">
        <v>16</v>
      </c>
      <c r="C18" s="208" t="s">
        <v>17</v>
      </c>
      <c r="D18" s="208" t="s">
        <v>34</v>
      </c>
      <c r="E18" s="208" t="s">
        <v>19</v>
      </c>
      <c r="F18" s="212">
        <v>4</v>
      </c>
      <c r="G18" s="214">
        <v>1</v>
      </c>
      <c r="H18" s="211">
        <v>46218</v>
      </c>
      <c r="I18"/>
    </row>
    <row r="19" spans="1:9" s="60" customFormat="1" hidden="1">
      <c r="A19" s="210">
        <v>45839</v>
      </c>
      <c r="B19" s="208" t="s">
        <v>16</v>
      </c>
      <c r="C19" s="208" t="s">
        <v>17</v>
      </c>
      <c r="D19" s="208" t="s">
        <v>34</v>
      </c>
      <c r="E19" s="208" t="s">
        <v>29</v>
      </c>
      <c r="F19" s="212">
        <v>4</v>
      </c>
      <c r="G19" s="214">
        <v>1</v>
      </c>
      <c r="H19" s="211">
        <v>46219</v>
      </c>
      <c r="I19"/>
    </row>
    <row r="20" spans="1:9" hidden="1">
      <c r="A20" s="210">
        <v>45839</v>
      </c>
      <c r="B20" s="208" t="s">
        <v>16</v>
      </c>
      <c r="C20" s="208" t="s">
        <v>17</v>
      </c>
      <c r="D20" s="208" t="s">
        <v>35</v>
      </c>
      <c r="E20" s="208" t="s">
        <v>19</v>
      </c>
      <c r="F20" s="212">
        <v>4</v>
      </c>
      <c r="G20" s="214">
        <v>2</v>
      </c>
      <c r="H20" s="207" t="s">
        <v>36</v>
      </c>
      <c r="I20"/>
    </row>
    <row r="21" spans="1:9" s="60" customFormat="1" hidden="1">
      <c r="A21" s="210">
        <v>45839</v>
      </c>
      <c r="B21" s="208" t="s">
        <v>16</v>
      </c>
      <c r="C21" s="208" t="s">
        <v>17</v>
      </c>
      <c r="D21" s="208" t="s">
        <v>35</v>
      </c>
      <c r="E21" s="208" t="s">
        <v>29</v>
      </c>
      <c r="F21" s="212">
        <v>4</v>
      </c>
      <c r="G21" s="214">
        <v>2</v>
      </c>
      <c r="H21" s="207" t="s">
        <v>36</v>
      </c>
      <c r="I21"/>
    </row>
    <row r="22" spans="1:9" hidden="1">
      <c r="A22" s="210">
        <v>45870</v>
      </c>
      <c r="B22" s="208" t="s">
        <v>16</v>
      </c>
      <c r="C22" s="208" t="s">
        <v>17</v>
      </c>
      <c r="D22" s="208" t="s">
        <v>37</v>
      </c>
      <c r="E22" s="208" t="s">
        <v>19</v>
      </c>
      <c r="F22" s="212">
        <v>2</v>
      </c>
      <c r="G22" s="214">
        <v>1</v>
      </c>
      <c r="H22" s="211">
        <v>46240</v>
      </c>
      <c r="I22"/>
    </row>
    <row r="23" spans="1:9" s="60" customFormat="1" hidden="1">
      <c r="A23" s="210">
        <v>45870</v>
      </c>
      <c r="B23" s="208" t="s">
        <v>16</v>
      </c>
      <c r="C23" s="208" t="s">
        <v>17</v>
      </c>
      <c r="D23" s="208" t="s">
        <v>38</v>
      </c>
      <c r="E23" s="208" t="s">
        <v>19</v>
      </c>
      <c r="F23" s="212">
        <v>4</v>
      </c>
      <c r="G23" s="214">
        <v>1</v>
      </c>
      <c r="H23" s="211">
        <v>46253</v>
      </c>
      <c r="I23"/>
    </row>
    <row r="24" spans="1:9" hidden="1">
      <c r="A24" s="210">
        <v>45870</v>
      </c>
      <c r="B24" s="208" t="s">
        <v>16</v>
      </c>
      <c r="C24" s="208" t="s">
        <v>17</v>
      </c>
      <c r="D24" s="208" t="s">
        <v>38</v>
      </c>
      <c r="E24" s="208" t="s">
        <v>29</v>
      </c>
      <c r="F24" s="212">
        <v>4</v>
      </c>
      <c r="G24" s="214">
        <v>1</v>
      </c>
      <c r="H24" s="211">
        <v>46252</v>
      </c>
      <c r="I24"/>
    </row>
    <row r="25" spans="1:9" s="60" customFormat="1" hidden="1">
      <c r="A25" s="210">
        <v>45870</v>
      </c>
      <c r="B25" s="208" t="s">
        <v>16</v>
      </c>
      <c r="C25" s="208" t="s">
        <v>17</v>
      </c>
      <c r="D25" s="208" t="s">
        <v>39</v>
      </c>
      <c r="E25" s="208" t="s">
        <v>19</v>
      </c>
      <c r="F25" s="212">
        <v>4</v>
      </c>
      <c r="G25" s="214">
        <v>2</v>
      </c>
      <c r="H25" s="207" t="s">
        <v>40</v>
      </c>
      <c r="I25"/>
    </row>
    <row r="26" spans="1:9" hidden="1">
      <c r="A26" s="210">
        <v>45870</v>
      </c>
      <c r="B26" s="208" t="s">
        <v>16</v>
      </c>
      <c r="C26" s="208" t="s">
        <v>17</v>
      </c>
      <c r="D26" s="208" t="s">
        <v>39</v>
      </c>
      <c r="E26" s="208" t="s">
        <v>29</v>
      </c>
      <c r="F26" s="212">
        <v>6</v>
      </c>
      <c r="G26" s="214">
        <v>3</v>
      </c>
      <c r="H26" s="207" t="s">
        <v>41</v>
      </c>
      <c r="I26"/>
    </row>
    <row r="27" spans="1:9" s="60" customFormat="1" hidden="1">
      <c r="A27" s="210">
        <v>45901</v>
      </c>
      <c r="B27" s="208" t="s">
        <v>16</v>
      </c>
      <c r="C27" s="208" t="s">
        <v>17</v>
      </c>
      <c r="D27" s="208" t="s">
        <v>37</v>
      </c>
      <c r="E27" s="208" t="s">
        <v>29</v>
      </c>
      <c r="F27" s="212">
        <v>4</v>
      </c>
      <c r="G27" s="214">
        <v>2</v>
      </c>
      <c r="H27" s="211" t="s">
        <v>42</v>
      </c>
      <c r="I27"/>
    </row>
    <row r="28" spans="1:9" hidden="1">
      <c r="A28" s="210">
        <v>45901</v>
      </c>
      <c r="B28" s="208" t="s">
        <v>16</v>
      </c>
      <c r="C28" s="208" t="s">
        <v>17</v>
      </c>
      <c r="D28" s="208" t="s">
        <v>43</v>
      </c>
      <c r="E28" s="208" t="s">
        <v>29</v>
      </c>
      <c r="F28" s="212">
        <v>6</v>
      </c>
      <c r="G28" s="214">
        <v>3</v>
      </c>
      <c r="H28" s="207" t="s">
        <v>44</v>
      </c>
      <c r="I28"/>
    </row>
    <row r="29" spans="1:9" s="60" customFormat="1" hidden="1">
      <c r="A29" s="210">
        <v>45901</v>
      </c>
      <c r="B29" s="208" t="s">
        <v>16</v>
      </c>
      <c r="C29" s="208" t="s">
        <v>17</v>
      </c>
      <c r="D29" s="208" t="s">
        <v>45</v>
      </c>
      <c r="E29" s="208" t="s">
        <v>19</v>
      </c>
      <c r="F29" s="212">
        <v>4</v>
      </c>
      <c r="G29" s="214">
        <v>2</v>
      </c>
      <c r="H29" s="207" t="s">
        <v>46</v>
      </c>
      <c r="I29"/>
    </row>
    <row r="30" spans="1:9" hidden="1">
      <c r="A30" s="210">
        <v>45901</v>
      </c>
      <c r="B30" s="208" t="s">
        <v>16</v>
      </c>
      <c r="C30" s="208" t="s">
        <v>17</v>
      </c>
      <c r="D30" s="208" t="s">
        <v>45</v>
      </c>
      <c r="E30" s="208" t="s">
        <v>29</v>
      </c>
      <c r="F30" s="212">
        <v>4</v>
      </c>
      <c r="G30" s="214">
        <v>2</v>
      </c>
      <c r="H30" s="207" t="s">
        <v>47</v>
      </c>
      <c r="I30"/>
    </row>
    <row r="31" spans="1:9" s="60" customFormat="1" hidden="1">
      <c r="A31" s="210">
        <v>45931</v>
      </c>
      <c r="B31" s="208" t="s">
        <v>16</v>
      </c>
      <c r="C31" s="208" t="s">
        <v>17</v>
      </c>
      <c r="D31" s="208" t="s">
        <v>48</v>
      </c>
      <c r="E31" s="208" t="s">
        <v>29</v>
      </c>
      <c r="F31" s="212">
        <v>8</v>
      </c>
      <c r="G31" s="214">
        <v>4</v>
      </c>
      <c r="H31" s="211" t="s">
        <v>49</v>
      </c>
      <c r="I31"/>
    </row>
    <row r="32" spans="1:9" hidden="1">
      <c r="A32" s="210">
        <v>45931</v>
      </c>
      <c r="B32" s="208" t="s">
        <v>16</v>
      </c>
      <c r="C32" s="208" t="s">
        <v>17</v>
      </c>
      <c r="D32" s="208" t="s">
        <v>50</v>
      </c>
      <c r="E32" s="208" t="s">
        <v>29</v>
      </c>
      <c r="F32" s="212">
        <v>8</v>
      </c>
      <c r="G32" s="214">
        <v>4</v>
      </c>
      <c r="H32" s="207" t="s">
        <v>51</v>
      </c>
      <c r="I32"/>
    </row>
    <row r="33" spans="1:9" s="60" customFormat="1" hidden="1">
      <c r="A33" s="210">
        <v>45962</v>
      </c>
      <c r="B33" s="208" t="s">
        <v>16</v>
      </c>
      <c r="C33" s="208" t="s">
        <v>17</v>
      </c>
      <c r="D33" s="208" t="s">
        <v>43</v>
      </c>
      <c r="E33" s="208" t="s">
        <v>29</v>
      </c>
      <c r="F33" s="212">
        <v>2</v>
      </c>
      <c r="G33" s="214">
        <v>1</v>
      </c>
      <c r="H33" s="211">
        <v>46353</v>
      </c>
      <c r="I33"/>
    </row>
    <row r="34" spans="1:9" hidden="1">
      <c r="A34" s="210">
        <v>45962</v>
      </c>
      <c r="B34" s="208" t="s">
        <v>16</v>
      </c>
      <c r="C34" s="208" t="s">
        <v>17</v>
      </c>
      <c r="D34" s="208" t="s">
        <v>50</v>
      </c>
      <c r="E34" s="208" t="s">
        <v>29</v>
      </c>
      <c r="F34" s="212">
        <v>4</v>
      </c>
      <c r="G34" s="214">
        <v>2</v>
      </c>
      <c r="H34" s="207" t="s">
        <v>52</v>
      </c>
      <c r="I34"/>
    </row>
    <row r="35" spans="1:9" s="60" customFormat="1" hidden="1">
      <c r="A35" s="210">
        <v>45992</v>
      </c>
      <c r="B35" s="208" t="s">
        <v>16</v>
      </c>
      <c r="C35" s="208" t="s">
        <v>17</v>
      </c>
      <c r="D35" s="208" t="s">
        <v>53</v>
      </c>
      <c r="E35" s="208" t="s">
        <v>29</v>
      </c>
      <c r="F35" s="212">
        <v>8</v>
      </c>
      <c r="G35" s="214">
        <v>4</v>
      </c>
      <c r="H35" s="211" t="s">
        <v>54</v>
      </c>
      <c r="I35"/>
    </row>
    <row r="36" spans="1:9" hidden="1">
      <c r="A36" s="210">
        <v>45992</v>
      </c>
      <c r="B36" s="208" t="s">
        <v>16</v>
      </c>
      <c r="C36" s="208" t="s">
        <v>17</v>
      </c>
      <c r="D36" s="208" t="s">
        <v>55</v>
      </c>
      <c r="E36" s="208" t="s">
        <v>29</v>
      </c>
      <c r="F36" s="212">
        <v>8</v>
      </c>
      <c r="G36" s="214">
        <v>4</v>
      </c>
      <c r="H36" s="207" t="s">
        <v>56</v>
      </c>
      <c r="I36"/>
    </row>
    <row r="37" spans="1:9" s="60" customFormat="1" hidden="1">
      <c r="A37" s="210">
        <v>46023</v>
      </c>
      <c r="B37" s="208" t="s">
        <v>57</v>
      </c>
      <c r="C37" s="208" t="s">
        <v>58</v>
      </c>
      <c r="D37" s="208" t="s">
        <v>59</v>
      </c>
      <c r="E37" s="208" t="s">
        <v>60</v>
      </c>
      <c r="F37" s="212">
        <v>2.5</v>
      </c>
      <c r="G37" s="214">
        <v>1</v>
      </c>
      <c r="H37" s="211">
        <v>46052</v>
      </c>
      <c r="I37"/>
    </row>
    <row r="38" spans="1:9" hidden="1">
      <c r="A38" s="210">
        <v>46023</v>
      </c>
      <c r="B38" s="208" t="s">
        <v>61</v>
      </c>
      <c r="C38" s="208" t="s">
        <v>62</v>
      </c>
      <c r="D38" s="208" t="s">
        <v>34</v>
      </c>
      <c r="E38" s="208" t="s">
        <v>63</v>
      </c>
      <c r="F38" s="212">
        <v>6</v>
      </c>
      <c r="G38" s="214">
        <v>2</v>
      </c>
      <c r="H38" s="207" t="s">
        <v>64</v>
      </c>
      <c r="I38"/>
    </row>
    <row r="39" spans="1:9" s="60" customFormat="1" hidden="1">
      <c r="A39" s="210">
        <v>46023</v>
      </c>
      <c r="B39" s="208" t="s">
        <v>61</v>
      </c>
      <c r="C39" s="208" t="s">
        <v>62</v>
      </c>
      <c r="D39" s="208" t="s">
        <v>34</v>
      </c>
      <c r="E39" s="208" t="s">
        <v>65</v>
      </c>
      <c r="F39" s="212">
        <v>1</v>
      </c>
      <c r="G39" s="214">
        <v>1</v>
      </c>
      <c r="H39" s="211">
        <v>46041</v>
      </c>
      <c r="I39"/>
    </row>
    <row r="40" spans="1:9" hidden="1">
      <c r="A40" s="210">
        <v>46023</v>
      </c>
      <c r="B40" s="208" t="s">
        <v>61</v>
      </c>
      <c r="C40" s="208" t="s">
        <v>62</v>
      </c>
      <c r="D40" s="208" t="s">
        <v>35</v>
      </c>
      <c r="E40" s="208" t="s">
        <v>66</v>
      </c>
      <c r="F40" s="212">
        <v>7</v>
      </c>
      <c r="G40" s="214">
        <v>3</v>
      </c>
      <c r="H40" s="211" t="s">
        <v>64</v>
      </c>
      <c r="I40"/>
    </row>
    <row r="41" spans="1:9" s="60" customFormat="1" hidden="1">
      <c r="A41" s="210">
        <v>46023</v>
      </c>
      <c r="B41" s="208" t="s">
        <v>61</v>
      </c>
      <c r="C41" s="208" t="s">
        <v>62</v>
      </c>
      <c r="D41" s="208" t="s">
        <v>35</v>
      </c>
      <c r="E41" s="208" t="s">
        <v>65</v>
      </c>
      <c r="F41" s="212">
        <v>1</v>
      </c>
      <c r="G41" s="214">
        <v>1</v>
      </c>
      <c r="H41" s="211">
        <v>46041</v>
      </c>
      <c r="I41"/>
    </row>
    <row r="42" spans="1:9" hidden="1">
      <c r="A42" s="210">
        <v>46023</v>
      </c>
      <c r="B42" s="208" t="s">
        <v>16</v>
      </c>
      <c r="C42" s="208" t="s">
        <v>17</v>
      </c>
      <c r="D42" s="208" t="s">
        <v>55</v>
      </c>
      <c r="E42" s="208" t="s">
        <v>29</v>
      </c>
      <c r="F42" s="212">
        <v>6</v>
      </c>
      <c r="G42" s="214">
        <v>3</v>
      </c>
      <c r="H42" s="207" t="s">
        <v>67</v>
      </c>
      <c r="I42"/>
    </row>
    <row r="43" spans="1:9" s="60" customFormat="1" hidden="1">
      <c r="A43" s="210">
        <v>46054</v>
      </c>
      <c r="B43" s="208" t="s">
        <v>57</v>
      </c>
      <c r="C43" s="208" t="s">
        <v>58</v>
      </c>
      <c r="D43" s="208" t="s">
        <v>59</v>
      </c>
      <c r="E43" s="208" t="s">
        <v>68</v>
      </c>
      <c r="F43" s="212">
        <v>5</v>
      </c>
      <c r="G43" s="214">
        <v>2</v>
      </c>
      <c r="H43" s="211" t="s">
        <v>69</v>
      </c>
      <c r="I43"/>
    </row>
    <row r="44" spans="1:9" hidden="1">
      <c r="A44" s="210">
        <v>46054</v>
      </c>
      <c r="B44" s="208" t="s">
        <v>57</v>
      </c>
      <c r="C44" s="208" t="s">
        <v>58</v>
      </c>
      <c r="D44" s="208" t="s">
        <v>59</v>
      </c>
      <c r="E44" s="208" t="s">
        <v>70</v>
      </c>
      <c r="F44" s="212">
        <v>7.5</v>
      </c>
      <c r="G44" s="214">
        <v>3</v>
      </c>
      <c r="H44" s="207" t="s">
        <v>71</v>
      </c>
      <c r="I44"/>
    </row>
    <row r="45" spans="1:9" s="60" customFormat="1" hidden="1">
      <c r="A45" s="210">
        <v>46054</v>
      </c>
      <c r="B45" s="208" t="s">
        <v>57</v>
      </c>
      <c r="C45" s="208" t="s">
        <v>58</v>
      </c>
      <c r="D45" s="208" t="s">
        <v>59</v>
      </c>
      <c r="E45" s="208" t="s">
        <v>72</v>
      </c>
      <c r="F45" s="212">
        <v>5</v>
      </c>
      <c r="G45" s="214">
        <v>2</v>
      </c>
      <c r="H45" s="207" t="s">
        <v>73</v>
      </c>
      <c r="I45"/>
    </row>
    <row r="46" spans="1:9" hidden="1">
      <c r="A46" s="210">
        <v>46054</v>
      </c>
      <c r="B46" s="208" t="s">
        <v>57</v>
      </c>
      <c r="C46" s="208" t="s">
        <v>58</v>
      </c>
      <c r="D46" s="208" t="s">
        <v>59</v>
      </c>
      <c r="E46" s="208" t="s">
        <v>60</v>
      </c>
      <c r="F46" s="212">
        <v>2.5</v>
      </c>
      <c r="G46" s="214">
        <v>1</v>
      </c>
      <c r="H46" s="211">
        <v>46056</v>
      </c>
      <c r="I46"/>
    </row>
    <row r="47" spans="1:9" s="60" customFormat="1" hidden="1">
      <c r="A47" s="210">
        <v>46054</v>
      </c>
      <c r="B47" s="208" t="s">
        <v>57</v>
      </c>
      <c r="C47" s="208" t="s">
        <v>74</v>
      </c>
      <c r="D47" s="208" t="s">
        <v>59</v>
      </c>
      <c r="E47" s="208" t="s">
        <v>66</v>
      </c>
      <c r="F47" s="212">
        <v>14</v>
      </c>
      <c r="G47" s="214">
        <v>7</v>
      </c>
      <c r="H47" s="207" t="s">
        <v>75</v>
      </c>
      <c r="I47"/>
    </row>
    <row r="48" spans="1:9" hidden="1">
      <c r="A48" s="210">
        <v>46054</v>
      </c>
      <c r="B48" s="208" t="s">
        <v>76</v>
      </c>
      <c r="C48" s="208" t="s">
        <v>77</v>
      </c>
      <c r="D48" s="208" t="s">
        <v>59</v>
      </c>
      <c r="E48" s="208" t="s">
        <v>78</v>
      </c>
      <c r="F48" s="212">
        <v>16</v>
      </c>
      <c r="G48" s="214">
        <v>2</v>
      </c>
      <c r="H48" s="211" t="s">
        <v>79</v>
      </c>
      <c r="I48"/>
    </row>
    <row r="49" spans="1:9" s="60" customFormat="1" hidden="1">
      <c r="A49" s="210">
        <v>46054</v>
      </c>
      <c r="B49" s="208" t="s">
        <v>80</v>
      </c>
      <c r="C49" s="208" t="s">
        <v>81</v>
      </c>
      <c r="D49" s="208" t="s">
        <v>59</v>
      </c>
      <c r="E49" s="208" t="s">
        <v>82</v>
      </c>
      <c r="F49" s="212">
        <v>4</v>
      </c>
      <c r="G49" s="214">
        <v>1</v>
      </c>
      <c r="H49" s="211">
        <v>46065</v>
      </c>
      <c r="I49"/>
    </row>
    <row r="50" spans="1:9" hidden="1">
      <c r="A50" s="210">
        <v>46054</v>
      </c>
      <c r="B50" s="208" t="s">
        <v>80</v>
      </c>
      <c r="C50" s="208" t="s">
        <v>81</v>
      </c>
      <c r="D50" s="208" t="s">
        <v>59</v>
      </c>
      <c r="E50" s="208" t="s">
        <v>12</v>
      </c>
      <c r="F50" s="212">
        <v>16</v>
      </c>
      <c r="G50" s="214">
        <v>4</v>
      </c>
      <c r="H50" s="207" t="s">
        <v>83</v>
      </c>
      <c r="I50"/>
    </row>
    <row r="51" spans="1:9" s="60" customFormat="1" hidden="1">
      <c r="A51" s="210">
        <v>46054</v>
      </c>
      <c r="B51" s="208" t="s">
        <v>61</v>
      </c>
      <c r="C51" s="208" t="s">
        <v>62</v>
      </c>
      <c r="D51" s="208" t="s">
        <v>34</v>
      </c>
      <c r="E51" s="208" t="s">
        <v>63</v>
      </c>
      <c r="F51" s="212">
        <v>54</v>
      </c>
      <c r="G51" s="214">
        <v>18</v>
      </c>
      <c r="H51" s="211" t="s">
        <v>84</v>
      </c>
      <c r="I51"/>
    </row>
    <row r="52" spans="1:9" hidden="1">
      <c r="A52" s="210">
        <v>46054</v>
      </c>
      <c r="B52" s="208" t="s">
        <v>61</v>
      </c>
      <c r="C52" s="208" t="s">
        <v>62</v>
      </c>
      <c r="D52" s="208" t="s">
        <v>35</v>
      </c>
      <c r="E52" s="208" t="s">
        <v>85</v>
      </c>
      <c r="F52" s="212">
        <v>6</v>
      </c>
      <c r="G52" s="214">
        <v>2</v>
      </c>
      <c r="H52" s="211" t="s">
        <v>86</v>
      </c>
      <c r="I52"/>
    </row>
    <row r="53" spans="1:9" s="60" customFormat="1" hidden="1">
      <c r="A53" s="210">
        <v>46054</v>
      </c>
      <c r="B53" s="208" t="s">
        <v>61</v>
      </c>
      <c r="C53" s="208" t="s">
        <v>62</v>
      </c>
      <c r="D53" s="208" t="s">
        <v>35</v>
      </c>
      <c r="E53" s="208" t="s">
        <v>87</v>
      </c>
      <c r="F53" s="212">
        <v>45</v>
      </c>
      <c r="G53" s="214">
        <v>15</v>
      </c>
      <c r="H53" s="211" t="s">
        <v>88</v>
      </c>
      <c r="I53"/>
    </row>
    <row r="54" spans="1:9" hidden="1">
      <c r="A54" s="210">
        <v>46054</v>
      </c>
      <c r="B54" s="208" t="s">
        <v>61</v>
      </c>
      <c r="C54" s="208" t="s">
        <v>62</v>
      </c>
      <c r="D54" s="208" t="s">
        <v>37</v>
      </c>
      <c r="E54" s="208" t="s">
        <v>65</v>
      </c>
      <c r="F54" s="212">
        <v>1</v>
      </c>
      <c r="G54" s="214">
        <v>1</v>
      </c>
      <c r="H54" s="211">
        <v>46077</v>
      </c>
      <c r="I54"/>
    </row>
    <row r="55" spans="1:9" s="60" customFormat="1" hidden="1">
      <c r="A55" s="210">
        <v>46054</v>
      </c>
      <c r="B55" s="208" t="s">
        <v>61</v>
      </c>
      <c r="C55" s="208" t="s">
        <v>62</v>
      </c>
      <c r="D55" s="208" t="s">
        <v>38</v>
      </c>
      <c r="E55" s="208" t="s">
        <v>65</v>
      </c>
      <c r="F55" s="212">
        <v>1</v>
      </c>
      <c r="G55" s="214">
        <v>1</v>
      </c>
      <c r="H55" s="211">
        <v>46077</v>
      </c>
      <c r="I55"/>
    </row>
    <row r="56" spans="1:9" hidden="1">
      <c r="A56" s="210">
        <v>46082</v>
      </c>
      <c r="B56" s="208" t="s">
        <v>57</v>
      </c>
      <c r="C56" s="208" t="s">
        <v>89</v>
      </c>
      <c r="D56" s="208" t="s">
        <v>90</v>
      </c>
      <c r="E56" s="208" t="s">
        <v>91</v>
      </c>
      <c r="F56" s="212">
        <v>9</v>
      </c>
      <c r="G56" s="214">
        <v>3</v>
      </c>
      <c r="H56" s="211" t="s">
        <v>92</v>
      </c>
      <c r="I56"/>
    </row>
    <row r="57" spans="1:9" s="60" customFormat="1" hidden="1">
      <c r="A57" s="210">
        <v>46082</v>
      </c>
      <c r="B57" s="208" t="s">
        <v>57</v>
      </c>
      <c r="C57" s="208" t="s">
        <v>89</v>
      </c>
      <c r="D57" s="208" t="s">
        <v>90</v>
      </c>
      <c r="E57" s="208" t="s">
        <v>93</v>
      </c>
      <c r="F57" s="212">
        <v>1</v>
      </c>
      <c r="G57" s="214">
        <v>1</v>
      </c>
      <c r="H57" s="211">
        <v>46099</v>
      </c>
      <c r="I57"/>
    </row>
    <row r="58" spans="1:9" hidden="1">
      <c r="A58" s="210">
        <v>46082</v>
      </c>
      <c r="B58" s="208" t="s">
        <v>57</v>
      </c>
      <c r="C58" s="208" t="s">
        <v>94</v>
      </c>
      <c r="D58" s="208" t="s">
        <v>59</v>
      </c>
      <c r="E58" s="208" t="s">
        <v>72</v>
      </c>
      <c r="F58" s="212">
        <v>2.5</v>
      </c>
      <c r="G58" s="214">
        <v>1</v>
      </c>
      <c r="H58" s="211">
        <v>46099</v>
      </c>
      <c r="I58"/>
    </row>
    <row r="59" spans="1:9" s="60" customFormat="1" hidden="1">
      <c r="A59" s="210">
        <v>46082</v>
      </c>
      <c r="B59" s="208" t="s">
        <v>57</v>
      </c>
      <c r="C59" s="208" t="s">
        <v>94</v>
      </c>
      <c r="D59" s="208" t="s">
        <v>59</v>
      </c>
      <c r="E59" s="208" t="s">
        <v>60</v>
      </c>
      <c r="F59" s="212">
        <v>1.5</v>
      </c>
      <c r="G59" s="214">
        <v>1</v>
      </c>
      <c r="H59" s="211">
        <v>46094</v>
      </c>
      <c r="I59"/>
    </row>
    <row r="60" spans="1:9" hidden="1">
      <c r="A60" s="210">
        <v>46082</v>
      </c>
      <c r="B60" s="208" t="s">
        <v>57</v>
      </c>
      <c r="C60" s="208" t="s">
        <v>94</v>
      </c>
      <c r="D60" s="208" t="s">
        <v>59</v>
      </c>
      <c r="E60" s="208" t="s">
        <v>95</v>
      </c>
      <c r="F60" s="212">
        <v>7.5</v>
      </c>
      <c r="G60" s="214">
        <v>3</v>
      </c>
      <c r="H60" s="211" t="s">
        <v>96</v>
      </c>
      <c r="I60"/>
    </row>
    <row r="61" spans="1:9" s="60" customFormat="1" hidden="1">
      <c r="A61" s="210">
        <v>46082</v>
      </c>
      <c r="B61" s="208" t="s">
        <v>57</v>
      </c>
      <c r="C61" s="208" t="s">
        <v>58</v>
      </c>
      <c r="D61" s="208" t="s">
        <v>59</v>
      </c>
      <c r="E61" s="208" t="s">
        <v>68</v>
      </c>
      <c r="F61" s="212">
        <v>15</v>
      </c>
      <c r="G61" s="214">
        <v>6</v>
      </c>
      <c r="H61" s="207" t="s">
        <v>97</v>
      </c>
      <c r="I61"/>
    </row>
    <row r="62" spans="1:9" hidden="1">
      <c r="A62" s="210">
        <v>46082</v>
      </c>
      <c r="B62" s="208" t="s">
        <v>57</v>
      </c>
      <c r="C62" s="208" t="s">
        <v>58</v>
      </c>
      <c r="D62" s="208" t="s">
        <v>59</v>
      </c>
      <c r="E62" s="208" t="s">
        <v>70</v>
      </c>
      <c r="F62" s="212">
        <v>2.5</v>
      </c>
      <c r="G62" s="214">
        <v>1</v>
      </c>
      <c r="H62" s="211">
        <v>46111</v>
      </c>
      <c r="I62"/>
    </row>
    <row r="63" spans="1:9" s="60" customFormat="1" hidden="1">
      <c r="A63" s="210">
        <v>46082</v>
      </c>
      <c r="B63" s="208" t="s">
        <v>57</v>
      </c>
      <c r="C63" s="208" t="s">
        <v>74</v>
      </c>
      <c r="D63" s="208" t="s">
        <v>59</v>
      </c>
      <c r="E63" s="208" t="s">
        <v>66</v>
      </c>
      <c r="F63" s="212">
        <v>16</v>
      </c>
      <c r="G63" s="214">
        <v>8</v>
      </c>
      <c r="H63" s="207" t="s">
        <v>98</v>
      </c>
      <c r="I63"/>
    </row>
    <row r="64" spans="1:9" hidden="1">
      <c r="A64" s="210">
        <v>46082</v>
      </c>
      <c r="B64" s="208" t="s">
        <v>99</v>
      </c>
      <c r="C64" s="208" t="s">
        <v>100</v>
      </c>
      <c r="D64" s="208" t="s">
        <v>101</v>
      </c>
      <c r="E64" s="208" t="s">
        <v>102</v>
      </c>
      <c r="F64" s="212">
        <v>12.5</v>
      </c>
      <c r="G64" s="214">
        <v>5</v>
      </c>
      <c r="H64" s="207" t="s">
        <v>103</v>
      </c>
      <c r="I64"/>
    </row>
    <row r="65" spans="1:9" s="60" customFormat="1" hidden="1">
      <c r="A65" s="210">
        <v>46082</v>
      </c>
      <c r="B65" s="208" t="s">
        <v>99</v>
      </c>
      <c r="C65" s="208" t="s">
        <v>100</v>
      </c>
      <c r="D65" s="208" t="s">
        <v>10</v>
      </c>
      <c r="E65" s="208" t="s">
        <v>29</v>
      </c>
      <c r="F65" s="212">
        <v>2.5</v>
      </c>
      <c r="G65" s="214">
        <v>1</v>
      </c>
      <c r="H65" s="211">
        <v>46107</v>
      </c>
      <c r="I65"/>
    </row>
    <row r="66" spans="1:9" hidden="1">
      <c r="A66" s="210">
        <v>46082</v>
      </c>
      <c r="B66" s="208" t="s">
        <v>99</v>
      </c>
      <c r="C66" s="208" t="s">
        <v>100</v>
      </c>
      <c r="D66" s="208" t="s">
        <v>104</v>
      </c>
      <c r="E66" s="208" t="s">
        <v>70</v>
      </c>
      <c r="F66" s="212">
        <v>2.5</v>
      </c>
      <c r="G66" s="214">
        <v>1</v>
      </c>
      <c r="H66" s="211">
        <v>46112</v>
      </c>
      <c r="I66"/>
    </row>
    <row r="67" spans="1:9" s="60" customFormat="1" hidden="1">
      <c r="A67" s="210">
        <v>46082</v>
      </c>
      <c r="B67" s="208" t="s">
        <v>99</v>
      </c>
      <c r="C67" s="208" t="s">
        <v>100</v>
      </c>
      <c r="D67" s="208" t="s">
        <v>104</v>
      </c>
      <c r="E67" s="208" t="s">
        <v>19</v>
      </c>
      <c r="F67" s="212">
        <v>7.5</v>
      </c>
      <c r="G67" s="214">
        <v>3</v>
      </c>
      <c r="H67" s="211" t="s">
        <v>105</v>
      </c>
      <c r="I67"/>
    </row>
    <row r="68" spans="1:9" hidden="1">
      <c r="A68" s="210">
        <v>46082</v>
      </c>
      <c r="B68" s="208" t="s">
        <v>99</v>
      </c>
      <c r="C68" s="208" t="s">
        <v>100</v>
      </c>
      <c r="D68" s="208" t="s">
        <v>106</v>
      </c>
      <c r="E68" s="208" t="s">
        <v>19</v>
      </c>
      <c r="F68" s="212">
        <v>15</v>
      </c>
      <c r="G68" s="214">
        <v>6</v>
      </c>
      <c r="H68" s="207" t="s">
        <v>107</v>
      </c>
      <c r="I68"/>
    </row>
    <row r="69" spans="1:9" s="60" customFormat="1" hidden="1">
      <c r="A69" s="210">
        <v>46082</v>
      </c>
      <c r="B69" s="208" t="s">
        <v>99</v>
      </c>
      <c r="C69" s="208" t="s">
        <v>108</v>
      </c>
      <c r="D69" s="208" t="s">
        <v>101</v>
      </c>
      <c r="E69" s="208" t="s">
        <v>109</v>
      </c>
      <c r="F69" s="212">
        <v>6</v>
      </c>
      <c r="G69" s="214">
        <v>3</v>
      </c>
      <c r="H69" s="207" t="s">
        <v>96</v>
      </c>
      <c r="I69"/>
    </row>
    <row r="70" spans="1:9" hidden="1">
      <c r="A70" s="210">
        <v>46082</v>
      </c>
      <c r="B70" s="208" t="s">
        <v>99</v>
      </c>
      <c r="C70" s="208" t="s">
        <v>108</v>
      </c>
      <c r="D70" s="208" t="s">
        <v>101</v>
      </c>
      <c r="E70" s="208" t="s">
        <v>66</v>
      </c>
      <c r="F70" s="212">
        <v>4</v>
      </c>
      <c r="G70" s="214">
        <v>2</v>
      </c>
      <c r="H70" s="207" t="s">
        <v>110</v>
      </c>
      <c r="I70"/>
    </row>
    <row r="71" spans="1:9" s="60" customFormat="1" hidden="1">
      <c r="A71" s="210">
        <v>46082</v>
      </c>
      <c r="B71" s="208" t="s">
        <v>99</v>
      </c>
      <c r="C71" s="208" t="s">
        <v>108</v>
      </c>
      <c r="D71" s="208" t="s">
        <v>10</v>
      </c>
      <c r="E71" s="208" t="s">
        <v>66</v>
      </c>
      <c r="F71" s="212">
        <v>4</v>
      </c>
      <c r="G71" s="214">
        <v>2</v>
      </c>
      <c r="H71" s="207" t="s">
        <v>111</v>
      </c>
      <c r="I71"/>
    </row>
    <row r="72" spans="1:9" hidden="1">
      <c r="A72" s="210">
        <v>46082</v>
      </c>
      <c r="B72" s="208" t="s">
        <v>99</v>
      </c>
      <c r="C72" s="208" t="s">
        <v>108</v>
      </c>
      <c r="D72" s="208" t="s">
        <v>10</v>
      </c>
      <c r="E72" s="208" t="s">
        <v>63</v>
      </c>
      <c r="F72" s="212">
        <v>6</v>
      </c>
      <c r="G72" s="214">
        <v>3</v>
      </c>
      <c r="H72" s="207" t="s">
        <v>92</v>
      </c>
      <c r="I72"/>
    </row>
    <row r="73" spans="1:9" s="60" customFormat="1" hidden="1">
      <c r="A73" s="210">
        <v>46082</v>
      </c>
      <c r="B73" s="208" t="s">
        <v>99</v>
      </c>
      <c r="C73" s="208" t="s">
        <v>108</v>
      </c>
      <c r="D73" s="208" t="s">
        <v>104</v>
      </c>
      <c r="E73" s="208" t="s">
        <v>109</v>
      </c>
      <c r="F73" s="212">
        <v>2</v>
      </c>
      <c r="G73" s="214">
        <v>1</v>
      </c>
      <c r="H73" s="211">
        <v>46112</v>
      </c>
      <c r="I73"/>
    </row>
    <row r="74" spans="1:9" hidden="1">
      <c r="A74" s="210">
        <v>46082</v>
      </c>
      <c r="B74" s="208" t="s">
        <v>99</v>
      </c>
      <c r="C74" s="208" t="s">
        <v>108</v>
      </c>
      <c r="D74" s="208" t="s">
        <v>104</v>
      </c>
      <c r="E74" s="208" t="s">
        <v>63</v>
      </c>
      <c r="F74" s="212">
        <v>4</v>
      </c>
      <c r="G74" s="214">
        <v>2</v>
      </c>
      <c r="H74" s="207" t="s">
        <v>110</v>
      </c>
      <c r="I74"/>
    </row>
    <row r="75" spans="1:9" s="60" customFormat="1" hidden="1">
      <c r="A75" s="210">
        <v>46082</v>
      </c>
      <c r="B75" s="208" t="s">
        <v>99</v>
      </c>
      <c r="C75" s="208" t="s">
        <v>108</v>
      </c>
      <c r="D75" s="208" t="s">
        <v>106</v>
      </c>
      <c r="E75" s="208" t="s">
        <v>112</v>
      </c>
      <c r="F75" s="212">
        <v>5</v>
      </c>
      <c r="G75" s="214">
        <v>2</v>
      </c>
      <c r="H75" s="207" t="s">
        <v>113</v>
      </c>
      <c r="I75"/>
    </row>
    <row r="76" spans="1:9" hidden="1">
      <c r="A76" s="210">
        <v>46082</v>
      </c>
      <c r="B76" s="208" t="s">
        <v>99</v>
      </c>
      <c r="C76" s="208" t="s">
        <v>108</v>
      </c>
      <c r="D76" s="208" t="s">
        <v>106</v>
      </c>
      <c r="E76" s="208" t="s">
        <v>63</v>
      </c>
      <c r="F76" s="212">
        <v>5</v>
      </c>
      <c r="G76" s="214">
        <v>2</v>
      </c>
      <c r="H76" s="207" t="s">
        <v>114</v>
      </c>
      <c r="I76"/>
    </row>
    <row r="77" spans="1:9" s="60" customFormat="1" hidden="1">
      <c r="A77" s="210">
        <v>46082</v>
      </c>
      <c r="B77" s="208" t="s">
        <v>115</v>
      </c>
      <c r="C77" s="208" t="s">
        <v>116</v>
      </c>
      <c r="D77" s="208" t="s">
        <v>101</v>
      </c>
      <c r="E77" s="208" t="s">
        <v>117</v>
      </c>
      <c r="F77" s="212">
        <v>10</v>
      </c>
      <c r="G77" s="214">
        <v>4</v>
      </c>
      <c r="H77" s="207" t="s">
        <v>118</v>
      </c>
      <c r="I77"/>
    </row>
    <row r="78" spans="1:9" hidden="1">
      <c r="A78" s="210">
        <v>46082</v>
      </c>
      <c r="B78" s="208" t="s">
        <v>80</v>
      </c>
      <c r="C78" s="208" t="s">
        <v>81</v>
      </c>
      <c r="D78" s="208" t="s">
        <v>59</v>
      </c>
      <c r="E78" s="208" t="s">
        <v>119</v>
      </c>
      <c r="F78" s="212">
        <v>8</v>
      </c>
      <c r="G78" s="214">
        <v>2</v>
      </c>
      <c r="H78" s="207" t="s">
        <v>120</v>
      </c>
      <c r="I78"/>
    </row>
    <row r="79" spans="1:9" s="60" customFormat="1" hidden="1">
      <c r="A79" s="210">
        <v>46082</v>
      </c>
      <c r="B79" s="208" t="s">
        <v>80</v>
      </c>
      <c r="C79" s="208" t="s">
        <v>81</v>
      </c>
      <c r="D79" s="208" t="s">
        <v>59</v>
      </c>
      <c r="E79" s="208" t="s">
        <v>12</v>
      </c>
      <c r="F79" s="212">
        <v>12</v>
      </c>
      <c r="G79" s="214">
        <v>3</v>
      </c>
      <c r="H79" s="211" t="s">
        <v>121</v>
      </c>
      <c r="I79"/>
    </row>
    <row r="80" spans="1:9" hidden="1">
      <c r="A80" s="210">
        <v>46082</v>
      </c>
      <c r="B80" s="208" t="s">
        <v>61</v>
      </c>
      <c r="C80" s="208" t="s">
        <v>62</v>
      </c>
      <c r="D80" s="208" t="s">
        <v>34</v>
      </c>
      <c r="E80" s="208" t="s">
        <v>63</v>
      </c>
      <c r="F80" s="212">
        <v>52.5</v>
      </c>
      <c r="G80" s="214">
        <v>16</v>
      </c>
      <c r="H80" s="207" t="s">
        <v>122</v>
      </c>
      <c r="I80"/>
    </row>
    <row r="81" spans="1:9" s="60" customFormat="1" hidden="1">
      <c r="A81" s="210">
        <v>46082</v>
      </c>
      <c r="B81" s="208" t="s">
        <v>61</v>
      </c>
      <c r="C81" s="208" t="s">
        <v>62</v>
      </c>
      <c r="D81" s="208" t="s">
        <v>35</v>
      </c>
      <c r="E81" s="208" t="s">
        <v>112</v>
      </c>
      <c r="F81" s="212">
        <v>9</v>
      </c>
      <c r="G81" s="214">
        <v>3</v>
      </c>
      <c r="H81" s="207" t="s">
        <v>123</v>
      </c>
      <c r="I81"/>
    </row>
    <row r="82" spans="1:9" hidden="1">
      <c r="A82" s="210">
        <v>46082</v>
      </c>
      <c r="B82" s="208" t="s">
        <v>61</v>
      </c>
      <c r="C82" s="208" t="s">
        <v>62</v>
      </c>
      <c r="D82" s="208" t="s">
        <v>35</v>
      </c>
      <c r="E82" s="208" t="s">
        <v>87</v>
      </c>
      <c r="F82" s="212">
        <v>46</v>
      </c>
      <c r="G82" s="214">
        <v>14</v>
      </c>
      <c r="H82" s="207" t="s">
        <v>124</v>
      </c>
      <c r="I82"/>
    </row>
    <row r="83" spans="1:9" s="60" customFormat="1" hidden="1">
      <c r="A83" s="210">
        <v>46082</v>
      </c>
      <c r="B83" s="208" t="s">
        <v>61</v>
      </c>
      <c r="C83" s="208" t="s">
        <v>62</v>
      </c>
      <c r="D83" s="208" t="s">
        <v>37</v>
      </c>
      <c r="E83" s="208" t="s">
        <v>112</v>
      </c>
      <c r="F83" s="212">
        <v>30</v>
      </c>
      <c r="G83" s="214">
        <v>10</v>
      </c>
      <c r="H83" s="207" t="s">
        <v>125</v>
      </c>
      <c r="I83"/>
    </row>
    <row r="84" spans="1:9" hidden="1">
      <c r="A84" s="210">
        <v>46082</v>
      </c>
      <c r="B84" s="208" t="s">
        <v>61</v>
      </c>
      <c r="C84" s="208" t="s">
        <v>62</v>
      </c>
      <c r="D84" s="208" t="s">
        <v>37</v>
      </c>
      <c r="E84" s="208" t="s">
        <v>63</v>
      </c>
      <c r="F84" s="212">
        <v>18</v>
      </c>
      <c r="G84" s="214">
        <v>6</v>
      </c>
      <c r="H84" s="207" t="s">
        <v>126</v>
      </c>
      <c r="I84"/>
    </row>
    <row r="85" spans="1:9" s="60" customFormat="1" hidden="1">
      <c r="A85" s="210">
        <v>46082</v>
      </c>
      <c r="B85" s="208" t="s">
        <v>61</v>
      </c>
      <c r="C85" s="208" t="s">
        <v>62</v>
      </c>
      <c r="D85" s="208" t="s">
        <v>37</v>
      </c>
      <c r="E85" s="208" t="s">
        <v>29</v>
      </c>
      <c r="F85" s="212">
        <v>3</v>
      </c>
      <c r="G85" s="214">
        <v>1</v>
      </c>
      <c r="H85" s="211">
        <v>46111</v>
      </c>
      <c r="I85"/>
    </row>
    <row r="86" spans="1:9" hidden="1">
      <c r="A86" s="210">
        <v>46082</v>
      </c>
      <c r="B86" s="208" t="s">
        <v>61</v>
      </c>
      <c r="C86" s="208" t="s">
        <v>62</v>
      </c>
      <c r="D86" s="208" t="s">
        <v>38</v>
      </c>
      <c r="E86" s="208" t="s">
        <v>127</v>
      </c>
      <c r="F86" s="212">
        <v>9</v>
      </c>
      <c r="G86" s="214">
        <v>3</v>
      </c>
      <c r="H86" s="207" t="s">
        <v>128</v>
      </c>
      <c r="I86"/>
    </row>
    <row r="87" spans="1:9" s="60" customFormat="1" hidden="1">
      <c r="A87" s="210">
        <v>46082</v>
      </c>
      <c r="B87" s="208" t="s">
        <v>61</v>
      </c>
      <c r="C87" s="208" t="s">
        <v>62</v>
      </c>
      <c r="D87" s="208" t="s">
        <v>38</v>
      </c>
      <c r="E87" s="208" t="s">
        <v>112</v>
      </c>
      <c r="F87" s="212">
        <v>15</v>
      </c>
      <c r="G87" s="214">
        <v>5</v>
      </c>
      <c r="H87" s="211" t="s">
        <v>129</v>
      </c>
      <c r="I87"/>
    </row>
    <row r="88" spans="1:9" hidden="1">
      <c r="A88" s="210">
        <v>46082</v>
      </c>
      <c r="B88" s="208" t="s">
        <v>61</v>
      </c>
      <c r="C88" s="208" t="s">
        <v>62</v>
      </c>
      <c r="D88" s="208" t="s">
        <v>38</v>
      </c>
      <c r="E88" s="208" t="s">
        <v>85</v>
      </c>
      <c r="F88" s="212">
        <v>6</v>
      </c>
      <c r="G88" s="214">
        <v>2</v>
      </c>
      <c r="H88" s="207" t="s">
        <v>130</v>
      </c>
      <c r="I88"/>
    </row>
    <row r="89" spans="1:9" s="60" customFormat="1" hidden="1">
      <c r="A89" s="210">
        <v>46082</v>
      </c>
      <c r="B89" s="208" t="s">
        <v>61</v>
      </c>
      <c r="C89" s="208" t="s">
        <v>62</v>
      </c>
      <c r="D89" s="208" t="s">
        <v>38</v>
      </c>
      <c r="E89" s="208" t="s">
        <v>87</v>
      </c>
      <c r="F89" s="212">
        <v>9</v>
      </c>
      <c r="G89" s="214">
        <v>3</v>
      </c>
      <c r="H89" s="211" t="s">
        <v>131</v>
      </c>
      <c r="I89"/>
    </row>
    <row r="90" spans="1:9" hidden="1">
      <c r="A90" s="210">
        <v>46082</v>
      </c>
      <c r="B90" s="208" t="s">
        <v>132</v>
      </c>
      <c r="C90" s="208" t="s">
        <v>133</v>
      </c>
      <c r="D90" s="208" t="s">
        <v>106</v>
      </c>
      <c r="E90" s="208" t="s">
        <v>127</v>
      </c>
      <c r="F90" s="212">
        <v>18</v>
      </c>
      <c r="G90" s="214">
        <v>6</v>
      </c>
      <c r="H90" s="211" t="s">
        <v>134</v>
      </c>
      <c r="I90"/>
    </row>
    <row r="91" spans="1:9" s="60" customFormat="1" hidden="1">
      <c r="A91" s="210">
        <v>46082</v>
      </c>
      <c r="B91" s="208" t="s">
        <v>132</v>
      </c>
      <c r="C91" s="208" t="s">
        <v>133</v>
      </c>
      <c r="D91" s="208" t="s">
        <v>135</v>
      </c>
      <c r="E91" s="208" t="s">
        <v>127</v>
      </c>
      <c r="F91" s="212">
        <v>12</v>
      </c>
      <c r="G91" s="214">
        <v>6</v>
      </c>
      <c r="H91" s="207" t="s">
        <v>134</v>
      </c>
      <c r="I91"/>
    </row>
    <row r="92" spans="1:9" hidden="1">
      <c r="A92" s="210">
        <v>46082</v>
      </c>
      <c r="B92" s="208" t="s">
        <v>132</v>
      </c>
      <c r="C92" s="208" t="s">
        <v>136</v>
      </c>
      <c r="D92" s="208" t="s">
        <v>101</v>
      </c>
      <c r="E92" s="208" t="s">
        <v>82</v>
      </c>
      <c r="F92" s="212">
        <v>6</v>
      </c>
      <c r="G92" s="214">
        <v>2</v>
      </c>
      <c r="H92" s="211" t="s">
        <v>137</v>
      </c>
      <c r="I92"/>
    </row>
    <row r="93" spans="1:9" s="60" customFormat="1" hidden="1">
      <c r="A93" s="210">
        <v>46082</v>
      </c>
      <c r="B93" s="208" t="s">
        <v>132</v>
      </c>
      <c r="C93" s="208" t="s">
        <v>136</v>
      </c>
      <c r="D93" s="208" t="s">
        <v>101</v>
      </c>
      <c r="E93" s="208" t="s">
        <v>93</v>
      </c>
      <c r="F93" s="212">
        <v>1</v>
      </c>
      <c r="G93" s="214">
        <v>1</v>
      </c>
      <c r="H93" s="211">
        <v>46092</v>
      </c>
      <c r="I93"/>
    </row>
    <row r="94" spans="1:9" hidden="1">
      <c r="A94" s="210">
        <v>46082</v>
      </c>
      <c r="B94" s="208" t="s">
        <v>132</v>
      </c>
      <c r="C94" s="208" t="s">
        <v>136</v>
      </c>
      <c r="D94" s="208" t="s">
        <v>101</v>
      </c>
      <c r="E94" s="208" t="s">
        <v>138</v>
      </c>
      <c r="F94" s="212">
        <v>9</v>
      </c>
      <c r="G94" s="214">
        <v>3</v>
      </c>
      <c r="H94" s="211" t="s">
        <v>139</v>
      </c>
      <c r="I94"/>
    </row>
    <row r="95" spans="1:9" s="60" customFormat="1" hidden="1">
      <c r="A95" s="210">
        <v>46082</v>
      </c>
      <c r="B95" s="208" t="s">
        <v>132</v>
      </c>
      <c r="C95" s="208" t="s">
        <v>136</v>
      </c>
      <c r="D95" s="208" t="s">
        <v>10</v>
      </c>
      <c r="E95" s="208" t="s">
        <v>140</v>
      </c>
      <c r="F95" s="212">
        <v>3</v>
      </c>
      <c r="G95" s="214">
        <v>1</v>
      </c>
      <c r="H95" s="211">
        <v>46106</v>
      </c>
      <c r="I95"/>
    </row>
    <row r="96" spans="1:9" hidden="1">
      <c r="A96" s="210">
        <v>46082</v>
      </c>
      <c r="B96" s="208" t="s">
        <v>132</v>
      </c>
      <c r="C96" s="208" t="s">
        <v>136</v>
      </c>
      <c r="D96" s="208" t="s">
        <v>10</v>
      </c>
      <c r="E96" s="208" t="s">
        <v>93</v>
      </c>
      <c r="F96" s="212">
        <v>0.5</v>
      </c>
      <c r="G96" s="214">
        <v>1</v>
      </c>
      <c r="H96" s="211">
        <v>46092</v>
      </c>
      <c r="I96"/>
    </row>
    <row r="97" spans="1:9" s="60" customFormat="1" hidden="1">
      <c r="A97" s="210">
        <v>46082</v>
      </c>
      <c r="B97" s="208" t="s">
        <v>132</v>
      </c>
      <c r="C97" s="208" t="s">
        <v>136</v>
      </c>
      <c r="D97" s="208" t="s">
        <v>10</v>
      </c>
      <c r="E97" s="208" t="s">
        <v>138</v>
      </c>
      <c r="F97" s="212">
        <v>12</v>
      </c>
      <c r="G97" s="214">
        <v>4</v>
      </c>
      <c r="H97" s="211" t="s">
        <v>141</v>
      </c>
      <c r="I97"/>
    </row>
    <row r="98" spans="1:9" hidden="1">
      <c r="A98" s="210">
        <v>46082</v>
      </c>
      <c r="B98" s="208" t="s">
        <v>132</v>
      </c>
      <c r="C98" s="208" t="s">
        <v>142</v>
      </c>
      <c r="D98" s="208" t="s">
        <v>101</v>
      </c>
      <c r="E98" s="208" t="s">
        <v>82</v>
      </c>
      <c r="F98" s="212">
        <v>3</v>
      </c>
      <c r="G98" s="214">
        <v>1</v>
      </c>
      <c r="H98" s="211">
        <v>46105</v>
      </c>
      <c r="I98"/>
    </row>
    <row r="99" spans="1:9" s="60" customFormat="1" hidden="1">
      <c r="A99" s="210">
        <v>46082</v>
      </c>
      <c r="B99" s="208" t="s">
        <v>132</v>
      </c>
      <c r="C99" s="208" t="s">
        <v>142</v>
      </c>
      <c r="D99" s="208" t="s">
        <v>101</v>
      </c>
      <c r="E99" s="208" t="s">
        <v>93</v>
      </c>
      <c r="F99" s="212">
        <v>0.5</v>
      </c>
      <c r="G99" s="214">
        <v>1</v>
      </c>
      <c r="H99" s="211">
        <v>46100</v>
      </c>
      <c r="I99"/>
    </row>
    <row r="100" spans="1:9" hidden="1">
      <c r="A100" s="210">
        <v>46082</v>
      </c>
      <c r="B100" s="208" t="s">
        <v>132</v>
      </c>
      <c r="C100" s="208" t="s">
        <v>142</v>
      </c>
      <c r="D100" s="208" t="s">
        <v>10</v>
      </c>
      <c r="E100" s="208" t="s">
        <v>102</v>
      </c>
      <c r="F100" s="212">
        <v>3</v>
      </c>
      <c r="G100" s="214">
        <v>1</v>
      </c>
      <c r="H100" s="211">
        <v>46105</v>
      </c>
      <c r="I100"/>
    </row>
    <row r="101" spans="1:9" s="60" customFormat="1" hidden="1">
      <c r="A101" s="210">
        <v>46082</v>
      </c>
      <c r="B101" s="208" t="s">
        <v>132</v>
      </c>
      <c r="C101" s="208" t="s">
        <v>142</v>
      </c>
      <c r="D101" s="208" t="s">
        <v>10</v>
      </c>
      <c r="E101" s="208" t="s">
        <v>93</v>
      </c>
      <c r="F101" s="212">
        <v>1</v>
      </c>
      <c r="G101" s="214">
        <v>1</v>
      </c>
      <c r="H101" s="211">
        <v>46100</v>
      </c>
      <c r="I101"/>
    </row>
    <row r="102" spans="1:9" hidden="1">
      <c r="A102" s="210">
        <v>46113</v>
      </c>
      <c r="B102" s="208" t="s">
        <v>57</v>
      </c>
      <c r="C102" s="208" t="s">
        <v>89</v>
      </c>
      <c r="D102" s="208" t="s">
        <v>90</v>
      </c>
      <c r="E102" s="208" t="s">
        <v>91</v>
      </c>
      <c r="F102" s="212">
        <v>27</v>
      </c>
      <c r="G102" s="214">
        <v>9</v>
      </c>
      <c r="H102" s="207" t="s">
        <v>143</v>
      </c>
      <c r="I102"/>
    </row>
    <row r="103" spans="1:9" s="60" customFormat="1" hidden="1">
      <c r="A103" s="210">
        <v>46113</v>
      </c>
      <c r="B103" s="208" t="s">
        <v>57</v>
      </c>
      <c r="C103" s="208" t="s">
        <v>94</v>
      </c>
      <c r="D103" s="208" t="s">
        <v>59</v>
      </c>
      <c r="E103" s="208" t="s">
        <v>60</v>
      </c>
      <c r="F103" s="212">
        <v>2.5</v>
      </c>
      <c r="G103" s="214">
        <v>1</v>
      </c>
      <c r="H103" s="211">
        <v>46122</v>
      </c>
      <c r="I103"/>
    </row>
    <row r="104" spans="1:9" hidden="1">
      <c r="A104" s="210">
        <v>46113</v>
      </c>
      <c r="B104" s="208" t="s">
        <v>57</v>
      </c>
      <c r="C104" s="208" t="s">
        <v>94</v>
      </c>
      <c r="D104" s="208" t="s">
        <v>59</v>
      </c>
      <c r="E104" s="208" t="s">
        <v>12</v>
      </c>
      <c r="F104" s="212">
        <v>5</v>
      </c>
      <c r="G104" s="214">
        <v>2</v>
      </c>
      <c r="H104" s="207" t="s">
        <v>144</v>
      </c>
      <c r="I104"/>
    </row>
    <row r="105" spans="1:9" s="60" customFormat="1" hidden="1">
      <c r="A105" s="210">
        <v>46113</v>
      </c>
      <c r="B105" s="208" t="s">
        <v>57</v>
      </c>
      <c r="C105" s="208" t="s">
        <v>94</v>
      </c>
      <c r="D105" s="208" t="s">
        <v>59</v>
      </c>
      <c r="E105" s="208" t="s">
        <v>85</v>
      </c>
      <c r="F105" s="212">
        <v>7.5</v>
      </c>
      <c r="G105" s="214">
        <v>3</v>
      </c>
      <c r="H105" s="207" t="s">
        <v>145</v>
      </c>
      <c r="I105"/>
    </row>
    <row r="106" spans="1:9" hidden="1">
      <c r="A106" s="210">
        <v>46113</v>
      </c>
      <c r="B106" s="208" t="s">
        <v>57</v>
      </c>
      <c r="C106" s="208" t="s">
        <v>94</v>
      </c>
      <c r="D106" s="208" t="s">
        <v>59</v>
      </c>
      <c r="E106" s="208" t="s">
        <v>95</v>
      </c>
      <c r="F106" s="212">
        <v>10</v>
      </c>
      <c r="G106" s="214">
        <v>4</v>
      </c>
      <c r="H106" s="207" t="s">
        <v>146</v>
      </c>
      <c r="I106"/>
    </row>
    <row r="107" spans="1:9" s="60" customFormat="1" hidden="1">
      <c r="A107" s="210">
        <v>46113</v>
      </c>
      <c r="B107" s="208" t="s">
        <v>57</v>
      </c>
      <c r="C107" s="208" t="s">
        <v>58</v>
      </c>
      <c r="D107" s="208" t="s">
        <v>59</v>
      </c>
      <c r="E107" s="208" t="s">
        <v>70</v>
      </c>
      <c r="F107" s="212">
        <v>5</v>
      </c>
      <c r="G107" s="214">
        <v>2</v>
      </c>
      <c r="H107" s="207" t="s">
        <v>147</v>
      </c>
      <c r="I107"/>
    </row>
    <row r="108" spans="1:9" hidden="1">
      <c r="A108" s="210">
        <v>46113</v>
      </c>
      <c r="B108" s="208" t="s">
        <v>57</v>
      </c>
      <c r="C108" s="208" t="s">
        <v>58</v>
      </c>
      <c r="D108" s="208" t="s">
        <v>59</v>
      </c>
      <c r="E108" s="208" t="s">
        <v>85</v>
      </c>
      <c r="F108" s="212">
        <v>12.5</v>
      </c>
      <c r="G108" s="214">
        <v>5</v>
      </c>
      <c r="H108" s="207" t="s">
        <v>148</v>
      </c>
      <c r="I108"/>
    </row>
    <row r="109" spans="1:9" s="60" customFormat="1" hidden="1">
      <c r="A109" s="210">
        <v>46113</v>
      </c>
      <c r="B109" s="208" t="s">
        <v>57</v>
      </c>
      <c r="C109" s="208" t="s">
        <v>74</v>
      </c>
      <c r="D109" s="208" t="s">
        <v>59</v>
      </c>
      <c r="E109" s="208" t="s">
        <v>66</v>
      </c>
      <c r="F109" s="212">
        <v>8</v>
      </c>
      <c r="G109" s="214">
        <v>4</v>
      </c>
      <c r="H109" s="207" t="s">
        <v>149</v>
      </c>
      <c r="I109"/>
    </row>
    <row r="110" spans="1:9" hidden="1">
      <c r="A110" s="210">
        <v>46113</v>
      </c>
      <c r="B110" s="208" t="s">
        <v>99</v>
      </c>
      <c r="C110" s="208" t="s">
        <v>100</v>
      </c>
      <c r="D110" s="208" t="s">
        <v>101</v>
      </c>
      <c r="E110" s="208" t="s">
        <v>102</v>
      </c>
      <c r="F110" s="212">
        <v>12.5</v>
      </c>
      <c r="G110" s="214">
        <v>5</v>
      </c>
      <c r="H110" s="207" t="s">
        <v>150</v>
      </c>
      <c r="I110"/>
    </row>
    <row r="111" spans="1:9" s="60" customFormat="1" hidden="1">
      <c r="A111" s="210">
        <v>46113</v>
      </c>
      <c r="B111" s="208" t="s">
        <v>99</v>
      </c>
      <c r="C111" s="208" t="s">
        <v>100</v>
      </c>
      <c r="D111" s="208" t="s">
        <v>10</v>
      </c>
      <c r="E111" s="208" t="s">
        <v>29</v>
      </c>
      <c r="F111" s="212">
        <v>15</v>
      </c>
      <c r="G111" s="214">
        <v>6</v>
      </c>
      <c r="H111" s="211" t="s">
        <v>151</v>
      </c>
      <c r="I111"/>
    </row>
    <row r="112" spans="1:9" hidden="1">
      <c r="A112" s="210">
        <v>46113</v>
      </c>
      <c r="B112" s="208" t="s">
        <v>99</v>
      </c>
      <c r="C112" s="208" t="s">
        <v>100</v>
      </c>
      <c r="D112" s="208" t="s">
        <v>104</v>
      </c>
      <c r="E112" s="208" t="s">
        <v>70</v>
      </c>
      <c r="F112" s="212">
        <v>10</v>
      </c>
      <c r="G112" s="214">
        <v>4</v>
      </c>
      <c r="H112" s="207" t="s">
        <v>152</v>
      </c>
      <c r="I112"/>
    </row>
    <row r="113" spans="1:9" s="60" customFormat="1" hidden="1">
      <c r="A113" s="210">
        <v>46113</v>
      </c>
      <c r="B113" s="208" t="s">
        <v>99</v>
      </c>
      <c r="C113" s="208" t="s">
        <v>100</v>
      </c>
      <c r="D113" s="208" t="s">
        <v>106</v>
      </c>
      <c r="E113" s="208" t="s">
        <v>19</v>
      </c>
      <c r="F113" s="212">
        <v>10</v>
      </c>
      <c r="G113" s="214">
        <v>4</v>
      </c>
      <c r="H113" s="207" t="s">
        <v>152</v>
      </c>
      <c r="I113"/>
    </row>
    <row r="114" spans="1:9" hidden="1">
      <c r="A114" s="210">
        <v>46113</v>
      </c>
      <c r="B114" s="208" t="s">
        <v>99</v>
      </c>
      <c r="C114" s="208" t="s">
        <v>108</v>
      </c>
      <c r="D114" s="208" t="s">
        <v>101</v>
      </c>
      <c r="E114" s="208" t="s">
        <v>109</v>
      </c>
      <c r="F114" s="212">
        <v>10</v>
      </c>
      <c r="G114" s="214">
        <v>5</v>
      </c>
      <c r="H114" s="207" t="s">
        <v>153</v>
      </c>
      <c r="I114"/>
    </row>
    <row r="115" spans="1:9" s="60" customFormat="1" hidden="1">
      <c r="A115" s="210">
        <v>46113</v>
      </c>
      <c r="B115" s="208" t="s">
        <v>99</v>
      </c>
      <c r="C115" s="208" t="s">
        <v>108</v>
      </c>
      <c r="D115" s="208" t="s">
        <v>10</v>
      </c>
      <c r="E115" s="208" t="s">
        <v>63</v>
      </c>
      <c r="F115" s="212">
        <v>14</v>
      </c>
      <c r="G115" s="214">
        <v>7</v>
      </c>
      <c r="H115" s="207" t="s">
        <v>154</v>
      </c>
      <c r="I115"/>
    </row>
    <row r="116" spans="1:9" hidden="1">
      <c r="A116" s="210">
        <v>46113</v>
      </c>
      <c r="B116" s="208" t="s">
        <v>99</v>
      </c>
      <c r="C116" s="208" t="s">
        <v>108</v>
      </c>
      <c r="D116" s="208" t="s">
        <v>104</v>
      </c>
      <c r="E116" s="208" t="s">
        <v>109</v>
      </c>
      <c r="F116" s="212">
        <v>10</v>
      </c>
      <c r="G116" s="214">
        <v>5</v>
      </c>
      <c r="H116" s="207" t="s">
        <v>155</v>
      </c>
      <c r="I116"/>
    </row>
    <row r="117" spans="1:9" s="60" customFormat="1" hidden="1">
      <c r="A117" s="210">
        <v>46113</v>
      </c>
      <c r="B117" s="208" t="s">
        <v>99</v>
      </c>
      <c r="C117" s="208" t="s">
        <v>108</v>
      </c>
      <c r="D117" s="208" t="s">
        <v>106</v>
      </c>
      <c r="E117" s="208" t="s">
        <v>109</v>
      </c>
      <c r="F117" s="212">
        <v>2.5</v>
      </c>
      <c r="G117" s="214">
        <v>1</v>
      </c>
      <c r="H117" s="211">
        <v>46129</v>
      </c>
      <c r="I117"/>
    </row>
    <row r="118" spans="1:9" hidden="1">
      <c r="A118" s="210">
        <v>46113</v>
      </c>
      <c r="B118" s="208" t="s">
        <v>99</v>
      </c>
      <c r="C118" s="208" t="s">
        <v>108</v>
      </c>
      <c r="D118" s="208" t="s">
        <v>106</v>
      </c>
      <c r="E118" s="208" t="s">
        <v>112</v>
      </c>
      <c r="F118" s="212">
        <v>10</v>
      </c>
      <c r="G118" s="214">
        <v>4</v>
      </c>
      <c r="H118" s="207" t="s">
        <v>156</v>
      </c>
      <c r="I118"/>
    </row>
    <row r="119" spans="1:9" s="60" customFormat="1" hidden="1">
      <c r="A119" s="210">
        <v>46113</v>
      </c>
      <c r="B119" s="208" t="s">
        <v>99</v>
      </c>
      <c r="C119" s="208" t="s">
        <v>108</v>
      </c>
      <c r="D119" s="208" t="s">
        <v>106</v>
      </c>
      <c r="E119" s="208" t="s">
        <v>63</v>
      </c>
      <c r="F119" s="212">
        <v>5</v>
      </c>
      <c r="G119" s="214">
        <v>2</v>
      </c>
      <c r="H119" s="207" t="s">
        <v>157</v>
      </c>
      <c r="I119"/>
    </row>
    <row r="120" spans="1:9" hidden="1">
      <c r="A120" s="210">
        <v>46113</v>
      </c>
      <c r="B120" s="208" t="s">
        <v>76</v>
      </c>
      <c r="C120" s="208" t="s">
        <v>158</v>
      </c>
      <c r="D120" s="208" t="s">
        <v>101</v>
      </c>
      <c r="E120" s="208" t="s">
        <v>159</v>
      </c>
      <c r="F120" s="212">
        <v>16</v>
      </c>
      <c r="G120" s="214">
        <v>2</v>
      </c>
      <c r="H120" s="207" t="s">
        <v>160</v>
      </c>
      <c r="I120"/>
    </row>
    <row r="121" spans="1:9" s="60" customFormat="1" hidden="1">
      <c r="A121" s="210">
        <v>46113</v>
      </c>
      <c r="B121" s="208" t="s">
        <v>161</v>
      </c>
      <c r="C121" s="208" t="s">
        <v>162</v>
      </c>
      <c r="D121" s="208" t="s">
        <v>101</v>
      </c>
      <c r="E121" s="208" t="s">
        <v>163</v>
      </c>
      <c r="F121" s="212">
        <v>2.5</v>
      </c>
      <c r="G121" s="214">
        <v>1</v>
      </c>
      <c r="H121" s="211">
        <v>46140</v>
      </c>
      <c r="I121"/>
    </row>
    <row r="122" spans="1:9" hidden="1">
      <c r="A122" s="210">
        <v>46113</v>
      </c>
      <c r="B122" s="208" t="s">
        <v>115</v>
      </c>
      <c r="C122" s="208" t="s">
        <v>116</v>
      </c>
      <c r="D122" s="208" t="s">
        <v>101</v>
      </c>
      <c r="E122" s="208" t="s">
        <v>164</v>
      </c>
      <c r="F122" s="212">
        <v>16.5</v>
      </c>
      <c r="G122" s="214">
        <v>7</v>
      </c>
      <c r="H122" s="207" t="s">
        <v>165</v>
      </c>
      <c r="I122"/>
    </row>
    <row r="123" spans="1:9" s="60" customFormat="1" hidden="1">
      <c r="A123" s="210">
        <v>46113</v>
      </c>
      <c r="B123" s="208" t="s">
        <v>115</v>
      </c>
      <c r="C123" s="208" t="s">
        <v>116</v>
      </c>
      <c r="D123" s="208" t="s">
        <v>101</v>
      </c>
      <c r="E123" s="208" t="s">
        <v>117</v>
      </c>
      <c r="F123" s="212">
        <v>5</v>
      </c>
      <c r="G123" s="214">
        <v>2</v>
      </c>
      <c r="H123" s="207" t="s">
        <v>166</v>
      </c>
      <c r="I123"/>
    </row>
    <row r="124" spans="1:9" hidden="1">
      <c r="A124" s="210">
        <v>46113</v>
      </c>
      <c r="B124" s="208" t="s">
        <v>80</v>
      </c>
      <c r="C124" s="208" t="s">
        <v>81</v>
      </c>
      <c r="D124" s="208" t="s">
        <v>59</v>
      </c>
      <c r="E124" s="208" t="s">
        <v>119</v>
      </c>
      <c r="F124" s="212">
        <v>8</v>
      </c>
      <c r="G124" s="214">
        <v>2</v>
      </c>
      <c r="H124" s="207" t="s">
        <v>167</v>
      </c>
      <c r="I124"/>
    </row>
    <row r="125" spans="1:9" s="60" customFormat="1" hidden="1">
      <c r="A125" s="210">
        <v>46113</v>
      </c>
      <c r="B125" s="208" t="s">
        <v>80</v>
      </c>
      <c r="C125" s="208" t="s">
        <v>81</v>
      </c>
      <c r="D125" s="208" t="s">
        <v>59</v>
      </c>
      <c r="E125" s="208" t="s">
        <v>12</v>
      </c>
      <c r="F125" s="212">
        <v>31</v>
      </c>
      <c r="G125" s="214">
        <v>6</v>
      </c>
      <c r="H125" s="211" t="s">
        <v>168</v>
      </c>
      <c r="I125"/>
    </row>
    <row r="126" spans="1:9" hidden="1">
      <c r="A126" s="210">
        <v>46113</v>
      </c>
      <c r="B126" s="208" t="s">
        <v>61</v>
      </c>
      <c r="C126" s="208" t="s">
        <v>62</v>
      </c>
      <c r="D126" s="208" t="s">
        <v>34</v>
      </c>
      <c r="E126" s="208" t="s">
        <v>169</v>
      </c>
      <c r="F126" s="212">
        <v>6</v>
      </c>
      <c r="G126" s="214">
        <v>2</v>
      </c>
      <c r="H126" s="207" t="s">
        <v>170</v>
      </c>
      <c r="I126"/>
    </row>
    <row r="127" spans="1:9" s="60" customFormat="1" hidden="1">
      <c r="A127" s="210">
        <v>46113</v>
      </c>
      <c r="B127" s="208" t="s">
        <v>61</v>
      </c>
      <c r="C127" s="208" t="s">
        <v>62</v>
      </c>
      <c r="D127" s="208" t="s">
        <v>35</v>
      </c>
      <c r="E127" s="208" t="s">
        <v>169</v>
      </c>
      <c r="F127" s="212">
        <v>6</v>
      </c>
      <c r="G127" s="214">
        <v>2</v>
      </c>
      <c r="H127" s="207" t="s">
        <v>170</v>
      </c>
      <c r="I127"/>
    </row>
    <row r="128" spans="1:9" hidden="1">
      <c r="A128" s="210">
        <v>46113</v>
      </c>
      <c r="B128" s="208" t="s">
        <v>61</v>
      </c>
      <c r="C128" s="208" t="s">
        <v>62</v>
      </c>
      <c r="D128" s="208" t="s">
        <v>37</v>
      </c>
      <c r="E128" s="208" t="s">
        <v>112</v>
      </c>
      <c r="F128" s="212">
        <v>60</v>
      </c>
      <c r="G128" s="214">
        <v>20</v>
      </c>
      <c r="H128" s="207" t="s">
        <v>171</v>
      </c>
      <c r="I128"/>
    </row>
    <row r="129" spans="1:9" s="60" customFormat="1" hidden="1">
      <c r="A129" s="210">
        <v>46113</v>
      </c>
      <c r="B129" s="208" t="s">
        <v>61</v>
      </c>
      <c r="C129" s="208" t="s">
        <v>62</v>
      </c>
      <c r="D129" s="208" t="s">
        <v>38</v>
      </c>
      <c r="E129" s="208" t="s">
        <v>127</v>
      </c>
      <c r="F129" s="212">
        <v>63</v>
      </c>
      <c r="G129" s="214">
        <v>21</v>
      </c>
      <c r="H129" s="207" t="s">
        <v>172</v>
      </c>
      <c r="I129"/>
    </row>
    <row r="130" spans="1:9" hidden="1">
      <c r="A130" s="210">
        <v>46113</v>
      </c>
      <c r="B130" s="208" t="s">
        <v>132</v>
      </c>
      <c r="C130" s="208" t="s">
        <v>133</v>
      </c>
      <c r="D130" s="208" t="s">
        <v>106</v>
      </c>
      <c r="E130" s="208" t="s">
        <v>127</v>
      </c>
      <c r="F130" s="212">
        <v>30</v>
      </c>
      <c r="G130" s="214">
        <v>11</v>
      </c>
      <c r="H130" s="207" t="s">
        <v>173</v>
      </c>
      <c r="I130"/>
    </row>
    <row r="131" spans="1:9" s="60" customFormat="1" hidden="1">
      <c r="A131" s="210">
        <v>46113</v>
      </c>
      <c r="B131" s="208" t="s">
        <v>132</v>
      </c>
      <c r="C131" s="208" t="s">
        <v>133</v>
      </c>
      <c r="D131" s="208" t="s">
        <v>135</v>
      </c>
      <c r="E131" s="208" t="s">
        <v>63</v>
      </c>
      <c r="F131" s="212">
        <v>24</v>
      </c>
      <c r="G131" s="214">
        <v>12</v>
      </c>
      <c r="H131" s="211" t="s">
        <v>174</v>
      </c>
      <c r="I131"/>
    </row>
    <row r="132" spans="1:9" hidden="1">
      <c r="A132" s="210">
        <v>46113</v>
      </c>
      <c r="B132" s="208" t="s">
        <v>132</v>
      </c>
      <c r="C132" s="208" t="s">
        <v>136</v>
      </c>
      <c r="D132" s="208" t="s">
        <v>101</v>
      </c>
      <c r="E132" s="208" t="s">
        <v>82</v>
      </c>
      <c r="F132" s="212">
        <v>3</v>
      </c>
      <c r="G132" s="214">
        <v>1</v>
      </c>
      <c r="H132" s="211">
        <v>46141</v>
      </c>
      <c r="I132"/>
    </row>
    <row r="133" spans="1:9" s="60" customFormat="1" hidden="1">
      <c r="A133" s="210">
        <v>46113</v>
      </c>
      <c r="B133" s="208" t="s">
        <v>132</v>
      </c>
      <c r="C133" s="208" t="s">
        <v>136</v>
      </c>
      <c r="D133" s="208" t="s">
        <v>101</v>
      </c>
      <c r="E133" s="208" t="s">
        <v>140</v>
      </c>
      <c r="F133" s="212">
        <v>12</v>
      </c>
      <c r="G133" s="214">
        <v>4</v>
      </c>
      <c r="H133" s="207" t="s">
        <v>175</v>
      </c>
      <c r="I133"/>
    </row>
    <row r="134" spans="1:9" hidden="1">
      <c r="A134" s="210">
        <v>46113</v>
      </c>
      <c r="B134" s="208" t="s">
        <v>132</v>
      </c>
      <c r="C134" s="208" t="s">
        <v>136</v>
      </c>
      <c r="D134" s="208" t="s">
        <v>101</v>
      </c>
      <c r="E134" s="208" t="s">
        <v>138</v>
      </c>
      <c r="F134" s="212">
        <v>6</v>
      </c>
      <c r="G134" s="214">
        <v>2</v>
      </c>
      <c r="H134" s="211" t="s">
        <v>176</v>
      </c>
      <c r="I134"/>
    </row>
    <row r="135" spans="1:9" s="60" customFormat="1" hidden="1">
      <c r="A135" s="210">
        <v>46113</v>
      </c>
      <c r="B135" s="208" t="s">
        <v>132</v>
      </c>
      <c r="C135" s="208" t="s">
        <v>136</v>
      </c>
      <c r="D135" s="208" t="s">
        <v>10</v>
      </c>
      <c r="E135" s="208" t="s">
        <v>140</v>
      </c>
      <c r="F135" s="212">
        <v>9</v>
      </c>
      <c r="G135" s="214">
        <v>3</v>
      </c>
      <c r="H135" s="207" t="s">
        <v>177</v>
      </c>
      <c r="I135"/>
    </row>
    <row r="136" spans="1:9" hidden="1">
      <c r="A136" s="210">
        <v>46113</v>
      </c>
      <c r="B136" s="208" t="s">
        <v>132</v>
      </c>
      <c r="C136" s="208" t="s">
        <v>136</v>
      </c>
      <c r="D136" s="208" t="s">
        <v>10</v>
      </c>
      <c r="E136" s="208" t="s">
        <v>138</v>
      </c>
      <c r="F136" s="212">
        <v>12</v>
      </c>
      <c r="G136" s="214">
        <v>4</v>
      </c>
      <c r="H136" s="211" t="s">
        <v>178</v>
      </c>
      <c r="I136"/>
    </row>
    <row r="137" spans="1:9" s="60" customFormat="1" hidden="1">
      <c r="A137" s="210">
        <v>46113</v>
      </c>
      <c r="B137" s="208" t="s">
        <v>132</v>
      </c>
      <c r="C137" s="208" t="s">
        <v>142</v>
      </c>
      <c r="D137" s="208" t="s">
        <v>101</v>
      </c>
      <c r="E137" s="208" t="s">
        <v>179</v>
      </c>
      <c r="F137" s="212">
        <v>12</v>
      </c>
      <c r="G137" s="214">
        <v>4</v>
      </c>
      <c r="H137" s="207" t="s">
        <v>180</v>
      </c>
      <c r="I137"/>
    </row>
    <row r="138" spans="1:9" hidden="1">
      <c r="A138" s="210">
        <v>46113</v>
      </c>
      <c r="B138" s="208" t="s">
        <v>132</v>
      </c>
      <c r="C138" s="208" t="s">
        <v>142</v>
      </c>
      <c r="D138" s="208" t="s">
        <v>101</v>
      </c>
      <c r="E138" s="208" t="s">
        <v>138</v>
      </c>
      <c r="F138" s="212">
        <v>6</v>
      </c>
      <c r="G138" s="214">
        <v>2</v>
      </c>
      <c r="H138" s="211" t="s">
        <v>181</v>
      </c>
      <c r="I138"/>
    </row>
    <row r="139" spans="1:9" s="60" customFormat="1" hidden="1">
      <c r="A139" s="210">
        <v>46113</v>
      </c>
      <c r="B139" s="208" t="s">
        <v>132</v>
      </c>
      <c r="C139" s="208" t="s">
        <v>142</v>
      </c>
      <c r="D139" s="208" t="s">
        <v>10</v>
      </c>
      <c r="E139" s="208" t="s">
        <v>102</v>
      </c>
      <c r="F139" s="212">
        <v>18</v>
      </c>
      <c r="G139" s="214">
        <v>6</v>
      </c>
      <c r="H139" s="211" t="s">
        <v>182</v>
      </c>
      <c r="I139"/>
    </row>
    <row r="140" spans="1:9" hidden="1">
      <c r="A140" s="210">
        <v>46113</v>
      </c>
      <c r="B140" s="208" t="s">
        <v>132</v>
      </c>
      <c r="C140" s="208" t="s">
        <v>183</v>
      </c>
      <c r="D140" s="208" t="s">
        <v>101</v>
      </c>
      <c r="E140" s="208" t="s">
        <v>164</v>
      </c>
      <c r="F140" s="212">
        <v>2.5</v>
      </c>
      <c r="G140" s="214">
        <v>1</v>
      </c>
      <c r="H140" s="211">
        <v>46139</v>
      </c>
      <c r="I140"/>
    </row>
    <row r="141" spans="1:9" s="60" customFormat="1" hidden="1">
      <c r="A141" s="210">
        <v>46113</v>
      </c>
      <c r="B141" s="208" t="s">
        <v>132</v>
      </c>
      <c r="C141" s="208" t="s">
        <v>184</v>
      </c>
      <c r="D141" s="208" t="s">
        <v>101</v>
      </c>
      <c r="E141" s="208" t="s">
        <v>185</v>
      </c>
      <c r="F141" s="212">
        <v>0.5</v>
      </c>
      <c r="G141" s="214">
        <v>1</v>
      </c>
      <c r="H141" s="211">
        <v>46140</v>
      </c>
      <c r="I141"/>
    </row>
    <row r="142" spans="1:9" hidden="1">
      <c r="A142" s="210">
        <v>46143</v>
      </c>
      <c r="B142" s="208" t="s">
        <v>57</v>
      </c>
      <c r="C142" s="208" t="s">
        <v>89</v>
      </c>
      <c r="D142" s="208" t="s">
        <v>90</v>
      </c>
      <c r="E142" s="208" t="s">
        <v>91</v>
      </c>
      <c r="F142" s="212">
        <v>18</v>
      </c>
      <c r="G142" s="214">
        <v>6</v>
      </c>
      <c r="H142" s="211" t="s">
        <v>186</v>
      </c>
      <c r="I142"/>
    </row>
    <row r="143" spans="1:9" s="60" customFormat="1" hidden="1">
      <c r="A143" s="210">
        <v>46143</v>
      </c>
      <c r="B143" s="208" t="s">
        <v>57</v>
      </c>
      <c r="C143" s="208" t="s">
        <v>94</v>
      </c>
      <c r="D143" s="208" t="s">
        <v>59</v>
      </c>
      <c r="E143" s="208" t="s">
        <v>60</v>
      </c>
      <c r="F143" s="212">
        <v>2.5</v>
      </c>
      <c r="G143" s="214">
        <v>1</v>
      </c>
      <c r="H143" s="211">
        <v>46157</v>
      </c>
      <c r="I143"/>
    </row>
    <row r="144" spans="1:9" hidden="1">
      <c r="A144" s="210">
        <v>46143</v>
      </c>
      <c r="B144" s="208" t="s">
        <v>57</v>
      </c>
      <c r="C144" s="208" t="s">
        <v>94</v>
      </c>
      <c r="D144" s="208" t="s">
        <v>59</v>
      </c>
      <c r="E144" s="208" t="s">
        <v>12</v>
      </c>
      <c r="F144" s="212">
        <v>12.5</v>
      </c>
      <c r="G144" s="214">
        <v>5</v>
      </c>
      <c r="H144" s="211" t="s">
        <v>187</v>
      </c>
      <c r="I144"/>
    </row>
    <row r="145" spans="1:9" s="60" customFormat="1" hidden="1">
      <c r="A145" s="210">
        <v>46143</v>
      </c>
      <c r="B145" s="208" t="s">
        <v>57</v>
      </c>
      <c r="C145" s="208" t="s">
        <v>94</v>
      </c>
      <c r="D145" s="208" t="s">
        <v>59</v>
      </c>
      <c r="E145" s="208" t="s">
        <v>85</v>
      </c>
      <c r="F145" s="212">
        <v>2.5</v>
      </c>
      <c r="G145" s="214">
        <v>1</v>
      </c>
      <c r="H145" s="211">
        <v>46147</v>
      </c>
      <c r="I145"/>
    </row>
    <row r="146" spans="1:9" hidden="1">
      <c r="A146" s="210">
        <v>46143</v>
      </c>
      <c r="B146" s="208" t="s">
        <v>57</v>
      </c>
      <c r="C146" s="208" t="s">
        <v>58</v>
      </c>
      <c r="D146" s="208" t="s">
        <v>59</v>
      </c>
      <c r="E146" s="208" t="s">
        <v>70</v>
      </c>
      <c r="F146" s="212">
        <v>5</v>
      </c>
      <c r="G146" s="214">
        <v>1</v>
      </c>
      <c r="H146" s="211">
        <v>46146</v>
      </c>
      <c r="I146"/>
    </row>
    <row r="147" spans="1:9" s="60" customFormat="1" hidden="1">
      <c r="A147" s="210">
        <v>46143</v>
      </c>
      <c r="B147" s="208" t="s">
        <v>99</v>
      </c>
      <c r="C147" s="208" t="s">
        <v>100</v>
      </c>
      <c r="D147" s="208" t="s">
        <v>101</v>
      </c>
      <c r="E147" s="208" t="s">
        <v>102</v>
      </c>
      <c r="F147" s="212">
        <v>17.5</v>
      </c>
      <c r="G147" s="214">
        <v>7</v>
      </c>
      <c r="H147" s="207" t="s">
        <v>188</v>
      </c>
      <c r="I147"/>
    </row>
    <row r="148" spans="1:9" hidden="1">
      <c r="A148" s="210">
        <v>46143</v>
      </c>
      <c r="B148" s="208" t="s">
        <v>99</v>
      </c>
      <c r="C148" s="208" t="s">
        <v>100</v>
      </c>
      <c r="D148" s="208" t="s">
        <v>10</v>
      </c>
      <c r="E148" s="208" t="s">
        <v>29</v>
      </c>
      <c r="F148" s="212">
        <v>15</v>
      </c>
      <c r="G148" s="214">
        <v>6</v>
      </c>
      <c r="H148" s="211" t="s">
        <v>189</v>
      </c>
      <c r="I148"/>
    </row>
    <row r="149" spans="1:9" s="60" customFormat="1" hidden="1">
      <c r="A149" s="210">
        <v>46143</v>
      </c>
      <c r="B149" s="208" t="s">
        <v>99</v>
      </c>
      <c r="C149" s="208" t="s">
        <v>100</v>
      </c>
      <c r="D149" s="208" t="s">
        <v>104</v>
      </c>
      <c r="E149" s="208" t="s">
        <v>70</v>
      </c>
      <c r="F149" s="212">
        <v>15</v>
      </c>
      <c r="G149" s="214">
        <v>6</v>
      </c>
      <c r="H149" s="211" t="s">
        <v>190</v>
      </c>
      <c r="I149"/>
    </row>
    <row r="150" spans="1:9" hidden="1">
      <c r="A150" s="210">
        <v>46143</v>
      </c>
      <c r="B150" s="208" t="s">
        <v>99</v>
      </c>
      <c r="C150" s="208" t="s">
        <v>100</v>
      </c>
      <c r="D150" s="208" t="s">
        <v>106</v>
      </c>
      <c r="E150" s="208" t="s">
        <v>19</v>
      </c>
      <c r="F150" s="212">
        <v>12.5</v>
      </c>
      <c r="G150" s="214">
        <v>5</v>
      </c>
      <c r="H150" s="207" t="s">
        <v>191</v>
      </c>
      <c r="I150"/>
    </row>
    <row r="151" spans="1:9" s="60" customFormat="1" hidden="1">
      <c r="A151" s="210">
        <v>46143</v>
      </c>
      <c r="B151" s="208" t="s">
        <v>99</v>
      </c>
      <c r="C151" s="208" t="s">
        <v>108</v>
      </c>
      <c r="D151" s="208" t="s">
        <v>101</v>
      </c>
      <c r="E151" s="208" t="s">
        <v>112</v>
      </c>
      <c r="F151" s="212">
        <v>12</v>
      </c>
      <c r="G151" s="214">
        <v>3</v>
      </c>
      <c r="H151" s="207" t="s">
        <v>192</v>
      </c>
      <c r="I151"/>
    </row>
    <row r="152" spans="1:9" hidden="1">
      <c r="A152" s="210">
        <v>46143</v>
      </c>
      <c r="B152" s="208" t="s">
        <v>99</v>
      </c>
      <c r="C152" s="208" t="s">
        <v>108</v>
      </c>
      <c r="D152" s="208" t="s">
        <v>10</v>
      </c>
      <c r="E152" s="208" t="s">
        <v>63</v>
      </c>
      <c r="F152" s="212">
        <v>12</v>
      </c>
      <c r="G152" s="214">
        <v>3</v>
      </c>
      <c r="H152" s="211" t="s">
        <v>193</v>
      </c>
      <c r="I152"/>
    </row>
    <row r="153" spans="1:9" s="60" customFormat="1" hidden="1">
      <c r="A153" s="210">
        <v>46143</v>
      </c>
      <c r="B153" s="208" t="s">
        <v>99</v>
      </c>
      <c r="C153" s="208" t="s">
        <v>108</v>
      </c>
      <c r="D153" s="208" t="s">
        <v>104</v>
      </c>
      <c r="E153" s="208" t="s">
        <v>109</v>
      </c>
      <c r="F153" s="212">
        <v>12</v>
      </c>
      <c r="G153" s="214">
        <v>3</v>
      </c>
      <c r="H153" s="211" t="s">
        <v>192</v>
      </c>
      <c r="I153"/>
    </row>
    <row r="154" spans="1:9" hidden="1">
      <c r="A154" s="210">
        <v>46143</v>
      </c>
      <c r="B154" s="208" t="s">
        <v>99</v>
      </c>
      <c r="C154" s="208" t="s">
        <v>108</v>
      </c>
      <c r="D154" s="208" t="s">
        <v>106</v>
      </c>
      <c r="E154" s="208" t="s">
        <v>91</v>
      </c>
      <c r="F154" s="212">
        <v>12</v>
      </c>
      <c r="G154" s="214">
        <v>3</v>
      </c>
      <c r="H154" s="207" t="s">
        <v>193</v>
      </c>
      <c r="I154"/>
    </row>
    <row r="155" spans="1:9" s="60" customFormat="1" hidden="1">
      <c r="A155" s="210">
        <v>46143</v>
      </c>
      <c r="B155" s="208" t="s">
        <v>161</v>
      </c>
      <c r="C155" s="208" t="s">
        <v>162</v>
      </c>
      <c r="D155" s="208" t="s">
        <v>101</v>
      </c>
      <c r="E155" s="208" t="s">
        <v>163</v>
      </c>
      <c r="F155" s="212">
        <v>16</v>
      </c>
      <c r="G155" s="214">
        <v>5</v>
      </c>
      <c r="H155" s="211" t="s">
        <v>194</v>
      </c>
      <c r="I155"/>
    </row>
    <row r="156" spans="1:9" hidden="1">
      <c r="A156" s="210">
        <v>46143</v>
      </c>
      <c r="B156" s="208" t="s">
        <v>115</v>
      </c>
      <c r="C156" s="208" t="s">
        <v>116</v>
      </c>
      <c r="D156" s="208" t="s">
        <v>101</v>
      </c>
      <c r="E156" s="208" t="s">
        <v>164</v>
      </c>
      <c r="F156" s="212">
        <v>15</v>
      </c>
      <c r="G156" s="214">
        <v>10</v>
      </c>
      <c r="H156" s="207" t="s">
        <v>195</v>
      </c>
      <c r="I156"/>
    </row>
    <row r="157" spans="1:9" s="60" customFormat="1" hidden="1">
      <c r="A157" s="210">
        <v>46143</v>
      </c>
      <c r="B157" s="208" t="s">
        <v>115</v>
      </c>
      <c r="C157" s="208" t="s">
        <v>116</v>
      </c>
      <c r="D157" s="208" t="s">
        <v>101</v>
      </c>
      <c r="E157" s="208" t="s">
        <v>117</v>
      </c>
      <c r="F157" s="212">
        <v>1.5</v>
      </c>
      <c r="G157" s="214">
        <v>1</v>
      </c>
      <c r="H157" s="211">
        <v>46154</v>
      </c>
      <c r="I157"/>
    </row>
    <row r="158" spans="1:9" hidden="1">
      <c r="A158" s="210">
        <v>46143</v>
      </c>
      <c r="B158" s="208" t="s">
        <v>196</v>
      </c>
      <c r="C158" s="208" t="s">
        <v>197</v>
      </c>
      <c r="D158" s="208" t="s">
        <v>101</v>
      </c>
      <c r="E158" s="208" t="s">
        <v>78</v>
      </c>
      <c r="F158" s="212">
        <v>4</v>
      </c>
      <c r="G158" s="214">
        <v>2</v>
      </c>
      <c r="H158" s="211" t="s">
        <v>198</v>
      </c>
      <c r="I158"/>
    </row>
    <row r="159" spans="1:9" s="60" customFormat="1" hidden="1">
      <c r="A159" s="210">
        <v>46143</v>
      </c>
      <c r="B159" s="208" t="s">
        <v>196</v>
      </c>
      <c r="C159" s="208" t="s">
        <v>197</v>
      </c>
      <c r="D159" s="208" t="s">
        <v>101</v>
      </c>
      <c r="E159" s="208" t="s">
        <v>199</v>
      </c>
      <c r="F159" s="212">
        <v>1</v>
      </c>
      <c r="G159" s="214">
        <v>1</v>
      </c>
      <c r="H159" s="211">
        <v>46154</v>
      </c>
      <c r="I159"/>
    </row>
    <row r="160" spans="1:9" hidden="1">
      <c r="A160" s="210">
        <v>46143</v>
      </c>
      <c r="B160" s="208" t="s">
        <v>61</v>
      </c>
      <c r="C160" s="208" t="s">
        <v>62</v>
      </c>
      <c r="D160" s="208" t="s">
        <v>37</v>
      </c>
      <c r="E160" s="208" t="s">
        <v>112</v>
      </c>
      <c r="F160" s="212">
        <v>3</v>
      </c>
      <c r="G160" s="214">
        <v>1</v>
      </c>
      <c r="H160" s="211">
        <v>46146</v>
      </c>
      <c r="I160"/>
    </row>
    <row r="161" spans="1:9" s="60" customFormat="1" hidden="1">
      <c r="A161" s="210">
        <v>46143</v>
      </c>
      <c r="B161" s="208" t="s">
        <v>61</v>
      </c>
      <c r="C161" s="208" t="s">
        <v>62</v>
      </c>
      <c r="D161" s="208" t="s">
        <v>38</v>
      </c>
      <c r="E161" s="208" t="s">
        <v>127</v>
      </c>
      <c r="F161" s="212">
        <v>3</v>
      </c>
      <c r="G161" s="214">
        <v>1</v>
      </c>
      <c r="H161" s="211">
        <v>46146</v>
      </c>
      <c r="I161"/>
    </row>
    <row r="162" spans="1:9" hidden="1">
      <c r="A162" s="210">
        <v>46143</v>
      </c>
      <c r="B162" s="208" t="s">
        <v>61</v>
      </c>
      <c r="C162" s="208" t="s">
        <v>62</v>
      </c>
      <c r="D162" s="208" t="s">
        <v>38</v>
      </c>
      <c r="E162" s="208" t="s">
        <v>169</v>
      </c>
      <c r="F162" s="212">
        <v>9</v>
      </c>
      <c r="G162" s="214">
        <v>3</v>
      </c>
      <c r="H162" s="211" t="s">
        <v>200</v>
      </c>
      <c r="I162"/>
    </row>
    <row r="163" spans="1:9" s="60" customFormat="1" hidden="1">
      <c r="A163" s="210">
        <v>46143</v>
      </c>
      <c r="B163" s="208" t="s">
        <v>201</v>
      </c>
      <c r="C163" s="208" t="s">
        <v>202</v>
      </c>
      <c r="D163" s="208" t="s">
        <v>101</v>
      </c>
      <c r="E163" s="208" t="s">
        <v>203</v>
      </c>
      <c r="F163" s="212">
        <v>0.5</v>
      </c>
      <c r="G163" s="214">
        <v>1</v>
      </c>
      <c r="H163" s="211">
        <v>46169</v>
      </c>
      <c r="I163"/>
    </row>
    <row r="164" spans="1:9" hidden="1">
      <c r="A164" s="210">
        <v>46143</v>
      </c>
      <c r="B164" s="208" t="s">
        <v>204</v>
      </c>
      <c r="C164" s="208" t="s">
        <v>205</v>
      </c>
      <c r="D164" s="208" t="s">
        <v>59</v>
      </c>
      <c r="E164" s="208" t="s">
        <v>206</v>
      </c>
      <c r="F164" s="212">
        <v>50</v>
      </c>
      <c r="G164" s="214">
        <v>10</v>
      </c>
      <c r="H164" s="211" t="s">
        <v>207</v>
      </c>
      <c r="I164"/>
    </row>
    <row r="165" spans="1:9" s="60" customFormat="1" hidden="1">
      <c r="A165" s="210">
        <v>46143</v>
      </c>
      <c r="B165" s="208" t="s">
        <v>132</v>
      </c>
      <c r="C165" s="208" t="s">
        <v>133</v>
      </c>
      <c r="D165" s="208" t="s">
        <v>135</v>
      </c>
      <c r="E165" s="208" t="s">
        <v>127</v>
      </c>
      <c r="F165" s="212">
        <v>20</v>
      </c>
      <c r="G165" s="214">
        <v>10</v>
      </c>
      <c r="H165" s="211" t="s">
        <v>208</v>
      </c>
      <c r="I165"/>
    </row>
    <row r="166" spans="1:9" hidden="1">
      <c r="A166" s="210">
        <v>46143</v>
      </c>
      <c r="B166" s="208" t="s">
        <v>132</v>
      </c>
      <c r="C166" s="208" t="s">
        <v>133</v>
      </c>
      <c r="D166" s="208" t="s">
        <v>135</v>
      </c>
      <c r="E166" s="208" t="s">
        <v>63</v>
      </c>
      <c r="F166" s="212">
        <v>2</v>
      </c>
      <c r="G166" s="214">
        <v>1</v>
      </c>
      <c r="H166" s="211">
        <v>46146</v>
      </c>
      <c r="I166"/>
    </row>
    <row r="167" spans="1:9" s="60" customFormat="1" hidden="1">
      <c r="A167" s="210">
        <v>46143</v>
      </c>
      <c r="B167" s="208" t="s">
        <v>132</v>
      </c>
      <c r="C167" s="208" t="s">
        <v>136</v>
      </c>
      <c r="D167" s="208" t="s">
        <v>101</v>
      </c>
      <c r="E167" s="208" t="s">
        <v>140</v>
      </c>
      <c r="F167" s="212">
        <v>3</v>
      </c>
      <c r="G167" s="214">
        <v>1</v>
      </c>
      <c r="H167" s="211">
        <v>46148</v>
      </c>
      <c r="I167"/>
    </row>
    <row r="168" spans="1:9" hidden="1">
      <c r="A168" s="210">
        <v>46143</v>
      </c>
      <c r="B168" s="208" t="s">
        <v>132</v>
      </c>
      <c r="C168" s="208" t="s">
        <v>136</v>
      </c>
      <c r="D168" s="208" t="s">
        <v>101</v>
      </c>
      <c r="E168" s="208" t="s">
        <v>138</v>
      </c>
      <c r="F168" s="212">
        <v>12</v>
      </c>
      <c r="G168" s="214">
        <v>4</v>
      </c>
      <c r="H168" s="211" t="s">
        <v>209</v>
      </c>
      <c r="I168"/>
    </row>
    <row r="169" spans="1:9" s="60" customFormat="1" hidden="1">
      <c r="A169" s="210">
        <v>46143</v>
      </c>
      <c r="B169" s="208" t="s">
        <v>132</v>
      </c>
      <c r="C169" s="208" t="s">
        <v>136</v>
      </c>
      <c r="D169" s="208" t="s">
        <v>10</v>
      </c>
      <c r="E169" s="208" t="s">
        <v>138</v>
      </c>
      <c r="F169" s="212">
        <v>15</v>
      </c>
      <c r="G169" s="214">
        <v>5</v>
      </c>
      <c r="H169" s="211" t="s">
        <v>210</v>
      </c>
      <c r="I169"/>
    </row>
    <row r="170" spans="1:9" hidden="1">
      <c r="A170" s="210">
        <v>46143</v>
      </c>
      <c r="B170" s="208" t="s">
        <v>132</v>
      </c>
      <c r="C170" s="208" t="s">
        <v>142</v>
      </c>
      <c r="D170" s="208" t="s">
        <v>101</v>
      </c>
      <c r="E170" s="208" t="s">
        <v>179</v>
      </c>
      <c r="F170" s="212">
        <v>12</v>
      </c>
      <c r="G170" s="214">
        <v>4</v>
      </c>
      <c r="H170" s="211" t="s">
        <v>211</v>
      </c>
      <c r="I170"/>
    </row>
    <row r="171" spans="1:9" s="60" customFormat="1" hidden="1">
      <c r="A171" s="210">
        <v>46143</v>
      </c>
      <c r="B171" s="208" t="s">
        <v>132</v>
      </c>
      <c r="C171" s="208" t="s">
        <v>142</v>
      </c>
      <c r="D171" s="208" t="s">
        <v>101</v>
      </c>
      <c r="E171" s="208" t="s">
        <v>82</v>
      </c>
      <c r="F171" s="212">
        <v>3</v>
      </c>
      <c r="G171" s="214">
        <v>1</v>
      </c>
      <c r="H171" s="211">
        <v>46154</v>
      </c>
      <c r="I171"/>
    </row>
    <row r="172" spans="1:9" hidden="1">
      <c r="A172" s="210">
        <v>46143</v>
      </c>
      <c r="B172" s="208" t="s">
        <v>132</v>
      </c>
      <c r="C172" s="208" t="s">
        <v>142</v>
      </c>
      <c r="D172" s="208" t="s">
        <v>101</v>
      </c>
      <c r="E172" s="208" t="s">
        <v>140</v>
      </c>
      <c r="F172" s="212">
        <v>3</v>
      </c>
      <c r="G172" s="214">
        <v>1</v>
      </c>
      <c r="H172" s="211">
        <v>46149</v>
      </c>
      <c r="I172"/>
    </row>
    <row r="173" spans="1:9" s="60" customFormat="1" hidden="1">
      <c r="A173" s="210">
        <v>46143</v>
      </c>
      <c r="B173" s="208" t="s">
        <v>132</v>
      </c>
      <c r="C173" s="208" t="s">
        <v>142</v>
      </c>
      <c r="D173" s="208" t="s">
        <v>101</v>
      </c>
      <c r="E173" s="208" t="s">
        <v>138</v>
      </c>
      <c r="F173" s="212">
        <v>3</v>
      </c>
      <c r="G173" s="214">
        <v>1</v>
      </c>
      <c r="H173" s="211">
        <v>46161</v>
      </c>
      <c r="I173"/>
    </row>
    <row r="174" spans="1:9" hidden="1">
      <c r="A174" s="210">
        <v>46143</v>
      </c>
      <c r="B174" s="208" t="s">
        <v>132</v>
      </c>
      <c r="C174" s="208" t="s">
        <v>142</v>
      </c>
      <c r="D174" s="208" t="s">
        <v>10</v>
      </c>
      <c r="E174" s="208" t="s">
        <v>102</v>
      </c>
      <c r="F174" s="212">
        <v>12</v>
      </c>
      <c r="G174" s="214">
        <v>4</v>
      </c>
      <c r="H174" s="211" t="s">
        <v>212</v>
      </c>
      <c r="I174"/>
    </row>
    <row r="175" spans="1:9" s="60" customFormat="1" hidden="1">
      <c r="A175" s="210">
        <v>46143</v>
      </c>
      <c r="B175" s="208" t="s">
        <v>132</v>
      </c>
      <c r="C175" s="208" t="s">
        <v>142</v>
      </c>
      <c r="D175" s="208" t="s">
        <v>10</v>
      </c>
      <c r="E175" s="208" t="s">
        <v>138</v>
      </c>
      <c r="F175" s="212">
        <v>9</v>
      </c>
      <c r="G175" s="214">
        <v>3</v>
      </c>
      <c r="H175" s="207" t="s">
        <v>213</v>
      </c>
      <c r="I175"/>
    </row>
    <row r="176" spans="1:9" hidden="1">
      <c r="A176" s="210">
        <v>46143</v>
      </c>
      <c r="B176" s="208" t="s">
        <v>132</v>
      </c>
      <c r="C176" s="208" t="s">
        <v>183</v>
      </c>
      <c r="D176" s="208" t="s">
        <v>101</v>
      </c>
      <c r="E176" s="208" t="s">
        <v>164</v>
      </c>
      <c r="F176" s="212">
        <v>2.5</v>
      </c>
      <c r="G176" s="214">
        <v>1</v>
      </c>
      <c r="H176" s="211">
        <v>46162</v>
      </c>
      <c r="I176"/>
    </row>
    <row r="177" spans="1:9" s="60" customFormat="1" hidden="1">
      <c r="A177" s="210">
        <v>46143</v>
      </c>
      <c r="B177" s="208" t="s">
        <v>132</v>
      </c>
      <c r="C177" s="208" t="s">
        <v>184</v>
      </c>
      <c r="D177" s="208" t="s">
        <v>101</v>
      </c>
      <c r="E177" s="208" t="s">
        <v>63</v>
      </c>
      <c r="F177" s="212">
        <v>18</v>
      </c>
      <c r="G177" s="214">
        <v>7</v>
      </c>
      <c r="H177" s="211" t="s">
        <v>214</v>
      </c>
      <c r="I177"/>
    </row>
    <row r="178" spans="1:9" hidden="1">
      <c r="A178" s="210">
        <v>46143</v>
      </c>
      <c r="B178" s="208" t="s">
        <v>215</v>
      </c>
      <c r="C178" s="208" t="s">
        <v>216</v>
      </c>
      <c r="D178" s="208" t="s">
        <v>106</v>
      </c>
      <c r="E178" s="208" t="s">
        <v>19</v>
      </c>
      <c r="F178" s="212">
        <v>32</v>
      </c>
      <c r="G178" s="214">
        <v>8</v>
      </c>
      <c r="H178" s="211" t="s">
        <v>217</v>
      </c>
      <c r="I178"/>
    </row>
    <row r="179" spans="1:9" s="60" customFormat="1" hidden="1">
      <c r="A179" s="210">
        <v>46143</v>
      </c>
      <c r="B179" s="208" t="s">
        <v>215</v>
      </c>
      <c r="C179" s="208" t="s">
        <v>218</v>
      </c>
      <c r="D179" s="208" t="s">
        <v>106</v>
      </c>
      <c r="E179" s="208" t="s">
        <v>19</v>
      </c>
      <c r="F179" s="212">
        <v>32</v>
      </c>
      <c r="G179" s="214">
        <v>8</v>
      </c>
      <c r="H179" s="211" t="s">
        <v>219</v>
      </c>
      <c r="I179"/>
    </row>
    <row r="180" spans="1:9">
      <c r="A180" s="210">
        <v>46174</v>
      </c>
      <c r="B180" s="208" t="s">
        <v>99</v>
      </c>
      <c r="C180" s="208" t="s">
        <v>100</v>
      </c>
      <c r="D180" s="208" t="s">
        <v>101</v>
      </c>
      <c r="E180" s="208" t="s">
        <v>102</v>
      </c>
      <c r="F180" s="212">
        <v>22.5</v>
      </c>
      <c r="G180" s="214">
        <v>9</v>
      </c>
      <c r="H180" s="211" t="s">
        <v>220</v>
      </c>
      <c r="I180"/>
    </row>
    <row r="181" spans="1:9" s="60" customFormat="1">
      <c r="A181" s="210">
        <v>46174</v>
      </c>
      <c r="B181" s="208" t="s">
        <v>99</v>
      </c>
      <c r="C181" s="208" t="s">
        <v>100</v>
      </c>
      <c r="D181" s="208" t="s">
        <v>10</v>
      </c>
      <c r="E181" s="208" t="s">
        <v>29</v>
      </c>
      <c r="F181" s="212">
        <v>20</v>
      </c>
      <c r="G181" s="214">
        <v>8</v>
      </c>
      <c r="H181" s="211" t="s">
        <v>221</v>
      </c>
      <c r="I181"/>
    </row>
    <row r="182" spans="1:9">
      <c r="A182" s="210">
        <v>46174</v>
      </c>
      <c r="B182" s="208" t="s">
        <v>99</v>
      </c>
      <c r="C182" s="208" t="s">
        <v>100</v>
      </c>
      <c r="D182" s="208" t="s">
        <v>104</v>
      </c>
      <c r="E182" s="208" t="s">
        <v>70</v>
      </c>
      <c r="F182" s="212">
        <v>12.5</v>
      </c>
      <c r="G182" s="214">
        <v>5</v>
      </c>
      <c r="H182" s="211" t="s">
        <v>222</v>
      </c>
      <c r="I182"/>
    </row>
    <row r="183" spans="1:9" s="60" customFormat="1">
      <c r="A183" s="210">
        <v>46174</v>
      </c>
      <c r="B183" s="208" t="s">
        <v>99</v>
      </c>
      <c r="C183" s="208" t="s">
        <v>100</v>
      </c>
      <c r="D183" s="208" t="s">
        <v>104</v>
      </c>
      <c r="E183" s="208" t="s">
        <v>19</v>
      </c>
      <c r="F183" s="212">
        <v>5</v>
      </c>
      <c r="G183" s="214">
        <v>2</v>
      </c>
      <c r="H183" s="211" t="s">
        <v>223</v>
      </c>
      <c r="I183"/>
    </row>
    <row r="184" spans="1:9">
      <c r="A184" s="210">
        <v>46174</v>
      </c>
      <c r="B184" s="208" t="s">
        <v>99</v>
      </c>
      <c r="C184" s="208" t="s">
        <v>100</v>
      </c>
      <c r="D184" s="208" t="s">
        <v>106</v>
      </c>
      <c r="E184" s="208" t="s">
        <v>19</v>
      </c>
      <c r="F184" s="212">
        <v>20</v>
      </c>
      <c r="G184" s="214">
        <v>8</v>
      </c>
      <c r="H184" s="207" t="s">
        <v>224</v>
      </c>
      <c r="I184"/>
    </row>
    <row r="185" spans="1:9" s="60" customFormat="1">
      <c r="A185" s="210">
        <v>46174</v>
      </c>
      <c r="B185" s="208" t="s">
        <v>99</v>
      </c>
      <c r="C185" s="208" t="s">
        <v>108</v>
      </c>
      <c r="D185" s="208" t="s">
        <v>101</v>
      </c>
      <c r="E185" s="208" t="s">
        <v>112</v>
      </c>
      <c r="F185" s="212">
        <v>13</v>
      </c>
      <c r="G185" s="214">
        <v>5</v>
      </c>
      <c r="H185" s="207" t="s">
        <v>225</v>
      </c>
      <c r="I185"/>
    </row>
    <row r="186" spans="1:9">
      <c r="A186" s="210">
        <v>46174</v>
      </c>
      <c r="B186" s="208" t="s">
        <v>99</v>
      </c>
      <c r="C186" s="208" t="s">
        <v>108</v>
      </c>
      <c r="D186" s="208" t="s">
        <v>10</v>
      </c>
      <c r="E186" s="208" t="s">
        <v>63</v>
      </c>
      <c r="F186" s="212">
        <v>13</v>
      </c>
      <c r="G186" s="214">
        <v>5</v>
      </c>
      <c r="H186" s="207" t="s">
        <v>226</v>
      </c>
      <c r="I186"/>
    </row>
    <row r="187" spans="1:9" s="60" customFormat="1">
      <c r="A187" s="210">
        <v>46174</v>
      </c>
      <c r="B187" s="208" t="s">
        <v>99</v>
      </c>
      <c r="C187" s="208" t="s">
        <v>108</v>
      </c>
      <c r="D187" s="208" t="s">
        <v>104</v>
      </c>
      <c r="E187" s="208" t="s">
        <v>109</v>
      </c>
      <c r="F187" s="212">
        <v>13</v>
      </c>
      <c r="G187" s="214">
        <v>5</v>
      </c>
      <c r="H187" s="207" t="s">
        <v>225</v>
      </c>
      <c r="I187"/>
    </row>
    <row r="188" spans="1:9">
      <c r="A188" s="210">
        <v>46174</v>
      </c>
      <c r="B188" s="208" t="s">
        <v>99</v>
      </c>
      <c r="C188" s="208" t="s">
        <v>108</v>
      </c>
      <c r="D188" s="208" t="s">
        <v>106</v>
      </c>
      <c r="E188" s="208" t="s">
        <v>91</v>
      </c>
      <c r="F188" s="212">
        <v>13</v>
      </c>
      <c r="G188" s="214">
        <v>5</v>
      </c>
      <c r="H188" s="211" t="s">
        <v>227</v>
      </c>
      <c r="I188"/>
    </row>
    <row r="189" spans="1:9" s="60" customFormat="1">
      <c r="A189" s="210">
        <v>46174</v>
      </c>
      <c r="B189" s="208" t="s">
        <v>161</v>
      </c>
      <c r="C189" s="208" t="s">
        <v>162</v>
      </c>
      <c r="D189" s="208" t="s">
        <v>101</v>
      </c>
      <c r="E189" s="208" t="s">
        <v>163</v>
      </c>
      <c r="F189" s="212">
        <v>18.5</v>
      </c>
      <c r="G189" s="214">
        <v>6</v>
      </c>
      <c r="H189" s="207" t="s">
        <v>228</v>
      </c>
      <c r="I189"/>
    </row>
    <row r="190" spans="1:9">
      <c r="A190" s="210">
        <v>46174</v>
      </c>
      <c r="B190" s="208" t="s">
        <v>115</v>
      </c>
      <c r="C190" s="208" t="s">
        <v>116</v>
      </c>
      <c r="D190" s="208" t="s">
        <v>101</v>
      </c>
      <c r="E190" s="208" t="s">
        <v>164</v>
      </c>
      <c r="F190" s="212">
        <v>19</v>
      </c>
      <c r="G190" s="214">
        <v>11</v>
      </c>
      <c r="H190" s="211" t="s">
        <v>229</v>
      </c>
      <c r="I190"/>
    </row>
    <row r="191" spans="1:9" s="60" customFormat="1">
      <c r="A191" s="210">
        <v>46174</v>
      </c>
      <c r="B191" s="208" t="s">
        <v>196</v>
      </c>
      <c r="C191" s="208" t="s">
        <v>197</v>
      </c>
      <c r="D191" s="208" t="s">
        <v>101</v>
      </c>
      <c r="E191" s="208" t="s">
        <v>230</v>
      </c>
      <c r="F191" s="212">
        <v>12</v>
      </c>
      <c r="G191" s="214">
        <v>6</v>
      </c>
      <c r="H191" s="211" t="s">
        <v>231</v>
      </c>
      <c r="I191"/>
    </row>
    <row r="192" spans="1:9">
      <c r="A192" s="210">
        <v>46174</v>
      </c>
      <c r="B192" s="208" t="s">
        <v>196</v>
      </c>
      <c r="C192" s="208" t="s">
        <v>197</v>
      </c>
      <c r="D192" s="208" t="s">
        <v>101</v>
      </c>
      <c r="E192" s="208" t="s">
        <v>91</v>
      </c>
      <c r="F192" s="212">
        <v>14</v>
      </c>
      <c r="G192" s="214">
        <v>7</v>
      </c>
      <c r="H192" s="207" t="s">
        <v>232</v>
      </c>
      <c r="I192"/>
    </row>
    <row r="193" spans="1:9" s="60" customFormat="1">
      <c r="A193" s="210">
        <v>46174</v>
      </c>
      <c r="B193" s="208" t="s">
        <v>201</v>
      </c>
      <c r="C193" s="208" t="s">
        <v>202</v>
      </c>
      <c r="D193" s="208" t="s">
        <v>101</v>
      </c>
      <c r="E193" s="208" t="s">
        <v>112</v>
      </c>
      <c r="F193" s="212">
        <v>16.5</v>
      </c>
      <c r="G193" s="214">
        <v>11</v>
      </c>
      <c r="H193" s="207" t="s">
        <v>233</v>
      </c>
      <c r="I193"/>
    </row>
    <row r="194" spans="1:9">
      <c r="A194" s="210">
        <v>46174</v>
      </c>
      <c r="B194" s="208" t="s">
        <v>201</v>
      </c>
      <c r="C194" s="208" t="s">
        <v>202</v>
      </c>
      <c r="D194" s="208" t="s">
        <v>101</v>
      </c>
      <c r="E194" s="208" t="s">
        <v>234</v>
      </c>
      <c r="F194" s="212">
        <v>6</v>
      </c>
      <c r="G194" s="214">
        <v>4</v>
      </c>
      <c r="H194" s="211" t="s">
        <v>235</v>
      </c>
      <c r="I194"/>
    </row>
    <row r="195" spans="1:9" s="60" customFormat="1">
      <c r="A195" s="210">
        <v>46174</v>
      </c>
      <c r="B195" s="208" t="s">
        <v>204</v>
      </c>
      <c r="C195" s="208" t="s">
        <v>205</v>
      </c>
      <c r="D195" s="208" t="s">
        <v>59</v>
      </c>
      <c r="E195" s="208" t="s">
        <v>206</v>
      </c>
      <c r="F195" s="212">
        <v>1.5</v>
      </c>
      <c r="G195" s="214">
        <v>1</v>
      </c>
      <c r="H195" s="211">
        <v>46175</v>
      </c>
      <c r="I195"/>
    </row>
    <row r="196" spans="1:9">
      <c r="A196" s="210">
        <v>46174</v>
      </c>
      <c r="B196" s="208" t="s">
        <v>132</v>
      </c>
      <c r="C196" s="208" t="s">
        <v>136</v>
      </c>
      <c r="D196" s="208" t="s">
        <v>101</v>
      </c>
      <c r="E196" s="208" t="s">
        <v>140</v>
      </c>
      <c r="F196" s="212">
        <v>9</v>
      </c>
      <c r="G196" s="214">
        <v>3</v>
      </c>
      <c r="H196" s="207" t="s">
        <v>236</v>
      </c>
      <c r="I196"/>
    </row>
    <row r="197" spans="1:9" s="60" customFormat="1">
      <c r="A197" s="210">
        <v>46174</v>
      </c>
      <c r="B197" s="208" t="s">
        <v>132</v>
      </c>
      <c r="C197" s="208" t="s">
        <v>136</v>
      </c>
      <c r="D197" s="208" t="s">
        <v>10</v>
      </c>
      <c r="E197" s="208" t="s">
        <v>140</v>
      </c>
      <c r="F197" s="212">
        <v>9</v>
      </c>
      <c r="G197" s="214">
        <v>3</v>
      </c>
      <c r="H197" s="211" t="s">
        <v>236</v>
      </c>
      <c r="I197"/>
    </row>
    <row r="198" spans="1:9">
      <c r="A198" s="210">
        <v>46174</v>
      </c>
      <c r="B198" s="208" t="s">
        <v>132</v>
      </c>
      <c r="C198" s="208" t="s">
        <v>142</v>
      </c>
      <c r="D198" s="208" t="s">
        <v>101</v>
      </c>
      <c r="E198" s="208" t="s">
        <v>179</v>
      </c>
      <c r="F198" s="212">
        <v>6</v>
      </c>
      <c r="G198" s="214">
        <v>2</v>
      </c>
      <c r="H198" s="211" t="s">
        <v>237</v>
      </c>
      <c r="I198"/>
    </row>
    <row r="199" spans="1:9" s="60" customFormat="1">
      <c r="A199" s="210">
        <v>46174</v>
      </c>
      <c r="B199" s="208" t="s">
        <v>132</v>
      </c>
      <c r="C199" s="208" t="s">
        <v>142</v>
      </c>
      <c r="D199" s="208" t="s">
        <v>101</v>
      </c>
      <c r="E199" s="208" t="s">
        <v>138</v>
      </c>
      <c r="F199" s="212">
        <v>6</v>
      </c>
      <c r="G199" s="214">
        <v>2</v>
      </c>
      <c r="H199" s="207" t="s">
        <v>238</v>
      </c>
      <c r="I199"/>
    </row>
    <row r="200" spans="1:9">
      <c r="A200" s="210">
        <v>46174</v>
      </c>
      <c r="B200" s="208" t="s">
        <v>132</v>
      </c>
      <c r="C200" s="208" t="s">
        <v>142</v>
      </c>
      <c r="D200" s="208" t="s">
        <v>10</v>
      </c>
      <c r="E200" s="208" t="s">
        <v>102</v>
      </c>
      <c r="F200" s="212">
        <v>15</v>
      </c>
      <c r="G200" s="214">
        <v>5</v>
      </c>
      <c r="H200" s="211" t="s">
        <v>239</v>
      </c>
      <c r="I200"/>
    </row>
    <row r="201" spans="1:9" s="60" customFormat="1">
      <c r="A201" s="210">
        <v>46174</v>
      </c>
      <c r="B201" s="208" t="s">
        <v>132</v>
      </c>
      <c r="C201" s="208" t="s">
        <v>142</v>
      </c>
      <c r="D201" s="208" t="s">
        <v>10</v>
      </c>
      <c r="E201" s="208" t="s">
        <v>82</v>
      </c>
      <c r="F201" s="212">
        <v>3</v>
      </c>
      <c r="G201" s="214">
        <v>1</v>
      </c>
      <c r="H201" s="211">
        <v>46184</v>
      </c>
      <c r="I201"/>
    </row>
    <row r="202" spans="1:9">
      <c r="A202" s="210">
        <v>46174</v>
      </c>
      <c r="B202" s="208" t="s">
        <v>132</v>
      </c>
      <c r="C202" s="208" t="s">
        <v>142</v>
      </c>
      <c r="D202" s="208" t="s">
        <v>10</v>
      </c>
      <c r="E202" s="208" t="s">
        <v>138</v>
      </c>
      <c r="F202" s="212">
        <v>6</v>
      </c>
      <c r="G202" s="214">
        <v>2</v>
      </c>
      <c r="H202" s="211" t="s">
        <v>240</v>
      </c>
      <c r="I202"/>
    </row>
    <row r="203" spans="1:9" s="60" customFormat="1">
      <c r="A203" s="210">
        <v>46174</v>
      </c>
      <c r="B203" s="208" t="s">
        <v>132</v>
      </c>
      <c r="C203" s="208" t="s">
        <v>183</v>
      </c>
      <c r="D203" s="208" t="s">
        <v>101</v>
      </c>
      <c r="E203" s="208" t="s">
        <v>164</v>
      </c>
      <c r="F203" s="212">
        <v>22.5</v>
      </c>
      <c r="G203" s="214">
        <v>9</v>
      </c>
      <c r="H203" s="207" t="s">
        <v>241</v>
      </c>
      <c r="I203"/>
    </row>
    <row r="204" spans="1:9">
      <c r="A204" s="210">
        <v>46174</v>
      </c>
      <c r="B204" s="208" t="s">
        <v>132</v>
      </c>
      <c r="C204" s="208" t="s">
        <v>158</v>
      </c>
      <c r="D204" s="208" t="s">
        <v>101</v>
      </c>
      <c r="E204" s="208" t="s">
        <v>242</v>
      </c>
      <c r="F204" s="212">
        <v>2.5</v>
      </c>
      <c r="G204" s="214">
        <v>1</v>
      </c>
      <c r="H204" s="211">
        <v>46189</v>
      </c>
      <c r="I204"/>
    </row>
    <row r="205" spans="1:9" s="60" customFormat="1">
      <c r="A205" s="210">
        <v>46174</v>
      </c>
      <c r="B205" s="208" t="s">
        <v>132</v>
      </c>
      <c r="C205" s="208" t="s">
        <v>158</v>
      </c>
      <c r="D205" s="208" t="s">
        <v>101</v>
      </c>
      <c r="E205" s="208" t="s">
        <v>70</v>
      </c>
      <c r="F205" s="212">
        <v>10</v>
      </c>
      <c r="G205" s="214">
        <v>4</v>
      </c>
      <c r="H205" s="211" t="s">
        <v>243</v>
      </c>
      <c r="I205"/>
    </row>
    <row r="206" spans="1:9">
      <c r="A206" s="231">
        <v>46174</v>
      </c>
      <c r="B206" s="209" t="s">
        <v>132</v>
      </c>
      <c r="C206" s="209" t="s">
        <v>158</v>
      </c>
      <c r="D206" s="209" t="s">
        <v>101</v>
      </c>
      <c r="E206" s="209" t="s">
        <v>63</v>
      </c>
      <c r="F206" s="213">
        <v>15</v>
      </c>
      <c r="G206" s="215">
        <v>6</v>
      </c>
      <c r="H206" s="206" t="s">
        <v>244</v>
      </c>
      <c r="I206"/>
    </row>
    <row r="207" spans="1:9" s="60" customFormat="1" hidden="1">
      <c r="A207" s="236">
        <v>46204</v>
      </c>
      <c r="B207" s="232" t="s">
        <v>99</v>
      </c>
      <c r="C207" s="232" t="s">
        <v>100</v>
      </c>
      <c r="D207" s="232" t="s">
        <v>101</v>
      </c>
      <c r="E207" s="232" t="s">
        <v>102</v>
      </c>
      <c r="F207" s="232">
        <v>11</v>
      </c>
      <c r="G207" s="232">
        <v>6</v>
      </c>
      <c r="H207" s="233" t="s">
        <v>245</v>
      </c>
      <c r="I207"/>
    </row>
    <row r="208" spans="1:9" hidden="1">
      <c r="A208" s="236">
        <v>46204</v>
      </c>
      <c r="B208" s="232" t="s">
        <v>99</v>
      </c>
      <c r="C208" s="232" t="s">
        <v>100</v>
      </c>
      <c r="D208" s="232" t="s">
        <v>10</v>
      </c>
      <c r="E208" s="232" t="s">
        <v>29</v>
      </c>
      <c r="F208" s="232">
        <v>14.5</v>
      </c>
      <c r="G208" s="232">
        <v>7</v>
      </c>
      <c r="H208" s="233" t="s">
        <v>246</v>
      </c>
      <c r="I208"/>
    </row>
    <row r="209" spans="1:9" s="60" customFormat="1" hidden="1">
      <c r="A209" s="240">
        <v>46204</v>
      </c>
      <c r="B209" t="s">
        <v>99</v>
      </c>
      <c r="C209" t="s">
        <v>100</v>
      </c>
      <c r="D209" t="s">
        <v>104</v>
      </c>
      <c r="E209" t="s">
        <v>70</v>
      </c>
      <c r="F209">
        <v>13</v>
      </c>
      <c r="G209">
        <v>6</v>
      </c>
      <c r="H209" t="s">
        <v>247</v>
      </c>
      <c r="I209"/>
    </row>
    <row r="210" spans="1:9" hidden="1">
      <c r="A210" s="240">
        <v>46204</v>
      </c>
      <c r="B210" t="s">
        <v>99</v>
      </c>
      <c r="C210" t="s">
        <v>100</v>
      </c>
      <c r="D210" t="s">
        <v>106</v>
      </c>
      <c r="E210" t="s">
        <v>19</v>
      </c>
      <c r="F210">
        <v>13.5</v>
      </c>
      <c r="G210">
        <v>7</v>
      </c>
      <c r="H210" t="s">
        <v>248</v>
      </c>
      <c r="I210"/>
    </row>
    <row r="211" spans="1:9" s="60" customFormat="1" hidden="1">
      <c r="A211" s="240">
        <v>46204</v>
      </c>
      <c r="B211" t="s">
        <v>99</v>
      </c>
      <c r="C211" t="s">
        <v>108</v>
      </c>
      <c r="D211" t="s">
        <v>101</v>
      </c>
      <c r="E211" t="s">
        <v>112</v>
      </c>
      <c r="F211">
        <v>12</v>
      </c>
      <c r="G211">
        <v>4</v>
      </c>
      <c r="H211" t="s">
        <v>249</v>
      </c>
      <c r="I211"/>
    </row>
    <row r="212" spans="1:9" hidden="1">
      <c r="A212" s="240">
        <v>46204</v>
      </c>
      <c r="B212" t="s">
        <v>99</v>
      </c>
      <c r="C212" t="s">
        <v>108</v>
      </c>
      <c r="D212" t="s">
        <v>10</v>
      </c>
      <c r="E212" t="s">
        <v>63</v>
      </c>
      <c r="F212">
        <v>12</v>
      </c>
      <c r="G212">
        <v>4</v>
      </c>
      <c r="H212" s="265" t="s">
        <v>249</v>
      </c>
      <c r="I212"/>
    </row>
    <row r="213" spans="1:9" s="60" customFormat="1" hidden="1">
      <c r="A213" s="240">
        <v>46204</v>
      </c>
      <c r="B213" t="s">
        <v>99</v>
      </c>
      <c r="C213" t="s">
        <v>108</v>
      </c>
      <c r="D213" t="s">
        <v>104</v>
      </c>
      <c r="E213" t="s">
        <v>109</v>
      </c>
      <c r="F213">
        <v>12</v>
      </c>
      <c r="G213">
        <v>4</v>
      </c>
      <c r="H213" t="s">
        <v>249</v>
      </c>
      <c r="I213"/>
    </row>
    <row r="214" spans="1:9" hidden="1">
      <c r="A214" s="240">
        <v>46204</v>
      </c>
      <c r="B214" t="s">
        <v>99</v>
      </c>
      <c r="C214" t="s">
        <v>108</v>
      </c>
      <c r="D214" t="s">
        <v>106</v>
      </c>
      <c r="E214" t="s">
        <v>91</v>
      </c>
      <c r="F214">
        <v>12</v>
      </c>
      <c r="G214">
        <v>4</v>
      </c>
      <c r="H214" t="s">
        <v>250</v>
      </c>
      <c r="I214"/>
    </row>
    <row r="215" spans="1:9" s="60" customFormat="1" hidden="1">
      <c r="A215" s="240">
        <v>46204</v>
      </c>
      <c r="B215" t="s">
        <v>161</v>
      </c>
      <c r="C215" t="s">
        <v>162</v>
      </c>
      <c r="D215" t="s">
        <v>101</v>
      </c>
      <c r="E215" t="s">
        <v>163</v>
      </c>
      <c r="F215">
        <v>18.5</v>
      </c>
      <c r="G215">
        <v>6</v>
      </c>
      <c r="H215" t="s">
        <v>251</v>
      </c>
      <c r="I215"/>
    </row>
    <row r="216" spans="1:9" hidden="1">
      <c r="A216" s="240">
        <v>46204</v>
      </c>
      <c r="B216" t="s">
        <v>115</v>
      </c>
      <c r="C216" t="s">
        <v>116</v>
      </c>
      <c r="D216" t="s">
        <v>101</v>
      </c>
      <c r="E216" t="s">
        <v>164</v>
      </c>
      <c r="F216">
        <v>19.5</v>
      </c>
      <c r="G216">
        <v>10</v>
      </c>
      <c r="H216" t="s">
        <v>252</v>
      </c>
      <c r="I216"/>
    </row>
    <row r="217" spans="1:9" s="60" customFormat="1" hidden="1">
      <c r="A217" s="240">
        <v>46204</v>
      </c>
      <c r="B217" t="s">
        <v>115</v>
      </c>
      <c r="C217" t="s">
        <v>116</v>
      </c>
      <c r="D217" t="s">
        <v>101</v>
      </c>
      <c r="E217" t="s">
        <v>117</v>
      </c>
      <c r="F217">
        <v>4.5</v>
      </c>
      <c r="G217">
        <v>3</v>
      </c>
      <c r="H217" t="s">
        <v>253</v>
      </c>
      <c r="I217"/>
    </row>
    <row r="218" spans="1:9" hidden="1">
      <c r="A218" s="240">
        <v>46204</v>
      </c>
      <c r="B218" t="s">
        <v>196</v>
      </c>
      <c r="C218" t="s">
        <v>197</v>
      </c>
      <c r="D218" t="s">
        <v>101</v>
      </c>
      <c r="E218" t="s">
        <v>254</v>
      </c>
      <c r="F218">
        <v>14</v>
      </c>
      <c r="G218">
        <v>7</v>
      </c>
      <c r="H218" s="265" t="s">
        <v>255</v>
      </c>
      <c r="I218"/>
    </row>
    <row r="219" spans="1:9" s="60" customFormat="1" hidden="1">
      <c r="A219" s="240">
        <v>46204</v>
      </c>
      <c r="B219" t="s">
        <v>196</v>
      </c>
      <c r="C219" t="s">
        <v>197</v>
      </c>
      <c r="D219" t="s">
        <v>101</v>
      </c>
      <c r="E219" t="s">
        <v>91</v>
      </c>
      <c r="F219">
        <v>2</v>
      </c>
      <c r="G219">
        <v>1</v>
      </c>
      <c r="H219" s="265">
        <v>46205</v>
      </c>
      <c r="I219"/>
    </row>
    <row r="220" spans="1:9" hidden="1">
      <c r="A220" s="240">
        <v>46204</v>
      </c>
      <c r="B220" t="s">
        <v>201</v>
      </c>
      <c r="C220" t="s">
        <v>202</v>
      </c>
      <c r="D220" t="s">
        <v>101</v>
      </c>
      <c r="E220" t="s">
        <v>256</v>
      </c>
      <c r="F220">
        <v>9</v>
      </c>
      <c r="G220">
        <v>6</v>
      </c>
      <c r="H220" t="s">
        <v>257</v>
      </c>
      <c r="I220"/>
    </row>
    <row r="221" spans="1:9" s="60" customFormat="1" hidden="1">
      <c r="A221" s="240">
        <v>46204</v>
      </c>
      <c r="B221" t="s">
        <v>201</v>
      </c>
      <c r="C221" t="s">
        <v>202</v>
      </c>
      <c r="D221" t="s">
        <v>101</v>
      </c>
      <c r="E221" t="s">
        <v>112</v>
      </c>
      <c r="F221">
        <v>10.5</v>
      </c>
      <c r="G221">
        <v>7</v>
      </c>
      <c r="H221" s="265" t="s">
        <v>258</v>
      </c>
      <c r="I221"/>
    </row>
    <row r="222" spans="1:9" hidden="1">
      <c r="A222" s="240">
        <v>46204</v>
      </c>
      <c r="B222" t="s">
        <v>201</v>
      </c>
      <c r="C222" t="s">
        <v>202</v>
      </c>
      <c r="D222" t="s">
        <v>101</v>
      </c>
      <c r="E222" t="s">
        <v>234</v>
      </c>
      <c r="F222">
        <v>3</v>
      </c>
      <c r="G222">
        <v>2</v>
      </c>
      <c r="H222" t="s">
        <v>259</v>
      </c>
      <c r="I222"/>
    </row>
    <row r="223" spans="1:9" s="60" customFormat="1" hidden="1">
      <c r="A223" s="240">
        <v>46204</v>
      </c>
      <c r="B223" t="s">
        <v>132</v>
      </c>
      <c r="C223" t="s">
        <v>183</v>
      </c>
      <c r="D223" t="s">
        <v>101</v>
      </c>
      <c r="E223" t="s">
        <v>164</v>
      </c>
      <c r="F223">
        <v>20</v>
      </c>
      <c r="G223">
        <v>8</v>
      </c>
      <c r="H223" t="s">
        <v>260</v>
      </c>
      <c r="I223"/>
    </row>
    <row r="224" spans="1:9" hidden="1">
      <c r="A224" s="240">
        <v>46204</v>
      </c>
      <c r="B224" t="s">
        <v>132</v>
      </c>
      <c r="C224" t="s">
        <v>158</v>
      </c>
      <c r="D224" t="s">
        <v>101</v>
      </c>
      <c r="E224" t="s">
        <v>70</v>
      </c>
      <c r="F224">
        <v>24</v>
      </c>
      <c r="G224">
        <v>10</v>
      </c>
      <c r="H224" t="s">
        <v>261</v>
      </c>
      <c r="I224"/>
    </row>
    <row r="225" spans="1:9" s="60" customFormat="1" hidden="1">
      <c r="A225" s="240">
        <v>46204</v>
      </c>
      <c r="B225" t="s">
        <v>132</v>
      </c>
      <c r="C225" t="s">
        <v>158</v>
      </c>
      <c r="D225" t="s">
        <v>101</v>
      </c>
      <c r="E225" t="s">
        <v>63</v>
      </c>
      <c r="F225">
        <v>2.5</v>
      </c>
      <c r="G225">
        <v>1</v>
      </c>
      <c r="H225" s="265">
        <v>46212</v>
      </c>
      <c r="I225"/>
    </row>
    <row r="226" spans="1:9" hidden="1">
      <c r="A226" s="240">
        <v>46204</v>
      </c>
      <c r="B226" t="s">
        <v>132</v>
      </c>
      <c r="C226" t="s">
        <v>158</v>
      </c>
      <c r="D226" t="s">
        <v>101</v>
      </c>
      <c r="E226" t="s">
        <v>85</v>
      </c>
      <c r="F226">
        <v>4</v>
      </c>
      <c r="G226">
        <v>2</v>
      </c>
      <c r="H226" t="s">
        <v>262</v>
      </c>
      <c r="I226"/>
    </row>
    <row r="227" spans="1:9" s="60" customFormat="1" hidden="1">
      <c r="A227" s="240">
        <v>46235</v>
      </c>
      <c r="B227" t="s">
        <v>99</v>
      </c>
      <c r="C227" t="s">
        <v>100</v>
      </c>
      <c r="D227" t="s">
        <v>10</v>
      </c>
      <c r="E227" t="s">
        <v>29</v>
      </c>
      <c r="F227">
        <v>6.5</v>
      </c>
      <c r="G227">
        <v>3</v>
      </c>
      <c r="H227" t="s">
        <v>263</v>
      </c>
      <c r="I227"/>
    </row>
    <row r="228" spans="1:9" hidden="1">
      <c r="A228" s="240">
        <v>46235</v>
      </c>
      <c r="B228" t="s">
        <v>99</v>
      </c>
      <c r="C228" t="s">
        <v>100</v>
      </c>
      <c r="D228" t="s">
        <v>104</v>
      </c>
      <c r="E228" t="s">
        <v>70</v>
      </c>
      <c r="F228">
        <v>1.5</v>
      </c>
      <c r="G228">
        <v>1</v>
      </c>
      <c r="H228" s="265">
        <v>46238</v>
      </c>
      <c r="I228"/>
    </row>
    <row r="229" spans="1:9" s="60" customFormat="1" hidden="1">
      <c r="A229" s="240">
        <v>46235</v>
      </c>
      <c r="B229" t="s">
        <v>115</v>
      </c>
      <c r="C229" t="s">
        <v>116</v>
      </c>
      <c r="D229" t="s">
        <v>101</v>
      </c>
      <c r="E229" t="s">
        <v>164</v>
      </c>
      <c r="F229">
        <v>1.5</v>
      </c>
      <c r="G229">
        <v>1</v>
      </c>
      <c r="H229" s="265">
        <v>46238</v>
      </c>
      <c r="I229"/>
    </row>
    <row r="230" spans="1:9" hidden="1">
      <c r="A230" s="240">
        <v>46235</v>
      </c>
      <c r="B230" t="s">
        <v>196</v>
      </c>
      <c r="C230" t="s">
        <v>197</v>
      </c>
      <c r="D230" t="s">
        <v>101</v>
      </c>
      <c r="E230" t="s">
        <v>256</v>
      </c>
      <c r="F230">
        <v>16</v>
      </c>
      <c r="G230">
        <v>8</v>
      </c>
      <c r="H230" t="s">
        <v>264</v>
      </c>
      <c r="I230"/>
    </row>
    <row r="231" spans="1:9" s="60" customFormat="1" hidden="1">
      <c r="A231" s="240">
        <v>46235</v>
      </c>
      <c r="B231" t="s">
        <v>196</v>
      </c>
      <c r="C231" t="s">
        <v>197</v>
      </c>
      <c r="D231" t="s">
        <v>101</v>
      </c>
      <c r="E231" t="s">
        <v>91</v>
      </c>
      <c r="F231">
        <v>6</v>
      </c>
      <c r="G231">
        <v>3</v>
      </c>
      <c r="H231" t="s">
        <v>265</v>
      </c>
      <c r="I231"/>
    </row>
    <row r="232" spans="1:9" hidden="1">
      <c r="A232" s="240">
        <v>46235</v>
      </c>
      <c r="B232" t="s">
        <v>201</v>
      </c>
      <c r="C232" t="s">
        <v>202</v>
      </c>
      <c r="D232" t="s">
        <v>101</v>
      </c>
      <c r="E232" t="s">
        <v>266</v>
      </c>
      <c r="F232">
        <v>3</v>
      </c>
      <c r="G232">
        <v>2</v>
      </c>
      <c r="H232" t="s">
        <v>267</v>
      </c>
      <c r="I232"/>
    </row>
    <row r="233" spans="1:9" s="60" customFormat="1" hidden="1">
      <c r="A233" s="240">
        <v>46235</v>
      </c>
      <c r="B233" t="s">
        <v>201</v>
      </c>
      <c r="C233" t="s">
        <v>202</v>
      </c>
      <c r="D233" t="s">
        <v>101</v>
      </c>
      <c r="E233" t="s">
        <v>112</v>
      </c>
      <c r="F233">
        <v>3</v>
      </c>
      <c r="G233">
        <v>2</v>
      </c>
      <c r="H233" t="s">
        <v>267</v>
      </c>
      <c r="I233"/>
    </row>
    <row r="234" spans="1:9" hidden="1">
      <c r="A234" s="240">
        <v>46235</v>
      </c>
      <c r="B234" t="s">
        <v>132</v>
      </c>
      <c r="C234" t="s">
        <v>183</v>
      </c>
      <c r="D234" t="s">
        <v>101</v>
      </c>
      <c r="E234" t="s">
        <v>164</v>
      </c>
      <c r="F234">
        <v>10</v>
      </c>
      <c r="G234">
        <v>4</v>
      </c>
      <c r="H234" t="s">
        <v>268</v>
      </c>
      <c r="I234"/>
    </row>
    <row r="235" spans="1:9" s="60" customFormat="1" hidden="1">
      <c r="A235" s="240">
        <v>46235</v>
      </c>
      <c r="B235" t="s">
        <v>132</v>
      </c>
      <c r="C235" t="s">
        <v>158</v>
      </c>
      <c r="D235" t="s">
        <v>101</v>
      </c>
      <c r="E235" t="s">
        <v>23</v>
      </c>
      <c r="F235">
        <v>15</v>
      </c>
      <c r="G235">
        <v>6</v>
      </c>
      <c r="H235" t="s">
        <v>269</v>
      </c>
      <c r="I235"/>
    </row>
    <row r="236" spans="1:9" hidden="1">
      <c r="A236" s="240">
        <v>46235</v>
      </c>
      <c r="B236" t="s">
        <v>132</v>
      </c>
      <c r="C236" t="s">
        <v>158</v>
      </c>
      <c r="D236" t="s">
        <v>101</v>
      </c>
      <c r="E236" t="s">
        <v>70</v>
      </c>
      <c r="F236">
        <v>6</v>
      </c>
      <c r="G236">
        <v>3</v>
      </c>
      <c r="H236" t="s">
        <v>270</v>
      </c>
      <c r="I236"/>
    </row>
    <row r="237" spans="1:9" s="60" customFormat="1" hidden="1">
      <c r="A237" s="240">
        <v>46266</v>
      </c>
      <c r="B237" t="s">
        <v>196</v>
      </c>
      <c r="C237" t="s">
        <v>197</v>
      </c>
      <c r="D237" t="s">
        <v>101</v>
      </c>
      <c r="E237" t="s">
        <v>91</v>
      </c>
      <c r="F237">
        <v>6</v>
      </c>
      <c r="G237">
        <v>3</v>
      </c>
      <c r="H237" t="s">
        <v>271</v>
      </c>
      <c r="I237"/>
    </row>
    <row r="238" spans="1:9" hidden="1">
      <c r="A238" s="240">
        <v>46266</v>
      </c>
      <c r="B238" t="s">
        <v>196</v>
      </c>
      <c r="C238" t="s">
        <v>197</v>
      </c>
      <c r="D238" t="s">
        <v>101</v>
      </c>
      <c r="E238" t="s">
        <v>12</v>
      </c>
      <c r="F238">
        <v>14</v>
      </c>
      <c r="G238">
        <v>7</v>
      </c>
      <c r="H238" t="s">
        <v>272</v>
      </c>
      <c r="I238"/>
    </row>
    <row r="239" spans="1:9" s="60" customFormat="1">
      <c r="A239" t="s">
        <v>273</v>
      </c>
      <c r="B239"/>
      <c r="C239"/>
      <c r="D239"/>
      <c r="E239"/>
      <c r="F239">
        <f>SUBTOTAL(109,SOWTable[Total Hours])</f>
        <v>323.5</v>
      </c>
      <c r="G239">
        <f>SUBTOTAL(109,SOWTable[Total Sessions])</f>
        <v>136</v>
      </c>
      <c r="H239">
        <f>SUBTOTAL(103,SOWTable[Session Dates])</f>
        <v>27</v>
      </c>
      <c r="I239"/>
    </row>
    <row r="240" spans="1:9">
      <c r="A240"/>
      <c r="B240"/>
      <c r="C240"/>
      <c r="D240"/>
      <c r="E240"/>
      <c r="F240"/>
      <c r="G240"/>
      <c r="H240"/>
      <c r="I240"/>
    </row>
    <row r="241" spans="1:9" s="60" customFormat="1">
      <c r="A241"/>
      <c r="B241"/>
      <c r="C241"/>
      <c r="D241"/>
      <c r="E241"/>
      <c r="F241"/>
      <c r="G241"/>
      <c r="H241"/>
      <c r="I241"/>
    </row>
    <row r="242" spans="1:9">
      <c r="A242"/>
      <c r="B242"/>
      <c r="C242"/>
      <c r="D242"/>
      <c r="E242"/>
      <c r="F242"/>
      <c r="G242"/>
      <c r="H242"/>
      <c r="I242"/>
    </row>
    <row r="243" spans="1:9" s="60" customFormat="1">
      <c r="A243"/>
      <c r="B243"/>
      <c r="C243"/>
      <c r="D243"/>
      <c r="E243"/>
      <c r="F243"/>
      <c r="G243"/>
      <c r="H243"/>
      <c r="I243"/>
    </row>
    <row r="244" spans="1:9">
      <c r="A244"/>
      <c r="B244"/>
      <c r="C244"/>
      <c r="D244"/>
      <c r="E244"/>
      <c r="F244"/>
      <c r="G244"/>
      <c r="H244"/>
      <c r="I244"/>
    </row>
    <row r="245" spans="1:9" s="60" customFormat="1">
      <c r="A245"/>
      <c r="B245"/>
      <c r="C245"/>
      <c r="D245"/>
      <c r="E245"/>
      <c r="F245"/>
      <c r="G245"/>
      <c r="H245"/>
      <c r="I245"/>
    </row>
    <row r="246" spans="1:9">
      <c r="A246"/>
      <c r="B246"/>
      <c r="C246"/>
      <c r="D246"/>
      <c r="E246"/>
      <c r="F246"/>
      <c r="G246"/>
      <c r="H246"/>
      <c r="I246"/>
    </row>
    <row r="247" spans="1:9" s="60" customFormat="1">
      <c r="A247"/>
      <c r="B247"/>
      <c r="C247"/>
      <c r="D247"/>
      <c r="E247"/>
      <c r="F247"/>
      <c r="G247"/>
      <c r="H247"/>
      <c r="I247"/>
    </row>
    <row r="248" spans="1:9">
      <c r="A248"/>
      <c r="B248"/>
      <c r="C248"/>
      <c r="D248"/>
      <c r="E248"/>
      <c r="F248"/>
      <c r="G248"/>
      <c r="H248"/>
      <c r="I248"/>
    </row>
    <row r="249" spans="1:9" s="60" customFormat="1">
      <c r="A249"/>
      <c r="B249"/>
      <c r="C249"/>
      <c r="D249"/>
      <c r="E249"/>
      <c r="F249"/>
      <c r="G249"/>
      <c r="H249"/>
      <c r="I249"/>
    </row>
    <row r="250" spans="1:9">
      <c r="A250"/>
      <c r="B250"/>
      <c r="C250"/>
      <c r="D250"/>
      <c r="E250"/>
      <c r="F250"/>
      <c r="G250"/>
      <c r="H250"/>
      <c r="I250"/>
    </row>
    <row r="251" spans="1:9" s="60" customFormat="1">
      <c r="A251"/>
      <c r="B251"/>
      <c r="C251"/>
      <c r="D251"/>
      <c r="E251"/>
      <c r="F251"/>
      <c r="G251"/>
      <c r="H251"/>
      <c r="I251"/>
    </row>
    <row r="252" spans="1:9">
      <c r="A252"/>
      <c r="B252"/>
      <c r="C252"/>
      <c r="D252"/>
      <c r="E252"/>
      <c r="F252"/>
      <c r="G252"/>
      <c r="H252"/>
      <c r="I252"/>
    </row>
    <row r="253" spans="1:9" s="60" customFormat="1">
      <c r="A253"/>
      <c r="B253"/>
      <c r="C253"/>
      <c r="D253"/>
      <c r="E253"/>
      <c r="F253"/>
      <c r="G253"/>
      <c r="H253"/>
      <c r="I253"/>
    </row>
    <row r="254" spans="1:9">
      <c r="A254"/>
      <c r="B254"/>
      <c r="C254"/>
      <c r="D254"/>
      <c r="E254"/>
      <c r="F254"/>
      <c r="G254"/>
      <c r="H254"/>
      <c r="I254"/>
    </row>
    <row r="255" spans="1:9" s="60" customFormat="1">
      <c r="A255"/>
      <c r="B255"/>
      <c r="C255"/>
      <c r="D255"/>
      <c r="E255"/>
      <c r="F255"/>
      <c r="G255"/>
      <c r="H255"/>
      <c r="I255"/>
    </row>
    <row r="256" spans="1:9">
      <c r="A256"/>
      <c r="B256"/>
      <c r="C256"/>
      <c r="D256"/>
      <c r="E256"/>
      <c r="F256"/>
      <c r="G256"/>
      <c r="H256"/>
      <c r="I256"/>
    </row>
    <row r="257" spans="1:9" s="60" customFormat="1">
      <c r="A257"/>
      <c r="B257"/>
      <c r="C257"/>
      <c r="D257"/>
      <c r="E257"/>
      <c r="F257"/>
      <c r="G257"/>
      <c r="H257"/>
      <c r="I257"/>
    </row>
    <row r="258" spans="1:9">
      <c r="A258"/>
      <c r="B258"/>
      <c r="C258"/>
      <c r="D258"/>
      <c r="E258"/>
      <c r="F258"/>
      <c r="G258"/>
      <c r="H258"/>
      <c r="I258"/>
    </row>
    <row r="259" spans="1:9" s="60" customFormat="1">
      <c r="A259"/>
      <c r="B259"/>
      <c r="C259"/>
      <c r="D259"/>
      <c r="E259"/>
      <c r="F259"/>
      <c r="G259"/>
      <c r="H259"/>
      <c r="I259"/>
    </row>
    <row r="260" spans="1:9">
      <c r="A260"/>
      <c r="B260"/>
      <c r="C260"/>
      <c r="D260"/>
      <c r="E260"/>
      <c r="F260"/>
      <c r="G260"/>
      <c r="H260"/>
      <c r="I260"/>
    </row>
    <row r="261" spans="1:9" s="60" customFormat="1">
      <c r="A261"/>
      <c r="B261"/>
      <c r="C261"/>
      <c r="D261"/>
      <c r="E261"/>
      <c r="F261"/>
      <c r="G261"/>
      <c r="H261"/>
      <c r="I261"/>
    </row>
    <row r="262" spans="1:9">
      <c r="A262"/>
      <c r="B262"/>
      <c r="C262"/>
      <c r="D262"/>
      <c r="E262"/>
      <c r="F262"/>
      <c r="G262"/>
      <c r="H262"/>
      <c r="I262"/>
    </row>
    <row r="263" spans="1:9" s="60" customFormat="1">
      <c r="A263"/>
      <c r="B263"/>
      <c r="C263"/>
      <c r="D263"/>
      <c r="E263"/>
      <c r="F263"/>
      <c r="G263"/>
      <c r="H263"/>
      <c r="I263"/>
    </row>
    <row r="264" spans="1:9">
      <c r="A264"/>
      <c r="B264"/>
      <c r="C264"/>
      <c r="D264"/>
      <c r="E264"/>
      <c r="F264"/>
      <c r="G264"/>
      <c r="H264"/>
      <c r="I264"/>
    </row>
    <row r="265" spans="1:9" s="60" customFormat="1">
      <c r="A265"/>
      <c r="B265"/>
      <c r="C265"/>
      <c r="D265"/>
      <c r="E265"/>
      <c r="F265"/>
      <c r="G265"/>
      <c r="H265"/>
      <c r="I265"/>
    </row>
    <row r="266" spans="1:9">
      <c r="A266"/>
      <c r="B266"/>
      <c r="C266"/>
      <c r="D266"/>
      <c r="E266"/>
      <c r="F266"/>
      <c r="G266"/>
      <c r="H266"/>
      <c r="I266"/>
    </row>
    <row r="267" spans="1:9" s="60" customFormat="1">
      <c r="A267"/>
      <c r="B267"/>
      <c r="C267"/>
      <c r="D267"/>
      <c r="E267"/>
      <c r="F267"/>
      <c r="G267"/>
      <c r="H267"/>
      <c r="I267"/>
    </row>
    <row r="268" spans="1:9">
      <c r="A268"/>
      <c r="B268"/>
      <c r="C268"/>
      <c r="D268"/>
      <c r="E268"/>
      <c r="F268"/>
      <c r="G268"/>
      <c r="H268"/>
      <c r="I268"/>
    </row>
    <row r="269" spans="1:9" s="60" customFormat="1">
      <c r="A269"/>
      <c r="B269"/>
      <c r="C269"/>
      <c r="D269"/>
      <c r="E269"/>
      <c r="F269"/>
      <c r="G269"/>
      <c r="H269"/>
      <c r="I269"/>
    </row>
    <row r="270" spans="1:9">
      <c r="A270"/>
      <c r="B270"/>
      <c r="C270"/>
      <c r="D270"/>
      <c r="E270"/>
      <c r="F270"/>
      <c r="G270"/>
      <c r="H270"/>
      <c r="I270"/>
    </row>
    <row r="271" spans="1:9" s="60" customFormat="1">
      <c r="A271"/>
      <c r="B271"/>
      <c r="C271"/>
      <c r="D271"/>
      <c r="E271"/>
      <c r="F271"/>
      <c r="G271"/>
      <c r="H271"/>
      <c r="I271"/>
    </row>
    <row r="272" spans="1:9">
      <c r="A272"/>
      <c r="B272"/>
      <c r="C272"/>
      <c r="D272"/>
      <c r="E272"/>
      <c r="F272"/>
      <c r="G272"/>
      <c r="H272"/>
      <c r="I272"/>
    </row>
    <row r="273" spans="1:9" s="60" customFormat="1">
      <c r="A273"/>
      <c r="B273"/>
      <c r="C273"/>
      <c r="D273"/>
      <c r="E273"/>
      <c r="F273"/>
      <c r="G273"/>
      <c r="H273"/>
      <c r="I273"/>
    </row>
    <row r="274" spans="1:9">
      <c r="A274"/>
      <c r="B274"/>
      <c r="C274"/>
      <c r="D274"/>
      <c r="E274"/>
      <c r="F274"/>
      <c r="G274"/>
      <c r="H274"/>
      <c r="I274"/>
    </row>
    <row r="275" spans="1:9" s="60" customFormat="1">
      <c r="A275"/>
      <c r="B275"/>
      <c r="C275"/>
      <c r="D275"/>
      <c r="E275"/>
      <c r="F275"/>
      <c r="G275"/>
      <c r="H275"/>
      <c r="I275"/>
    </row>
    <row r="276" spans="1:9">
      <c r="A276"/>
      <c r="B276"/>
      <c r="C276"/>
      <c r="D276"/>
      <c r="E276"/>
      <c r="F276"/>
      <c r="G276"/>
      <c r="H276"/>
      <c r="I276"/>
    </row>
    <row r="277" spans="1:9" s="60" customFormat="1">
      <c r="A277"/>
      <c r="B277"/>
      <c r="C277"/>
      <c r="D277"/>
      <c r="E277"/>
      <c r="F277"/>
      <c r="G277"/>
      <c r="H277"/>
      <c r="I277"/>
    </row>
    <row r="278" spans="1:9">
      <c r="A278"/>
      <c r="B278"/>
      <c r="C278"/>
      <c r="D278"/>
      <c r="E278"/>
      <c r="F278"/>
      <c r="G278"/>
      <c r="H278"/>
      <c r="I278"/>
    </row>
    <row r="279" spans="1:9">
      <c r="A279"/>
      <c r="B279"/>
      <c r="C279"/>
      <c r="D279"/>
      <c r="E279"/>
      <c r="F279"/>
      <c r="G279"/>
      <c r="H279"/>
      <c r="I279"/>
    </row>
    <row r="280" spans="1:9">
      <c r="A280"/>
      <c r="B280"/>
      <c r="C280"/>
      <c r="D280"/>
      <c r="E280"/>
      <c r="F280"/>
      <c r="G280"/>
      <c r="H280"/>
      <c r="I280"/>
    </row>
    <row r="281" spans="1:9">
      <c r="A281"/>
      <c r="B281"/>
      <c r="C281"/>
      <c r="D281"/>
      <c r="E281"/>
      <c r="F281"/>
      <c r="G281"/>
      <c r="H281"/>
      <c r="I281"/>
    </row>
    <row r="282" spans="1:9">
      <c r="A282"/>
      <c r="B282"/>
      <c r="C282"/>
      <c r="D282"/>
      <c r="E282"/>
      <c r="F282"/>
      <c r="G282"/>
      <c r="H282"/>
      <c r="I282"/>
    </row>
    <row r="283" spans="1:9">
      <c r="A283"/>
      <c r="B283"/>
      <c r="C283"/>
      <c r="D283"/>
      <c r="E283"/>
      <c r="F283"/>
      <c r="G283"/>
      <c r="H283"/>
      <c r="I283"/>
    </row>
    <row r="284" spans="1:9">
      <c r="A284"/>
      <c r="B284"/>
      <c r="C284"/>
      <c r="D284"/>
      <c r="E284"/>
      <c r="F284"/>
      <c r="G284"/>
      <c r="H284"/>
      <c r="I284"/>
    </row>
    <row r="285" spans="1:9">
      <c r="A285"/>
      <c r="B285"/>
      <c r="C285"/>
      <c r="D285"/>
      <c r="E285"/>
      <c r="F285"/>
      <c r="G285"/>
      <c r="H285"/>
      <c r="I285"/>
    </row>
    <row r="286" spans="1:9">
      <c r="A286"/>
      <c r="B286"/>
      <c r="C286"/>
      <c r="D286"/>
      <c r="E286"/>
      <c r="F286"/>
      <c r="G286"/>
      <c r="H286"/>
      <c r="I286"/>
    </row>
    <row r="287" spans="1:9">
      <c r="A287"/>
      <c r="B287"/>
      <c r="C287"/>
      <c r="D287"/>
      <c r="E287"/>
      <c r="F287"/>
      <c r="G287"/>
      <c r="H287"/>
      <c r="I287"/>
    </row>
    <row r="288" spans="1:9">
      <c r="A288"/>
      <c r="B288"/>
      <c r="C288"/>
      <c r="D288"/>
      <c r="E288"/>
      <c r="F288"/>
      <c r="G288"/>
      <c r="H288"/>
      <c r="I288"/>
    </row>
    <row r="289" spans="1:9">
      <c r="A289"/>
      <c r="B289"/>
      <c r="C289"/>
      <c r="D289"/>
      <c r="E289"/>
      <c r="F289"/>
      <c r="G289"/>
      <c r="H289"/>
      <c r="I289"/>
    </row>
    <row r="290" spans="1:9">
      <c r="A290"/>
      <c r="B290"/>
      <c r="C290"/>
      <c r="D290"/>
      <c r="E290"/>
      <c r="F290"/>
      <c r="G290"/>
      <c r="H290"/>
      <c r="I290"/>
    </row>
    <row r="291" spans="1:9">
      <c r="A291"/>
      <c r="B291"/>
      <c r="C291"/>
      <c r="D291"/>
      <c r="E291"/>
      <c r="F291"/>
      <c r="G291"/>
      <c r="H291"/>
      <c r="I291"/>
    </row>
    <row r="292" spans="1:9">
      <c r="A292"/>
      <c r="B292"/>
      <c r="C292"/>
      <c r="D292"/>
      <c r="E292"/>
      <c r="F292"/>
      <c r="G292"/>
      <c r="H292"/>
      <c r="I292"/>
    </row>
    <row r="293" spans="1:9">
      <c r="A293"/>
      <c r="B293"/>
      <c r="C293"/>
      <c r="D293"/>
      <c r="E293"/>
      <c r="F293"/>
      <c r="G293"/>
      <c r="H293"/>
      <c r="I293"/>
    </row>
    <row r="294" spans="1:9">
      <c r="A294"/>
      <c r="B294"/>
      <c r="C294"/>
      <c r="D294"/>
      <c r="E294"/>
      <c r="F294"/>
      <c r="G294"/>
      <c r="H294"/>
      <c r="I294"/>
    </row>
    <row r="295" spans="1:9">
      <c r="A295"/>
      <c r="B295"/>
      <c r="C295"/>
      <c r="D295"/>
      <c r="E295"/>
      <c r="F295"/>
      <c r="G295"/>
      <c r="H295"/>
      <c r="I295"/>
    </row>
    <row r="296" spans="1:9">
      <c r="A296"/>
      <c r="B296"/>
      <c r="C296"/>
      <c r="D296"/>
      <c r="E296"/>
      <c r="F296"/>
      <c r="G296"/>
      <c r="H296"/>
      <c r="I296"/>
    </row>
    <row r="297" spans="1:9">
      <c r="A297"/>
      <c r="B297"/>
      <c r="C297"/>
      <c r="D297"/>
      <c r="E297"/>
      <c r="F297"/>
      <c r="G297"/>
      <c r="H297"/>
      <c r="I297"/>
    </row>
    <row r="298" spans="1:9">
      <c r="A298"/>
      <c r="B298"/>
      <c r="C298"/>
      <c r="D298"/>
      <c r="E298"/>
      <c r="F298"/>
      <c r="G298"/>
      <c r="H298"/>
      <c r="I298"/>
    </row>
    <row r="299" spans="1:9">
      <c r="A299"/>
      <c r="B299"/>
      <c r="C299"/>
      <c r="D299"/>
      <c r="E299"/>
      <c r="F299"/>
      <c r="G299"/>
      <c r="H299"/>
      <c r="I299"/>
    </row>
    <row r="300" spans="1:9">
      <c r="A300"/>
      <c r="B300"/>
      <c r="C300"/>
      <c r="D300"/>
      <c r="E300"/>
      <c r="F300"/>
      <c r="G300"/>
      <c r="H300"/>
      <c r="I300"/>
    </row>
    <row r="301" spans="1:9">
      <c r="A301"/>
      <c r="B301"/>
      <c r="C301"/>
      <c r="D301"/>
      <c r="E301"/>
      <c r="F301"/>
      <c r="G301"/>
      <c r="H301"/>
      <c r="I301"/>
    </row>
    <row r="302" spans="1:9">
      <c r="A302"/>
      <c r="B302"/>
      <c r="C302"/>
      <c r="D302"/>
      <c r="E302"/>
      <c r="F302"/>
      <c r="G302"/>
      <c r="H302"/>
      <c r="I302"/>
    </row>
    <row r="303" spans="1:9">
      <c r="A303"/>
      <c r="B303"/>
      <c r="C303"/>
      <c r="D303"/>
      <c r="E303"/>
      <c r="F303"/>
      <c r="G303"/>
      <c r="H303"/>
      <c r="I303"/>
    </row>
    <row r="304" spans="1:9">
      <c r="A304"/>
      <c r="B304"/>
      <c r="C304"/>
      <c r="D304"/>
      <c r="E304"/>
      <c r="F304"/>
      <c r="G304"/>
      <c r="H304"/>
      <c r="I304"/>
    </row>
    <row r="305" spans="1:9">
      <c r="A305"/>
      <c r="B305"/>
      <c r="C305"/>
      <c r="D305"/>
      <c r="E305"/>
      <c r="F305"/>
      <c r="G305"/>
      <c r="H305"/>
      <c r="I305"/>
    </row>
    <row r="306" spans="1:9">
      <c r="A306"/>
      <c r="B306"/>
      <c r="C306"/>
      <c r="D306"/>
      <c r="E306"/>
      <c r="F306"/>
      <c r="G306"/>
      <c r="H306"/>
      <c r="I306"/>
    </row>
    <row r="307" spans="1:9">
      <c r="A307"/>
      <c r="B307"/>
      <c r="C307"/>
      <c r="D307"/>
      <c r="E307"/>
      <c r="F307"/>
      <c r="G307"/>
      <c r="H307"/>
      <c r="I307"/>
    </row>
    <row r="308" spans="1:9">
      <c r="A308"/>
      <c r="B308"/>
      <c r="C308"/>
      <c r="D308"/>
      <c r="E308"/>
      <c r="F308"/>
      <c r="G308"/>
      <c r="H308"/>
      <c r="I308"/>
    </row>
    <row r="309" spans="1:9">
      <c r="A309"/>
      <c r="B309"/>
      <c r="C309"/>
      <c r="D309"/>
      <c r="E309"/>
      <c r="F309"/>
      <c r="G309"/>
      <c r="H309"/>
      <c r="I309"/>
    </row>
    <row r="310" spans="1:9">
      <c r="A310"/>
      <c r="B310"/>
      <c r="C310"/>
      <c r="D310"/>
      <c r="E310"/>
      <c r="F310"/>
      <c r="G310"/>
      <c r="H310"/>
      <c r="I310"/>
    </row>
    <row r="311" spans="1:9">
      <c r="A311"/>
      <c r="B311"/>
      <c r="C311"/>
      <c r="D311"/>
      <c r="E311"/>
      <c r="F311"/>
      <c r="G311"/>
      <c r="H311"/>
      <c r="I311"/>
    </row>
    <row r="312" spans="1:9">
      <c r="A312"/>
      <c r="B312"/>
      <c r="C312"/>
      <c r="D312"/>
      <c r="E312"/>
      <c r="F312"/>
      <c r="G312"/>
      <c r="H312"/>
      <c r="I312"/>
    </row>
    <row r="313" spans="1:9">
      <c r="A313"/>
      <c r="B313"/>
      <c r="C313"/>
      <c r="D313"/>
      <c r="E313"/>
      <c r="F313"/>
      <c r="G313"/>
      <c r="H313"/>
      <c r="I313"/>
    </row>
    <row r="314" spans="1:9">
      <c r="A314"/>
      <c r="B314"/>
      <c r="C314"/>
      <c r="D314"/>
      <c r="E314"/>
      <c r="F314"/>
      <c r="G314"/>
      <c r="H314"/>
      <c r="I314"/>
    </row>
    <row r="315" spans="1:9">
      <c r="A315"/>
      <c r="B315"/>
      <c r="C315"/>
      <c r="D315"/>
      <c r="E315"/>
      <c r="F315"/>
      <c r="G315"/>
      <c r="H315"/>
      <c r="I315"/>
    </row>
    <row r="316" spans="1:9">
      <c r="A316"/>
      <c r="B316"/>
      <c r="C316"/>
      <c r="D316"/>
      <c r="E316"/>
      <c r="F316"/>
      <c r="G316"/>
      <c r="H316"/>
      <c r="I316"/>
    </row>
    <row r="317" spans="1:9">
      <c r="A317"/>
      <c r="B317"/>
      <c r="C317"/>
      <c r="D317"/>
      <c r="E317"/>
      <c r="F317"/>
      <c r="G317"/>
      <c r="H317"/>
      <c r="I317"/>
    </row>
    <row r="318" spans="1:9">
      <c r="A318"/>
      <c r="B318"/>
      <c r="C318"/>
      <c r="D318"/>
      <c r="E318"/>
      <c r="F318"/>
      <c r="G318"/>
      <c r="H318"/>
      <c r="I318"/>
    </row>
    <row r="319" spans="1:9">
      <c r="A319"/>
      <c r="B319"/>
      <c r="C319"/>
      <c r="D319"/>
      <c r="E319"/>
      <c r="F319"/>
      <c r="G319"/>
      <c r="H319"/>
      <c r="I319"/>
    </row>
    <row r="320" spans="1:9">
      <c r="A320"/>
      <c r="B320"/>
      <c r="C320"/>
      <c r="D320"/>
      <c r="E320"/>
      <c r="F320"/>
      <c r="G320"/>
      <c r="H320"/>
      <c r="I320"/>
    </row>
    <row r="321" spans="1:8">
      <c r="A321"/>
      <c r="B321"/>
      <c r="C321"/>
      <c r="D321"/>
      <c r="E321"/>
      <c r="F321"/>
      <c r="G321"/>
      <c r="H321"/>
    </row>
    <row r="322" spans="1:8">
      <c r="A322"/>
      <c r="B322"/>
      <c r="C322"/>
      <c r="D322"/>
      <c r="E322"/>
      <c r="F322"/>
      <c r="G322"/>
      <c r="H322"/>
    </row>
    <row r="323" spans="1:8">
      <c r="A323"/>
      <c r="B323"/>
      <c r="C323"/>
      <c r="D323"/>
      <c r="E323"/>
      <c r="F323"/>
      <c r="G323"/>
      <c r="H323"/>
    </row>
    <row r="324" spans="1:8">
      <c r="A324"/>
      <c r="B324"/>
      <c r="C324"/>
      <c r="D324"/>
      <c r="E324"/>
      <c r="F324"/>
      <c r="G324"/>
      <c r="H324"/>
    </row>
    <row r="325" spans="1:8">
      <c r="A325"/>
      <c r="B325"/>
      <c r="C325"/>
      <c r="D325"/>
      <c r="E325"/>
      <c r="F325"/>
      <c r="G325"/>
      <c r="H325"/>
    </row>
    <row r="326" spans="1:8">
      <c r="A326"/>
      <c r="B326"/>
      <c r="C326"/>
      <c r="D326"/>
      <c r="E326"/>
      <c r="F326"/>
      <c r="G326"/>
      <c r="H326"/>
    </row>
    <row r="327" spans="1:8">
      <c r="A327"/>
      <c r="B327"/>
      <c r="C327"/>
      <c r="D327"/>
      <c r="E327"/>
      <c r="F327"/>
      <c r="G327"/>
      <c r="H327"/>
    </row>
    <row r="328" spans="1:8">
      <c r="A328"/>
      <c r="B328"/>
      <c r="C328"/>
      <c r="D328"/>
      <c r="E328"/>
      <c r="F328"/>
      <c r="G328"/>
      <c r="H328"/>
    </row>
    <row r="329" spans="1:8">
      <c r="A329"/>
      <c r="B329"/>
      <c r="C329"/>
      <c r="D329"/>
      <c r="E329"/>
      <c r="F329"/>
      <c r="G329"/>
      <c r="H329"/>
    </row>
    <row r="330" spans="1:8">
      <c r="A330"/>
      <c r="B330"/>
      <c r="C330"/>
      <c r="D330"/>
      <c r="E330"/>
      <c r="F330"/>
      <c r="G330"/>
      <c r="H330"/>
    </row>
    <row r="331" spans="1:8">
      <c r="A331"/>
      <c r="B331"/>
      <c r="C331"/>
      <c r="D331"/>
      <c r="E331"/>
      <c r="F331"/>
      <c r="G331"/>
      <c r="H331"/>
    </row>
    <row r="332" spans="1:8">
      <c r="A332"/>
      <c r="B332"/>
      <c r="C332"/>
      <c r="D332"/>
      <c r="E332"/>
      <c r="F332"/>
      <c r="G332"/>
      <c r="H332"/>
    </row>
    <row r="333" spans="1:8">
      <c r="A333"/>
      <c r="B333"/>
      <c r="C333"/>
      <c r="D333"/>
      <c r="E333"/>
      <c r="F333"/>
      <c r="G333"/>
      <c r="H333"/>
    </row>
    <row r="334" spans="1:8">
      <c r="A334"/>
      <c r="B334"/>
      <c r="C334"/>
      <c r="D334"/>
      <c r="E334"/>
      <c r="F334"/>
      <c r="G334"/>
      <c r="H334"/>
    </row>
    <row r="335" spans="1:8">
      <c r="A335"/>
      <c r="B335"/>
      <c r="C335"/>
      <c r="D335"/>
      <c r="E335"/>
      <c r="F335"/>
      <c r="G335"/>
      <c r="H335"/>
    </row>
    <row r="336" spans="1:8">
      <c r="A336"/>
      <c r="B336"/>
      <c r="C336"/>
      <c r="D336"/>
      <c r="E336"/>
      <c r="F336"/>
      <c r="G336"/>
      <c r="H336"/>
    </row>
    <row r="337" spans="1:8">
      <c r="A337"/>
      <c r="B337"/>
      <c r="C337"/>
      <c r="D337"/>
      <c r="E337"/>
      <c r="F337"/>
      <c r="G337"/>
      <c r="H337"/>
    </row>
    <row r="338" spans="1:8">
      <c r="A338"/>
      <c r="B338"/>
      <c r="C338"/>
      <c r="D338"/>
      <c r="E338"/>
      <c r="F338"/>
      <c r="G338"/>
      <c r="H338"/>
    </row>
    <row r="339" spans="1:8">
      <c r="A339"/>
      <c r="B339"/>
      <c r="C339"/>
      <c r="D339"/>
      <c r="E339"/>
      <c r="F339"/>
      <c r="G339"/>
      <c r="H339"/>
    </row>
    <row r="340" spans="1:8">
      <c r="A340"/>
      <c r="B340"/>
      <c r="C340"/>
      <c r="D340"/>
      <c r="E340"/>
      <c r="F340"/>
      <c r="G340"/>
      <c r="H340"/>
    </row>
    <row r="341" spans="1:8">
      <c r="A341"/>
      <c r="B341"/>
      <c r="C341"/>
      <c r="D341"/>
      <c r="E341"/>
      <c r="F341"/>
      <c r="G341"/>
      <c r="H341"/>
    </row>
    <row r="342" spans="1:8">
      <c r="A342"/>
      <c r="B342"/>
      <c r="C342"/>
      <c r="D342"/>
      <c r="E342"/>
      <c r="F342"/>
      <c r="G342"/>
      <c r="H342"/>
    </row>
    <row r="343" spans="1:8">
      <c r="A343"/>
      <c r="B343"/>
      <c r="C343"/>
      <c r="D343"/>
      <c r="E343"/>
      <c r="F343"/>
      <c r="G343"/>
      <c r="H34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6F8E-EA91-4746-B950-D364D0A5F403}">
  <dimension ref="A1:R20019"/>
  <sheetViews>
    <sheetView topLeftCell="B1" workbookViewId="0">
      <selection activeCell="L15" sqref="L15"/>
    </sheetView>
  </sheetViews>
  <sheetFormatPr defaultRowHeight="15"/>
  <cols>
    <col min="2" max="2" width="18.42578125" bestFit="1" customWidth="1"/>
    <col min="3" max="3" width="24.42578125" customWidth="1"/>
    <col min="4" max="4" width="27.42578125" customWidth="1"/>
    <col min="8" max="8" width="18" customWidth="1"/>
    <col min="9" max="9" width="31.5703125" style="204" customWidth="1"/>
    <col min="10" max="10" width="12" customWidth="1"/>
    <col min="12" max="12" width="51.7109375" style="204" customWidth="1"/>
    <col min="15" max="15" width="20.7109375" customWidth="1"/>
  </cols>
  <sheetData>
    <row r="1" spans="1:18">
      <c r="A1" s="276" t="s">
        <v>274</v>
      </c>
      <c r="B1" s="280" t="s">
        <v>275</v>
      </c>
      <c r="C1" s="280" t="s">
        <v>276</v>
      </c>
      <c r="D1" s="280" t="s">
        <v>277</v>
      </c>
      <c r="E1" s="280" t="s">
        <v>0</v>
      </c>
      <c r="F1" s="280" t="s">
        <v>278</v>
      </c>
      <c r="G1" s="280" t="s">
        <v>279</v>
      </c>
      <c r="H1" s="280" t="s">
        <v>1</v>
      </c>
      <c r="I1" s="280" t="s">
        <v>280</v>
      </c>
      <c r="J1" s="280" t="s">
        <v>281</v>
      </c>
      <c r="K1" s="280" t="s">
        <v>3</v>
      </c>
      <c r="L1" s="280" t="s">
        <v>282</v>
      </c>
      <c r="M1" s="280" t="s">
        <v>283</v>
      </c>
      <c r="N1" s="280" t="s">
        <v>284</v>
      </c>
      <c r="O1" s="280" t="s">
        <v>285</v>
      </c>
      <c r="P1" s="280" t="s">
        <v>286</v>
      </c>
      <c r="Q1" s="274" t="s">
        <v>287</v>
      </c>
      <c r="R1" s="280" t="s">
        <v>288</v>
      </c>
    </row>
    <row r="2" spans="1:18">
      <c r="A2" s="277"/>
      <c r="B2" s="278">
        <v>45748</v>
      </c>
      <c r="C2" s="208" t="s">
        <v>289</v>
      </c>
      <c r="D2" s="208" t="s">
        <v>290</v>
      </c>
      <c r="E2" s="208" t="s">
        <v>291</v>
      </c>
      <c r="F2" s="208">
        <v>2025</v>
      </c>
      <c r="G2" s="208">
        <v>2.5</v>
      </c>
      <c r="H2" s="208" t="s">
        <v>292</v>
      </c>
      <c r="I2" s="208" t="s">
        <v>293</v>
      </c>
      <c r="J2" s="208"/>
      <c r="K2" s="208" t="s">
        <v>101</v>
      </c>
      <c r="L2" s="208"/>
      <c r="M2" s="208"/>
      <c r="N2" s="208"/>
      <c r="O2" s="208"/>
      <c r="P2" s="208"/>
      <c r="Q2" s="207"/>
      <c r="R2" s="280"/>
    </row>
    <row r="3" spans="1:18">
      <c r="A3" s="277"/>
      <c r="B3" s="278">
        <v>45749</v>
      </c>
      <c r="C3" s="208" t="s">
        <v>294</v>
      </c>
      <c r="D3" s="208" t="s">
        <v>290</v>
      </c>
      <c r="E3" s="208" t="s">
        <v>291</v>
      </c>
      <c r="F3" s="208">
        <v>2025</v>
      </c>
      <c r="G3" s="208">
        <v>2.5</v>
      </c>
      <c r="H3" s="208" t="s">
        <v>292</v>
      </c>
      <c r="I3" s="208" t="s">
        <v>293</v>
      </c>
      <c r="J3" s="208"/>
      <c r="K3" s="208" t="s">
        <v>101</v>
      </c>
      <c r="L3" s="208"/>
      <c r="M3" s="208"/>
      <c r="N3" s="208"/>
      <c r="O3" s="208"/>
      <c r="P3" s="208"/>
      <c r="Q3" s="207"/>
      <c r="R3" s="208"/>
    </row>
    <row r="4" spans="1:18">
      <c r="A4" s="277">
        <v>1</v>
      </c>
      <c r="B4" s="278">
        <v>45749</v>
      </c>
      <c r="C4" s="208" t="s">
        <v>294</v>
      </c>
      <c r="D4" s="208" t="s">
        <v>295</v>
      </c>
      <c r="E4" s="208" t="s">
        <v>291</v>
      </c>
      <c r="F4" s="208">
        <v>2025</v>
      </c>
      <c r="G4" s="208">
        <v>2.5</v>
      </c>
      <c r="H4" s="208" t="s">
        <v>8</v>
      </c>
      <c r="I4" s="208" t="s">
        <v>296</v>
      </c>
      <c r="J4" s="208"/>
      <c r="K4" s="208" t="s">
        <v>10</v>
      </c>
      <c r="L4" s="208" t="s">
        <v>297</v>
      </c>
      <c r="M4" s="208"/>
      <c r="N4" s="208"/>
      <c r="O4" s="208" t="s">
        <v>12</v>
      </c>
      <c r="P4" s="208"/>
      <c r="Q4" s="207"/>
      <c r="R4" s="208"/>
    </row>
    <row r="5" spans="1:18">
      <c r="A5" s="277"/>
      <c r="B5" s="278">
        <v>45750</v>
      </c>
      <c r="C5" s="208" t="s">
        <v>298</v>
      </c>
      <c r="D5" s="208" t="s">
        <v>299</v>
      </c>
      <c r="E5" s="208" t="s">
        <v>291</v>
      </c>
      <c r="F5" s="208">
        <v>2025</v>
      </c>
      <c r="G5" s="208">
        <v>2</v>
      </c>
      <c r="H5" s="208" t="s">
        <v>292</v>
      </c>
      <c r="I5" s="208" t="s">
        <v>293</v>
      </c>
      <c r="J5" s="208"/>
      <c r="K5" s="208" t="s">
        <v>101</v>
      </c>
      <c r="L5" s="208"/>
      <c r="M5" s="208"/>
      <c r="N5" s="208"/>
      <c r="O5" s="208"/>
      <c r="P5" s="208"/>
      <c r="Q5" s="207"/>
      <c r="R5" s="208"/>
    </row>
    <row r="6" spans="1:18">
      <c r="A6" s="277">
        <v>2</v>
      </c>
      <c r="B6" s="278">
        <v>45750</v>
      </c>
      <c r="C6" s="208" t="s">
        <v>298</v>
      </c>
      <c r="D6" s="208" t="s">
        <v>295</v>
      </c>
      <c r="E6" s="208" t="s">
        <v>291</v>
      </c>
      <c r="F6" s="208">
        <v>2025</v>
      </c>
      <c r="G6" s="208">
        <v>2.5</v>
      </c>
      <c r="H6" s="208" t="s">
        <v>8</v>
      </c>
      <c r="I6" s="208" t="s">
        <v>296</v>
      </c>
      <c r="J6" s="208"/>
      <c r="K6" s="208" t="s">
        <v>10</v>
      </c>
      <c r="L6" s="208" t="s">
        <v>300</v>
      </c>
      <c r="M6" s="208"/>
      <c r="N6" s="208"/>
      <c r="O6" s="208" t="s">
        <v>12</v>
      </c>
      <c r="P6" s="208"/>
      <c r="Q6" s="207"/>
      <c r="R6" s="208"/>
    </row>
    <row r="7" spans="1:18">
      <c r="A7" s="277"/>
      <c r="B7" s="278">
        <v>45751</v>
      </c>
      <c r="C7" s="208" t="s">
        <v>301</v>
      </c>
      <c r="D7" s="208" t="s">
        <v>299</v>
      </c>
      <c r="E7" s="208" t="s">
        <v>291</v>
      </c>
      <c r="F7" s="208">
        <v>2025</v>
      </c>
      <c r="G7" s="208">
        <v>2</v>
      </c>
      <c r="H7" s="208"/>
      <c r="I7" s="208"/>
      <c r="J7" s="208"/>
      <c r="K7" s="208"/>
      <c r="L7" s="208"/>
      <c r="M7" s="208"/>
      <c r="N7" s="208"/>
      <c r="O7" s="208"/>
      <c r="P7" s="208"/>
      <c r="Q7" s="207"/>
      <c r="R7" s="208"/>
    </row>
    <row r="8" spans="1:18">
      <c r="A8" s="277"/>
      <c r="B8" s="278">
        <v>45754</v>
      </c>
      <c r="C8" s="208" t="s">
        <v>302</v>
      </c>
      <c r="D8" s="208" t="s">
        <v>303</v>
      </c>
      <c r="E8" s="208" t="s">
        <v>291</v>
      </c>
      <c r="F8" s="208">
        <v>2025</v>
      </c>
      <c r="G8" s="208">
        <v>4</v>
      </c>
      <c r="H8" s="208"/>
      <c r="I8" s="208"/>
      <c r="J8" s="208"/>
      <c r="K8" s="208"/>
      <c r="L8" s="208"/>
      <c r="M8" s="208"/>
      <c r="N8" s="208"/>
      <c r="O8" s="208"/>
      <c r="P8" s="208"/>
      <c r="Q8" s="207"/>
      <c r="R8" s="208"/>
    </row>
    <row r="9" spans="1:18">
      <c r="A9" s="277"/>
      <c r="B9" s="278">
        <v>45755</v>
      </c>
      <c r="C9" s="208" t="s">
        <v>289</v>
      </c>
      <c r="D9" s="208" t="s">
        <v>290</v>
      </c>
      <c r="E9" s="208" t="s">
        <v>291</v>
      </c>
      <c r="F9" s="208">
        <v>2025</v>
      </c>
      <c r="G9" s="208">
        <v>2.5</v>
      </c>
      <c r="H9" s="208" t="s">
        <v>292</v>
      </c>
      <c r="I9" s="208" t="s">
        <v>293</v>
      </c>
      <c r="J9" s="208"/>
      <c r="K9" s="208" t="s">
        <v>101</v>
      </c>
      <c r="L9" s="208"/>
      <c r="M9" s="208"/>
      <c r="N9" s="208"/>
      <c r="O9" s="208"/>
      <c r="P9" s="208"/>
      <c r="Q9" s="207"/>
      <c r="R9" s="208"/>
    </row>
    <row r="10" spans="1:18">
      <c r="A10" s="277"/>
      <c r="B10" s="278">
        <v>45756</v>
      </c>
      <c r="C10" s="208" t="s">
        <v>294</v>
      </c>
      <c r="D10" s="208" t="s">
        <v>290</v>
      </c>
      <c r="E10" s="208" t="s">
        <v>291</v>
      </c>
      <c r="F10" s="208">
        <v>2025</v>
      </c>
      <c r="G10" s="208">
        <v>2.5</v>
      </c>
      <c r="H10" s="208" t="s">
        <v>292</v>
      </c>
      <c r="I10" s="208" t="s">
        <v>293</v>
      </c>
      <c r="J10" s="208"/>
      <c r="K10" s="208" t="s">
        <v>101</v>
      </c>
      <c r="L10" s="208"/>
      <c r="M10" s="208"/>
      <c r="N10" s="208"/>
      <c r="O10" s="208"/>
      <c r="P10" s="208"/>
      <c r="Q10" s="207"/>
      <c r="R10" s="208"/>
    </row>
    <row r="11" spans="1:18">
      <c r="A11" s="277">
        <v>3</v>
      </c>
      <c r="B11" s="278">
        <v>45756</v>
      </c>
      <c r="C11" s="208" t="s">
        <v>294</v>
      </c>
      <c r="D11" s="208" t="s">
        <v>295</v>
      </c>
      <c r="E11" s="208" t="s">
        <v>291</v>
      </c>
      <c r="F11" s="208">
        <v>2025</v>
      </c>
      <c r="G11" s="208">
        <v>2.5</v>
      </c>
      <c r="H11" s="208" t="s">
        <v>8</v>
      </c>
      <c r="I11" s="208" t="s">
        <v>296</v>
      </c>
      <c r="J11" s="208"/>
      <c r="K11" s="208" t="s">
        <v>10</v>
      </c>
      <c r="L11" s="208" t="s">
        <v>304</v>
      </c>
      <c r="M11" s="208"/>
      <c r="N11" s="208"/>
      <c r="O11" s="208" t="s">
        <v>14</v>
      </c>
      <c r="P11" s="208"/>
      <c r="Q11" s="207"/>
      <c r="R11" s="208"/>
    </row>
    <row r="12" spans="1:18">
      <c r="A12" s="277"/>
      <c r="B12" s="278">
        <v>45757</v>
      </c>
      <c r="C12" s="208" t="s">
        <v>298</v>
      </c>
      <c r="D12" s="208" t="s">
        <v>303</v>
      </c>
      <c r="E12" s="208" t="s">
        <v>291</v>
      </c>
      <c r="F12" s="208">
        <v>2025</v>
      </c>
      <c r="G12" s="208">
        <v>4</v>
      </c>
      <c r="H12" s="208" t="s">
        <v>292</v>
      </c>
      <c r="I12" s="208" t="s">
        <v>293</v>
      </c>
      <c r="J12" s="208"/>
      <c r="K12" s="208" t="s">
        <v>101</v>
      </c>
      <c r="L12" s="208"/>
      <c r="M12" s="208"/>
      <c r="N12" s="208"/>
      <c r="O12" s="208"/>
      <c r="P12" s="208"/>
      <c r="Q12" s="207"/>
      <c r="R12" s="208"/>
    </row>
    <row r="13" spans="1:18">
      <c r="A13" s="277">
        <v>4</v>
      </c>
      <c r="B13" s="278">
        <v>45757</v>
      </c>
      <c r="C13" s="208" t="s">
        <v>298</v>
      </c>
      <c r="D13" s="208" t="s">
        <v>295</v>
      </c>
      <c r="E13" s="208" t="s">
        <v>291</v>
      </c>
      <c r="F13" s="208">
        <v>2025</v>
      </c>
      <c r="G13" s="208">
        <v>2.5</v>
      </c>
      <c r="H13" s="208" t="s">
        <v>8</v>
      </c>
      <c r="I13" s="208" t="s">
        <v>296</v>
      </c>
      <c r="J13" s="208"/>
      <c r="K13" s="208" t="s">
        <v>10</v>
      </c>
      <c r="L13" s="208" t="s">
        <v>305</v>
      </c>
      <c r="M13" s="208"/>
      <c r="N13" s="208"/>
      <c r="O13" s="208" t="s">
        <v>14</v>
      </c>
      <c r="P13" s="208"/>
      <c r="Q13" s="207"/>
      <c r="R13" s="208"/>
    </row>
    <row r="14" spans="1:18">
      <c r="A14" s="277"/>
      <c r="B14" s="278">
        <v>45758</v>
      </c>
      <c r="C14" s="208" t="s">
        <v>301</v>
      </c>
      <c r="D14" s="208" t="s">
        <v>303</v>
      </c>
      <c r="E14" s="208" t="s">
        <v>291</v>
      </c>
      <c r="F14" s="208">
        <v>2025</v>
      </c>
      <c r="G14" s="208">
        <v>4</v>
      </c>
      <c r="H14" s="208"/>
      <c r="I14" s="208"/>
      <c r="J14" s="208"/>
      <c r="K14" s="208"/>
      <c r="L14" s="208"/>
      <c r="M14" s="208"/>
      <c r="N14" s="208"/>
      <c r="O14" s="208"/>
      <c r="P14" s="208"/>
      <c r="Q14" s="207"/>
      <c r="R14" s="208"/>
    </row>
    <row r="15" spans="1:18">
      <c r="A15" s="277"/>
      <c r="B15" s="278">
        <v>45761</v>
      </c>
      <c r="C15" s="208" t="s">
        <v>302</v>
      </c>
      <c r="D15" s="208" t="s">
        <v>303</v>
      </c>
      <c r="E15" s="208" t="s">
        <v>291</v>
      </c>
      <c r="F15" s="208">
        <v>2025</v>
      </c>
      <c r="G15" s="208">
        <v>4</v>
      </c>
      <c r="H15" s="208"/>
      <c r="I15" s="208"/>
      <c r="J15" s="208"/>
      <c r="K15" s="208"/>
      <c r="L15" s="208"/>
      <c r="M15" s="208"/>
      <c r="N15" s="208"/>
      <c r="O15" s="208"/>
      <c r="P15" s="208"/>
      <c r="Q15" s="207"/>
      <c r="R15" s="208"/>
    </row>
    <row r="16" spans="1:18">
      <c r="A16" s="277"/>
      <c r="B16" s="278">
        <v>45762</v>
      </c>
      <c r="C16" s="208" t="s">
        <v>289</v>
      </c>
      <c r="D16" s="208" t="s">
        <v>290</v>
      </c>
      <c r="E16" s="208" t="s">
        <v>291</v>
      </c>
      <c r="F16" s="208">
        <v>2025</v>
      </c>
      <c r="G16" s="208">
        <v>2.5</v>
      </c>
      <c r="H16" s="208" t="s">
        <v>292</v>
      </c>
      <c r="I16" s="208" t="s">
        <v>293</v>
      </c>
      <c r="J16" s="208"/>
      <c r="K16" s="208" t="s">
        <v>101</v>
      </c>
      <c r="L16" s="208"/>
      <c r="M16" s="208"/>
      <c r="N16" s="208"/>
      <c r="O16" s="208"/>
      <c r="P16" s="208"/>
      <c r="Q16" s="207"/>
      <c r="R16" s="208"/>
    </row>
    <row r="17" spans="1:18">
      <c r="A17" s="277"/>
      <c r="B17" s="278">
        <v>45763</v>
      </c>
      <c r="C17" s="208" t="s">
        <v>294</v>
      </c>
      <c r="D17" s="208" t="s">
        <v>290</v>
      </c>
      <c r="E17" s="208" t="s">
        <v>291</v>
      </c>
      <c r="F17" s="208">
        <v>2025</v>
      </c>
      <c r="G17" s="208">
        <v>2.5</v>
      </c>
      <c r="H17" s="208" t="s">
        <v>292</v>
      </c>
      <c r="I17" s="208" t="s">
        <v>293</v>
      </c>
      <c r="J17" s="208"/>
      <c r="K17" s="208" t="s">
        <v>101</v>
      </c>
      <c r="L17" s="208"/>
      <c r="M17" s="208"/>
      <c r="N17" s="208"/>
      <c r="O17" s="208"/>
      <c r="P17" s="208"/>
      <c r="Q17" s="207"/>
      <c r="R17" s="208"/>
    </row>
    <row r="18" spans="1:18">
      <c r="A18" s="277">
        <v>5</v>
      </c>
      <c r="B18" s="278">
        <v>45763</v>
      </c>
      <c r="C18" s="208" t="s">
        <v>294</v>
      </c>
      <c r="D18" s="208" t="s">
        <v>295</v>
      </c>
      <c r="E18" s="208" t="s">
        <v>291</v>
      </c>
      <c r="F18" s="208">
        <v>2025</v>
      </c>
      <c r="G18" s="208">
        <v>2.5</v>
      </c>
      <c r="H18" s="208" t="s">
        <v>8</v>
      </c>
      <c r="I18" s="208" t="s">
        <v>296</v>
      </c>
      <c r="J18" s="208"/>
      <c r="K18" s="208" t="s">
        <v>10</v>
      </c>
      <c r="L18" s="208" t="s">
        <v>306</v>
      </c>
      <c r="M18" s="208"/>
      <c r="N18" s="208"/>
      <c r="O18" s="208" t="s">
        <v>14</v>
      </c>
      <c r="P18" s="208"/>
      <c r="Q18" s="207"/>
      <c r="R18" s="208"/>
    </row>
    <row r="19" spans="1:18">
      <c r="A19" s="277"/>
      <c r="B19" s="278">
        <v>45764</v>
      </c>
      <c r="C19" s="208" t="s">
        <v>298</v>
      </c>
      <c r="D19" s="208" t="s">
        <v>303</v>
      </c>
      <c r="E19" s="208" t="s">
        <v>291</v>
      </c>
      <c r="F19" s="208">
        <v>2025</v>
      </c>
      <c r="G19" s="208">
        <v>4</v>
      </c>
      <c r="H19" s="208" t="s">
        <v>292</v>
      </c>
      <c r="I19" s="208" t="s">
        <v>293</v>
      </c>
      <c r="J19" s="208"/>
      <c r="K19" s="208" t="s">
        <v>101</v>
      </c>
      <c r="L19" s="208"/>
      <c r="M19" s="208"/>
      <c r="N19" s="208"/>
      <c r="O19" s="208"/>
      <c r="P19" s="208"/>
      <c r="Q19" s="207"/>
      <c r="R19" s="208"/>
    </row>
    <row r="20" spans="1:18">
      <c r="A20" s="277">
        <v>6</v>
      </c>
      <c r="B20" s="278">
        <v>45764</v>
      </c>
      <c r="C20" s="208" t="s">
        <v>298</v>
      </c>
      <c r="D20" s="208" t="s">
        <v>295</v>
      </c>
      <c r="E20" s="208" t="s">
        <v>291</v>
      </c>
      <c r="F20" s="208">
        <v>2025</v>
      </c>
      <c r="G20" s="208">
        <v>2.5</v>
      </c>
      <c r="H20" s="208" t="s">
        <v>8</v>
      </c>
      <c r="I20" s="208" t="s">
        <v>296</v>
      </c>
      <c r="J20" s="208"/>
      <c r="K20" s="208" t="s">
        <v>10</v>
      </c>
      <c r="L20" s="208" t="s">
        <v>307</v>
      </c>
      <c r="M20" s="208"/>
      <c r="N20" s="208"/>
      <c r="O20" s="208" t="s">
        <v>14</v>
      </c>
      <c r="P20" s="208"/>
      <c r="Q20" s="207"/>
      <c r="R20" s="208"/>
    </row>
    <row r="21" spans="1:18">
      <c r="A21" s="277"/>
      <c r="B21" s="278">
        <v>45768</v>
      </c>
      <c r="C21" s="208" t="s">
        <v>302</v>
      </c>
      <c r="D21" s="208" t="s">
        <v>303</v>
      </c>
      <c r="E21" s="208" t="s">
        <v>291</v>
      </c>
      <c r="F21" s="208">
        <v>2025</v>
      </c>
      <c r="G21" s="208">
        <v>4</v>
      </c>
      <c r="H21" s="208"/>
      <c r="I21" s="208"/>
      <c r="J21" s="208"/>
      <c r="K21" s="208"/>
      <c r="L21" s="208"/>
      <c r="M21" s="208"/>
      <c r="N21" s="208"/>
      <c r="O21" s="208"/>
      <c r="P21" s="208"/>
      <c r="Q21" s="207"/>
      <c r="R21" s="208"/>
    </row>
    <row r="22" spans="1:18">
      <c r="A22" s="277"/>
      <c r="B22" s="278">
        <v>45769</v>
      </c>
      <c r="C22" s="208" t="s">
        <v>289</v>
      </c>
      <c r="D22" s="208" t="s">
        <v>290</v>
      </c>
      <c r="E22" s="208" t="s">
        <v>291</v>
      </c>
      <c r="F22" s="208">
        <v>2025</v>
      </c>
      <c r="G22" s="208">
        <v>2.5</v>
      </c>
      <c r="H22" s="208" t="s">
        <v>292</v>
      </c>
      <c r="I22" s="208" t="s">
        <v>293</v>
      </c>
      <c r="J22" s="208"/>
      <c r="K22" s="208" t="s">
        <v>101</v>
      </c>
      <c r="L22" s="208"/>
      <c r="M22" s="208"/>
      <c r="N22" s="208"/>
      <c r="O22" s="208"/>
      <c r="P22" s="208"/>
      <c r="Q22" s="207"/>
      <c r="R22" s="208"/>
    </row>
    <row r="23" spans="1:18">
      <c r="A23" s="277"/>
      <c r="B23" s="278">
        <v>45770</v>
      </c>
      <c r="C23" s="208" t="s">
        <v>294</v>
      </c>
      <c r="D23" s="208" t="s">
        <v>290</v>
      </c>
      <c r="E23" s="208" t="s">
        <v>291</v>
      </c>
      <c r="F23" s="208">
        <v>2025</v>
      </c>
      <c r="G23" s="208">
        <v>2.5</v>
      </c>
      <c r="H23" s="208" t="s">
        <v>292</v>
      </c>
      <c r="I23" s="208" t="s">
        <v>293</v>
      </c>
      <c r="J23" s="208"/>
      <c r="K23" s="208" t="s">
        <v>101</v>
      </c>
      <c r="L23" s="208"/>
      <c r="M23" s="208"/>
      <c r="N23" s="208"/>
      <c r="O23" s="208"/>
      <c r="P23" s="208"/>
      <c r="Q23" s="207"/>
      <c r="R23" s="208"/>
    </row>
    <row r="24" spans="1:18">
      <c r="A24" s="277">
        <v>7</v>
      </c>
      <c r="B24" s="278">
        <v>45770</v>
      </c>
      <c r="C24" s="208" t="s">
        <v>294</v>
      </c>
      <c r="D24" s="208" t="s">
        <v>295</v>
      </c>
      <c r="E24" s="208" t="s">
        <v>291</v>
      </c>
      <c r="F24" s="208">
        <v>2025</v>
      </c>
      <c r="G24" s="208">
        <v>2.5</v>
      </c>
      <c r="H24" s="208" t="s">
        <v>8</v>
      </c>
      <c r="I24" s="208" t="s">
        <v>296</v>
      </c>
      <c r="J24" s="208"/>
      <c r="K24" s="208" t="s">
        <v>10</v>
      </c>
      <c r="L24" s="208" t="s">
        <v>308</v>
      </c>
      <c r="M24" s="208"/>
      <c r="N24" s="208"/>
      <c r="O24" s="208" t="s">
        <v>12</v>
      </c>
      <c r="P24" s="208"/>
      <c r="Q24" s="207"/>
      <c r="R24" s="208"/>
    </row>
    <row r="25" spans="1:18">
      <c r="A25" s="277"/>
      <c r="B25" s="278">
        <v>45771</v>
      </c>
      <c r="C25" s="208" t="s">
        <v>298</v>
      </c>
      <c r="D25" s="208" t="s">
        <v>299</v>
      </c>
      <c r="E25" s="208" t="s">
        <v>291</v>
      </c>
      <c r="F25" s="208">
        <v>2025</v>
      </c>
      <c r="G25" s="208">
        <v>2</v>
      </c>
      <c r="H25" s="208" t="s">
        <v>292</v>
      </c>
      <c r="I25" s="208" t="s">
        <v>293</v>
      </c>
      <c r="J25" s="208"/>
      <c r="K25" s="208" t="s">
        <v>101</v>
      </c>
      <c r="L25" s="208"/>
      <c r="M25" s="208"/>
      <c r="N25" s="208"/>
      <c r="O25" s="208"/>
      <c r="P25" s="208"/>
      <c r="Q25" s="207"/>
      <c r="R25" s="208"/>
    </row>
    <row r="26" spans="1:18">
      <c r="A26" s="277">
        <v>8</v>
      </c>
      <c r="B26" s="278">
        <v>45771</v>
      </c>
      <c r="C26" s="208" t="s">
        <v>298</v>
      </c>
      <c r="D26" s="208" t="s">
        <v>295</v>
      </c>
      <c r="E26" s="208" t="s">
        <v>291</v>
      </c>
      <c r="F26" s="208">
        <v>2025</v>
      </c>
      <c r="G26" s="208">
        <v>2.5</v>
      </c>
      <c r="H26" s="208" t="s">
        <v>8</v>
      </c>
      <c r="I26" s="208" t="s">
        <v>296</v>
      </c>
      <c r="J26" s="208"/>
      <c r="K26" s="208" t="s">
        <v>10</v>
      </c>
      <c r="L26" s="208" t="s">
        <v>309</v>
      </c>
      <c r="M26" s="208"/>
      <c r="N26" s="208"/>
      <c r="O26" s="208" t="s">
        <v>11</v>
      </c>
      <c r="P26" s="208"/>
      <c r="Q26" s="207"/>
      <c r="R26" s="208"/>
    </row>
    <row r="27" spans="1:18">
      <c r="A27" s="277"/>
      <c r="B27" s="278">
        <v>45772</v>
      </c>
      <c r="C27" s="208" t="s">
        <v>301</v>
      </c>
      <c r="D27" s="208" t="s">
        <v>303</v>
      </c>
      <c r="E27" s="208" t="s">
        <v>291</v>
      </c>
      <c r="F27" s="208">
        <v>2025</v>
      </c>
      <c r="G27" s="208">
        <v>4</v>
      </c>
      <c r="H27" s="208"/>
      <c r="I27" s="208"/>
      <c r="J27" s="208"/>
      <c r="K27" s="208"/>
      <c r="L27" s="208"/>
      <c r="M27" s="208"/>
      <c r="N27" s="208"/>
      <c r="O27" s="208"/>
      <c r="P27" s="208"/>
      <c r="Q27" s="207"/>
      <c r="R27" s="208"/>
    </row>
    <row r="28" spans="1:18">
      <c r="A28" s="277"/>
      <c r="B28" s="278">
        <v>45775</v>
      </c>
      <c r="C28" s="208" t="s">
        <v>302</v>
      </c>
      <c r="D28" s="208" t="s">
        <v>303</v>
      </c>
      <c r="E28" s="208" t="s">
        <v>291</v>
      </c>
      <c r="F28" s="208">
        <v>2025</v>
      </c>
      <c r="G28" s="208">
        <v>4</v>
      </c>
      <c r="H28" s="208"/>
      <c r="I28" s="208"/>
      <c r="J28" s="208"/>
      <c r="K28" s="208"/>
      <c r="L28" s="208"/>
      <c r="M28" s="208"/>
      <c r="N28" s="208"/>
      <c r="O28" s="208"/>
      <c r="P28" s="208"/>
      <c r="Q28" s="207"/>
      <c r="R28" s="208"/>
    </row>
    <row r="29" spans="1:18">
      <c r="A29" s="277">
        <v>9</v>
      </c>
      <c r="B29" s="278">
        <v>45775</v>
      </c>
      <c r="C29" s="208" t="s">
        <v>302</v>
      </c>
      <c r="D29" s="208" t="s">
        <v>310</v>
      </c>
      <c r="E29" s="208" t="s">
        <v>291</v>
      </c>
      <c r="F29" s="208">
        <v>2025</v>
      </c>
      <c r="G29" s="208">
        <v>2</v>
      </c>
      <c r="H29" s="208" t="s">
        <v>16</v>
      </c>
      <c r="I29" s="208" t="s">
        <v>17</v>
      </c>
      <c r="J29" s="208" t="s">
        <v>311</v>
      </c>
      <c r="K29" s="208" t="s">
        <v>18</v>
      </c>
      <c r="L29" s="208" t="s">
        <v>312</v>
      </c>
      <c r="M29" s="208">
        <v>2</v>
      </c>
      <c r="N29" s="208"/>
      <c r="O29" s="208" t="s">
        <v>19</v>
      </c>
      <c r="P29" s="208"/>
      <c r="Q29" s="207"/>
      <c r="R29" s="208"/>
    </row>
    <row r="30" spans="1:18">
      <c r="A30" s="277">
        <v>10</v>
      </c>
      <c r="B30" s="278">
        <v>45775</v>
      </c>
      <c r="C30" s="208" t="s">
        <v>302</v>
      </c>
      <c r="D30" s="208" t="s">
        <v>313</v>
      </c>
      <c r="E30" s="208" t="s">
        <v>291</v>
      </c>
      <c r="F30" s="208">
        <v>2025</v>
      </c>
      <c r="G30" s="208">
        <v>2</v>
      </c>
      <c r="H30" s="208" t="s">
        <v>16</v>
      </c>
      <c r="I30" s="208" t="s">
        <v>21</v>
      </c>
      <c r="J30" s="208" t="s">
        <v>311</v>
      </c>
      <c r="K30" s="208" t="s">
        <v>18</v>
      </c>
      <c r="L30" s="208" t="s">
        <v>314</v>
      </c>
      <c r="M30" s="208">
        <v>2</v>
      </c>
      <c r="N30" s="208"/>
      <c r="O30" s="208" t="s">
        <v>22</v>
      </c>
      <c r="P30" s="208"/>
      <c r="Q30" s="207"/>
      <c r="R30" s="208"/>
    </row>
    <row r="31" spans="1:18">
      <c r="A31" s="277"/>
      <c r="B31" s="278">
        <v>45776</v>
      </c>
      <c r="C31" s="208" t="s">
        <v>289</v>
      </c>
      <c r="D31" s="208" t="s">
        <v>290</v>
      </c>
      <c r="E31" s="208" t="s">
        <v>291</v>
      </c>
      <c r="F31" s="208">
        <v>2025</v>
      </c>
      <c r="G31" s="208">
        <v>2.5</v>
      </c>
      <c r="H31" s="208" t="s">
        <v>292</v>
      </c>
      <c r="I31" s="208" t="s">
        <v>293</v>
      </c>
      <c r="J31" s="208"/>
      <c r="K31" s="208" t="s">
        <v>101</v>
      </c>
      <c r="L31" s="208"/>
      <c r="M31" s="208"/>
      <c r="N31" s="208"/>
      <c r="O31" s="208"/>
      <c r="P31" s="208"/>
      <c r="Q31" s="207"/>
      <c r="R31" s="208"/>
    </row>
    <row r="32" spans="1:18">
      <c r="A32" s="277">
        <v>11</v>
      </c>
      <c r="B32" s="278">
        <v>45776</v>
      </c>
      <c r="C32" s="208" t="s">
        <v>289</v>
      </c>
      <c r="D32" s="208" t="s">
        <v>310</v>
      </c>
      <c r="E32" s="208" t="s">
        <v>291</v>
      </c>
      <c r="F32" s="208">
        <v>2025</v>
      </c>
      <c r="G32" s="208">
        <v>2</v>
      </c>
      <c r="H32" s="208" t="s">
        <v>16</v>
      </c>
      <c r="I32" s="208" t="s">
        <v>17</v>
      </c>
      <c r="J32" s="208" t="s">
        <v>311</v>
      </c>
      <c r="K32" s="208" t="s">
        <v>18</v>
      </c>
      <c r="L32" s="208" t="s">
        <v>315</v>
      </c>
      <c r="M32" s="208">
        <v>2</v>
      </c>
      <c r="N32" s="208"/>
      <c r="O32" s="208" t="s">
        <v>19</v>
      </c>
      <c r="P32" s="208"/>
      <c r="Q32" s="207"/>
      <c r="R32" s="208"/>
    </row>
    <row r="33" spans="1:18">
      <c r="A33" s="277">
        <v>12</v>
      </c>
      <c r="B33" s="278">
        <v>45776</v>
      </c>
      <c r="C33" s="208" t="s">
        <v>289</v>
      </c>
      <c r="D33" s="208" t="s">
        <v>313</v>
      </c>
      <c r="E33" s="208" t="s">
        <v>291</v>
      </c>
      <c r="F33" s="208">
        <v>2025</v>
      </c>
      <c r="G33" s="208">
        <v>2</v>
      </c>
      <c r="H33" s="208" t="s">
        <v>16</v>
      </c>
      <c r="I33" s="208" t="s">
        <v>21</v>
      </c>
      <c r="J33" s="208" t="s">
        <v>311</v>
      </c>
      <c r="K33" s="208" t="s">
        <v>18</v>
      </c>
      <c r="L33" s="208" t="s">
        <v>316</v>
      </c>
      <c r="M33" s="208">
        <v>2</v>
      </c>
      <c r="N33" s="208"/>
      <c r="O33" s="208" t="s">
        <v>22</v>
      </c>
      <c r="P33" s="208"/>
      <c r="Q33" s="207"/>
      <c r="R33" s="208"/>
    </row>
    <row r="34" spans="1:18">
      <c r="A34" s="277">
        <v>13</v>
      </c>
      <c r="B34" s="278">
        <v>45784</v>
      </c>
      <c r="C34" s="208" t="s">
        <v>294</v>
      </c>
      <c r="D34" s="208" t="s">
        <v>317</v>
      </c>
      <c r="E34" s="208" t="s">
        <v>318</v>
      </c>
      <c r="F34" s="208">
        <v>2025</v>
      </c>
      <c r="G34" s="208">
        <v>4</v>
      </c>
      <c r="H34" s="208" t="s">
        <v>8</v>
      </c>
      <c r="I34" s="208" t="s">
        <v>296</v>
      </c>
      <c r="J34" s="208"/>
      <c r="K34" s="208" t="s">
        <v>10</v>
      </c>
      <c r="L34" s="208" t="s">
        <v>319</v>
      </c>
      <c r="M34" s="208"/>
      <c r="N34" s="208"/>
      <c r="O34" s="208" t="s">
        <v>23</v>
      </c>
      <c r="P34" s="208"/>
      <c r="Q34" s="207"/>
      <c r="R34" s="208"/>
    </row>
    <row r="35" spans="1:18">
      <c r="A35" s="277">
        <v>14</v>
      </c>
      <c r="B35" s="278">
        <v>45785</v>
      </c>
      <c r="C35" s="208" t="s">
        <v>298</v>
      </c>
      <c r="D35" s="208" t="s">
        <v>320</v>
      </c>
      <c r="E35" s="208" t="s">
        <v>318</v>
      </c>
      <c r="F35" s="208">
        <v>2025</v>
      </c>
      <c r="G35" s="208">
        <v>14</v>
      </c>
      <c r="H35" s="208" t="s">
        <v>8</v>
      </c>
      <c r="I35" s="208" t="s">
        <v>296</v>
      </c>
      <c r="J35" s="208"/>
      <c r="K35" s="208" t="s">
        <v>10</v>
      </c>
      <c r="L35" s="208" t="s">
        <v>321</v>
      </c>
      <c r="M35" s="208"/>
      <c r="N35" s="208"/>
      <c r="O35" s="208" t="s">
        <v>14</v>
      </c>
      <c r="P35" s="208"/>
      <c r="Q35" s="207"/>
      <c r="R35" s="208"/>
    </row>
    <row r="36" spans="1:18">
      <c r="A36" s="277">
        <v>15</v>
      </c>
      <c r="B36" s="278">
        <v>45787</v>
      </c>
      <c r="C36" s="208" t="s">
        <v>322</v>
      </c>
      <c r="D36" s="208" t="s">
        <v>295</v>
      </c>
      <c r="E36" s="208" t="s">
        <v>318</v>
      </c>
      <c r="F36" s="208">
        <v>2025</v>
      </c>
      <c r="G36" s="208">
        <v>2.5</v>
      </c>
      <c r="H36" s="208" t="s">
        <v>8</v>
      </c>
      <c r="I36" s="208" t="s">
        <v>296</v>
      </c>
      <c r="J36" s="208"/>
      <c r="K36" s="208" t="s">
        <v>10</v>
      </c>
      <c r="L36" s="208" t="s">
        <v>323</v>
      </c>
      <c r="M36" s="208"/>
      <c r="N36" s="208"/>
      <c r="O36" s="208" t="s">
        <v>14</v>
      </c>
      <c r="P36" s="208"/>
      <c r="Q36" s="207"/>
      <c r="R36" s="208"/>
    </row>
    <row r="37" spans="1:18">
      <c r="A37" s="277">
        <v>16</v>
      </c>
      <c r="B37" s="278">
        <v>45788</v>
      </c>
      <c r="C37" s="208" t="s">
        <v>324</v>
      </c>
      <c r="D37" s="208" t="s">
        <v>295</v>
      </c>
      <c r="E37" s="208" t="s">
        <v>318</v>
      </c>
      <c r="F37" s="208">
        <v>2025</v>
      </c>
      <c r="G37" s="208">
        <v>2.5</v>
      </c>
      <c r="H37" s="208" t="s">
        <v>8</v>
      </c>
      <c r="I37" s="208" t="s">
        <v>296</v>
      </c>
      <c r="J37" s="208"/>
      <c r="K37" s="208" t="s">
        <v>10</v>
      </c>
      <c r="L37" s="208" t="s">
        <v>325</v>
      </c>
      <c r="M37" s="208"/>
      <c r="N37" s="208"/>
      <c r="O37" s="208" t="s">
        <v>23</v>
      </c>
      <c r="P37" s="208"/>
      <c r="Q37" s="207"/>
      <c r="R37" s="208"/>
    </row>
    <row r="38" spans="1:18">
      <c r="A38" s="277">
        <v>17</v>
      </c>
      <c r="B38" s="278">
        <v>45791</v>
      </c>
      <c r="C38" s="208" t="s">
        <v>294</v>
      </c>
      <c r="D38" s="208" t="s">
        <v>320</v>
      </c>
      <c r="E38" s="208" t="s">
        <v>318</v>
      </c>
      <c r="F38" s="208">
        <v>2025</v>
      </c>
      <c r="G38" s="208">
        <v>14</v>
      </c>
      <c r="H38" s="208" t="s">
        <v>8</v>
      </c>
      <c r="I38" s="208" t="s">
        <v>296</v>
      </c>
      <c r="J38" s="208"/>
      <c r="K38" s="208" t="s">
        <v>10</v>
      </c>
      <c r="L38" s="208" t="s">
        <v>326</v>
      </c>
      <c r="M38" s="208"/>
      <c r="N38" s="208"/>
      <c r="O38" s="208" t="s">
        <v>23</v>
      </c>
      <c r="P38" s="208"/>
      <c r="Q38" s="207"/>
      <c r="R38" s="208"/>
    </row>
    <row r="39" spans="1:18">
      <c r="A39" s="277">
        <v>18</v>
      </c>
      <c r="B39" s="278">
        <v>45792</v>
      </c>
      <c r="C39" s="208" t="s">
        <v>298</v>
      </c>
      <c r="D39" s="208" t="s">
        <v>295</v>
      </c>
      <c r="E39" s="208" t="s">
        <v>318</v>
      </c>
      <c r="F39" s="208">
        <v>2025</v>
      </c>
      <c r="G39" s="208">
        <v>2.5</v>
      </c>
      <c r="H39" s="208" t="s">
        <v>8</v>
      </c>
      <c r="I39" s="208" t="s">
        <v>296</v>
      </c>
      <c r="J39" s="208"/>
      <c r="K39" s="208" t="s">
        <v>10</v>
      </c>
      <c r="L39" s="208" t="s">
        <v>327</v>
      </c>
      <c r="M39" s="208"/>
      <c r="N39" s="208"/>
      <c r="O39" s="208" t="s">
        <v>23</v>
      </c>
      <c r="P39" s="208"/>
      <c r="Q39" s="207"/>
      <c r="R39" s="208"/>
    </row>
    <row r="40" spans="1:18">
      <c r="A40" s="277">
        <v>19</v>
      </c>
      <c r="B40" s="278">
        <v>45796</v>
      </c>
      <c r="C40" s="208" t="s">
        <v>302</v>
      </c>
      <c r="D40" s="208" t="s">
        <v>310</v>
      </c>
      <c r="E40" s="208" t="s">
        <v>318</v>
      </c>
      <c r="F40" s="208">
        <v>2025</v>
      </c>
      <c r="G40" s="208">
        <v>2</v>
      </c>
      <c r="H40" s="208" t="s">
        <v>16</v>
      </c>
      <c r="I40" s="208" t="s">
        <v>17</v>
      </c>
      <c r="J40" s="208" t="s">
        <v>311</v>
      </c>
      <c r="K40" s="208" t="s">
        <v>27</v>
      </c>
      <c r="L40" s="208" t="s">
        <v>312</v>
      </c>
      <c r="M40" s="208">
        <v>2</v>
      </c>
      <c r="N40" s="208"/>
      <c r="O40" s="208" t="s">
        <v>19</v>
      </c>
      <c r="P40" s="208"/>
      <c r="Q40" s="207"/>
      <c r="R40" s="208"/>
    </row>
    <row r="41" spans="1:18">
      <c r="A41" s="277">
        <v>20</v>
      </c>
      <c r="B41" s="278">
        <v>45796</v>
      </c>
      <c r="C41" s="208" t="s">
        <v>302</v>
      </c>
      <c r="D41" s="208" t="s">
        <v>313</v>
      </c>
      <c r="E41" s="208" t="s">
        <v>318</v>
      </c>
      <c r="F41" s="208">
        <v>2025</v>
      </c>
      <c r="G41" s="208">
        <v>2</v>
      </c>
      <c r="H41" s="208" t="s">
        <v>16</v>
      </c>
      <c r="I41" s="208" t="s">
        <v>17</v>
      </c>
      <c r="J41" s="208" t="s">
        <v>311</v>
      </c>
      <c r="K41" s="208" t="s">
        <v>27</v>
      </c>
      <c r="L41" s="208" t="s">
        <v>328</v>
      </c>
      <c r="M41" s="208">
        <v>2</v>
      </c>
      <c r="N41" s="208"/>
      <c r="O41" s="208" t="s">
        <v>29</v>
      </c>
      <c r="P41" s="208"/>
      <c r="Q41" s="207"/>
      <c r="R41" s="208"/>
    </row>
    <row r="42" spans="1:18">
      <c r="A42" s="277">
        <v>21</v>
      </c>
      <c r="B42" s="278">
        <v>45797</v>
      </c>
      <c r="C42" s="208" t="s">
        <v>289</v>
      </c>
      <c r="D42" s="208" t="s">
        <v>310</v>
      </c>
      <c r="E42" s="208" t="s">
        <v>318</v>
      </c>
      <c r="F42" s="208">
        <v>2025</v>
      </c>
      <c r="G42" s="208">
        <v>2</v>
      </c>
      <c r="H42" s="208" t="s">
        <v>16</v>
      </c>
      <c r="I42" s="208" t="s">
        <v>17</v>
      </c>
      <c r="J42" s="208" t="s">
        <v>311</v>
      </c>
      <c r="K42" s="208" t="s">
        <v>27</v>
      </c>
      <c r="L42" s="208" t="s">
        <v>315</v>
      </c>
      <c r="M42" s="208">
        <v>2</v>
      </c>
      <c r="N42" s="208"/>
      <c r="O42" s="208" t="s">
        <v>19</v>
      </c>
      <c r="P42" s="208"/>
      <c r="Q42" s="207"/>
      <c r="R42" s="208"/>
    </row>
    <row r="43" spans="1:18">
      <c r="A43" s="277">
        <v>22</v>
      </c>
      <c r="B43" s="278">
        <v>45797</v>
      </c>
      <c r="C43" s="208" t="s">
        <v>289</v>
      </c>
      <c r="D43" s="208" t="s">
        <v>313</v>
      </c>
      <c r="E43" s="208" t="s">
        <v>318</v>
      </c>
      <c r="F43" s="208">
        <v>2025</v>
      </c>
      <c r="G43" s="208">
        <v>2</v>
      </c>
      <c r="H43" s="208" t="s">
        <v>16</v>
      </c>
      <c r="I43" s="208" t="s">
        <v>17</v>
      </c>
      <c r="J43" s="208" t="s">
        <v>311</v>
      </c>
      <c r="K43" s="208" t="s">
        <v>27</v>
      </c>
      <c r="L43" s="208" t="s">
        <v>316</v>
      </c>
      <c r="M43" s="208">
        <v>2</v>
      </c>
      <c r="N43" s="208"/>
      <c r="O43" s="208" t="s">
        <v>29</v>
      </c>
      <c r="P43" s="208"/>
      <c r="Q43" s="207"/>
      <c r="R43" s="208"/>
    </row>
    <row r="44" spans="1:18">
      <c r="A44" s="277">
        <v>23</v>
      </c>
      <c r="B44" s="278">
        <v>45798</v>
      </c>
      <c r="C44" s="208" t="s">
        <v>294</v>
      </c>
      <c r="D44" s="208" t="s">
        <v>320</v>
      </c>
      <c r="E44" s="208" t="s">
        <v>318</v>
      </c>
      <c r="F44" s="208">
        <v>2025</v>
      </c>
      <c r="G44" s="208">
        <v>14</v>
      </c>
      <c r="H44" s="208" t="s">
        <v>8</v>
      </c>
      <c r="I44" s="208" t="s">
        <v>296</v>
      </c>
      <c r="J44" s="208"/>
      <c r="K44" s="208" t="s">
        <v>10</v>
      </c>
      <c r="L44" s="208" t="s">
        <v>329</v>
      </c>
      <c r="M44" s="208"/>
      <c r="N44" s="208"/>
      <c r="O44" s="208" t="s">
        <v>12</v>
      </c>
      <c r="P44" s="208"/>
      <c r="Q44" s="207"/>
      <c r="R44" s="208"/>
    </row>
    <row r="45" spans="1:18">
      <c r="A45" s="277">
        <v>24</v>
      </c>
      <c r="B45" s="278">
        <v>45799</v>
      </c>
      <c r="C45" s="208" t="s">
        <v>298</v>
      </c>
      <c r="D45" s="208" t="s">
        <v>295</v>
      </c>
      <c r="E45" s="208" t="s">
        <v>318</v>
      </c>
      <c r="F45" s="208">
        <v>2025</v>
      </c>
      <c r="G45" s="208">
        <v>2.5</v>
      </c>
      <c r="H45" s="208" t="s">
        <v>8</v>
      </c>
      <c r="I45" s="208" t="s">
        <v>296</v>
      </c>
      <c r="J45" s="208"/>
      <c r="K45" s="208" t="s">
        <v>10</v>
      </c>
      <c r="L45" s="208" t="s">
        <v>330</v>
      </c>
      <c r="M45" s="208"/>
      <c r="N45" s="208"/>
      <c r="O45" s="208" t="s">
        <v>14</v>
      </c>
      <c r="P45" s="208"/>
      <c r="Q45" s="207"/>
      <c r="R45" s="208"/>
    </row>
    <row r="46" spans="1:18">
      <c r="A46" s="277">
        <v>25</v>
      </c>
      <c r="B46" s="278">
        <v>45804</v>
      </c>
      <c r="C46" s="208" t="s">
        <v>289</v>
      </c>
      <c r="D46" s="208" t="s">
        <v>331</v>
      </c>
      <c r="E46" s="208" t="s">
        <v>318</v>
      </c>
      <c r="F46" s="208">
        <v>2025</v>
      </c>
      <c r="G46" s="208">
        <v>4</v>
      </c>
      <c r="H46" s="208" t="s">
        <v>16</v>
      </c>
      <c r="I46" s="208" t="s">
        <v>17</v>
      </c>
      <c r="J46" s="208" t="s">
        <v>311</v>
      </c>
      <c r="K46" s="208" t="s">
        <v>30</v>
      </c>
      <c r="L46" s="208" t="s">
        <v>332</v>
      </c>
      <c r="M46" s="208">
        <v>4</v>
      </c>
      <c r="N46" s="208"/>
      <c r="O46" s="208" t="s">
        <v>29</v>
      </c>
      <c r="P46" s="208"/>
      <c r="Q46" s="207"/>
      <c r="R46" s="208"/>
    </row>
    <row r="47" spans="1:18">
      <c r="A47" s="277">
        <v>26</v>
      </c>
      <c r="B47" s="278">
        <v>45805</v>
      </c>
      <c r="C47" s="208" t="s">
        <v>294</v>
      </c>
      <c r="D47" s="208" t="s">
        <v>295</v>
      </c>
      <c r="E47" s="208" t="s">
        <v>318</v>
      </c>
      <c r="F47" s="208">
        <v>2025</v>
      </c>
      <c r="G47" s="208">
        <v>2.5</v>
      </c>
      <c r="H47" s="208" t="s">
        <v>8</v>
      </c>
      <c r="I47" s="208" t="s">
        <v>296</v>
      </c>
      <c r="J47" s="208"/>
      <c r="K47" s="208" t="s">
        <v>10</v>
      </c>
      <c r="L47" s="208" t="s">
        <v>333</v>
      </c>
      <c r="M47" s="208"/>
      <c r="N47" s="208"/>
      <c r="O47" s="208" t="s">
        <v>12</v>
      </c>
      <c r="P47" s="208"/>
      <c r="Q47" s="207"/>
      <c r="R47" s="208"/>
    </row>
    <row r="48" spans="1:18">
      <c r="A48" s="277">
        <v>27</v>
      </c>
      <c r="B48" s="278">
        <v>45805</v>
      </c>
      <c r="C48" s="208" t="s">
        <v>294</v>
      </c>
      <c r="D48" s="208" t="s">
        <v>331</v>
      </c>
      <c r="E48" s="208" t="s">
        <v>318</v>
      </c>
      <c r="F48" s="208">
        <v>2025</v>
      </c>
      <c r="G48" s="208">
        <v>4</v>
      </c>
      <c r="H48" s="208" t="s">
        <v>16</v>
      </c>
      <c r="I48" s="208" t="s">
        <v>17</v>
      </c>
      <c r="J48" s="208" t="s">
        <v>311</v>
      </c>
      <c r="K48" s="208" t="s">
        <v>30</v>
      </c>
      <c r="L48" s="208" t="s">
        <v>334</v>
      </c>
      <c r="M48" s="208">
        <v>4</v>
      </c>
      <c r="N48" s="208"/>
      <c r="O48" s="208" t="s">
        <v>19</v>
      </c>
      <c r="P48" s="208"/>
      <c r="Q48" s="207"/>
      <c r="R48" s="208"/>
    </row>
    <row r="49" spans="1:18">
      <c r="A49" s="277">
        <v>28</v>
      </c>
      <c r="B49" s="278">
        <v>45806</v>
      </c>
      <c r="C49" s="208" t="s">
        <v>298</v>
      </c>
      <c r="D49" s="208" t="s">
        <v>295</v>
      </c>
      <c r="E49" s="208" t="s">
        <v>318</v>
      </c>
      <c r="F49" s="208">
        <v>2025</v>
      </c>
      <c r="G49" s="208">
        <v>2.5</v>
      </c>
      <c r="H49" s="208" t="s">
        <v>8</v>
      </c>
      <c r="I49" s="208" t="s">
        <v>296</v>
      </c>
      <c r="J49" s="208"/>
      <c r="K49" s="208" t="s">
        <v>10</v>
      </c>
      <c r="L49" s="208" t="s">
        <v>335</v>
      </c>
      <c r="M49" s="208"/>
      <c r="N49" s="208"/>
      <c r="O49" s="208" t="s">
        <v>14</v>
      </c>
      <c r="P49" s="208"/>
      <c r="Q49" s="207"/>
      <c r="R49" s="208"/>
    </row>
    <row r="50" spans="1:18">
      <c r="A50" s="277">
        <v>29</v>
      </c>
      <c r="B50" s="278">
        <v>45820</v>
      </c>
      <c r="C50" s="208" t="s">
        <v>298</v>
      </c>
      <c r="D50" s="208" t="s">
        <v>336</v>
      </c>
      <c r="E50" s="208" t="s">
        <v>337</v>
      </c>
      <c r="F50" s="208">
        <v>2025</v>
      </c>
      <c r="G50" s="208">
        <v>4</v>
      </c>
      <c r="H50" s="208" t="s">
        <v>16</v>
      </c>
      <c r="I50" s="208" t="s">
        <v>17</v>
      </c>
      <c r="J50" s="208" t="s">
        <v>311</v>
      </c>
      <c r="K50" s="208" t="s">
        <v>31</v>
      </c>
      <c r="L50" s="208" t="s">
        <v>334</v>
      </c>
      <c r="M50" s="208">
        <v>4</v>
      </c>
      <c r="N50" s="208"/>
      <c r="O50" s="208" t="s">
        <v>19</v>
      </c>
      <c r="P50" s="208"/>
      <c r="Q50" s="207"/>
      <c r="R50" s="208"/>
    </row>
    <row r="51" spans="1:18">
      <c r="A51" s="277">
        <v>30</v>
      </c>
      <c r="B51" s="278">
        <v>45821</v>
      </c>
      <c r="C51" s="208" t="s">
        <v>301</v>
      </c>
      <c r="D51" s="208" t="s">
        <v>336</v>
      </c>
      <c r="E51" s="208" t="s">
        <v>337</v>
      </c>
      <c r="F51" s="208">
        <v>2025</v>
      </c>
      <c r="G51" s="208">
        <v>4</v>
      </c>
      <c r="H51" s="208" t="s">
        <v>16</v>
      </c>
      <c r="I51" s="208" t="s">
        <v>17</v>
      </c>
      <c r="J51" s="208" t="s">
        <v>311</v>
      </c>
      <c r="K51" s="208" t="s">
        <v>31</v>
      </c>
      <c r="L51" s="208" t="s">
        <v>332</v>
      </c>
      <c r="M51" s="208">
        <v>4</v>
      </c>
      <c r="N51" s="208"/>
      <c r="O51" s="208" t="s">
        <v>29</v>
      </c>
      <c r="P51" s="208"/>
      <c r="Q51" s="207"/>
      <c r="R51" s="208"/>
    </row>
    <row r="52" spans="1:18">
      <c r="A52" s="277">
        <v>31</v>
      </c>
      <c r="B52" s="278">
        <v>45828</v>
      </c>
      <c r="C52" s="208" t="s">
        <v>301</v>
      </c>
      <c r="D52" s="208" t="s">
        <v>310</v>
      </c>
      <c r="E52" s="208" t="s">
        <v>337</v>
      </c>
      <c r="F52" s="208">
        <v>2025</v>
      </c>
      <c r="G52" s="208">
        <v>2</v>
      </c>
      <c r="H52" s="208" t="s">
        <v>16</v>
      </c>
      <c r="I52" s="208" t="s">
        <v>17</v>
      </c>
      <c r="J52" s="208" t="s">
        <v>311</v>
      </c>
      <c r="K52" s="208" t="s">
        <v>32</v>
      </c>
      <c r="L52" s="208" t="s">
        <v>312</v>
      </c>
      <c r="M52" s="208">
        <v>2</v>
      </c>
      <c r="N52" s="208"/>
      <c r="O52" s="208" t="s">
        <v>19</v>
      </c>
      <c r="P52" s="208"/>
      <c r="Q52" s="207"/>
      <c r="R52" s="208"/>
    </row>
    <row r="53" spans="1:18">
      <c r="A53" s="277">
        <v>32</v>
      </c>
      <c r="B53" s="278">
        <v>45828</v>
      </c>
      <c r="C53" s="208" t="s">
        <v>301</v>
      </c>
      <c r="D53" s="208" t="s">
        <v>313</v>
      </c>
      <c r="E53" s="208" t="s">
        <v>337</v>
      </c>
      <c r="F53" s="208">
        <v>2025</v>
      </c>
      <c r="G53" s="208">
        <v>2</v>
      </c>
      <c r="H53" s="208" t="s">
        <v>16</v>
      </c>
      <c r="I53" s="208" t="s">
        <v>17</v>
      </c>
      <c r="J53" s="208" t="s">
        <v>311</v>
      </c>
      <c r="K53" s="208" t="s">
        <v>32</v>
      </c>
      <c r="L53" s="208" t="s">
        <v>328</v>
      </c>
      <c r="M53" s="208">
        <v>2</v>
      </c>
      <c r="N53" s="208"/>
      <c r="O53" s="208" t="s">
        <v>29</v>
      </c>
      <c r="P53" s="208"/>
      <c r="Q53" s="207"/>
      <c r="R53" s="208"/>
    </row>
    <row r="54" spans="1:18">
      <c r="A54" s="277">
        <v>33</v>
      </c>
      <c r="B54" s="278">
        <v>45831</v>
      </c>
      <c r="C54" s="208" t="s">
        <v>302</v>
      </c>
      <c r="D54" s="208" t="s">
        <v>310</v>
      </c>
      <c r="E54" s="208" t="s">
        <v>337</v>
      </c>
      <c r="F54" s="208">
        <v>2025</v>
      </c>
      <c r="G54" s="208">
        <v>2</v>
      </c>
      <c r="H54" s="208" t="s">
        <v>16</v>
      </c>
      <c r="I54" s="208" t="s">
        <v>17</v>
      </c>
      <c r="J54" s="208" t="s">
        <v>311</v>
      </c>
      <c r="K54" s="208" t="s">
        <v>32</v>
      </c>
      <c r="L54" s="208" t="s">
        <v>315</v>
      </c>
      <c r="M54" s="208">
        <v>2</v>
      </c>
      <c r="N54" s="208"/>
      <c r="O54" s="208" t="s">
        <v>19</v>
      </c>
      <c r="P54" s="208"/>
      <c r="Q54" s="207"/>
      <c r="R54" s="208"/>
    </row>
    <row r="55" spans="1:18">
      <c r="A55" s="277">
        <v>34</v>
      </c>
      <c r="B55" s="278">
        <v>45831</v>
      </c>
      <c r="C55" s="208" t="s">
        <v>302</v>
      </c>
      <c r="D55" s="208" t="s">
        <v>313</v>
      </c>
      <c r="E55" s="208" t="s">
        <v>337</v>
      </c>
      <c r="F55" s="208">
        <v>2025</v>
      </c>
      <c r="G55" s="208">
        <v>2</v>
      </c>
      <c r="H55" s="208" t="s">
        <v>16</v>
      </c>
      <c r="I55" s="208" t="s">
        <v>17</v>
      </c>
      <c r="J55" s="208" t="s">
        <v>311</v>
      </c>
      <c r="K55" s="208" t="s">
        <v>32</v>
      </c>
      <c r="L55" s="208" t="s">
        <v>316</v>
      </c>
      <c r="M55" s="208">
        <v>2</v>
      </c>
      <c r="N55" s="208"/>
      <c r="O55" s="208" t="s">
        <v>29</v>
      </c>
      <c r="P55" s="208"/>
      <c r="Q55" s="207"/>
      <c r="R55" s="208"/>
    </row>
    <row r="56" spans="1:18">
      <c r="A56" s="277">
        <v>35</v>
      </c>
      <c r="B56" s="278">
        <v>45853</v>
      </c>
      <c r="C56" s="208" t="s">
        <v>289</v>
      </c>
      <c r="D56" s="208" t="s">
        <v>331</v>
      </c>
      <c r="E56" s="208" t="s">
        <v>338</v>
      </c>
      <c r="F56" s="208">
        <v>2025</v>
      </c>
      <c r="G56" s="208">
        <v>4</v>
      </c>
      <c r="H56" s="208" t="s">
        <v>16</v>
      </c>
      <c r="I56" s="208" t="s">
        <v>17</v>
      </c>
      <c r="J56" s="208" t="s">
        <v>311</v>
      </c>
      <c r="K56" s="208" t="s">
        <v>34</v>
      </c>
      <c r="L56" s="208" t="s">
        <v>334</v>
      </c>
      <c r="M56" s="208">
        <v>4</v>
      </c>
      <c r="N56" s="208"/>
      <c r="O56" s="208" t="s">
        <v>19</v>
      </c>
      <c r="P56" s="208"/>
      <c r="Q56" s="207"/>
      <c r="R56" s="208"/>
    </row>
    <row r="57" spans="1:18">
      <c r="A57" s="277">
        <v>36</v>
      </c>
      <c r="B57" s="278">
        <v>45854</v>
      </c>
      <c r="C57" s="208" t="s">
        <v>294</v>
      </c>
      <c r="D57" s="208" t="s">
        <v>331</v>
      </c>
      <c r="E57" s="208" t="s">
        <v>338</v>
      </c>
      <c r="F57" s="208">
        <v>2025</v>
      </c>
      <c r="G57" s="208">
        <v>4</v>
      </c>
      <c r="H57" s="208" t="s">
        <v>16</v>
      </c>
      <c r="I57" s="208" t="s">
        <v>17</v>
      </c>
      <c r="J57" s="208" t="s">
        <v>311</v>
      </c>
      <c r="K57" s="208" t="s">
        <v>34</v>
      </c>
      <c r="L57" s="208" t="s">
        <v>339</v>
      </c>
      <c r="M57" s="208">
        <v>4</v>
      </c>
      <c r="N57" s="208"/>
      <c r="O57" s="208" t="s">
        <v>29</v>
      </c>
      <c r="P57" s="208"/>
      <c r="Q57" s="207"/>
      <c r="R57" s="208"/>
    </row>
    <row r="58" spans="1:18">
      <c r="A58" s="277">
        <v>37</v>
      </c>
      <c r="B58" s="278">
        <v>45860</v>
      </c>
      <c r="C58" s="208" t="s">
        <v>289</v>
      </c>
      <c r="D58" s="208" t="s">
        <v>310</v>
      </c>
      <c r="E58" s="208" t="s">
        <v>338</v>
      </c>
      <c r="F58" s="208">
        <v>2025</v>
      </c>
      <c r="G58" s="208">
        <v>2</v>
      </c>
      <c r="H58" s="208" t="s">
        <v>16</v>
      </c>
      <c r="I58" s="208" t="s">
        <v>17</v>
      </c>
      <c r="J58" s="208" t="s">
        <v>311</v>
      </c>
      <c r="K58" s="208" t="s">
        <v>35</v>
      </c>
      <c r="L58" s="208" t="s">
        <v>340</v>
      </c>
      <c r="M58" s="208">
        <v>2</v>
      </c>
      <c r="N58" s="208"/>
      <c r="O58" s="208" t="s">
        <v>19</v>
      </c>
      <c r="P58" s="208"/>
      <c r="Q58" s="207"/>
      <c r="R58" s="208"/>
    </row>
    <row r="59" spans="1:18">
      <c r="A59" s="277">
        <v>38</v>
      </c>
      <c r="B59" s="278">
        <v>45860</v>
      </c>
      <c r="C59" s="208" t="s">
        <v>289</v>
      </c>
      <c r="D59" s="208" t="s">
        <v>313</v>
      </c>
      <c r="E59" s="208" t="s">
        <v>338</v>
      </c>
      <c r="F59" s="208">
        <v>2025</v>
      </c>
      <c r="G59" s="208">
        <v>2</v>
      </c>
      <c r="H59" s="208" t="s">
        <v>16</v>
      </c>
      <c r="I59" s="208" t="s">
        <v>17</v>
      </c>
      <c r="J59" s="208" t="s">
        <v>311</v>
      </c>
      <c r="K59" s="208" t="s">
        <v>35</v>
      </c>
      <c r="L59" s="208" t="s">
        <v>328</v>
      </c>
      <c r="M59" s="208">
        <v>2</v>
      </c>
      <c r="N59" s="208"/>
      <c r="O59" s="208" t="s">
        <v>29</v>
      </c>
      <c r="P59" s="208"/>
      <c r="Q59" s="207"/>
      <c r="R59" s="208"/>
    </row>
    <row r="60" spans="1:18">
      <c r="A60" s="277">
        <v>39</v>
      </c>
      <c r="B60" s="278">
        <v>45861</v>
      </c>
      <c r="C60" s="208" t="s">
        <v>294</v>
      </c>
      <c r="D60" s="208" t="s">
        <v>310</v>
      </c>
      <c r="E60" s="208" t="s">
        <v>338</v>
      </c>
      <c r="F60" s="208">
        <v>2025</v>
      </c>
      <c r="G60" s="208">
        <v>2</v>
      </c>
      <c r="H60" s="208" t="s">
        <v>16</v>
      </c>
      <c r="I60" s="208" t="s">
        <v>17</v>
      </c>
      <c r="J60" s="208" t="s">
        <v>311</v>
      </c>
      <c r="K60" s="208" t="s">
        <v>35</v>
      </c>
      <c r="L60" s="208" t="s">
        <v>315</v>
      </c>
      <c r="M60" s="208">
        <v>2</v>
      </c>
      <c r="N60" s="208"/>
      <c r="O60" s="208" t="s">
        <v>19</v>
      </c>
      <c r="P60" s="208"/>
      <c r="Q60" s="207"/>
      <c r="R60" s="208"/>
    </row>
    <row r="61" spans="1:18">
      <c r="A61" s="277">
        <v>40</v>
      </c>
      <c r="B61" s="278">
        <v>45861</v>
      </c>
      <c r="C61" s="208" t="s">
        <v>294</v>
      </c>
      <c r="D61" s="208" t="s">
        <v>313</v>
      </c>
      <c r="E61" s="208" t="s">
        <v>338</v>
      </c>
      <c r="F61" s="208">
        <v>2025</v>
      </c>
      <c r="G61" s="208">
        <v>2</v>
      </c>
      <c r="H61" s="208" t="s">
        <v>16</v>
      </c>
      <c r="I61" s="208" t="s">
        <v>17</v>
      </c>
      <c r="J61" s="208" t="s">
        <v>311</v>
      </c>
      <c r="K61" s="208" t="s">
        <v>35</v>
      </c>
      <c r="L61" s="208" t="s">
        <v>341</v>
      </c>
      <c r="M61" s="208">
        <v>2</v>
      </c>
      <c r="N61" s="208"/>
      <c r="O61" s="208" t="s">
        <v>29</v>
      </c>
      <c r="P61" s="208"/>
      <c r="Q61" s="207"/>
      <c r="R61" s="208"/>
    </row>
    <row r="62" spans="1:18" ht="30.75">
      <c r="A62" s="277">
        <v>41</v>
      </c>
      <c r="B62" s="278">
        <v>45875</v>
      </c>
      <c r="C62" s="208" t="s">
        <v>294</v>
      </c>
      <c r="D62" s="208" t="s">
        <v>313</v>
      </c>
      <c r="E62" s="208" t="s">
        <v>342</v>
      </c>
      <c r="F62" s="208">
        <v>2025</v>
      </c>
      <c r="G62" s="208">
        <v>2</v>
      </c>
      <c r="H62" s="208" t="s">
        <v>16</v>
      </c>
      <c r="I62" s="208" t="s">
        <v>17</v>
      </c>
      <c r="J62" s="208" t="s">
        <v>311</v>
      </c>
      <c r="K62" s="208" t="s">
        <v>37</v>
      </c>
      <c r="L62" s="279" t="s">
        <v>343</v>
      </c>
      <c r="M62" s="208">
        <v>2</v>
      </c>
      <c r="N62" s="208"/>
      <c r="O62" s="208" t="s">
        <v>19</v>
      </c>
      <c r="P62" s="208"/>
      <c r="Q62" s="207"/>
      <c r="R62" s="208"/>
    </row>
    <row r="63" spans="1:18">
      <c r="A63" s="277">
        <v>42</v>
      </c>
      <c r="B63" s="278">
        <v>45876</v>
      </c>
      <c r="C63" s="208" t="s">
        <v>298</v>
      </c>
      <c r="D63" s="208" t="s">
        <v>313</v>
      </c>
      <c r="E63" s="208" t="s">
        <v>342</v>
      </c>
      <c r="F63" s="208">
        <v>2025</v>
      </c>
      <c r="G63" s="208">
        <v>2</v>
      </c>
      <c r="H63" s="208" t="s">
        <v>16</v>
      </c>
      <c r="I63" s="208" t="s">
        <v>17</v>
      </c>
      <c r="J63" s="208" t="s">
        <v>311</v>
      </c>
      <c r="K63" s="208" t="s">
        <v>39</v>
      </c>
      <c r="L63" s="208" t="s">
        <v>315</v>
      </c>
      <c r="M63" s="208">
        <v>4</v>
      </c>
      <c r="N63" s="208"/>
      <c r="O63" s="208" t="s">
        <v>29</v>
      </c>
      <c r="P63" s="208"/>
      <c r="Q63" s="207"/>
      <c r="R63" s="208"/>
    </row>
    <row r="64" spans="1:18">
      <c r="A64" s="277">
        <v>43</v>
      </c>
      <c r="B64" s="278">
        <v>45887</v>
      </c>
      <c r="C64" s="208" t="s">
        <v>302</v>
      </c>
      <c r="D64" s="208" t="s">
        <v>336</v>
      </c>
      <c r="E64" s="208" t="s">
        <v>342</v>
      </c>
      <c r="F64" s="208">
        <v>2025</v>
      </c>
      <c r="G64" s="208">
        <v>4</v>
      </c>
      <c r="H64" s="208" t="s">
        <v>16</v>
      </c>
      <c r="I64" s="208" t="s">
        <v>17</v>
      </c>
      <c r="J64" s="208" t="s">
        <v>311</v>
      </c>
      <c r="K64" s="208" t="s">
        <v>38</v>
      </c>
      <c r="L64" s="208" t="s">
        <v>339</v>
      </c>
      <c r="M64" s="208">
        <v>4</v>
      </c>
      <c r="N64" s="208"/>
      <c r="O64" s="208" t="s">
        <v>29</v>
      </c>
      <c r="P64" s="208"/>
      <c r="Q64" s="207"/>
      <c r="R64" s="208"/>
    </row>
    <row r="65" spans="1:18">
      <c r="A65" s="277">
        <v>44</v>
      </c>
      <c r="B65" s="278">
        <v>45888</v>
      </c>
      <c r="C65" s="208" t="s">
        <v>289</v>
      </c>
      <c r="D65" s="208" t="s">
        <v>336</v>
      </c>
      <c r="E65" s="208" t="s">
        <v>342</v>
      </c>
      <c r="F65" s="208">
        <v>2025</v>
      </c>
      <c r="G65" s="208">
        <v>4</v>
      </c>
      <c r="H65" s="208" t="s">
        <v>16</v>
      </c>
      <c r="I65" s="208" t="s">
        <v>17</v>
      </c>
      <c r="J65" s="208" t="s">
        <v>311</v>
      </c>
      <c r="K65" s="208" t="s">
        <v>38</v>
      </c>
      <c r="L65" s="208" t="s">
        <v>334</v>
      </c>
      <c r="M65" s="208">
        <v>4</v>
      </c>
      <c r="N65" s="208"/>
      <c r="O65" s="208" t="s">
        <v>19</v>
      </c>
      <c r="P65" s="208"/>
      <c r="Q65" s="207"/>
      <c r="R65" s="208"/>
    </row>
    <row r="66" spans="1:18">
      <c r="A66" s="277">
        <v>45</v>
      </c>
      <c r="B66" s="278">
        <v>45894</v>
      </c>
      <c r="C66" s="208" t="s">
        <v>302</v>
      </c>
      <c r="D66" s="208" t="s">
        <v>310</v>
      </c>
      <c r="E66" s="208" t="s">
        <v>342</v>
      </c>
      <c r="F66" s="208">
        <v>2025</v>
      </c>
      <c r="G66" s="208">
        <v>2</v>
      </c>
      <c r="H66" s="208" t="s">
        <v>16</v>
      </c>
      <c r="I66" s="208" t="s">
        <v>17</v>
      </c>
      <c r="J66" s="208" t="s">
        <v>311</v>
      </c>
      <c r="K66" s="208" t="s">
        <v>39</v>
      </c>
      <c r="L66" s="208" t="s">
        <v>340</v>
      </c>
      <c r="M66" s="208">
        <v>2</v>
      </c>
      <c r="N66" s="208"/>
      <c r="O66" s="208" t="s">
        <v>19</v>
      </c>
      <c r="P66" s="208"/>
      <c r="Q66" s="207"/>
      <c r="R66" s="208"/>
    </row>
    <row r="67" spans="1:18">
      <c r="A67" s="277">
        <v>46</v>
      </c>
      <c r="B67" s="278">
        <v>45894</v>
      </c>
      <c r="C67" s="208" t="s">
        <v>302</v>
      </c>
      <c r="D67" s="208" t="s">
        <v>313</v>
      </c>
      <c r="E67" s="208" t="s">
        <v>342</v>
      </c>
      <c r="F67" s="208">
        <v>2025</v>
      </c>
      <c r="G67" s="208">
        <v>2</v>
      </c>
      <c r="H67" s="208" t="s">
        <v>16</v>
      </c>
      <c r="I67" s="208" t="s">
        <v>17</v>
      </c>
      <c r="J67" s="208" t="s">
        <v>311</v>
      </c>
      <c r="K67" s="208" t="s">
        <v>39</v>
      </c>
      <c r="L67" s="208" t="s">
        <v>328</v>
      </c>
      <c r="M67" s="208">
        <v>2</v>
      </c>
      <c r="N67" s="208"/>
      <c r="O67" s="208" t="s">
        <v>29</v>
      </c>
      <c r="P67" s="208"/>
      <c r="Q67" s="207"/>
      <c r="R67" s="208"/>
    </row>
    <row r="68" spans="1:18">
      <c r="A68" s="277">
        <v>47</v>
      </c>
      <c r="B68" s="278">
        <v>45895</v>
      </c>
      <c r="C68" s="208" t="s">
        <v>289</v>
      </c>
      <c r="D68" s="208" t="s">
        <v>310</v>
      </c>
      <c r="E68" s="208" t="s">
        <v>342</v>
      </c>
      <c r="F68" s="208">
        <v>2025</v>
      </c>
      <c r="G68" s="208">
        <v>2</v>
      </c>
      <c r="H68" s="208" t="s">
        <v>16</v>
      </c>
      <c r="I68" s="208" t="s">
        <v>17</v>
      </c>
      <c r="J68" s="208" t="s">
        <v>311</v>
      </c>
      <c r="K68" s="208" t="s">
        <v>39</v>
      </c>
      <c r="L68" s="208" t="s">
        <v>315</v>
      </c>
      <c r="M68" s="208">
        <v>2</v>
      </c>
      <c r="N68" s="208"/>
      <c r="O68" s="208" t="s">
        <v>19</v>
      </c>
      <c r="P68" s="208"/>
      <c r="Q68" s="207"/>
      <c r="R68" s="208"/>
    </row>
    <row r="69" spans="1:18">
      <c r="A69" s="277">
        <v>48</v>
      </c>
      <c r="B69" s="278">
        <v>45895</v>
      </c>
      <c r="C69" s="208" t="s">
        <v>289</v>
      </c>
      <c r="D69" s="208" t="s">
        <v>313</v>
      </c>
      <c r="E69" s="208" t="s">
        <v>342</v>
      </c>
      <c r="F69" s="208">
        <v>2025</v>
      </c>
      <c r="G69" s="208">
        <v>2</v>
      </c>
      <c r="H69" s="208" t="s">
        <v>16</v>
      </c>
      <c r="I69" s="208" t="s">
        <v>17</v>
      </c>
      <c r="J69" s="208" t="s">
        <v>311</v>
      </c>
      <c r="K69" s="208" t="s">
        <v>39</v>
      </c>
      <c r="L69" s="208" t="s">
        <v>341</v>
      </c>
      <c r="M69" s="208">
        <v>2</v>
      </c>
      <c r="N69" s="208"/>
      <c r="O69" s="208" t="s">
        <v>29</v>
      </c>
      <c r="P69" s="208"/>
      <c r="Q69" s="207"/>
      <c r="R69" s="208"/>
    </row>
    <row r="70" spans="1:18">
      <c r="A70" s="277">
        <v>49</v>
      </c>
      <c r="B70" s="278">
        <v>45903</v>
      </c>
      <c r="C70" s="208" t="s">
        <v>294</v>
      </c>
      <c r="D70" s="208" t="s">
        <v>344</v>
      </c>
      <c r="E70" s="208" t="s">
        <v>345</v>
      </c>
      <c r="F70" s="208">
        <v>2025</v>
      </c>
      <c r="G70" s="208">
        <v>2</v>
      </c>
      <c r="H70" s="208" t="s">
        <v>16</v>
      </c>
      <c r="I70" s="208" t="s">
        <v>17</v>
      </c>
      <c r="J70" s="208" t="s">
        <v>311</v>
      </c>
      <c r="K70" s="208" t="s">
        <v>37</v>
      </c>
      <c r="L70" s="208" t="s">
        <v>314</v>
      </c>
      <c r="M70" s="208">
        <v>2</v>
      </c>
      <c r="N70" s="208"/>
      <c r="O70" s="208" t="s">
        <v>29</v>
      </c>
      <c r="P70" s="208"/>
      <c r="Q70" s="207"/>
      <c r="R70" s="208"/>
    </row>
    <row r="71" spans="1:18">
      <c r="A71" s="277">
        <v>50</v>
      </c>
      <c r="B71" s="278">
        <v>45904</v>
      </c>
      <c r="C71" s="208" t="s">
        <v>298</v>
      </c>
      <c r="D71" s="208" t="s">
        <v>344</v>
      </c>
      <c r="E71" s="208" t="s">
        <v>345</v>
      </c>
      <c r="F71" s="208">
        <v>2025</v>
      </c>
      <c r="G71" s="208">
        <v>2</v>
      </c>
      <c r="H71" s="208" t="s">
        <v>16</v>
      </c>
      <c r="I71" s="208" t="s">
        <v>17</v>
      </c>
      <c r="J71" s="208" t="s">
        <v>311</v>
      </c>
      <c r="K71" s="208" t="s">
        <v>37</v>
      </c>
      <c r="L71" s="208" t="s">
        <v>346</v>
      </c>
      <c r="M71" s="208">
        <v>2</v>
      </c>
      <c r="N71" s="208"/>
      <c r="O71" s="208" t="s">
        <v>29</v>
      </c>
      <c r="P71" s="208"/>
      <c r="Q71" s="207"/>
      <c r="R71" s="208"/>
    </row>
    <row r="72" spans="1:18">
      <c r="A72" s="277">
        <v>51</v>
      </c>
      <c r="B72" s="278">
        <v>45909</v>
      </c>
      <c r="C72" s="208" t="s">
        <v>289</v>
      </c>
      <c r="D72" s="208" t="s">
        <v>344</v>
      </c>
      <c r="E72" s="208" t="s">
        <v>345</v>
      </c>
      <c r="F72" s="208">
        <v>2025</v>
      </c>
      <c r="G72" s="208">
        <v>2</v>
      </c>
      <c r="H72" s="208" t="s">
        <v>16</v>
      </c>
      <c r="I72" s="208" t="s">
        <v>17</v>
      </c>
      <c r="J72" s="208" t="s">
        <v>311</v>
      </c>
      <c r="K72" s="208" t="s">
        <v>43</v>
      </c>
      <c r="L72" s="208" t="s">
        <v>314</v>
      </c>
      <c r="M72" s="208">
        <v>2</v>
      </c>
      <c r="N72" s="208"/>
      <c r="O72" s="208" t="s">
        <v>29</v>
      </c>
      <c r="P72" s="208"/>
      <c r="Q72" s="207"/>
      <c r="R72" s="208"/>
    </row>
    <row r="73" spans="1:18">
      <c r="A73" s="277">
        <v>52</v>
      </c>
      <c r="B73" s="278">
        <v>45910</v>
      </c>
      <c r="C73" s="208" t="s">
        <v>294</v>
      </c>
      <c r="D73" s="208" t="s">
        <v>344</v>
      </c>
      <c r="E73" s="208" t="s">
        <v>345</v>
      </c>
      <c r="F73" s="208">
        <v>2025</v>
      </c>
      <c r="G73" s="208">
        <v>2</v>
      </c>
      <c r="H73" s="208" t="s">
        <v>16</v>
      </c>
      <c r="I73" s="208" t="s">
        <v>17</v>
      </c>
      <c r="J73" s="208" t="s">
        <v>311</v>
      </c>
      <c r="K73" s="208" t="s">
        <v>43</v>
      </c>
      <c r="L73" s="208" t="s">
        <v>346</v>
      </c>
      <c r="M73" s="208">
        <v>2</v>
      </c>
      <c r="N73" s="208"/>
      <c r="O73" s="208" t="s">
        <v>29</v>
      </c>
      <c r="P73" s="208"/>
      <c r="Q73" s="207"/>
      <c r="R73" s="208"/>
    </row>
    <row r="74" spans="1:18">
      <c r="A74" s="277">
        <v>53</v>
      </c>
      <c r="B74" s="278">
        <v>45911</v>
      </c>
      <c r="C74" s="208" t="s">
        <v>298</v>
      </c>
      <c r="D74" s="208" t="s">
        <v>344</v>
      </c>
      <c r="E74" s="208" t="s">
        <v>345</v>
      </c>
      <c r="F74" s="208">
        <v>2025</v>
      </c>
      <c r="G74" s="208">
        <v>2</v>
      </c>
      <c r="H74" s="208" t="s">
        <v>16</v>
      </c>
      <c r="I74" s="208" t="s">
        <v>17</v>
      </c>
      <c r="J74" s="208" t="s">
        <v>311</v>
      </c>
      <c r="K74" s="208" t="s">
        <v>43</v>
      </c>
      <c r="L74" s="208" t="s">
        <v>340</v>
      </c>
      <c r="M74" s="208">
        <v>2</v>
      </c>
      <c r="N74" s="208"/>
      <c r="O74" s="208" t="s">
        <v>29</v>
      </c>
      <c r="P74" s="208"/>
      <c r="Q74" s="207"/>
      <c r="R74" s="208"/>
    </row>
    <row r="75" spans="1:18">
      <c r="A75" s="277"/>
      <c r="B75" s="278">
        <v>45919</v>
      </c>
      <c r="C75" s="208" t="s">
        <v>301</v>
      </c>
      <c r="D75" s="208" t="s">
        <v>347</v>
      </c>
      <c r="E75" s="208" t="s">
        <v>345</v>
      </c>
      <c r="F75" s="208">
        <v>2025</v>
      </c>
      <c r="G75" s="208">
        <v>2</v>
      </c>
      <c r="H75" s="208" t="s">
        <v>16</v>
      </c>
      <c r="I75" s="208" t="s">
        <v>17</v>
      </c>
      <c r="J75" s="208" t="s">
        <v>311</v>
      </c>
      <c r="K75" s="208" t="s">
        <v>43</v>
      </c>
      <c r="L75" s="208" t="s">
        <v>315</v>
      </c>
      <c r="M75" s="208">
        <v>2</v>
      </c>
      <c r="N75" s="208"/>
      <c r="O75" s="208"/>
      <c r="P75" s="208"/>
      <c r="Q75" s="207"/>
      <c r="R75" s="208"/>
    </row>
    <row r="76" spans="1:18">
      <c r="A76" s="277">
        <v>54</v>
      </c>
      <c r="B76" s="278">
        <v>45922</v>
      </c>
      <c r="C76" s="208" t="s">
        <v>302</v>
      </c>
      <c r="D76" s="208" t="s">
        <v>344</v>
      </c>
      <c r="E76" s="208" t="s">
        <v>345</v>
      </c>
      <c r="F76" s="208">
        <v>2025</v>
      </c>
      <c r="G76" s="208">
        <v>2</v>
      </c>
      <c r="H76" s="208" t="s">
        <v>16</v>
      </c>
      <c r="I76" s="208" t="s">
        <v>17</v>
      </c>
      <c r="J76" s="208" t="s">
        <v>311</v>
      </c>
      <c r="K76" s="208" t="s">
        <v>45</v>
      </c>
      <c r="L76" s="208" t="s">
        <v>340</v>
      </c>
      <c r="M76" s="208">
        <v>2</v>
      </c>
      <c r="N76" s="208"/>
      <c r="O76" s="208" t="s">
        <v>19</v>
      </c>
      <c r="P76" s="208"/>
      <c r="Q76" s="207"/>
      <c r="R76" s="208"/>
    </row>
    <row r="77" spans="1:18">
      <c r="A77" s="277">
        <v>55</v>
      </c>
      <c r="B77" s="278">
        <v>45924</v>
      </c>
      <c r="C77" s="208" t="s">
        <v>294</v>
      </c>
      <c r="D77" s="208" t="s">
        <v>344</v>
      </c>
      <c r="E77" s="208" t="s">
        <v>345</v>
      </c>
      <c r="F77" s="208">
        <v>2025</v>
      </c>
      <c r="G77" s="208">
        <v>2</v>
      </c>
      <c r="H77" s="208" t="s">
        <v>16</v>
      </c>
      <c r="I77" s="208" t="s">
        <v>17</v>
      </c>
      <c r="J77" s="208" t="s">
        <v>311</v>
      </c>
      <c r="K77" s="208" t="s">
        <v>45</v>
      </c>
      <c r="L77" s="208" t="s">
        <v>315</v>
      </c>
      <c r="M77" s="208">
        <v>2</v>
      </c>
      <c r="N77" s="208"/>
      <c r="O77" s="208" t="s">
        <v>19</v>
      </c>
      <c r="P77" s="208"/>
      <c r="Q77" s="207"/>
      <c r="R77" s="208"/>
    </row>
    <row r="78" spans="1:18">
      <c r="A78" s="277">
        <v>56</v>
      </c>
      <c r="B78" s="278">
        <v>45925</v>
      </c>
      <c r="C78" s="208" t="s">
        <v>298</v>
      </c>
      <c r="D78" s="208" t="s">
        <v>348</v>
      </c>
      <c r="E78" s="208" t="s">
        <v>345</v>
      </c>
      <c r="F78" s="208">
        <v>2025</v>
      </c>
      <c r="G78" s="208">
        <v>2</v>
      </c>
      <c r="H78" s="208" t="s">
        <v>16</v>
      </c>
      <c r="I78" s="208" t="s">
        <v>17</v>
      </c>
      <c r="J78" s="208" t="s">
        <v>311</v>
      </c>
      <c r="K78" s="208" t="s">
        <v>45</v>
      </c>
      <c r="L78" s="208" t="s">
        <v>314</v>
      </c>
      <c r="M78" s="208">
        <v>2</v>
      </c>
      <c r="N78" s="208"/>
      <c r="O78" s="208" t="s">
        <v>29</v>
      </c>
      <c r="P78" s="208"/>
      <c r="Q78" s="207"/>
      <c r="R78" s="208"/>
    </row>
    <row r="79" spans="1:18">
      <c r="A79" s="277">
        <v>57</v>
      </c>
      <c r="B79" s="278">
        <v>45926</v>
      </c>
      <c r="C79" s="208" t="s">
        <v>301</v>
      </c>
      <c r="D79" s="208" t="s">
        <v>348</v>
      </c>
      <c r="E79" s="208" t="s">
        <v>345</v>
      </c>
      <c r="F79" s="208">
        <v>2025</v>
      </c>
      <c r="G79" s="208">
        <v>2</v>
      </c>
      <c r="H79" s="208" t="s">
        <v>16</v>
      </c>
      <c r="I79" s="208" t="s">
        <v>17</v>
      </c>
      <c r="J79" s="208" t="s">
        <v>311</v>
      </c>
      <c r="K79" s="208" t="s">
        <v>45</v>
      </c>
      <c r="L79" s="208" t="s">
        <v>346</v>
      </c>
      <c r="M79" s="208">
        <v>2</v>
      </c>
      <c r="N79" s="208"/>
      <c r="O79" s="208" t="s">
        <v>29</v>
      </c>
      <c r="P79" s="208"/>
      <c r="Q79" s="207"/>
      <c r="R79" s="208"/>
    </row>
    <row r="80" spans="1:18">
      <c r="A80" s="277">
        <v>58</v>
      </c>
      <c r="B80" s="278">
        <v>45943</v>
      </c>
      <c r="C80" s="208" t="s">
        <v>302</v>
      </c>
      <c r="D80" s="208" t="s">
        <v>349</v>
      </c>
      <c r="E80" s="208" t="s">
        <v>350</v>
      </c>
      <c r="F80" s="208">
        <v>2025</v>
      </c>
      <c r="G80" s="208">
        <v>2</v>
      </c>
      <c r="H80" s="208" t="s">
        <v>16</v>
      </c>
      <c r="I80" s="208" t="s">
        <v>17</v>
      </c>
      <c r="J80" s="208" t="s">
        <v>311</v>
      </c>
      <c r="K80" s="208" t="s">
        <v>48</v>
      </c>
      <c r="L80" s="208" t="s">
        <v>314</v>
      </c>
      <c r="M80" s="208">
        <v>2</v>
      </c>
      <c r="N80" s="208"/>
      <c r="O80" s="208" t="s">
        <v>29</v>
      </c>
      <c r="P80" s="208"/>
      <c r="Q80" s="207"/>
      <c r="R80" s="208"/>
    </row>
    <row r="81" spans="1:18">
      <c r="A81" s="277">
        <v>59</v>
      </c>
      <c r="B81" s="278">
        <v>45944</v>
      </c>
      <c r="C81" s="208" t="s">
        <v>289</v>
      </c>
      <c r="D81" s="208" t="s">
        <v>349</v>
      </c>
      <c r="E81" s="208" t="s">
        <v>350</v>
      </c>
      <c r="F81" s="208">
        <v>2025</v>
      </c>
      <c r="G81" s="208">
        <v>2</v>
      </c>
      <c r="H81" s="208" t="s">
        <v>16</v>
      </c>
      <c r="I81" s="208" t="s">
        <v>17</v>
      </c>
      <c r="J81" s="208" t="s">
        <v>311</v>
      </c>
      <c r="K81" s="208" t="s">
        <v>48</v>
      </c>
      <c r="L81" s="208" t="s">
        <v>351</v>
      </c>
      <c r="M81" s="208">
        <v>2</v>
      </c>
      <c r="N81" s="208"/>
      <c r="O81" s="208" t="s">
        <v>29</v>
      </c>
      <c r="P81" s="208"/>
      <c r="Q81" s="207"/>
      <c r="R81" s="208"/>
    </row>
    <row r="82" spans="1:18">
      <c r="A82" s="277">
        <v>60</v>
      </c>
      <c r="B82" s="278">
        <v>45953</v>
      </c>
      <c r="C82" s="208" t="s">
        <v>298</v>
      </c>
      <c r="D82" s="208" t="s">
        <v>349</v>
      </c>
      <c r="E82" s="208" t="s">
        <v>350</v>
      </c>
      <c r="F82" s="208">
        <v>2025</v>
      </c>
      <c r="G82" s="208">
        <v>2</v>
      </c>
      <c r="H82" s="208" t="s">
        <v>16</v>
      </c>
      <c r="I82" s="208" t="s">
        <v>17</v>
      </c>
      <c r="J82" s="208" t="s">
        <v>311</v>
      </c>
      <c r="K82" s="208" t="s">
        <v>48</v>
      </c>
      <c r="L82" s="208" t="s">
        <v>352</v>
      </c>
      <c r="M82" s="208">
        <v>2</v>
      </c>
      <c r="N82" s="208"/>
      <c r="O82" s="208" t="s">
        <v>29</v>
      </c>
      <c r="P82" s="208"/>
      <c r="Q82" s="207"/>
      <c r="R82" s="208"/>
    </row>
    <row r="83" spans="1:18">
      <c r="A83" s="277">
        <v>61</v>
      </c>
      <c r="B83" s="278">
        <v>45954</v>
      </c>
      <c r="C83" s="208" t="s">
        <v>301</v>
      </c>
      <c r="D83" s="208" t="s">
        <v>349</v>
      </c>
      <c r="E83" s="208" t="s">
        <v>350</v>
      </c>
      <c r="F83" s="208">
        <v>2025</v>
      </c>
      <c r="G83" s="208">
        <v>2</v>
      </c>
      <c r="H83" s="208" t="s">
        <v>16</v>
      </c>
      <c r="I83" s="208" t="s">
        <v>17</v>
      </c>
      <c r="J83" s="208" t="s">
        <v>311</v>
      </c>
      <c r="K83" s="208" t="s">
        <v>48</v>
      </c>
      <c r="L83" s="208" t="s">
        <v>312</v>
      </c>
      <c r="M83" s="208">
        <v>2</v>
      </c>
      <c r="N83" s="208"/>
      <c r="O83" s="208" t="s">
        <v>29</v>
      </c>
      <c r="P83" s="208"/>
      <c r="Q83" s="207"/>
      <c r="R83" s="208"/>
    </row>
    <row r="84" spans="1:18">
      <c r="A84" s="277">
        <v>62</v>
      </c>
      <c r="B84" s="278">
        <v>45957</v>
      </c>
      <c r="C84" s="208" t="s">
        <v>302</v>
      </c>
      <c r="D84" s="208" t="s">
        <v>353</v>
      </c>
      <c r="E84" s="208" t="s">
        <v>350</v>
      </c>
      <c r="F84" s="208">
        <v>2025</v>
      </c>
      <c r="G84" s="208">
        <v>2</v>
      </c>
      <c r="H84" s="208" t="s">
        <v>16</v>
      </c>
      <c r="I84" s="208" t="s">
        <v>17</v>
      </c>
      <c r="J84" s="208" t="s">
        <v>311</v>
      </c>
      <c r="K84" s="208" t="s">
        <v>50</v>
      </c>
      <c r="L84" s="208" t="s">
        <v>352</v>
      </c>
      <c r="M84" s="208">
        <v>2</v>
      </c>
      <c r="N84" s="208"/>
      <c r="O84" s="208" t="s">
        <v>29</v>
      </c>
      <c r="P84" s="208"/>
      <c r="Q84" s="207"/>
      <c r="R84" s="208"/>
    </row>
    <row r="85" spans="1:18">
      <c r="A85" s="277">
        <v>63</v>
      </c>
      <c r="B85" s="278">
        <v>45958</v>
      </c>
      <c r="C85" s="208" t="s">
        <v>289</v>
      </c>
      <c r="D85" s="208" t="s">
        <v>353</v>
      </c>
      <c r="E85" s="208" t="s">
        <v>350</v>
      </c>
      <c r="F85" s="208">
        <v>2025</v>
      </c>
      <c r="G85" s="208">
        <v>2</v>
      </c>
      <c r="H85" s="208" t="s">
        <v>16</v>
      </c>
      <c r="I85" s="208" t="s">
        <v>17</v>
      </c>
      <c r="J85" s="208" t="s">
        <v>311</v>
      </c>
      <c r="K85" s="208" t="s">
        <v>50</v>
      </c>
      <c r="L85" s="208" t="s">
        <v>312</v>
      </c>
      <c r="M85" s="208">
        <v>2</v>
      </c>
      <c r="N85" s="208"/>
      <c r="O85" s="208" t="s">
        <v>29</v>
      </c>
      <c r="P85" s="208"/>
      <c r="Q85" s="207"/>
      <c r="R85" s="208"/>
    </row>
    <row r="86" spans="1:18">
      <c r="A86" s="277">
        <v>64</v>
      </c>
      <c r="B86" s="278">
        <v>45959</v>
      </c>
      <c r="C86" s="208" t="s">
        <v>294</v>
      </c>
      <c r="D86" s="208" t="s">
        <v>353</v>
      </c>
      <c r="E86" s="208" t="s">
        <v>350</v>
      </c>
      <c r="F86" s="208">
        <v>2025</v>
      </c>
      <c r="G86" s="208">
        <v>2</v>
      </c>
      <c r="H86" s="208" t="s">
        <v>16</v>
      </c>
      <c r="I86" s="208" t="s">
        <v>17</v>
      </c>
      <c r="J86" s="208" t="s">
        <v>311</v>
      </c>
      <c r="K86" s="208" t="s">
        <v>50</v>
      </c>
      <c r="L86" s="208" t="s">
        <v>314</v>
      </c>
      <c r="M86" s="208">
        <v>2</v>
      </c>
      <c r="N86" s="208"/>
      <c r="O86" s="208" t="s">
        <v>29</v>
      </c>
      <c r="P86" s="208"/>
      <c r="Q86" s="207"/>
      <c r="R86" s="208"/>
    </row>
    <row r="87" spans="1:18">
      <c r="A87" s="277">
        <v>65</v>
      </c>
      <c r="B87" s="278">
        <v>45960</v>
      </c>
      <c r="C87" s="208" t="s">
        <v>298</v>
      </c>
      <c r="D87" s="208" t="s">
        <v>353</v>
      </c>
      <c r="E87" s="208" t="s">
        <v>350</v>
      </c>
      <c r="F87" s="208">
        <v>2025</v>
      </c>
      <c r="G87" s="208">
        <v>2</v>
      </c>
      <c r="H87" s="208" t="s">
        <v>16</v>
      </c>
      <c r="I87" s="208" t="s">
        <v>17</v>
      </c>
      <c r="J87" s="208" t="s">
        <v>311</v>
      </c>
      <c r="K87" s="208" t="s">
        <v>50</v>
      </c>
      <c r="L87" s="208" t="s">
        <v>351</v>
      </c>
      <c r="M87" s="208">
        <v>2</v>
      </c>
      <c r="N87" s="208"/>
      <c r="O87" s="208" t="s">
        <v>29</v>
      </c>
      <c r="P87" s="208"/>
      <c r="Q87" s="207"/>
      <c r="R87" s="208"/>
    </row>
    <row r="88" spans="1:18">
      <c r="A88" s="277">
        <v>66</v>
      </c>
      <c r="B88" s="278">
        <v>45985</v>
      </c>
      <c r="C88" s="208" t="s">
        <v>302</v>
      </c>
      <c r="D88" s="208" t="s">
        <v>354</v>
      </c>
      <c r="E88" s="208" t="s">
        <v>355</v>
      </c>
      <c r="F88" s="208">
        <v>2025</v>
      </c>
      <c r="G88" s="208">
        <v>2</v>
      </c>
      <c r="H88" s="208" t="s">
        <v>16</v>
      </c>
      <c r="I88" s="208" t="s">
        <v>17</v>
      </c>
      <c r="J88" s="208" t="s">
        <v>311</v>
      </c>
      <c r="K88" s="208" t="s">
        <v>50</v>
      </c>
      <c r="L88" s="208" t="s">
        <v>312</v>
      </c>
      <c r="M88" s="208">
        <v>2</v>
      </c>
      <c r="N88" s="208"/>
      <c r="O88" s="208" t="s">
        <v>29</v>
      </c>
      <c r="P88" s="208"/>
      <c r="Q88" s="207"/>
      <c r="R88" s="208"/>
    </row>
    <row r="89" spans="1:18">
      <c r="A89" s="277">
        <v>67</v>
      </c>
      <c r="B89" s="278">
        <v>45988</v>
      </c>
      <c r="C89" s="208" t="s">
        <v>298</v>
      </c>
      <c r="D89" s="208" t="s">
        <v>354</v>
      </c>
      <c r="E89" s="208" t="s">
        <v>355</v>
      </c>
      <c r="F89" s="208">
        <v>2025</v>
      </c>
      <c r="G89" s="208">
        <v>2</v>
      </c>
      <c r="H89" s="208" t="s">
        <v>16</v>
      </c>
      <c r="I89" s="208" t="s">
        <v>17</v>
      </c>
      <c r="J89" s="208" t="s">
        <v>311</v>
      </c>
      <c r="K89" s="208" t="s">
        <v>43</v>
      </c>
      <c r="L89" s="208" t="s">
        <v>315</v>
      </c>
      <c r="M89" s="208">
        <v>2</v>
      </c>
      <c r="N89" s="208"/>
      <c r="O89" s="208" t="s">
        <v>29</v>
      </c>
      <c r="P89" s="208"/>
      <c r="Q89" s="207"/>
      <c r="R89" s="208"/>
    </row>
    <row r="90" spans="1:18">
      <c r="A90" s="277">
        <v>68</v>
      </c>
      <c r="B90" s="278">
        <v>45989</v>
      </c>
      <c r="C90" s="208" t="s">
        <v>301</v>
      </c>
      <c r="D90" s="208" t="s">
        <v>354</v>
      </c>
      <c r="E90" s="208" t="s">
        <v>355</v>
      </c>
      <c r="F90" s="208">
        <v>2025</v>
      </c>
      <c r="G90" s="208">
        <v>2</v>
      </c>
      <c r="H90" s="208" t="s">
        <v>16</v>
      </c>
      <c r="I90" s="208" t="s">
        <v>17</v>
      </c>
      <c r="J90" s="208" t="s">
        <v>311</v>
      </c>
      <c r="K90" s="208" t="s">
        <v>50</v>
      </c>
      <c r="L90" s="208" t="s">
        <v>314</v>
      </c>
      <c r="M90" s="208">
        <v>2</v>
      </c>
      <c r="N90" s="208"/>
      <c r="O90" s="208" t="s">
        <v>29</v>
      </c>
      <c r="P90" s="208"/>
      <c r="Q90" s="207"/>
      <c r="R90" s="208"/>
    </row>
    <row r="91" spans="1:18">
      <c r="A91" s="277">
        <v>69</v>
      </c>
      <c r="B91" s="278">
        <v>46000</v>
      </c>
      <c r="C91" s="208" t="s">
        <v>289</v>
      </c>
      <c r="D91" s="208" t="s">
        <v>356</v>
      </c>
      <c r="E91" s="208" t="s">
        <v>357</v>
      </c>
      <c r="F91" s="208">
        <v>2025</v>
      </c>
      <c r="G91" s="208">
        <v>2</v>
      </c>
      <c r="H91" s="208" t="s">
        <v>16</v>
      </c>
      <c r="I91" s="208" t="s">
        <v>17</v>
      </c>
      <c r="J91" s="208" t="s">
        <v>311</v>
      </c>
      <c r="K91" s="208" t="s">
        <v>53</v>
      </c>
      <c r="L91" s="208" t="s">
        <v>340</v>
      </c>
      <c r="M91" s="208">
        <v>2</v>
      </c>
      <c r="N91" s="208"/>
      <c r="O91" s="208" t="s">
        <v>29</v>
      </c>
      <c r="P91" s="208"/>
      <c r="Q91" s="207"/>
      <c r="R91" s="208"/>
    </row>
    <row r="92" spans="1:18">
      <c r="A92" s="277">
        <v>70</v>
      </c>
      <c r="B92" s="278">
        <v>46001</v>
      </c>
      <c r="C92" s="208" t="s">
        <v>294</v>
      </c>
      <c r="D92" s="208" t="s">
        <v>356</v>
      </c>
      <c r="E92" s="208" t="s">
        <v>357</v>
      </c>
      <c r="F92" s="208">
        <v>2025</v>
      </c>
      <c r="G92" s="208">
        <v>2</v>
      </c>
      <c r="H92" s="208" t="s">
        <v>16</v>
      </c>
      <c r="I92" s="208" t="s">
        <v>17</v>
      </c>
      <c r="J92" s="208" t="s">
        <v>311</v>
      </c>
      <c r="K92" s="208" t="s">
        <v>53</v>
      </c>
      <c r="L92" s="208" t="s">
        <v>315</v>
      </c>
      <c r="M92" s="208">
        <v>2</v>
      </c>
      <c r="N92" s="208"/>
      <c r="O92" s="208" t="s">
        <v>29</v>
      </c>
      <c r="P92" s="208"/>
      <c r="Q92" s="207"/>
      <c r="R92" s="208"/>
    </row>
    <row r="93" spans="1:18">
      <c r="A93" s="277">
        <v>71</v>
      </c>
      <c r="B93" s="278">
        <v>46002</v>
      </c>
      <c r="C93" s="208" t="s">
        <v>298</v>
      </c>
      <c r="D93" s="208" t="s">
        <v>356</v>
      </c>
      <c r="E93" s="208" t="s">
        <v>357</v>
      </c>
      <c r="F93" s="208">
        <v>2025</v>
      </c>
      <c r="G93" s="208">
        <v>2</v>
      </c>
      <c r="H93" s="208" t="s">
        <v>16</v>
      </c>
      <c r="I93" s="208" t="s">
        <v>17</v>
      </c>
      <c r="J93" s="208" t="s">
        <v>311</v>
      </c>
      <c r="K93" s="208" t="s">
        <v>53</v>
      </c>
      <c r="L93" s="208" t="s">
        <v>314</v>
      </c>
      <c r="M93" s="208">
        <v>2</v>
      </c>
      <c r="N93" s="208"/>
      <c r="O93" s="208" t="s">
        <v>29</v>
      </c>
      <c r="P93" s="208"/>
      <c r="Q93" s="207"/>
      <c r="R93" s="208"/>
    </row>
    <row r="94" spans="1:18">
      <c r="A94" s="277">
        <v>72</v>
      </c>
      <c r="B94" s="278">
        <v>46003</v>
      </c>
      <c r="C94" s="208" t="s">
        <v>301</v>
      </c>
      <c r="D94" s="208" t="s">
        <v>356</v>
      </c>
      <c r="E94" s="208" t="s">
        <v>357</v>
      </c>
      <c r="F94" s="208">
        <v>2025</v>
      </c>
      <c r="G94" s="208">
        <v>2</v>
      </c>
      <c r="H94" s="208" t="s">
        <v>16</v>
      </c>
      <c r="I94" s="208" t="s">
        <v>17</v>
      </c>
      <c r="J94" s="208" t="s">
        <v>311</v>
      </c>
      <c r="K94" s="208" t="s">
        <v>53</v>
      </c>
      <c r="L94" s="208" t="s">
        <v>351</v>
      </c>
      <c r="M94" s="208">
        <v>2</v>
      </c>
      <c r="N94" s="208"/>
      <c r="O94" s="208" t="s">
        <v>29</v>
      </c>
      <c r="P94" s="208"/>
      <c r="Q94" s="207"/>
      <c r="R94" s="208"/>
    </row>
    <row r="95" spans="1:18">
      <c r="A95" s="277">
        <v>73</v>
      </c>
      <c r="B95" s="278">
        <v>46006</v>
      </c>
      <c r="C95" s="208" t="s">
        <v>302</v>
      </c>
      <c r="D95" s="208" t="s">
        <v>347</v>
      </c>
      <c r="E95" s="208" t="s">
        <v>357</v>
      </c>
      <c r="F95" s="208">
        <v>2025</v>
      </c>
      <c r="G95" s="208">
        <v>2</v>
      </c>
      <c r="H95" s="208" t="s">
        <v>16</v>
      </c>
      <c r="I95" s="208" t="s">
        <v>17</v>
      </c>
      <c r="J95" s="208" t="s">
        <v>311</v>
      </c>
      <c r="K95" s="208" t="s">
        <v>55</v>
      </c>
      <c r="L95" s="208" t="s">
        <v>340</v>
      </c>
      <c r="M95" s="208">
        <v>2</v>
      </c>
      <c r="N95" s="208"/>
      <c r="O95" s="208" t="s">
        <v>29</v>
      </c>
      <c r="P95" s="208"/>
      <c r="Q95" s="207"/>
      <c r="R95" s="208"/>
    </row>
    <row r="96" spans="1:18">
      <c r="A96" s="277">
        <v>74</v>
      </c>
      <c r="B96" s="278">
        <v>46007</v>
      </c>
      <c r="C96" s="208" t="s">
        <v>289</v>
      </c>
      <c r="D96" s="208" t="s">
        <v>347</v>
      </c>
      <c r="E96" s="208" t="s">
        <v>357</v>
      </c>
      <c r="F96" s="208">
        <v>2025</v>
      </c>
      <c r="G96" s="208">
        <v>2</v>
      </c>
      <c r="H96" s="208" t="s">
        <v>16</v>
      </c>
      <c r="I96" s="208" t="s">
        <v>17</v>
      </c>
      <c r="J96" s="208" t="s">
        <v>311</v>
      </c>
      <c r="K96" s="208" t="s">
        <v>55</v>
      </c>
      <c r="L96" s="208" t="s">
        <v>315</v>
      </c>
      <c r="M96" s="208">
        <v>2</v>
      </c>
      <c r="N96" s="208"/>
      <c r="O96" s="208" t="s">
        <v>29</v>
      </c>
      <c r="P96" s="208"/>
      <c r="Q96" s="207"/>
      <c r="R96" s="208"/>
    </row>
    <row r="97" spans="1:18">
      <c r="A97" s="277">
        <v>75</v>
      </c>
      <c r="B97" s="278">
        <v>46008</v>
      </c>
      <c r="C97" s="208" t="s">
        <v>294</v>
      </c>
      <c r="D97" s="208" t="s">
        <v>347</v>
      </c>
      <c r="E97" s="208" t="s">
        <v>357</v>
      </c>
      <c r="F97" s="208">
        <v>2025</v>
      </c>
      <c r="G97" s="208">
        <v>2</v>
      </c>
      <c r="H97" s="208" t="s">
        <v>16</v>
      </c>
      <c r="I97" s="208" t="s">
        <v>17</v>
      </c>
      <c r="J97" s="208" t="s">
        <v>311</v>
      </c>
      <c r="K97" s="208" t="s">
        <v>55</v>
      </c>
      <c r="L97" s="208" t="s">
        <v>314</v>
      </c>
      <c r="M97" s="208">
        <v>2</v>
      </c>
      <c r="N97" s="208"/>
      <c r="O97" s="208" t="s">
        <v>29</v>
      </c>
      <c r="P97" s="208"/>
      <c r="Q97" s="207"/>
      <c r="R97" s="208"/>
    </row>
    <row r="98" spans="1:18">
      <c r="A98" s="277">
        <v>76</v>
      </c>
      <c r="B98" s="278">
        <v>46009</v>
      </c>
      <c r="C98" s="208" t="s">
        <v>298</v>
      </c>
      <c r="D98" s="208" t="s">
        <v>347</v>
      </c>
      <c r="E98" s="208" t="s">
        <v>357</v>
      </c>
      <c r="F98" s="208">
        <v>2025</v>
      </c>
      <c r="G98" s="208">
        <v>2</v>
      </c>
      <c r="H98" s="208" t="s">
        <v>16</v>
      </c>
      <c r="I98" s="208" t="s">
        <v>17</v>
      </c>
      <c r="J98" s="208" t="s">
        <v>311</v>
      </c>
      <c r="K98" s="208" t="s">
        <v>55</v>
      </c>
      <c r="L98" s="208" t="s">
        <v>351</v>
      </c>
      <c r="M98" s="208">
        <v>2</v>
      </c>
      <c r="N98" s="208"/>
      <c r="O98" s="208" t="s">
        <v>29</v>
      </c>
      <c r="P98" s="208"/>
      <c r="Q98" s="207"/>
      <c r="R98" s="208"/>
    </row>
    <row r="99" spans="1:18">
      <c r="A99" s="277">
        <v>77</v>
      </c>
      <c r="B99" s="278">
        <v>46041</v>
      </c>
      <c r="C99" s="208" t="s">
        <v>302</v>
      </c>
      <c r="D99" s="208" t="s">
        <v>358</v>
      </c>
      <c r="E99" s="208" t="s">
        <v>359</v>
      </c>
      <c r="F99" s="208">
        <v>2026</v>
      </c>
      <c r="G99" s="208">
        <v>1</v>
      </c>
      <c r="H99" s="208" t="s">
        <v>61</v>
      </c>
      <c r="I99" s="208" t="s">
        <v>62</v>
      </c>
      <c r="J99" s="208" t="s">
        <v>360</v>
      </c>
      <c r="K99" s="208" t="s">
        <v>34</v>
      </c>
      <c r="L99" s="208" t="s">
        <v>361</v>
      </c>
      <c r="M99" s="208">
        <v>1</v>
      </c>
      <c r="N99" s="208"/>
      <c r="O99" s="208" t="s">
        <v>65</v>
      </c>
      <c r="P99" s="208"/>
      <c r="Q99" s="207"/>
      <c r="R99" s="208"/>
    </row>
    <row r="100" spans="1:18">
      <c r="A100" s="277">
        <v>78</v>
      </c>
      <c r="B100" s="278">
        <v>46041</v>
      </c>
      <c r="C100" s="208" t="s">
        <v>302</v>
      </c>
      <c r="D100" s="208" t="s">
        <v>358</v>
      </c>
      <c r="E100" s="208" t="s">
        <v>359</v>
      </c>
      <c r="F100" s="208">
        <v>2026</v>
      </c>
      <c r="G100" s="208">
        <v>1</v>
      </c>
      <c r="H100" s="208" t="s">
        <v>61</v>
      </c>
      <c r="I100" s="208" t="s">
        <v>62</v>
      </c>
      <c r="J100" s="208" t="s">
        <v>360</v>
      </c>
      <c r="K100" s="208" t="s">
        <v>35</v>
      </c>
      <c r="L100" s="208" t="s">
        <v>361</v>
      </c>
      <c r="M100" s="208">
        <v>1</v>
      </c>
      <c r="N100" s="208"/>
      <c r="O100" s="208" t="s">
        <v>65</v>
      </c>
      <c r="P100" s="208"/>
      <c r="Q100" s="207"/>
      <c r="R100" s="208"/>
    </row>
    <row r="101" spans="1:18">
      <c r="A101" s="277">
        <v>79</v>
      </c>
      <c r="B101" s="278">
        <v>46041</v>
      </c>
      <c r="C101" s="208" t="s">
        <v>302</v>
      </c>
      <c r="D101" s="208" t="s">
        <v>347</v>
      </c>
      <c r="E101" s="208" t="s">
        <v>359</v>
      </c>
      <c r="F101" s="208">
        <v>2026</v>
      </c>
      <c r="G101" s="208">
        <v>2</v>
      </c>
      <c r="H101" s="208" t="s">
        <v>16</v>
      </c>
      <c r="I101" s="208" t="s">
        <v>17</v>
      </c>
      <c r="J101" s="208" t="s">
        <v>311</v>
      </c>
      <c r="K101" s="208" t="s">
        <v>55</v>
      </c>
      <c r="L101" s="208" t="s">
        <v>340</v>
      </c>
      <c r="M101" s="208">
        <v>2</v>
      </c>
      <c r="N101" s="208"/>
      <c r="O101" s="208" t="s">
        <v>29</v>
      </c>
      <c r="P101" s="208"/>
      <c r="Q101" s="207"/>
      <c r="R101" s="208"/>
    </row>
    <row r="102" spans="1:18">
      <c r="A102" s="277">
        <v>80</v>
      </c>
      <c r="B102" s="278">
        <v>46044</v>
      </c>
      <c r="C102" s="208" t="s">
        <v>298</v>
      </c>
      <c r="D102" s="208" t="s">
        <v>347</v>
      </c>
      <c r="E102" s="208" t="s">
        <v>359</v>
      </c>
      <c r="F102" s="208">
        <v>2026</v>
      </c>
      <c r="G102" s="208">
        <v>2</v>
      </c>
      <c r="H102" s="208" t="s">
        <v>16</v>
      </c>
      <c r="I102" s="208" t="s">
        <v>17</v>
      </c>
      <c r="J102" s="208" t="s">
        <v>311</v>
      </c>
      <c r="K102" s="208" t="s">
        <v>55</v>
      </c>
      <c r="L102" s="208" t="s">
        <v>315</v>
      </c>
      <c r="M102" s="208">
        <v>2</v>
      </c>
      <c r="N102" s="208"/>
      <c r="O102" s="208" t="s">
        <v>29</v>
      </c>
      <c r="P102" s="208"/>
      <c r="Q102" s="207"/>
      <c r="R102" s="208"/>
    </row>
    <row r="103" spans="1:18">
      <c r="A103" s="277">
        <v>81</v>
      </c>
      <c r="B103" s="278">
        <v>46045</v>
      </c>
      <c r="C103" s="208" t="s">
        <v>301</v>
      </c>
      <c r="D103" s="208" t="s">
        <v>347</v>
      </c>
      <c r="E103" s="208" t="s">
        <v>359</v>
      </c>
      <c r="F103" s="208">
        <v>2026</v>
      </c>
      <c r="G103" s="208">
        <v>2</v>
      </c>
      <c r="H103" s="208" t="s">
        <v>16</v>
      </c>
      <c r="I103" s="208" t="s">
        <v>17</v>
      </c>
      <c r="J103" s="208" t="s">
        <v>311</v>
      </c>
      <c r="K103" s="208" t="s">
        <v>55</v>
      </c>
      <c r="L103" s="208" t="s">
        <v>314</v>
      </c>
      <c r="M103" s="208">
        <v>2</v>
      </c>
      <c r="N103" s="208"/>
      <c r="O103" s="208" t="s">
        <v>29</v>
      </c>
      <c r="P103" s="208"/>
      <c r="Q103" s="207"/>
      <c r="R103" s="208"/>
    </row>
    <row r="104" spans="1:18">
      <c r="A104" s="277"/>
      <c r="B104" s="278">
        <v>46049</v>
      </c>
      <c r="C104" s="208" t="s">
        <v>289</v>
      </c>
      <c r="D104" s="208"/>
      <c r="E104" s="208" t="s">
        <v>362</v>
      </c>
      <c r="F104" s="208">
        <v>2026</v>
      </c>
      <c r="G104" s="208"/>
      <c r="H104" s="208" t="s">
        <v>363</v>
      </c>
      <c r="I104" s="208"/>
      <c r="J104" s="208" t="s">
        <v>311</v>
      </c>
      <c r="K104" s="208" t="s">
        <v>101</v>
      </c>
      <c r="L104" s="208" t="s">
        <v>364</v>
      </c>
      <c r="M104" s="208"/>
      <c r="N104" s="208"/>
      <c r="O104" s="208"/>
      <c r="P104" s="208"/>
      <c r="Q104" s="207"/>
      <c r="R104" s="208"/>
    </row>
    <row r="105" spans="1:18" ht="30.75">
      <c r="A105" s="277"/>
      <c r="B105" s="278">
        <v>46050</v>
      </c>
      <c r="C105" s="208" t="s">
        <v>294</v>
      </c>
      <c r="D105" s="208" t="s">
        <v>365</v>
      </c>
      <c r="E105" s="208" t="s">
        <v>359</v>
      </c>
      <c r="F105" s="208">
        <v>2026</v>
      </c>
      <c r="G105" s="208">
        <v>1</v>
      </c>
      <c r="H105" s="208" t="s">
        <v>80</v>
      </c>
      <c r="I105" s="208" t="s">
        <v>81</v>
      </c>
      <c r="J105" s="208" t="s">
        <v>366</v>
      </c>
      <c r="K105" s="208"/>
      <c r="L105" s="279" t="s">
        <v>367</v>
      </c>
      <c r="M105" s="208">
        <v>1</v>
      </c>
      <c r="N105" s="208"/>
      <c r="O105" s="208"/>
      <c r="P105" s="208"/>
      <c r="Q105" s="207"/>
      <c r="R105" s="208"/>
    </row>
    <row r="106" spans="1:18">
      <c r="A106" s="277">
        <v>82</v>
      </c>
      <c r="B106" s="278">
        <v>46050</v>
      </c>
      <c r="C106" s="208" t="s">
        <v>294</v>
      </c>
      <c r="D106" s="208" t="s">
        <v>368</v>
      </c>
      <c r="E106" s="208" t="s">
        <v>359</v>
      </c>
      <c r="F106" s="208">
        <v>2026</v>
      </c>
      <c r="G106" s="208">
        <v>3</v>
      </c>
      <c r="H106" s="208" t="s">
        <v>61</v>
      </c>
      <c r="I106" s="208" t="s">
        <v>62</v>
      </c>
      <c r="J106" s="208" t="s">
        <v>360</v>
      </c>
      <c r="K106" s="208" t="s">
        <v>34</v>
      </c>
      <c r="L106" s="208" t="s">
        <v>369</v>
      </c>
      <c r="M106" s="208">
        <v>3</v>
      </c>
      <c r="N106" s="208"/>
      <c r="O106" s="208" t="s">
        <v>63</v>
      </c>
      <c r="P106" s="208"/>
      <c r="Q106" s="207"/>
      <c r="R106" s="208"/>
    </row>
    <row r="107" spans="1:18">
      <c r="A107" s="277">
        <v>83</v>
      </c>
      <c r="B107" s="278">
        <v>46050</v>
      </c>
      <c r="C107" s="208" t="s">
        <v>294</v>
      </c>
      <c r="D107" s="208" t="s">
        <v>370</v>
      </c>
      <c r="E107" s="208" t="s">
        <v>359</v>
      </c>
      <c r="F107" s="208">
        <v>2026</v>
      </c>
      <c r="G107" s="208">
        <v>3</v>
      </c>
      <c r="H107" s="208" t="s">
        <v>61</v>
      </c>
      <c r="I107" s="208" t="s">
        <v>62</v>
      </c>
      <c r="J107" s="208" t="s">
        <v>360</v>
      </c>
      <c r="K107" s="208" t="s">
        <v>35</v>
      </c>
      <c r="L107" s="208" t="s">
        <v>369</v>
      </c>
      <c r="M107" s="208">
        <v>3</v>
      </c>
      <c r="N107" s="208"/>
      <c r="O107" s="208" t="s">
        <v>66</v>
      </c>
      <c r="P107" s="208"/>
      <c r="Q107" s="207"/>
      <c r="R107" s="208"/>
    </row>
    <row r="108" spans="1:18">
      <c r="A108" s="277">
        <v>84</v>
      </c>
      <c r="B108" s="278">
        <v>46050</v>
      </c>
      <c r="C108" s="208" t="s">
        <v>294</v>
      </c>
      <c r="D108" s="208" t="s">
        <v>371</v>
      </c>
      <c r="E108" s="208" t="s">
        <v>359</v>
      </c>
      <c r="F108" s="208">
        <v>2026</v>
      </c>
      <c r="G108" s="208">
        <v>2</v>
      </c>
      <c r="H108" s="208" t="s">
        <v>61</v>
      </c>
      <c r="I108" s="208" t="s">
        <v>62</v>
      </c>
      <c r="J108" s="208" t="s">
        <v>360</v>
      </c>
      <c r="K108" s="208" t="s">
        <v>35</v>
      </c>
      <c r="L108" s="208" t="s">
        <v>369</v>
      </c>
      <c r="M108" s="208">
        <v>2</v>
      </c>
      <c r="N108" s="208"/>
      <c r="O108" s="208" t="s">
        <v>66</v>
      </c>
      <c r="P108" s="208"/>
      <c r="Q108" s="207"/>
      <c r="R108" s="208"/>
    </row>
    <row r="109" spans="1:18">
      <c r="A109" s="277">
        <v>85</v>
      </c>
      <c r="B109" s="278">
        <v>46051</v>
      </c>
      <c r="C109" s="208" t="s">
        <v>298</v>
      </c>
      <c r="D109" s="208" t="s">
        <v>368</v>
      </c>
      <c r="E109" s="208" t="s">
        <v>359</v>
      </c>
      <c r="F109" s="208">
        <v>2026</v>
      </c>
      <c r="G109" s="208">
        <v>3</v>
      </c>
      <c r="H109" s="208" t="s">
        <v>61</v>
      </c>
      <c r="I109" s="208" t="s">
        <v>62</v>
      </c>
      <c r="J109" s="208" t="s">
        <v>360</v>
      </c>
      <c r="K109" s="208" t="s">
        <v>34</v>
      </c>
      <c r="L109" s="208" t="s">
        <v>369</v>
      </c>
      <c r="M109" s="208">
        <v>3</v>
      </c>
      <c r="N109" s="208"/>
      <c r="O109" s="208" t="s">
        <v>63</v>
      </c>
      <c r="P109" s="208"/>
      <c r="Q109" s="207"/>
      <c r="R109" s="208"/>
    </row>
    <row r="110" spans="1:18">
      <c r="A110" s="277">
        <v>86</v>
      </c>
      <c r="B110" s="278">
        <v>46051</v>
      </c>
      <c r="C110" s="208" t="s">
        <v>298</v>
      </c>
      <c r="D110" s="208" t="s">
        <v>371</v>
      </c>
      <c r="E110" s="208" t="s">
        <v>359</v>
      </c>
      <c r="F110" s="208">
        <v>2026</v>
      </c>
      <c r="G110" s="208">
        <v>2</v>
      </c>
      <c r="H110" s="208" t="s">
        <v>61</v>
      </c>
      <c r="I110" s="208" t="s">
        <v>62</v>
      </c>
      <c r="J110" s="208" t="s">
        <v>360</v>
      </c>
      <c r="K110" s="208" t="s">
        <v>35</v>
      </c>
      <c r="L110" s="208" t="s">
        <v>369</v>
      </c>
      <c r="M110" s="208">
        <v>2</v>
      </c>
      <c r="N110" s="208"/>
      <c r="O110" s="208" t="s">
        <v>66</v>
      </c>
      <c r="P110" s="208"/>
      <c r="Q110" s="207"/>
      <c r="R110" s="208"/>
    </row>
    <row r="111" spans="1:18">
      <c r="A111" s="277">
        <v>87</v>
      </c>
      <c r="B111" s="278">
        <v>46052</v>
      </c>
      <c r="C111" s="208" t="s">
        <v>301</v>
      </c>
      <c r="D111" s="208" t="s">
        <v>372</v>
      </c>
      <c r="E111" s="208" t="s">
        <v>359</v>
      </c>
      <c r="F111" s="208">
        <v>2026</v>
      </c>
      <c r="G111" s="208">
        <v>2.5</v>
      </c>
      <c r="H111" s="208" t="s">
        <v>57</v>
      </c>
      <c r="I111" s="208" t="s">
        <v>58</v>
      </c>
      <c r="J111" s="208" t="s">
        <v>373</v>
      </c>
      <c r="K111" s="208"/>
      <c r="L111" s="208" t="s">
        <v>374</v>
      </c>
      <c r="M111" s="208">
        <v>2.5</v>
      </c>
      <c r="N111" s="208"/>
      <c r="O111" s="208" t="s">
        <v>60</v>
      </c>
      <c r="P111" s="208"/>
      <c r="Q111" s="207"/>
      <c r="R111" s="208"/>
    </row>
    <row r="112" spans="1:18">
      <c r="A112" s="277">
        <v>88</v>
      </c>
      <c r="B112" s="278">
        <v>46055</v>
      </c>
      <c r="C112" s="208" t="s">
        <v>302</v>
      </c>
      <c r="D112" s="208" t="s">
        <v>375</v>
      </c>
      <c r="E112" s="208" t="s">
        <v>362</v>
      </c>
      <c r="F112" s="208">
        <v>2026</v>
      </c>
      <c r="G112" s="208">
        <v>8</v>
      </c>
      <c r="H112" s="208" t="s">
        <v>76</v>
      </c>
      <c r="I112" s="208" t="s">
        <v>77</v>
      </c>
      <c r="J112" s="208"/>
      <c r="K112" s="208"/>
      <c r="L112" s="208" t="s">
        <v>376</v>
      </c>
      <c r="M112" s="208">
        <v>8</v>
      </c>
      <c r="N112" s="208"/>
      <c r="O112" s="208" t="s">
        <v>78</v>
      </c>
      <c r="P112" s="208"/>
      <c r="Q112" s="207"/>
      <c r="R112" s="208"/>
    </row>
    <row r="113" spans="1:18">
      <c r="A113" s="277">
        <v>89</v>
      </c>
      <c r="B113" s="278">
        <v>46055</v>
      </c>
      <c r="C113" s="208" t="s">
        <v>302</v>
      </c>
      <c r="D113" s="208" t="s">
        <v>377</v>
      </c>
      <c r="E113" s="208" t="s">
        <v>362</v>
      </c>
      <c r="F113" s="208">
        <v>2026</v>
      </c>
      <c r="G113" s="208">
        <v>3</v>
      </c>
      <c r="H113" s="208" t="s">
        <v>61</v>
      </c>
      <c r="I113" s="208" t="s">
        <v>62</v>
      </c>
      <c r="J113" s="208" t="s">
        <v>360</v>
      </c>
      <c r="K113" s="208" t="s">
        <v>34</v>
      </c>
      <c r="L113" s="208" t="s">
        <v>378</v>
      </c>
      <c r="M113" s="208">
        <v>3</v>
      </c>
      <c r="N113" s="208"/>
      <c r="O113" s="208" t="s">
        <v>63</v>
      </c>
      <c r="P113" s="208"/>
      <c r="Q113" s="207"/>
      <c r="R113" s="208"/>
    </row>
    <row r="114" spans="1:18">
      <c r="A114" s="277">
        <v>90</v>
      </c>
      <c r="B114" s="278">
        <v>46055</v>
      </c>
      <c r="C114" s="208" t="s">
        <v>302</v>
      </c>
      <c r="D114" s="208" t="s">
        <v>377</v>
      </c>
      <c r="E114" s="208" t="s">
        <v>362</v>
      </c>
      <c r="F114" s="208">
        <v>2026</v>
      </c>
      <c r="G114" s="208">
        <v>3</v>
      </c>
      <c r="H114" s="208" t="s">
        <v>61</v>
      </c>
      <c r="I114" s="208" t="s">
        <v>62</v>
      </c>
      <c r="J114" s="208" t="s">
        <v>360</v>
      </c>
      <c r="K114" s="208" t="s">
        <v>35</v>
      </c>
      <c r="L114" s="208" t="s">
        <v>378</v>
      </c>
      <c r="M114" s="208">
        <v>3</v>
      </c>
      <c r="N114" s="208"/>
      <c r="O114" s="208" t="s">
        <v>87</v>
      </c>
      <c r="P114" s="208"/>
      <c r="Q114" s="207"/>
      <c r="R114" s="208"/>
    </row>
    <row r="115" spans="1:18">
      <c r="A115" s="277">
        <v>91</v>
      </c>
      <c r="B115" s="278">
        <v>46056</v>
      </c>
      <c r="C115" s="208" t="s">
        <v>289</v>
      </c>
      <c r="D115" s="208" t="s">
        <v>375</v>
      </c>
      <c r="E115" s="208" t="s">
        <v>362</v>
      </c>
      <c r="F115" s="208">
        <v>2026</v>
      </c>
      <c r="G115" s="208">
        <v>8</v>
      </c>
      <c r="H115" s="208" t="s">
        <v>76</v>
      </c>
      <c r="I115" s="208" t="s">
        <v>77</v>
      </c>
      <c r="J115" s="208"/>
      <c r="K115" s="208"/>
      <c r="L115" s="208" t="s">
        <v>379</v>
      </c>
      <c r="M115" s="208">
        <v>8</v>
      </c>
      <c r="N115" s="208"/>
      <c r="O115" s="208" t="s">
        <v>380</v>
      </c>
      <c r="P115" s="208"/>
      <c r="Q115" s="207"/>
      <c r="R115" s="208"/>
    </row>
    <row r="116" spans="1:18">
      <c r="A116" s="277">
        <v>92</v>
      </c>
      <c r="B116" s="278">
        <v>46056</v>
      </c>
      <c r="C116" s="208" t="s">
        <v>289</v>
      </c>
      <c r="D116" s="208" t="s">
        <v>372</v>
      </c>
      <c r="E116" s="208" t="s">
        <v>362</v>
      </c>
      <c r="F116" s="208">
        <v>2026</v>
      </c>
      <c r="G116" s="208">
        <v>2.5</v>
      </c>
      <c r="H116" s="208" t="s">
        <v>57</v>
      </c>
      <c r="I116" s="208" t="s">
        <v>58</v>
      </c>
      <c r="J116" s="208" t="s">
        <v>373</v>
      </c>
      <c r="K116" s="208"/>
      <c r="L116" s="208" t="s">
        <v>381</v>
      </c>
      <c r="M116" s="208">
        <v>2.5</v>
      </c>
      <c r="N116" s="208"/>
      <c r="O116" s="208" t="s">
        <v>382</v>
      </c>
      <c r="P116" s="208" t="s">
        <v>70</v>
      </c>
      <c r="Q116" s="207"/>
      <c r="R116" s="208"/>
    </row>
    <row r="117" spans="1:18">
      <c r="A117" s="277">
        <v>93</v>
      </c>
      <c r="B117" s="278">
        <v>46056</v>
      </c>
      <c r="C117" s="208" t="s">
        <v>289</v>
      </c>
      <c r="D117" s="208" t="s">
        <v>377</v>
      </c>
      <c r="E117" s="208" t="s">
        <v>362</v>
      </c>
      <c r="F117" s="208">
        <v>2026</v>
      </c>
      <c r="G117" s="208">
        <v>3</v>
      </c>
      <c r="H117" s="208" t="s">
        <v>61</v>
      </c>
      <c r="I117" s="208" t="s">
        <v>62</v>
      </c>
      <c r="J117" s="208" t="s">
        <v>360</v>
      </c>
      <c r="K117" s="208" t="s">
        <v>34</v>
      </c>
      <c r="L117" s="208" t="s">
        <v>383</v>
      </c>
      <c r="M117" s="208">
        <v>3</v>
      </c>
      <c r="N117" s="208"/>
      <c r="O117" s="208" t="s">
        <v>63</v>
      </c>
      <c r="P117" s="208"/>
      <c r="Q117" s="207"/>
      <c r="R117" s="208"/>
    </row>
    <row r="118" spans="1:18">
      <c r="A118" s="277">
        <v>94</v>
      </c>
      <c r="B118" s="278">
        <v>46056</v>
      </c>
      <c r="C118" s="208" t="s">
        <v>289</v>
      </c>
      <c r="D118" s="208" t="s">
        <v>377</v>
      </c>
      <c r="E118" s="208" t="s">
        <v>362</v>
      </c>
      <c r="F118" s="208">
        <v>2026</v>
      </c>
      <c r="G118" s="208">
        <v>3</v>
      </c>
      <c r="H118" s="208" t="s">
        <v>61</v>
      </c>
      <c r="I118" s="208" t="s">
        <v>62</v>
      </c>
      <c r="J118" s="208" t="s">
        <v>360</v>
      </c>
      <c r="K118" s="208" t="s">
        <v>35</v>
      </c>
      <c r="L118" s="208" t="s">
        <v>383</v>
      </c>
      <c r="M118" s="208">
        <v>3</v>
      </c>
      <c r="N118" s="208"/>
      <c r="O118" s="208" t="s">
        <v>87</v>
      </c>
      <c r="P118" s="208"/>
      <c r="Q118" s="207"/>
      <c r="R118" s="208"/>
    </row>
    <row r="119" spans="1:18">
      <c r="A119" s="277">
        <v>95</v>
      </c>
      <c r="B119" s="278">
        <v>46057</v>
      </c>
      <c r="C119" s="208" t="s">
        <v>294</v>
      </c>
      <c r="D119" s="208" t="s">
        <v>377</v>
      </c>
      <c r="E119" s="208" t="s">
        <v>362</v>
      </c>
      <c r="F119" s="208">
        <v>2026</v>
      </c>
      <c r="G119" s="208">
        <v>3</v>
      </c>
      <c r="H119" s="208" t="s">
        <v>61</v>
      </c>
      <c r="I119" s="208" t="s">
        <v>62</v>
      </c>
      <c r="J119" s="208" t="s">
        <v>360</v>
      </c>
      <c r="K119" s="208" t="s">
        <v>34</v>
      </c>
      <c r="L119" s="208" t="s">
        <v>384</v>
      </c>
      <c r="M119" s="208">
        <v>3</v>
      </c>
      <c r="N119" s="208"/>
      <c r="O119" s="208" t="s">
        <v>63</v>
      </c>
      <c r="P119" s="208"/>
      <c r="Q119" s="207"/>
      <c r="R119" s="208"/>
    </row>
    <row r="120" spans="1:18">
      <c r="A120" s="277">
        <v>96</v>
      </c>
      <c r="B120" s="278">
        <v>46057</v>
      </c>
      <c r="C120" s="208" t="s">
        <v>294</v>
      </c>
      <c r="D120" s="208" t="s">
        <v>377</v>
      </c>
      <c r="E120" s="208" t="s">
        <v>362</v>
      </c>
      <c r="F120" s="208">
        <v>2026</v>
      </c>
      <c r="G120" s="208">
        <v>3</v>
      </c>
      <c r="H120" s="208" t="s">
        <v>61</v>
      </c>
      <c r="I120" s="208" t="s">
        <v>62</v>
      </c>
      <c r="J120" s="208" t="s">
        <v>360</v>
      </c>
      <c r="K120" s="208" t="s">
        <v>35</v>
      </c>
      <c r="L120" s="208" t="s">
        <v>384</v>
      </c>
      <c r="M120" s="208">
        <v>3</v>
      </c>
      <c r="N120" s="208"/>
      <c r="O120" s="208" t="s">
        <v>87</v>
      </c>
      <c r="P120" s="208"/>
      <c r="Q120" s="207"/>
      <c r="R120" s="208"/>
    </row>
    <row r="121" spans="1:18" ht="60.75">
      <c r="A121" s="277">
        <v>97</v>
      </c>
      <c r="B121" s="278">
        <v>46058</v>
      </c>
      <c r="C121" s="208" t="s">
        <v>298</v>
      </c>
      <c r="D121" s="208" t="s">
        <v>385</v>
      </c>
      <c r="E121" s="208" t="s">
        <v>362</v>
      </c>
      <c r="F121" s="208">
        <v>2026</v>
      </c>
      <c r="G121" s="208">
        <v>4</v>
      </c>
      <c r="H121" s="208" t="s">
        <v>80</v>
      </c>
      <c r="I121" s="208" t="s">
        <v>81</v>
      </c>
      <c r="J121" s="208" t="s">
        <v>366</v>
      </c>
      <c r="K121" s="208"/>
      <c r="L121" s="279" t="s">
        <v>386</v>
      </c>
      <c r="M121" s="208">
        <v>4</v>
      </c>
      <c r="N121" s="208"/>
      <c r="O121" s="208" t="s">
        <v>12</v>
      </c>
      <c r="P121" s="208"/>
      <c r="Q121" s="207"/>
      <c r="R121" s="208"/>
    </row>
    <row r="122" spans="1:18">
      <c r="A122" s="277">
        <v>98</v>
      </c>
      <c r="B122" s="278">
        <v>46058</v>
      </c>
      <c r="C122" s="208" t="s">
        <v>298</v>
      </c>
      <c r="D122" s="208" t="s">
        <v>377</v>
      </c>
      <c r="E122" s="208" t="s">
        <v>362</v>
      </c>
      <c r="F122" s="208">
        <v>2026</v>
      </c>
      <c r="G122" s="208">
        <v>3</v>
      </c>
      <c r="H122" s="208" t="s">
        <v>61</v>
      </c>
      <c r="I122" s="208" t="s">
        <v>62</v>
      </c>
      <c r="J122" s="208" t="s">
        <v>360</v>
      </c>
      <c r="K122" s="208" t="s">
        <v>34</v>
      </c>
      <c r="L122" s="208" t="s">
        <v>387</v>
      </c>
      <c r="M122" s="208">
        <v>3</v>
      </c>
      <c r="N122" s="208"/>
      <c r="O122" s="208" t="s">
        <v>63</v>
      </c>
      <c r="P122" s="208"/>
      <c r="Q122" s="207"/>
      <c r="R122" s="208"/>
    </row>
    <row r="123" spans="1:18">
      <c r="A123" s="277">
        <v>99</v>
      </c>
      <c r="B123" s="278">
        <v>46058</v>
      </c>
      <c r="C123" s="208" t="s">
        <v>298</v>
      </c>
      <c r="D123" s="208" t="s">
        <v>377</v>
      </c>
      <c r="E123" s="208" t="s">
        <v>362</v>
      </c>
      <c r="F123" s="208">
        <v>2026</v>
      </c>
      <c r="G123" s="208">
        <v>3</v>
      </c>
      <c r="H123" s="208" t="s">
        <v>61</v>
      </c>
      <c r="I123" s="208" t="s">
        <v>62</v>
      </c>
      <c r="J123" s="208" t="s">
        <v>360</v>
      </c>
      <c r="K123" s="208" t="s">
        <v>35</v>
      </c>
      <c r="L123" s="208" t="s">
        <v>387</v>
      </c>
      <c r="M123" s="208">
        <v>3</v>
      </c>
      <c r="N123" s="208"/>
      <c r="O123" s="208" t="s">
        <v>87</v>
      </c>
      <c r="P123" s="208"/>
      <c r="Q123" s="207"/>
      <c r="R123" s="208"/>
    </row>
    <row r="124" spans="1:18">
      <c r="A124" s="277">
        <v>100</v>
      </c>
      <c r="B124" s="278">
        <v>46059</v>
      </c>
      <c r="C124" s="208" t="s">
        <v>301</v>
      </c>
      <c r="D124" s="208" t="s">
        <v>385</v>
      </c>
      <c r="E124" s="208" t="s">
        <v>362</v>
      </c>
      <c r="F124" s="208">
        <v>2026</v>
      </c>
      <c r="G124" s="208">
        <v>4</v>
      </c>
      <c r="H124" s="208" t="s">
        <v>80</v>
      </c>
      <c r="I124" s="208" t="s">
        <v>81</v>
      </c>
      <c r="J124" s="208" t="s">
        <v>366</v>
      </c>
      <c r="K124" s="208"/>
      <c r="L124" s="208" t="s">
        <v>388</v>
      </c>
      <c r="M124" s="208">
        <v>4</v>
      </c>
      <c r="N124" s="208"/>
      <c r="O124" s="208" t="s">
        <v>12</v>
      </c>
      <c r="P124" s="208"/>
      <c r="Q124" s="207"/>
      <c r="R124" s="208"/>
    </row>
    <row r="125" spans="1:18">
      <c r="A125" s="277">
        <v>101</v>
      </c>
      <c r="B125" s="278">
        <v>46059</v>
      </c>
      <c r="C125" s="208" t="s">
        <v>301</v>
      </c>
      <c r="D125" s="208" t="s">
        <v>372</v>
      </c>
      <c r="E125" s="208" t="s">
        <v>362</v>
      </c>
      <c r="F125" s="208">
        <v>2026</v>
      </c>
      <c r="G125" s="208">
        <v>2.5</v>
      </c>
      <c r="H125" s="208" t="s">
        <v>57</v>
      </c>
      <c r="I125" s="208" t="s">
        <v>58</v>
      </c>
      <c r="J125" s="208" t="s">
        <v>373</v>
      </c>
      <c r="K125" s="208"/>
      <c r="L125" s="208" t="s">
        <v>389</v>
      </c>
      <c r="M125" s="208">
        <v>2.5</v>
      </c>
      <c r="N125" s="208"/>
      <c r="O125" s="208" t="s">
        <v>72</v>
      </c>
      <c r="P125" s="208"/>
      <c r="Q125" s="207"/>
      <c r="R125" s="208"/>
    </row>
    <row r="126" spans="1:18">
      <c r="A126" s="277">
        <v>102</v>
      </c>
      <c r="B126" s="278">
        <v>46059</v>
      </c>
      <c r="C126" s="208" t="s">
        <v>301</v>
      </c>
      <c r="D126" s="208" t="s">
        <v>377</v>
      </c>
      <c r="E126" s="208" t="s">
        <v>362</v>
      </c>
      <c r="F126" s="208">
        <v>2026</v>
      </c>
      <c r="G126" s="208">
        <v>3</v>
      </c>
      <c r="H126" s="208" t="s">
        <v>61</v>
      </c>
      <c r="I126" s="208" t="s">
        <v>62</v>
      </c>
      <c r="J126" s="208" t="s">
        <v>360</v>
      </c>
      <c r="K126" s="208" t="s">
        <v>34</v>
      </c>
      <c r="L126" s="208" t="s">
        <v>390</v>
      </c>
      <c r="M126" s="208">
        <v>3</v>
      </c>
      <c r="N126" s="208"/>
      <c r="O126" s="208" t="s">
        <v>63</v>
      </c>
      <c r="P126" s="208"/>
      <c r="Q126" s="207"/>
      <c r="R126" s="208"/>
    </row>
    <row r="127" spans="1:18">
      <c r="A127" s="277">
        <v>103</v>
      </c>
      <c r="B127" s="278">
        <v>46059</v>
      </c>
      <c r="C127" s="208" t="s">
        <v>301</v>
      </c>
      <c r="D127" s="208" t="s">
        <v>377</v>
      </c>
      <c r="E127" s="208" t="s">
        <v>362</v>
      </c>
      <c r="F127" s="208">
        <v>2026</v>
      </c>
      <c r="G127" s="208">
        <v>3</v>
      </c>
      <c r="H127" s="208" t="s">
        <v>61</v>
      </c>
      <c r="I127" s="208" t="s">
        <v>62</v>
      </c>
      <c r="J127" s="208" t="s">
        <v>360</v>
      </c>
      <c r="K127" s="208" t="s">
        <v>35</v>
      </c>
      <c r="L127" s="208" t="s">
        <v>390</v>
      </c>
      <c r="M127" s="208">
        <v>3</v>
      </c>
      <c r="N127" s="208"/>
      <c r="O127" s="208" t="s">
        <v>87</v>
      </c>
      <c r="P127" s="208"/>
      <c r="Q127" s="207"/>
      <c r="R127" s="208"/>
    </row>
    <row r="128" spans="1:18">
      <c r="A128" s="277"/>
      <c r="B128" s="278">
        <v>46062</v>
      </c>
      <c r="C128" s="208" t="s">
        <v>302</v>
      </c>
      <c r="D128" s="208"/>
      <c r="E128" s="208" t="s">
        <v>362</v>
      </c>
      <c r="F128" s="208">
        <v>2026</v>
      </c>
      <c r="G128" s="208"/>
      <c r="H128" s="208" t="s">
        <v>80</v>
      </c>
      <c r="I128" s="208" t="s">
        <v>81</v>
      </c>
      <c r="J128" s="208" t="s">
        <v>366</v>
      </c>
      <c r="K128" s="208"/>
      <c r="L128" s="208" t="s">
        <v>391</v>
      </c>
      <c r="M128" s="208"/>
      <c r="N128" s="208"/>
      <c r="O128" s="208"/>
      <c r="P128" s="208"/>
      <c r="Q128" s="207"/>
      <c r="R128" s="208"/>
    </row>
    <row r="129" spans="1:18">
      <c r="A129" s="277"/>
      <c r="B129" s="278">
        <v>46062</v>
      </c>
      <c r="C129" s="208" t="s">
        <v>302</v>
      </c>
      <c r="D129" s="208"/>
      <c r="E129" s="208" t="s">
        <v>362</v>
      </c>
      <c r="F129" s="208">
        <v>2026</v>
      </c>
      <c r="G129" s="208"/>
      <c r="H129" s="208" t="s">
        <v>61</v>
      </c>
      <c r="I129" s="208" t="s">
        <v>62</v>
      </c>
      <c r="J129" s="208" t="s">
        <v>360</v>
      </c>
      <c r="K129" s="208" t="s">
        <v>34</v>
      </c>
      <c r="L129" s="208" t="s">
        <v>391</v>
      </c>
      <c r="M129" s="208">
        <v>0</v>
      </c>
      <c r="N129" s="208"/>
      <c r="O129" s="208"/>
      <c r="P129" s="208"/>
      <c r="Q129" s="207"/>
      <c r="R129" s="208"/>
    </row>
    <row r="130" spans="1:18">
      <c r="A130" s="277"/>
      <c r="B130" s="278">
        <v>46062</v>
      </c>
      <c r="C130" s="208" t="s">
        <v>302</v>
      </c>
      <c r="D130" s="208"/>
      <c r="E130" s="208" t="s">
        <v>362</v>
      </c>
      <c r="F130" s="208">
        <v>2026</v>
      </c>
      <c r="G130" s="208"/>
      <c r="H130" s="208" t="s">
        <v>61</v>
      </c>
      <c r="I130" s="208" t="s">
        <v>62</v>
      </c>
      <c r="J130" s="208" t="s">
        <v>360</v>
      </c>
      <c r="K130" s="208" t="s">
        <v>35</v>
      </c>
      <c r="L130" s="208" t="s">
        <v>391</v>
      </c>
      <c r="M130" s="208">
        <v>0</v>
      </c>
      <c r="N130" s="208"/>
      <c r="O130" s="208"/>
      <c r="P130" s="208"/>
      <c r="Q130" s="207"/>
      <c r="R130" s="208"/>
    </row>
    <row r="131" spans="1:18">
      <c r="A131" s="277">
        <v>104</v>
      </c>
      <c r="B131" s="278">
        <v>46063</v>
      </c>
      <c r="C131" s="208" t="s">
        <v>289</v>
      </c>
      <c r="D131" s="208" t="s">
        <v>372</v>
      </c>
      <c r="E131" s="208" t="s">
        <v>362</v>
      </c>
      <c r="F131" s="208">
        <v>2026</v>
      </c>
      <c r="G131" s="208">
        <v>2.5</v>
      </c>
      <c r="H131" s="208" t="s">
        <v>57</v>
      </c>
      <c r="I131" s="208" t="s">
        <v>58</v>
      </c>
      <c r="J131" s="208" t="s">
        <v>373</v>
      </c>
      <c r="K131" s="208"/>
      <c r="L131" s="208" t="s">
        <v>392</v>
      </c>
      <c r="M131" s="208">
        <v>2.5</v>
      </c>
      <c r="N131" s="208"/>
      <c r="O131" s="208" t="s">
        <v>72</v>
      </c>
      <c r="P131" s="208"/>
      <c r="Q131" s="207"/>
      <c r="R131" s="208"/>
    </row>
    <row r="132" spans="1:18">
      <c r="A132" s="277">
        <v>105</v>
      </c>
      <c r="B132" s="278">
        <v>46063</v>
      </c>
      <c r="C132" s="208" t="s">
        <v>289</v>
      </c>
      <c r="D132" s="208" t="s">
        <v>377</v>
      </c>
      <c r="E132" s="208" t="s">
        <v>362</v>
      </c>
      <c r="F132" s="208">
        <v>2026</v>
      </c>
      <c r="G132" s="208">
        <v>3</v>
      </c>
      <c r="H132" s="208" t="s">
        <v>61</v>
      </c>
      <c r="I132" s="208" t="s">
        <v>62</v>
      </c>
      <c r="J132" s="208" t="s">
        <v>360</v>
      </c>
      <c r="K132" s="208" t="s">
        <v>34</v>
      </c>
      <c r="L132" s="208" t="s">
        <v>393</v>
      </c>
      <c r="M132" s="208">
        <v>3</v>
      </c>
      <c r="N132" s="208"/>
      <c r="O132" s="208" t="s">
        <v>63</v>
      </c>
      <c r="P132" s="208"/>
      <c r="Q132" s="207"/>
      <c r="R132" s="208"/>
    </row>
    <row r="133" spans="1:18">
      <c r="A133" s="277">
        <v>106</v>
      </c>
      <c r="B133" s="278">
        <v>46063</v>
      </c>
      <c r="C133" s="208" t="s">
        <v>289</v>
      </c>
      <c r="D133" s="208" t="s">
        <v>377</v>
      </c>
      <c r="E133" s="208" t="s">
        <v>362</v>
      </c>
      <c r="F133" s="208">
        <v>2026</v>
      </c>
      <c r="G133" s="208">
        <v>3</v>
      </c>
      <c r="H133" s="208" t="s">
        <v>61</v>
      </c>
      <c r="I133" s="208" t="s">
        <v>62</v>
      </c>
      <c r="J133" s="208" t="s">
        <v>360</v>
      </c>
      <c r="K133" s="208" t="s">
        <v>35</v>
      </c>
      <c r="L133" s="208" t="s">
        <v>393</v>
      </c>
      <c r="M133" s="208">
        <v>3</v>
      </c>
      <c r="N133" s="208"/>
      <c r="O133" s="208" t="s">
        <v>87</v>
      </c>
      <c r="P133" s="208"/>
      <c r="Q133" s="207"/>
      <c r="R133" s="208"/>
    </row>
    <row r="134" spans="1:18">
      <c r="A134" s="277">
        <v>107</v>
      </c>
      <c r="B134" s="278">
        <v>46064</v>
      </c>
      <c r="C134" s="208" t="s">
        <v>294</v>
      </c>
      <c r="D134" s="208" t="s">
        <v>377</v>
      </c>
      <c r="E134" s="208" t="s">
        <v>362</v>
      </c>
      <c r="F134" s="208">
        <v>2026</v>
      </c>
      <c r="G134" s="208">
        <v>3</v>
      </c>
      <c r="H134" s="208" t="s">
        <v>61</v>
      </c>
      <c r="I134" s="208" t="s">
        <v>62</v>
      </c>
      <c r="J134" s="208" t="s">
        <v>360</v>
      </c>
      <c r="K134" s="208" t="s">
        <v>34</v>
      </c>
      <c r="L134" s="208" t="s">
        <v>394</v>
      </c>
      <c r="M134" s="208">
        <v>3</v>
      </c>
      <c r="N134" s="208"/>
      <c r="O134" s="208" t="s">
        <v>63</v>
      </c>
      <c r="P134" s="208"/>
      <c r="Q134" s="207"/>
      <c r="R134" s="208"/>
    </row>
    <row r="135" spans="1:18">
      <c r="A135" s="277">
        <v>108</v>
      </c>
      <c r="B135" s="278">
        <v>46064</v>
      </c>
      <c r="C135" s="208" t="s">
        <v>294</v>
      </c>
      <c r="D135" s="208" t="s">
        <v>377</v>
      </c>
      <c r="E135" s="208" t="s">
        <v>362</v>
      </c>
      <c r="F135" s="208">
        <v>2026</v>
      </c>
      <c r="G135" s="208">
        <v>3</v>
      </c>
      <c r="H135" s="208" t="s">
        <v>61</v>
      </c>
      <c r="I135" s="208" t="s">
        <v>62</v>
      </c>
      <c r="J135" s="208" t="s">
        <v>360</v>
      </c>
      <c r="K135" s="208" t="s">
        <v>35</v>
      </c>
      <c r="L135" s="208" t="s">
        <v>394</v>
      </c>
      <c r="M135" s="208">
        <v>3</v>
      </c>
      <c r="N135" s="208"/>
      <c r="O135" s="208" t="s">
        <v>87</v>
      </c>
      <c r="P135" s="208"/>
      <c r="Q135" s="207"/>
      <c r="R135" s="208"/>
    </row>
    <row r="136" spans="1:18">
      <c r="A136" s="277">
        <v>109</v>
      </c>
      <c r="B136" s="278">
        <v>46065</v>
      </c>
      <c r="C136" s="208" t="s">
        <v>298</v>
      </c>
      <c r="D136" s="208" t="s">
        <v>395</v>
      </c>
      <c r="E136" s="208" t="s">
        <v>362</v>
      </c>
      <c r="F136" s="208">
        <v>2026</v>
      </c>
      <c r="G136" s="208">
        <v>4</v>
      </c>
      <c r="H136" s="208" t="s">
        <v>80</v>
      </c>
      <c r="I136" s="208" t="s">
        <v>81</v>
      </c>
      <c r="J136" s="208" t="s">
        <v>366</v>
      </c>
      <c r="K136" s="208"/>
      <c r="L136" s="208" t="s">
        <v>396</v>
      </c>
      <c r="M136" s="208">
        <v>4</v>
      </c>
      <c r="N136" s="208"/>
      <c r="O136" s="208" t="s">
        <v>82</v>
      </c>
      <c r="P136" s="208"/>
      <c r="Q136" s="207"/>
      <c r="R136" s="208"/>
    </row>
    <row r="137" spans="1:18">
      <c r="A137" s="277">
        <v>110</v>
      </c>
      <c r="B137" s="278">
        <v>46065</v>
      </c>
      <c r="C137" s="208" t="s">
        <v>298</v>
      </c>
      <c r="D137" s="208" t="s">
        <v>377</v>
      </c>
      <c r="E137" s="208" t="s">
        <v>362</v>
      </c>
      <c r="F137" s="208">
        <v>2026</v>
      </c>
      <c r="G137" s="208">
        <v>3</v>
      </c>
      <c r="H137" s="208" t="s">
        <v>61</v>
      </c>
      <c r="I137" s="208" t="s">
        <v>62</v>
      </c>
      <c r="J137" s="208" t="s">
        <v>360</v>
      </c>
      <c r="K137" s="208" t="s">
        <v>34</v>
      </c>
      <c r="L137" s="208" t="s">
        <v>397</v>
      </c>
      <c r="M137" s="208">
        <v>3</v>
      </c>
      <c r="N137" s="208"/>
      <c r="O137" s="208" t="s">
        <v>63</v>
      </c>
      <c r="P137" s="208"/>
      <c r="Q137" s="207"/>
      <c r="R137" s="208"/>
    </row>
    <row r="138" spans="1:18">
      <c r="A138" s="277">
        <v>111</v>
      </c>
      <c r="B138" s="278">
        <v>46065</v>
      </c>
      <c r="C138" s="208" t="s">
        <v>298</v>
      </c>
      <c r="D138" s="208" t="s">
        <v>377</v>
      </c>
      <c r="E138" s="208" t="s">
        <v>362</v>
      </c>
      <c r="F138" s="208">
        <v>2026</v>
      </c>
      <c r="G138" s="208">
        <v>3</v>
      </c>
      <c r="H138" s="208" t="s">
        <v>61</v>
      </c>
      <c r="I138" s="208" t="s">
        <v>62</v>
      </c>
      <c r="J138" s="208" t="s">
        <v>360</v>
      </c>
      <c r="K138" s="208" t="s">
        <v>35</v>
      </c>
      <c r="L138" s="208" t="s">
        <v>397</v>
      </c>
      <c r="M138" s="208">
        <v>3</v>
      </c>
      <c r="N138" s="208"/>
      <c r="O138" s="208" t="s">
        <v>87</v>
      </c>
      <c r="P138" s="208"/>
      <c r="Q138" s="207"/>
      <c r="R138" s="208"/>
    </row>
    <row r="139" spans="1:18">
      <c r="A139" s="277">
        <v>112</v>
      </c>
      <c r="B139" s="278">
        <v>46066</v>
      </c>
      <c r="C139" s="208" t="s">
        <v>301</v>
      </c>
      <c r="D139" s="208" t="s">
        <v>398</v>
      </c>
      <c r="E139" s="208" t="s">
        <v>362</v>
      </c>
      <c r="F139" s="208">
        <v>2026</v>
      </c>
      <c r="G139" s="208">
        <v>2</v>
      </c>
      <c r="H139" s="208" t="s">
        <v>57</v>
      </c>
      <c r="I139" s="208" t="s">
        <v>74</v>
      </c>
      <c r="J139" s="208" t="s">
        <v>373</v>
      </c>
      <c r="K139" s="208"/>
      <c r="L139" s="208" t="s">
        <v>399</v>
      </c>
      <c r="M139" s="208">
        <v>2</v>
      </c>
      <c r="N139" s="208"/>
      <c r="O139" s="208" t="s">
        <v>66</v>
      </c>
      <c r="P139" s="208"/>
      <c r="Q139" s="207"/>
      <c r="R139" s="208"/>
    </row>
    <row r="140" spans="1:18">
      <c r="A140" s="277">
        <v>113</v>
      </c>
      <c r="B140" s="278">
        <v>46066</v>
      </c>
      <c r="C140" s="208" t="s">
        <v>301</v>
      </c>
      <c r="D140" s="208"/>
      <c r="E140" s="208" t="s">
        <v>362</v>
      </c>
      <c r="F140" s="208">
        <v>2026</v>
      </c>
      <c r="G140" s="208">
        <v>2.5</v>
      </c>
      <c r="H140" s="208" t="s">
        <v>363</v>
      </c>
      <c r="I140" s="208"/>
      <c r="J140" s="208" t="s">
        <v>311</v>
      </c>
      <c r="K140" s="208" t="s">
        <v>101</v>
      </c>
      <c r="L140" s="208" t="s">
        <v>400</v>
      </c>
      <c r="M140" s="208"/>
      <c r="N140" s="208"/>
      <c r="O140" s="208" t="s">
        <v>401</v>
      </c>
      <c r="P140" s="208"/>
      <c r="Q140" s="207"/>
      <c r="R140" s="208"/>
    </row>
    <row r="141" spans="1:18">
      <c r="A141" s="277">
        <v>114</v>
      </c>
      <c r="B141" s="278">
        <v>46066</v>
      </c>
      <c r="C141" s="208" t="s">
        <v>301</v>
      </c>
      <c r="D141" s="208"/>
      <c r="E141" s="208" t="s">
        <v>402</v>
      </c>
      <c r="F141" s="208">
        <v>2026</v>
      </c>
      <c r="G141" s="208">
        <v>2.5</v>
      </c>
      <c r="H141" s="208" t="s">
        <v>363</v>
      </c>
      <c r="I141" s="208"/>
      <c r="J141" s="208" t="s">
        <v>311</v>
      </c>
      <c r="K141" s="208" t="s">
        <v>101</v>
      </c>
      <c r="L141" s="208" t="s">
        <v>403</v>
      </c>
      <c r="M141" s="208"/>
      <c r="N141" s="208"/>
      <c r="O141" s="208" t="s">
        <v>401</v>
      </c>
      <c r="P141" s="208"/>
      <c r="Q141" s="207"/>
      <c r="R141" s="208"/>
    </row>
    <row r="142" spans="1:18">
      <c r="A142" s="277">
        <v>115</v>
      </c>
      <c r="B142" s="278">
        <v>46066</v>
      </c>
      <c r="C142" s="208" t="s">
        <v>301</v>
      </c>
      <c r="D142" s="208" t="s">
        <v>372</v>
      </c>
      <c r="E142" s="208" t="s">
        <v>362</v>
      </c>
      <c r="F142" s="208">
        <v>2026</v>
      </c>
      <c r="G142" s="208">
        <v>2.5</v>
      </c>
      <c r="H142" s="208" t="s">
        <v>57</v>
      </c>
      <c r="I142" s="208" t="s">
        <v>58</v>
      </c>
      <c r="J142" s="208" t="s">
        <v>373</v>
      </c>
      <c r="K142" s="208"/>
      <c r="L142" s="208" t="s">
        <v>404</v>
      </c>
      <c r="M142" s="208">
        <v>2.5</v>
      </c>
      <c r="N142" s="208"/>
      <c r="O142" s="208" t="s">
        <v>70</v>
      </c>
      <c r="P142" s="208"/>
      <c r="Q142" s="207"/>
      <c r="R142" s="208"/>
    </row>
    <row r="143" spans="1:18">
      <c r="A143" s="277">
        <v>116</v>
      </c>
      <c r="B143" s="278">
        <v>46066</v>
      </c>
      <c r="C143" s="208" t="s">
        <v>301</v>
      </c>
      <c r="D143" s="208" t="s">
        <v>377</v>
      </c>
      <c r="E143" s="208" t="s">
        <v>362</v>
      </c>
      <c r="F143" s="208">
        <v>2026</v>
      </c>
      <c r="G143" s="208">
        <v>3</v>
      </c>
      <c r="H143" s="208" t="s">
        <v>61</v>
      </c>
      <c r="I143" s="208" t="s">
        <v>62</v>
      </c>
      <c r="J143" s="208" t="s">
        <v>360</v>
      </c>
      <c r="K143" s="208" t="s">
        <v>34</v>
      </c>
      <c r="L143" s="208" t="s">
        <v>405</v>
      </c>
      <c r="M143" s="208">
        <v>3</v>
      </c>
      <c r="N143" s="208"/>
      <c r="O143" s="208" t="s">
        <v>63</v>
      </c>
      <c r="P143" s="208"/>
      <c r="Q143" s="207"/>
      <c r="R143" s="208"/>
    </row>
    <row r="144" spans="1:18">
      <c r="A144" s="277">
        <v>117</v>
      </c>
      <c r="B144" s="278">
        <v>46066</v>
      </c>
      <c r="C144" s="208" t="s">
        <v>301</v>
      </c>
      <c r="D144" s="208" t="s">
        <v>377</v>
      </c>
      <c r="E144" s="208" t="s">
        <v>362</v>
      </c>
      <c r="F144" s="208">
        <v>2026</v>
      </c>
      <c r="G144" s="208">
        <v>3</v>
      </c>
      <c r="H144" s="208" t="s">
        <v>61</v>
      </c>
      <c r="I144" s="208" t="s">
        <v>62</v>
      </c>
      <c r="J144" s="208" t="s">
        <v>360</v>
      </c>
      <c r="K144" s="208" t="s">
        <v>35</v>
      </c>
      <c r="L144" s="208" t="s">
        <v>405</v>
      </c>
      <c r="M144" s="208">
        <v>3</v>
      </c>
      <c r="N144" s="208"/>
      <c r="O144" s="208" t="s">
        <v>87</v>
      </c>
      <c r="P144" s="208"/>
      <c r="Q144" s="207"/>
      <c r="R144" s="208"/>
    </row>
    <row r="145" spans="1:18">
      <c r="A145" s="277">
        <v>118</v>
      </c>
      <c r="B145" s="278">
        <v>46069</v>
      </c>
      <c r="C145" s="208" t="s">
        <v>302</v>
      </c>
      <c r="D145" s="208" t="s">
        <v>398</v>
      </c>
      <c r="E145" s="208" t="s">
        <v>362</v>
      </c>
      <c r="F145" s="208">
        <v>2026</v>
      </c>
      <c r="G145" s="208">
        <v>2</v>
      </c>
      <c r="H145" s="208" t="s">
        <v>57</v>
      </c>
      <c r="I145" s="208" t="s">
        <v>74</v>
      </c>
      <c r="J145" s="208" t="s">
        <v>373</v>
      </c>
      <c r="K145" s="208"/>
      <c r="L145" s="208" t="s">
        <v>406</v>
      </c>
      <c r="M145" s="208">
        <v>2</v>
      </c>
      <c r="N145" s="208"/>
      <c r="O145" s="208" t="s">
        <v>66</v>
      </c>
      <c r="P145" s="208"/>
      <c r="Q145" s="207"/>
      <c r="R145" s="208"/>
    </row>
    <row r="146" spans="1:18">
      <c r="A146" s="277">
        <v>119</v>
      </c>
      <c r="B146" s="278">
        <v>46069</v>
      </c>
      <c r="C146" s="208" t="s">
        <v>302</v>
      </c>
      <c r="D146" s="208" t="s">
        <v>377</v>
      </c>
      <c r="E146" s="208" t="s">
        <v>362</v>
      </c>
      <c r="F146" s="208">
        <v>2026</v>
      </c>
      <c r="G146" s="208">
        <v>3</v>
      </c>
      <c r="H146" s="208" t="s">
        <v>61</v>
      </c>
      <c r="I146" s="208" t="s">
        <v>62</v>
      </c>
      <c r="J146" s="208" t="s">
        <v>360</v>
      </c>
      <c r="K146" s="208" t="s">
        <v>34</v>
      </c>
      <c r="L146" s="208" t="s">
        <v>407</v>
      </c>
      <c r="M146" s="208">
        <v>3</v>
      </c>
      <c r="N146" s="208"/>
      <c r="O146" s="208" t="s">
        <v>63</v>
      </c>
      <c r="P146" s="208"/>
      <c r="Q146" s="207"/>
      <c r="R146" s="208"/>
    </row>
    <row r="147" spans="1:18">
      <c r="A147" s="277">
        <v>120</v>
      </c>
      <c r="B147" s="278">
        <v>46069</v>
      </c>
      <c r="C147" s="208" t="s">
        <v>302</v>
      </c>
      <c r="D147" s="208" t="s">
        <v>377</v>
      </c>
      <c r="E147" s="208" t="s">
        <v>362</v>
      </c>
      <c r="F147" s="208">
        <v>2026</v>
      </c>
      <c r="G147" s="208">
        <v>3</v>
      </c>
      <c r="H147" s="208" t="s">
        <v>61</v>
      </c>
      <c r="I147" s="208" t="s">
        <v>62</v>
      </c>
      <c r="J147" s="208" t="s">
        <v>360</v>
      </c>
      <c r="K147" s="208" t="s">
        <v>35</v>
      </c>
      <c r="L147" s="208" t="s">
        <v>407</v>
      </c>
      <c r="M147" s="208">
        <v>3</v>
      </c>
      <c r="N147" s="208"/>
      <c r="O147" s="208" t="s">
        <v>87</v>
      </c>
      <c r="P147" s="208"/>
      <c r="Q147" s="207"/>
      <c r="R147" s="208"/>
    </row>
    <row r="148" spans="1:18">
      <c r="A148" s="277"/>
      <c r="B148" s="278">
        <v>46070</v>
      </c>
      <c r="C148" s="208" t="s">
        <v>289</v>
      </c>
      <c r="D148" s="208"/>
      <c r="E148" s="208" t="s">
        <v>362</v>
      </c>
      <c r="F148" s="208">
        <v>2026</v>
      </c>
      <c r="G148" s="208"/>
      <c r="H148" s="208" t="s">
        <v>61</v>
      </c>
      <c r="I148" s="208" t="s">
        <v>62</v>
      </c>
      <c r="J148" s="208" t="s">
        <v>360</v>
      </c>
      <c r="K148" s="208" t="s">
        <v>34</v>
      </c>
      <c r="L148" s="208" t="s">
        <v>391</v>
      </c>
      <c r="M148" s="208">
        <v>0</v>
      </c>
      <c r="N148" s="208"/>
      <c r="O148" s="208"/>
      <c r="P148" s="208"/>
      <c r="Q148" s="207"/>
      <c r="R148" s="208"/>
    </row>
    <row r="149" spans="1:18">
      <c r="A149" s="277"/>
      <c r="B149" s="278">
        <v>46070</v>
      </c>
      <c r="C149" s="208" t="s">
        <v>289</v>
      </c>
      <c r="D149" s="208"/>
      <c r="E149" s="208" t="s">
        <v>362</v>
      </c>
      <c r="F149" s="208">
        <v>2026</v>
      </c>
      <c r="G149" s="208"/>
      <c r="H149" s="208" t="s">
        <v>61</v>
      </c>
      <c r="I149" s="208" t="s">
        <v>62</v>
      </c>
      <c r="J149" s="208" t="s">
        <v>360</v>
      </c>
      <c r="K149" s="208" t="s">
        <v>35</v>
      </c>
      <c r="L149" s="208" t="s">
        <v>391</v>
      </c>
      <c r="M149" s="208">
        <v>0</v>
      </c>
      <c r="N149" s="208"/>
      <c r="O149" s="208"/>
      <c r="P149" s="208"/>
      <c r="Q149" s="207"/>
      <c r="R149" s="208"/>
    </row>
    <row r="150" spans="1:18">
      <c r="A150" s="277">
        <v>121</v>
      </c>
      <c r="B150" s="278">
        <v>46071</v>
      </c>
      <c r="C150" s="208" t="s">
        <v>294</v>
      </c>
      <c r="D150" s="208" t="s">
        <v>398</v>
      </c>
      <c r="E150" s="208" t="s">
        <v>362</v>
      </c>
      <c r="F150" s="208">
        <v>2026</v>
      </c>
      <c r="G150" s="208">
        <v>2</v>
      </c>
      <c r="H150" s="208" t="s">
        <v>57</v>
      </c>
      <c r="I150" s="208" t="s">
        <v>74</v>
      </c>
      <c r="J150" s="208" t="s">
        <v>373</v>
      </c>
      <c r="K150" s="208"/>
      <c r="L150" s="208" t="s">
        <v>408</v>
      </c>
      <c r="M150" s="208">
        <v>2</v>
      </c>
      <c r="N150" s="208"/>
      <c r="O150" s="208" t="s">
        <v>66</v>
      </c>
      <c r="P150" s="208"/>
      <c r="Q150" s="207"/>
      <c r="R150" s="208"/>
    </row>
    <row r="151" spans="1:18">
      <c r="A151" s="277">
        <v>122</v>
      </c>
      <c r="B151" s="278">
        <v>46071</v>
      </c>
      <c r="C151" s="208" t="s">
        <v>294</v>
      </c>
      <c r="D151" s="208" t="s">
        <v>372</v>
      </c>
      <c r="E151" s="208" t="s">
        <v>362</v>
      </c>
      <c r="F151" s="208">
        <v>2026</v>
      </c>
      <c r="G151" s="208">
        <v>2.5</v>
      </c>
      <c r="H151" s="208" t="s">
        <v>57</v>
      </c>
      <c r="I151" s="208" t="s">
        <v>58</v>
      </c>
      <c r="J151" s="208" t="s">
        <v>373</v>
      </c>
      <c r="K151" s="208"/>
      <c r="L151" s="208" t="s">
        <v>409</v>
      </c>
      <c r="M151" s="208">
        <v>2.5</v>
      </c>
      <c r="N151" s="208"/>
      <c r="O151" s="208" t="s">
        <v>70</v>
      </c>
      <c r="P151" s="208"/>
      <c r="Q151" s="207"/>
      <c r="R151" s="208"/>
    </row>
    <row r="152" spans="1:18">
      <c r="A152" s="277">
        <v>123</v>
      </c>
      <c r="B152" s="278">
        <v>46071</v>
      </c>
      <c r="C152" s="208" t="s">
        <v>294</v>
      </c>
      <c r="D152" s="208" t="s">
        <v>377</v>
      </c>
      <c r="E152" s="208" t="s">
        <v>362</v>
      </c>
      <c r="F152" s="208">
        <v>2026</v>
      </c>
      <c r="G152" s="208">
        <v>3</v>
      </c>
      <c r="H152" s="208" t="s">
        <v>61</v>
      </c>
      <c r="I152" s="208" t="s">
        <v>62</v>
      </c>
      <c r="J152" s="208" t="s">
        <v>360</v>
      </c>
      <c r="K152" s="208" t="s">
        <v>34</v>
      </c>
      <c r="L152" s="208" t="s">
        <v>410</v>
      </c>
      <c r="M152" s="208">
        <v>3</v>
      </c>
      <c r="N152" s="208"/>
      <c r="O152" s="208" t="s">
        <v>63</v>
      </c>
      <c r="P152" s="208"/>
      <c r="Q152" s="207"/>
      <c r="R152" s="208"/>
    </row>
    <row r="153" spans="1:18">
      <c r="A153" s="277">
        <v>124</v>
      </c>
      <c r="B153" s="278">
        <v>46071</v>
      </c>
      <c r="C153" s="208" t="s">
        <v>294</v>
      </c>
      <c r="D153" s="208" t="s">
        <v>377</v>
      </c>
      <c r="E153" s="208" t="s">
        <v>362</v>
      </c>
      <c r="F153" s="208">
        <v>2026</v>
      </c>
      <c r="G153" s="208">
        <v>3</v>
      </c>
      <c r="H153" s="208" t="s">
        <v>61</v>
      </c>
      <c r="I153" s="208" t="s">
        <v>62</v>
      </c>
      <c r="J153" s="208" t="s">
        <v>360</v>
      </c>
      <c r="K153" s="208" t="s">
        <v>35</v>
      </c>
      <c r="L153" s="208" t="s">
        <v>410</v>
      </c>
      <c r="M153" s="208">
        <v>3</v>
      </c>
      <c r="N153" s="208"/>
      <c r="O153" s="208" t="s">
        <v>87</v>
      </c>
      <c r="P153" s="208"/>
      <c r="Q153" s="207"/>
      <c r="R153" s="208"/>
    </row>
    <row r="154" spans="1:18">
      <c r="A154" s="277">
        <v>125</v>
      </c>
      <c r="B154" s="278">
        <v>46072</v>
      </c>
      <c r="C154" s="208" t="s">
        <v>298</v>
      </c>
      <c r="D154" s="208" t="s">
        <v>377</v>
      </c>
      <c r="E154" s="208" t="s">
        <v>362</v>
      </c>
      <c r="F154" s="208">
        <v>2026</v>
      </c>
      <c r="G154" s="208">
        <v>3</v>
      </c>
      <c r="H154" s="208" t="s">
        <v>61</v>
      </c>
      <c r="I154" s="208" t="s">
        <v>62</v>
      </c>
      <c r="J154" s="208" t="s">
        <v>360</v>
      </c>
      <c r="K154" s="208" t="s">
        <v>34</v>
      </c>
      <c r="L154" s="208" t="s">
        <v>411</v>
      </c>
      <c r="M154" s="208">
        <v>3</v>
      </c>
      <c r="N154" s="208"/>
      <c r="O154" s="208" t="s">
        <v>63</v>
      </c>
      <c r="P154" s="208"/>
      <c r="Q154" s="207"/>
      <c r="R154" s="208"/>
    </row>
    <row r="155" spans="1:18">
      <c r="A155" s="277">
        <v>126</v>
      </c>
      <c r="B155" s="278">
        <v>46072</v>
      </c>
      <c r="C155" s="208" t="s">
        <v>298</v>
      </c>
      <c r="D155" s="208" t="s">
        <v>377</v>
      </c>
      <c r="E155" s="208" t="s">
        <v>362</v>
      </c>
      <c r="F155" s="208">
        <v>2026</v>
      </c>
      <c r="G155" s="208">
        <v>3</v>
      </c>
      <c r="H155" s="208" t="s">
        <v>61</v>
      </c>
      <c r="I155" s="208" t="s">
        <v>62</v>
      </c>
      <c r="J155" s="208" t="s">
        <v>360</v>
      </c>
      <c r="K155" s="208" t="s">
        <v>35</v>
      </c>
      <c r="L155" s="208" t="s">
        <v>411</v>
      </c>
      <c r="M155" s="208">
        <v>3</v>
      </c>
      <c r="N155" s="208"/>
      <c r="O155" s="208" t="s">
        <v>85</v>
      </c>
      <c r="P155" s="208"/>
      <c r="Q155" s="207"/>
      <c r="R155" s="208"/>
    </row>
    <row r="156" spans="1:18">
      <c r="A156" s="277">
        <v>127</v>
      </c>
      <c r="B156" s="278">
        <v>46073</v>
      </c>
      <c r="C156" s="208" t="s">
        <v>301</v>
      </c>
      <c r="D156" s="208" t="s">
        <v>398</v>
      </c>
      <c r="E156" s="208" t="s">
        <v>362</v>
      </c>
      <c r="F156" s="208">
        <v>2026</v>
      </c>
      <c r="G156" s="208">
        <v>2</v>
      </c>
      <c r="H156" s="208" t="s">
        <v>57</v>
      </c>
      <c r="I156" s="208" t="s">
        <v>74</v>
      </c>
      <c r="J156" s="208" t="s">
        <v>373</v>
      </c>
      <c r="K156" s="208"/>
      <c r="L156" s="208" t="s">
        <v>412</v>
      </c>
      <c r="M156" s="208">
        <v>2</v>
      </c>
      <c r="N156" s="208"/>
      <c r="O156" s="208" t="s">
        <v>66</v>
      </c>
      <c r="P156" s="208"/>
      <c r="Q156" s="207"/>
      <c r="R156" s="208"/>
    </row>
    <row r="157" spans="1:18">
      <c r="A157" s="277">
        <v>128</v>
      </c>
      <c r="B157" s="278">
        <v>46073</v>
      </c>
      <c r="C157" s="208" t="s">
        <v>301</v>
      </c>
      <c r="D157" s="208" t="s">
        <v>372</v>
      </c>
      <c r="E157" s="208" t="s">
        <v>362</v>
      </c>
      <c r="F157" s="208">
        <v>2026</v>
      </c>
      <c r="G157" s="208">
        <v>2.5</v>
      </c>
      <c r="H157" s="208" t="s">
        <v>57</v>
      </c>
      <c r="I157" s="208" t="s">
        <v>58</v>
      </c>
      <c r="J157" s="208" t="s">
        <v>373</v>
      </c>
      <c r="K157" s="208"/>
      <c r="L157" s="208" t="s">
        <v>413</v>
      </c>
      <c r="M157" s="208">
        <v>2.5</v>
      </c>
      <c r="N157" s="208"/>
      <c r="O157" s="208" t="s">
        <v>414</v>
      </c>
      <c r="P157" s="208"/>
      <c r="Q157" s="207"/>
      <c r="R157" s="208"/>
    </row>
    <row r="158" spans="1:18">
      <c r="A158" s="277">
        <v>129</v>
      </c>
      <c r="B158" s="278">
        <v>46073</v>
      </c>
      <c r="C158" s="208" t="s">
        <v>301</v>
      </c>
      <c r="D158" s="208" t="s">
        <v>377</v>
      </c>
      <c r="E158" s="208" t="s">
        <v>362</v>
      </c>
      <c r="F158" s="208">
        <v>2026</v>
      </c>
      <c r="G158" s="208">
        <v>3</v>
      </c>
      <c r="H158" s="208" t="s">
        <v>61</v>
      </c>
      <c r="I158" s="208" t="s">
        <v>62</v>
      </c>
      <c r="J158" s="208" t="s">
        <v>360</v>
      </c>
      <c r="K158" s="208" t="s">
        <v>34</v>
      </c>
      <c r="L158" s="208" t="s">
        <v>415</v>
      </c>
      <c r="M158" s="208">
        <v>3</v>
      </c>
      <c r="N158" s="208"/>
      <c r="O158" s="208" t="s">
        <v>63</v>
      </c>
      <c r="P158" s="208"/>
      <c r="Q158" s="207"/>
      <c r="R158" s="208"/>
    </row>
    <row r="159" spans="1:18">
      <c r="A159" s="277">
        <v>130</v>
      </c>
      <c r="B159" s="278">
        <v>46073</v>
      </c>
      <c r="C159" s="208" t="s">
        <v>301</v>
      </c>
      <c r="D159" s="208" t="s">
        <v>377</v>
      </c>
      <c r="E159" s="208" t="s">
        <v>362</v>
      </c>
      <c r="F159" s="208">
        <v>2026</v>
      </c>
      <c r="G159" s="208">
        <v>3</v>
      </c>
      <c r="H159" s="208" t="s">
        <v>61</v>
      </c>
      <c r="I159" s="208" t="s">
        <v>62</v>
      </c>
      <c r="J159" s="208" t="s">
        <v>360</v>
      </c>
      <c r="K159" s="208" t="s">
        <v>35</v>
      </c>
      <c r="L159" s="208" t="s">
        <v>415</v>
      </c>
      <c r="M159" s="208">
        <v>3</v>
      </c>
      <c r="N159" s="208"/>
      <c r="O159" s="208" t="s">
        <v>85</v>
      </c>
      <c r="P159" s="208"/>
      <c r="Q159" s="207"/>
      <c r="R159" s="208"/>
    </row>
    <row r="160" spans="1:18">
      <c r="A160" s="277">
        <v>131</v>
      </c>
      <c r="B160" s="278">
        <v>46076</v>
      </c>
      <c r="C160" s="208" t="s">
        <v>302</v>
      </c>
      <c r="D160" s="208" t="s">
        <v>398</v>
      </c>
      <c r="E160" s="208" t="s">
        <v>362</v>
      </c>
      <c r="F160" s="208">
        <v>2026</v>
      </c>
      <c r="G160" s="208">
        <v>2</v>
      </c>
      <c r="H160" s="208" t="s">
        <v>57</v>
      </c>
      <c r="I160" s="208" t="s">
        <v>74</v>
      </c>
      <c r="J160" s="208" t="s">
        <v>373</v>
      </c>
      <c r="K160" s="208"/>
      <c r="L160" s="208" t="s">
        <v>416</v>
      </c>
      <c r="M160" s="208">
        <v>2</v>
      </c>
      <c r="N160" s="208"/>
      <c r="O160" s="208" t="s">
        <v>66</v>
      </c>
      <c r="P160" s="208"/>
      <c r="Q160" s="207"/>
      <c r="R160" s="208"/>
    </row>
    <row r="161" spans="1:18">
      <c r="A161" s="277">
        <v>132</v>
      </c>
      <c r="B161" s="278">
        <v>46076</v>
      </c>
      <c r="C161" s="208" t="s">
        <v>302</v>
      </c>
      <c r="D161" s="208" t="s">
        <v>377</v>
      </c>
      <c r="E161" s="208" t="s">
        <v>362</v>
      </c>
      <c r="F161" s="208">
        <v>2026</v>
      </c>
      <c r="G161" s="208">
        <v>3</v>
      </c>
      <c r="H161" s="208" t="s">
        <v>61</v>
      </c>
      <c r="I161" s="208" t="s">
        <v>62</v>
      </c>
      <c r="J161" s="208" t="s">
        <v>360</v>
      </c>
      <c r="K161" s="208" t="s">
        <v>34</v>
      </c>
      <c r="L161" s="208" t="s">
        <v>417</v>
      </c>
      <c r="M161" s="208">
        <v>3</v>
      </c>
      <c r="N161" s="208"/>
      <c r="O161" s="208" t="s">
        <v>63</v>
      </c>
      <c r="P161" s="208"/>
      <c r="Q161" s="207"/>
      <c r="R161" s="208"/>
    </row>
    <row r="162" spans="1:18">
      <c r="A162" s="277">
        <v>133</v>
      </c>
      <c r="B162" s="278">
        <v>46076</v>
      </c>
      <c r="C162" s="208" t="s">
        <v>302</v>
      </c>
      <c r="D162" s="208" t="s">
        <v>377</v>
      </c>
      <c r="E162" s="208" t="s">
        <v>362</v>
      </c>
      <c r="F162" s="208">
        <v>2026</v>
      </c>
      <c r="G162" s="208">
        <v>3</v>
      </c>
      <c r="H162" s="208" t="s">
        <v>61</v>
      </c>
      <c r="I162" s="208" t="s">
        <v>62</v>
      </c>
      <c r="J162" s="208" t="s">
        <v>360</v>
      </c>
      <c r="K162" s="208" t="s">
        <v>35</v>
      </c>
      <c r="L162" s="208" t="s">
        <v>417</v>
      </c>
      <c r="M162" s="208">
        <v>3</v>
      </c>
      <c r="N162" s="208"/>
      <c r="O162" s="208" t="s">
        <v>87</v>
      </c>
      <c r="P162" s="208"/>
      <c r="Q162" s="207"/>
      <c r="R162" s="208"/>
    </row>
    <row r="163" spans="1:18">
      <c r="A163" s="277">
        <v>134</v>
      </c>
      <c r="B163" s="278">
        <v>46077</v>
      </c>
      <c r="C163" s="208" t="s">
        <v>289</v>
      </c>
      <c r="D163" s="208"/>
      <c r="E163" s="208" t="s">
        <v>362</v>
      </c>
      <c r="F163" s="208">
        <v>2026</v>
      </c>
      <c r="G163" s="208"/>
      <c r="H163" s="208" t="s">
        <v>99</v>
      </c>
      <c r="I163" s="208" t="s">
        <v>100</v>
      </c>
      <c r="J163" s="208" t="s">
        <v>373</v>
      </c>
      <c r="K163" s="208" t="s">
        <v>10</v>
      </c>
      <c r="L163" s="208" t="s">
        <v>418</v>
      </c>
      <c r="M163" s="208">
        <v>2.5</v>
      </c>
      <c r="N163" s="208"/>
      <c r="O163" s="208" t="s">
        <v>29</v>
      </c>
      <c r="P163" s="208"/>
      <c r="Q163" s="207"/>
      <c r="R163" s="208"/>
    </row>
    <row r="164" spans="1:18">
      <c r="A164" s="277">
        <v>135</v>
      </c>
      <c r="B164" s="278">
        <v>46077</v>
      </c>
      <c r="C164" s="208" t="s">
        <v>289</v>
      </c>
      <c r="D164" s="208" t="s">
        <v>377</v>
      </c>
      <c r="E164" s="208" t="s">
        <v>362</v>
      </c>
      <c r="F164" s="208">
        <v>2026</v>
      </c>
      <c r="G164" s="208">
        <v>3</v>
      </c>
      <c r="H164" s="208" t="s">
        <v>61</v>
      </c>
      <c r="I164" s="208" t="s">
        <v>62</v>
      </c>
      <c r="J164" s="208" t="s">
        <v>360</v>
      </c>
      <c r="K164" s="208" t="s">
        <v>34</v>
      </c>
      <c r="L164" s="208" t="s">
        <v>419</v>
      </c>
      <c r="M164" s="208">
        <v>3</v>
      </c>
      <c r="N164" s="208"/>
      <c r="O164" s="208" t="s">
        <v>63</v>
      </c>
      <c r="P164" s="208"/>
      <c r="Q164" s="207"/>
      <c r="R164" s="208"/>
    </row>
    <row r="165" spans="1:18">
      <c r="A165" s="277">
        <v>136</v>
      </c>
      <c r="B165" s="278">
        <v>46077</v>
      </c>
      <c r="C165" s="208" t="s">
        <v>289</v>
      </c>
      <c r="D165" s="208" t="s">
        <v>377</v>
      </c>
      <c r="E165" s="208" t="s">
        <v>362</v>
      </c>
      <c r="F165" s="208">
        <v>2026</v>
      </c>
      <c r="G165" s="208">
        <v>3</v>
      </c>
      <c r="H165" s="208" t="s">
        <v>61</v>
      </c>
      <c r="I165" s="208" t="s">
        <v>62</v>
      </c>
      <c r="J165" s="208" t="s">
        <v>360</v>
      </c>
      <c r="K165" s="208" t="s">
        <v>35</v>
      </c>
      <c r="L165" s="208" t="s">
        <v>419</v>
      </c>
      <c r="M165" s="208">
        <v>3</v>
      </c>
      <c r="N165" s="208"/>
      <c r="O165" s="208" t="s">
        <v>87</v>
      </c>
      <c r="P165" s="208"/>
      <c r="Q165" s="207"/>
      <c r="R165" s="208"/>
    </row>
    <row r="166" spans="1:18">
      <c r="A166" s="277">
        <v>137</v>
      </c>
      <c r="B166" s="278">
        <v>46077</v>
      </c>
      <c r="C166" s="208" t="s">
        <v>289</v>
      </c>
      <c r="D166" s="208" t="s">
        <v>420</v>
      </c>
      <c r="E166" s="208" t="s">
        <v>362</v>
      </c>
      <c r="F166" s="208">
        <v>2026</v>
      </c>
      <c r="G166" s="208">
        <v>1</v>
      </c>
      <c r="H166" s="208" t="s">
        <v>61</v>
      </c>
      <c r="I166" s="208" t="s">
        <v>62</v>
      </c>
      <c r="J166" s="208" t="s">
        <v>360</v>
      </c>
      <c r="K166" s="208" t="s">
        <v>37</v>
      </c>
      <c r="L166" s="208" t="s">
        <v>361</v>
      </c>
      <c r="M166" s="208">
        <v>1</v>
      </c>
      <c r="N166" s="208"/>
      <c r="O166" s="208" t="s">
        <v>65</v>
      </c>
      <c r="P166" s="208"/>
      <c r="Q166" s="207"/>
      <c r="R166" s="208"/>
    </row>
    <row r="167" spans="1:18">
      <c r="A167" s="277">
        <v>138</v>
      </c>
      <c r="B167" s="278">
        <v>46077</v>
      </c>
      <c r="C167" s="208" t="s">
        <v>289</v>
      </c>
      <c r="D167" s="208" t="s">
        <v>420</v>
      </c>
      <c r="E167" s="208" t="s">
        <v>362</v>
      </c>
      <c r="F167" s="208">
        <v>2026</v>
      </c>
      <c r="G167" s="208">
        <v>1</v>
      </c>
      <c r="H167" s="208" t="s">
        <v>61</v>
      </c>
      <c r="I167" s="208" t="s">
        <v>62</v>
      </c>
      <c r="J167" s="208" t="s">
        <v>360</v>
      </c>
      <c r="K167" s="208" t="s">
        <v>38</v>
      </c>
      <c r="L167" s="208" t="s">
        <v>361</v>
      </c>
      <c r="M167" s="208">
        <v>1</v>
      </c>
      <c r="N167" s="208"/>
      <c r="O167" s="208" t="s">
        <v>65</v>
      </c>
      <c r="P167" s="208"/>
      <c r="Q167" s="207"/>
      <c r="R167" s="208"/>
    </row>
    <row r="168" spans="1:18">
      <c r="A168" s="277">
        <v>139</v>
      </c>
      <c r="B168" s="278">
        <v>46078</v>
      </c>
      <c r="C168" s="208" t="s">
        <v>294</v>
      </c>
      <c r="D168" s="208" t="s">
        <v>398</v>
      </c>
      <c r="E168" s="208" t="s">
        <v>362</v>
      </c>
      <c r="F168" s="208">
        <v>2026</v>
      </c>
      <c r="G168" s="208">
        <v>2</v>
      </c>
      <c r="H168" s="208" t="s">
        <v>57</v>
      </c>
      <c r="I168" s="208" t="s">
        <v>74</v>
      </c>
      <c r="J168" s="208" t="s">
        <v>373</v>
      </c>
      <c r="K168" s="208"/>
      <c r="L168" s="208" t="s">
        <v>421</v>
      </c>
      <c r="M168" s="208">
        <v>2</v>
      </c>
      <c r="N168" s="208"/>
      <c r="O168" s="208" t="s">
        <v>66</v>
      </c>
      <c r="P168" s="208"/>
      <c r="Q168" s="207"/>
      <c r="R168" s="208"/>
    </row>
    <row r="169" spans="1:18">
      <c r="A169" s="277">
        <v>140</v>
      </c>
      <c r="B169" s="278">
        <v>46078</v>
      </c>
      <c r="C169" s="208" t="s">
        <v>294</v>
      </c>
      <c r="D169" s="208" t="s">
        <v>372</v>
      </c>
      <c r="E169" s="208" t="s">
        <v>362</v>
      </c>
      <c r="F169" s="208">
        <v>2026</v>
      </c>
      <c r="G169" s="208">
        <v>2.5</v>
      </c>
      <c r="H169" s="208" t="s">
        <v>57</v>
      </c>
      <c r="I169" s="208" t="s">
        <v>58</v>
      </c>
      <c r="J169" s="208" t="s">
        <v>373</v>
      </c>
      <c r="K169" s="208"/>
      <c r="L169" s="208" t="s">
        <v>413</v>
      </c>
      <c r="M169" s="208">
        <v>2.5</v>
      </c>
      <c r="N169" s="208"/>
      <c r="O169" s="208" t="s">
        <v>414</v>
      </c>
      <c r="P169" s="208"/>
      <c r="Q169" s="207"/>
      <c r="R169" s="208"/>
    </row>
    <row r="170" spans="1:18">
      <c r="A170" s="277">
        <v>141</v>
      </c>
      <c r="B170" s="278">
        <v>46078</v>
      </c>
      <c r="C170" s="208" t="s">
        <v>294</v>
      </c>
      <c r="D170" s="208" t="s">
        <v>377</v>
      </c>
      <c r="E170" s="208" t="s">
        <v>362</v>
      </c>
      <c r="F170" s="208">
        <v>2026</v>
      </c>
      <c r="G170" s="208">
        <v>3</v>
      </c>
      <c r="H170" s="208" t="s">
        <v>61</v>
      </c>
      <c r="I170" s="208" t="s">
        <v>62</v>
      </c>
      <c r="J170" s="208" t="s">
        <v>360</v>
      </c>
      <c r="K170" s="208" t="s">
        <v>34</v>
      </c>
      <c r="L170" s="208" t="s">
        <v>422</v>
      </c>
      <c r="M170" s="208">
        <v>3</v>
      </c>
      <c r="N170" s="208"/>
      <c r="O170" s="208" t="s">
        <v>63</v>
      </c>
      <c r="P170" s="208"/>
      <c r="Q170" s="207"/>
      <c r="R170" s="208"/>
    </row>
    <row r="171" spans="1:18">
      <c r="A171" s="277">
        <v>142</v>
      </c>
      <c r="B171" s="278">
        <v>46078</v>
      </c>
      <c r="C171" s="208" t="s">
        <v>294</v>
      </c>
      <c r="D171" s="208" t="s">
        <v>377</v>
      </c>
      <c r="E171" s="208" t="s">
        <v>362</v>
      </c>
      <c r="F171" s="208">
        <v>2026</v>
      </c>
      <c r="G171" s="208">
        <v>3</v>
      </c>
      <c r="H171" s="208" t="s">
        <v>61</v>
      </c>
      <c r="I171" s="208" t="s">
        <v>62</v>
      </c>
      <c r="J171" s="208" t="s">
        <v>360</v>
      </c>
      <c r="K171" s="208" t="s">
        <v>35</v>
      </c>
      <c r="L171" s="208" t="s">
        <v>422</v>
      </c>
      <c r="M171" s="208">
        <v>3</v>
      </c>
      <c r="N171" s="208"/>
      <c r="O171" s="208" t="s">
        <v>87</v>
      </c>
      <c r="P171" s="208"/>
      <c r="Q171" s="207"/>
      <c r="R171" s="208"/>
    </row>
    <row r="172" spans="1:18">
      <c r="A172" s="277">
        <v>143</v>
      </c>
      <c r="B172" s="278">
        <v>46079</v>
      </c>
      <c r="C172" s="208" t="s">
        <v>298</v>
      </c>
      <c r="D172" s="208" t="s">
        <v>395</v>
      </c>
      <c r="E172" s="208" t="s">
        <v>362</v>
      </c>
      <c r="F172" s="208">
        <v>2026</v>
      </c>
      <c r="G172" s="208">
        <v>4</v>
      </c>
      <c r="H172" s="208" t="s">
        <v>80</v>
      </c>
      <c r="I172" s="208" t="s">
        <v>81</v>
      </c>
      <c r="J172" s="208" t="s">
        <v>366</v>
      </c>
      <c r="K172" s="208"/>
      <c r="L172" s="208" t="s">
        <v>423</v>
      </c>
      <c r="M172" s="208">
        <v>4</v>
      </c>
      <c r="N172" s="208"/>
      <c r="O172" s="208" t="s">
        <v>12</v>
      </c>
      <c r="P172" s="208"/>
      <c r="Q172" s="207"/>
      <c r="R172" s="208"/>
    </row>
    <row r="173" spans="1:18">
      <c r="A173" s="277">
        <v>144</v>
      </c>
      <c r="B173" s="278">
        <v>46079</v>
      </c>
      <c r="C173" s="208" t="s">
        <v>298</v>
      </c>
      <c r="D173" s="208" t="s">
        <v>377</v>
      </c>
      <c r="E173" s="208" t="s">
        <v>362</v>
      </c>
      <c r="F173" s="208">
        <v>2026</v>
      </c>
      <c r="G173" s="208">
        <v>3</v>
      </c>
      <c r="H173" s="208" t="s">
        <v>61</v>
      </c>
      <c r="I173" s="208" t="s">
        <v>62</v>
      </c>
      <c r="J173" s="208" t="s">
        <v>360</v>
      </c>
      <c r="K173" s="208" t="s">
        <v>34</v>
      </c>
      <c r="L173" s="208" t="s">
        <v>424</v>
      </c>
      <c r="M173" s="208">
        <v>3</v>
      </c>
      <c r="N173" s="208"/>
      <c r="O173" s="208" t="s">
        <v>63</v>
      </c>
      <c r="P173" s="208"/>
      <c r="Q173" s="207"/>
      <c r="R173" s="208"/>
    </row>
    <row r="174" spans="1:18">
      <c r="A174" s="277">
        <v>145</v>
      </c>
      <c r="B174" s="278">
        <v>46079</v>
      </c>
      <c r="C174" s="208" t="s">
        <v>298</v>
      </c>
      <c r="D174" s="208" t="s">
        <v>377</v>
      </c>
      <c r="E174" s="208" t="s">
        <v>362</v>
      </c>
      <c r="F174" s="208">
        <v>2026</v>
      </c>
      <c r="G174" s="208">
        <v>3</v>
      </c>
      <c r="H174" s="208" t="s">
        <v>61</v>
      </c>
      <c r="I174" s="208" t="s">
        <v>62</v>
      </c>
      <c r="J174" s="208" t="s">
        <v>360</v>
      </c>
      <c r="K174" s="208" t="s">
        <v>35</v>
      </c>
      <c r="L174" s="208" t="s">
        <v>424</v>
      </c>
      <c r="M174" s="208">
        <v>3</v>
      </c>
      <c r="N174" s="208"/>
      <c r="O174" s="208" t="s">
        <v>87</v>
      </c>
      <c r="P174" s="208"/>
      <c r="Q174" s="207"/>
      <c r="R174" s="208"/>
    </row>
    <row r="175" spans="1:18">
      <c r="A175" s="277">
        <v>146</v>
      </c>
      <c r="B175" s="278">
        <v>46080</v>
      </c>
      <c r="C175" s="208" t="s">
        <v>301</v>
      </c>
      <c r="D175" s="208" t="s">
        <v>398</v>
      </c>
      <c r="E175" s="208" t="s">
        <v>362</v>
      </c>
      <c r="F175" s="208">
        <v>2026</v>
      </c>
      <c r="G175" s="208">
        <v>2</v>
      </c>
      <c r="H175" s="208" t="s">
        <v>57</v>
      </c>
      <c r="I175" s="208" t="s">
        <v>74</v>
      </c>
      <c r="J175" s="208" t="s">
        <v>373</v>
      </c>
      <c r="K175" s="208"/>
      <c r="L175" s="208" t="s">
        <v>425</v>
      </c>
      <c r="M175" s="208">
        <v>2</v>
      </c>
      <c r="N175" s="208"/>
      <c r="O175" s="208" t="s">
        <v>66</v>
      </c>
      <c r="P175" s="208"/>
      <c r="Q175" s="207"/>
      <c r="R175" s="208"/>
    </row>
    <row r="176" spans="1:18">
      <c r="A176" s="277">
        <v>147</v>
      </c>
      <c r="B176" s="278">
        <v>46080</v>
      </c>
      <c r="C176" s="208" t="s">
        <v>301</v>
      </c>
      <c r="D176" s="208" t="s">
        <v>395</v>
      </c>
      <c r="E176" s="208" t="s">
        <v>362</v>
      </c>
      <c r="F176" s="208">
        <v>2026</v>
      </c>
      <c r="G176" s="208">
        <v>4</v>
      </c>
      <c r="H176" s="208" t="s">
        <v>80</v>
      </c>
      <c r="I176" s="208" t="s">
        <v>81</v>
      </c>
      <c r="J176" s="208" t="s">
        <v>366</v>
      </c>
      <c r="K176" s="208"/>
      <c r="L176" s="208" t="s">
        <v>426</v>
      </c>
      <c r="M176" s="208">
        <v>4</v>
      </c>
      <c r="N176" s="208"/>
      <c r="O176" s="208" t="s">
        <v>12</v>
      </c>
      <c r="P176" s="208"/>
      <c r="Q176" s="207"/>
      <c r="R176" s="208"/>
    </row>
    <row r="177" spans="1:18">
      <c r="A177" s="277"/>
      <c r="B177" s="278">
        <v>46080</v>
      </c>
      <c r="C177" s="208" t="s">
        <v>301</v>
      </c>
      <c r="D177" s="208"/>
      <c r="E177" s="208" t="s">
        <v>362</v>
      </c>
      <c r="F177" s="208">
        <v>2026</v>
      </c>
      <c r="G177" s="208"/>
      <c r="H177" s="208" t="s">
        <v>57</v>
      </c>
      <c r="I177" s="208" t="s">
        <v>58</v>
      </c>
      <c r="J177" s="208" t="s">
        <v>373</v>
      </c>
      <c r="K177" s="208"/>
      <c r="L177" s="208" t="s">
        <v>427</v>
      </c>
      <c r="M177" s="208"/>
      <c r="N177" s="208"/>
      <c r="O177" s="208"/>
      <c r="P177" s="208"/>
      <c r="Q177" s="207"/>
      <c r="R177" s="208"/>
    </row>
    <row r="178" spans="1:18">
      <c r="A178" s="277">
        <v>148</v>
      </c>
      <c r="B178" s="278">
        <v>46080</v>
      </c>
      <c r="C178" s="208" t="s">
        <v>301</v>
      </c>
      <c r="D178" s="208" t="s">
        <v>377</v>
      </c>
      <c r="E178" s="208" t="s">
        <v>362</v>
      </c>
      <c r="F178" s="208">
        <v>2026</v>
      </c>
      <c r="G178" s="208">
        <v>3</v>
      </c>
      <c r="H178" s="208" t="s">
        <v>61</v>
      </c>
      <c r="I178" s="208" t="s">
        <v>62</v>
      </c>
      <c r="J178" s="208" t="s">
        <v>360</v>
      </c>
      <c r="K178" s="208" t="s">
        <v>34</v>
      </c>
      <c r="L178" s="208" t="s">
        <v>428</v>
      </c>
      <c r="M178" s="208">
        <v>3</v>
      </c>
      <c r="N178" s="208"/>
      <c r="O178" s="208" t="s">
        <v>63</v>
      </c>
      <c r="P178" s="208"/>
      <c r="Q178" s="207"/>
      <c r="R178" s="208"/>
    </row>
    <row r="179" spans="1:18">
      <c r="A179" s="277">
        <v>149</v>
      </c>
      <c r="B179" s="278">
        <v>46083</v>
      </c>
      <c r="C179" s="208" t="s">
        <v>302</v>
      </c>
      <c r="D179" s="208"/>
      <c r="E179" s="208" t="s">
        <v>402</v>
      </c>
      <c r="F179" s="208">
        <v>2026</v>
      </c>
      <c r="G179" s="208"/>
      <c r="H179" s="208" t="s">
        <v>57</v>
      </c>
      <c r="I179" s="208" t="s">
        <v>74</v>
      </c>
      <c r="J179" s="208" t="s">
        <v>373</v>
      </c>
      <c r="K179" s="208"/>
      <c r="L179" s="208" t="s">
        <v>391</v>
      </c>
      <c r="M179" s="208"/>
      <c r="N179" s="208"/>
      <c r="O179" s="208" t="s">
        <v>66</v>
      </c>
      <c r="P179" s="208"/>
      <c r="Q179" s="207"/>
      <c r="R179" s="208"/>
    </row>
    <row r="180" spans="1:18">
      <c r="A180" s="277">
        <v>150</v>
      </c>
      <c r="B180" s="278">
        <v>46083</v>
      </c>
      <c r="C180" s="208" t="s">
        <v>302</v>
      </c>
      <c r="D180" s="208" t="s">
        <v>377</v>
      </c>
      <c r="E180" s="208" t="s">
        <v>402</v>
      </c>
      <c r="F180" s="208">
        <v>2026</v>
      </c>
      <c r="G180" s="208">
        <v>3</v>
      </c>
      <c r="H180" s="208" t="s">
        <v>61</v>
      </c>
      <c r="I180" s="208" t="s">
        <v>62</v>
      </c>
      <c r="J180" s="208" t="s">
        <v>360</v>
      </c>
      <c r="K180" s="208" t="s">
        <v>34</v>
      </c>
      <c r="L180" s="208" t="s">
        <v>429</v>
      </c>
      <c r="M180" s="208">
        <v>3</v>
      </c>
      <c r="N180" s="208"/>
      <c r="O180" s="208" t="s">
        <v>63</v>
      </c>
      <c r="P180" s="208"/>
      <c r="Q180" s="207"/>
      <c r="R180" s="208"/>
    </row>
    <row r="181" spans="1:18">
      <c r="A181" s="277">
        <v>151</v>
      </c>
      <c r="B181" s="278">
        <v>46083</v>
      </c>
      <c r="C181" s="208" t="s">
        <v>302</v>
      </c>
      <c r="D181" s="208" t="s">
        <v>377</v>
      </c>
      <c r="E181" s="208" t="s">
        <v>402</v>
      </c>
      <c r="F181" s="208">
        <v>2026</v>
      </c>
      <c r="G181" s="208">
        <v>3</v>
      </c>
      <c r="H181" s="208" t="s">
        <v>61</v>
      </c>
      <c r="I181" s="208" t="s">
        <v>62</v>
      </c>
      <c r="J181" s="208" t="s">
        <v>360</v>
      </c>
      <c r="K181" s="208" t="s">
        <v>35</v>
      </c>
      <c r="L181" s="208" t="s">
        <v>428</v>
      </c>
      <c r="M181" s="208">
        <v>3</v>
      </c>
      <c r="N181" s="208"/>
      <c r="O181" s="208" t="s">
        <v>87</v>
      </c>
      <c r="P181" s="208"/>
      <c r="Q181" s="207"/>
      <c r="R181" s="208"/>
    </row>
    <row r="182" spans="1:18">
      <c r="A182" s="277">
        <v>152</v>
      </c>
      <c r="B182" s="278">
        <v>46084</v>
      </c>
      <c r="C182" s="208" t="s">
        <v>289</v>
      </c>
      <c r="D182" s="208" t="s">
        <v>430</v>
      </c>
      <c r="E182" s="208" t="s">
        <v>402</v>
      </c>
      <c r="F182" s="208">
        <v>2026</v>
      </c>
      <c r="G182" s="208">
        <v>2.5</v>
      </c>
      <c r="H182" s="208" t="s">
        <v>99</v>
      </c>
      <c r="I182" s="208" t="s">
        <v>100</v>
      </c>
      <c r="J182" s="208" t="s">
        <v>373</v>
      </c>
      <c r="K182" s="208" t="s">
        <v>106</v>
      </c>
      <c r="L182" s="208" t="s">
        <v>431</v>
      </c>
      <c r="M182" s="208">
        <v>2.5</v>
      </c>
      <c r="N182" s="208"/>
      <c r="O182" s="208" t="s">
        <v>432</v>
      </c>
      <c r="P182" s="208"/>
      <c r="Q182" s="207"/>
      <c r="R182" s="208"/>
    </row>
    <row r="183" spans="1:18">
      <c r="A183" s="277"/>
      <c r="B183" s="278">
        <v>46086</v>
      </c>
      <c r="C183" s="208" t="s">
        <v>298</v>
      </c>
      <c r="D183" s="208" t="s">
        <v>433</v>
      </c>
      <c r="E183" s="208" t="s">
        <v>402</v>
      </c>
      <c r="F183" s="208">
        <v>2026</v>
      </c>
      <c r="G183" s="208">
        <v>1</v>
      </c>
      <c r="H183" s="208" t="s">
        <v>99</v>
      </c>
      <c r="I183" s="208" t="s">
        <v>108</v>
      </c>
      <c r="J183" s="208" t="s">
        <v>366</v>
      </c>
      <c r="K183" s="208" t="s">
        <v>101</v>
      </c>
      <c r="L183" s="208" t="s">
        <v>434</v>
      </c>
      <c r="M183" s="208">
        <v>1</v>
      </c>
      <c r="N183" s="208"/>
      <c r="O183" s="208"/>
      <c r="P183" s="208"/>
      <c r="Q183" s="207"/>
      <c r="R183" s="208"/>
    </row>
    <row r="184" spans="1:18">
      <c r="A184" s="277"/>
      <c r="B184" s="278">
        <v>46086</v>
      </c>
      <c r="C184" s="208" t="s">
        <v>298</v>
      </c>
      <c r="D184" s="208" t="s">
        <v>433</v>
      </c>
      <c r="E184" s="208" t="s">
        <v>402</v>
      </c>
      <c r="F184" s="208">
        <v>2026</v>
      </c>
      <c r="G184" s="208">
        <v>1</v>
      </c>
      <c r="H184" s="208" t="s">
        <v>99</v>
      </c>
      <c r="I184" s="208" t="s">
        <v>108</v>
      </c>
      <c r="J184" s="208" t="s">
        <v>366</v>
      </c>
      <c r="K184" s="208" t="s">
        <v>10</v>
      </c>
      <c r="L184" s="208" t="s">
        <v>434</v>
      </c>
      <c r="M184" s="208">
        <v>1</v>
      </c>
      <c r="N184" s="208"/>
      <c r="O184" s="208"/>
      <c r="P184" s="208"/>
      <c r="Q184" s="207"/>
      <c r="R184" s="208"/>
    </row>
    <row r="185" spans="1:18">
      <c r="A185" s="277"/>
      <c r="B185" s="278">
        <v>46086</v>
      </c>
      <c r="C185" s="208" t="s">
        <v>298</v>
      </c>
      <c r="D185" s="208" t="s">
        <v>433</v>
      </c>
      <c r="E185" s="208" t="s">
        <v>402</v>
      </c>
      <c r="F185" s="208">
        <v>2026</v>
      </c>
      <c r="G185" s="208">
        <v>1</v>
      </c>
      <c r="H185" s="208" t="s">
        <v>99</v>
      </c>
      <c r="I185" s="208" t="s">
        <v>108</v>
      </c>
      <c r="J185" s="208" t="s">
        <v>366</v>
      </c>
      <c r="K185" s="208" t="s">
        <v>104</v>
      </c>
      <c r="L185" s="208" t="s">
        <v>434</v>
      </c>
      <c r="M185" s="208">
        <v>1</v>
      </c>
      <c r="N185" s="208"/>
      <c r="O185" s="208"/>
      <c r="P185" s="208"/>
      <c r="Q185" s="207"/>
      <c r="R185" s="208"/>
    </row>
    <row r="186" spans="1:18">
      <c r="A186" s="277"/>
      <c r="B186" s="278">
        <v>46086</v>
      </c>
      <c r="C186" s="208" t="s">
        <v>298</v>
      </c>
      <c r="D186" s="208" t="s">
        <v>433</v>
      </c>
      <c r="E186" s="208" t="s">
        <v>402</v>
      </c>
      <c r="F186" s="208">
        <v>2026</v>
      </c>
      <c r="G186" s="208">
        <v>1</v>
      </c>
      <c r="H186" s="208" t="s">
        <v>99</v>
      </c>
      <c r="I186" s="208" t="s">
        <v>108</v>
      </c>
      <c r="J186" s="208" t="s">
        <v>366</v>
      </c>
      <c r="K186" s="208" t="s">
        <v>106</v>
      </c>
      <c r="L186" s="208" t="s">
        <v>434</v>
      </c>
      <c r="M186" s="208">
        <v>1</v>
      </c>
      <c r="N186" s="208"/>
      <c r="O186" s="208"/>
      <c r="P186" s="208"/>
      <c r="Q186" s="207"/>
      <c r="R186" s="208"/>
    </row>
    <row r="187" spans="1:18">
      <c r="A187" s="277">
        <v>153</v>
      </c>
      <c r="B187" s="278">
        <v>46086</v>
      </c>
      <c r="C187" s="208" t="s">
        <v>298</v>
      </c>
      <c r="D187" s="208" t="s">
        <v>395</v>
      </c>
      <c r="E187" s="208" t="s">
        <v>402</v>
      </c>
      <c r="F187" s="208">
        <v>2026</v>
      </c>
      <c r="G187" s="208">
        <v>4</v>
      </c>
      <c r="H187" s="208" t="s">
        <v>80</v>
      </c>
      <c r="I187" s="208" t="s">
        <v>81</v>
      </c>
      <c r="J187" s="208" t="s">
        <v>366</v>
      </c>
      <c r="K187" s="208"/>
      <c r="L187" s="208" t="s">
        <v>435</v>
      </c>
      <c r="M187" s="208">
        <v>4</v>
      </c>
      <c r="N187" s="208"/>
      <c r="O187" s="208" t="s">
        <v>12</v>
      </c>
      <c r="P187" s="208"/>
      <c r="Q187" s="207"/>
      <c r="R187" s="208"/>
    </row>
    <row r="188" spans="1:18">
      <c r="A188" s="277">
        <v>154</v>
      </c>
      <c r="B188" s="278">
        <v>46086</v>
      </c>
      <c r="C188" s="208" t="s">
        <v>298</v>
      </c>
      <c r="D188" s="208" t="s">
        <v>377</v>
      </c>
      <c r="E188" s="208" t="s">
        <v>402</v>
      </c>
      <c r="F188" s="208">
        <v>2026</v>
      </c>
      <c r="G188" s="208">
        <v>3</v>
      </c>
      <c r="H188" s="208" t="s">
        <v>61</v>
      </c>
      <c r="I188" s="208" t="s">
        <v>62</v>
      </c>
      <c r="J188" s="208" t="s">
        <v>360</v>
      </c>
      <c r="K188" s="208" t="s">
        <v>34</v>
      </c>
      <c r="L188" s="208" t="s">
        <v>436</v>
      </c>
      <c r="M188" s="208">
        <v>3</v>
      </c>
      <c r="N188" s="208"/>
      <c r="O188" s="208" t="s">
        <v>63</v>
      </c>
      <c r="P188" s="208"/>
      <c r="Q188" s="207"/>
      <c r="R188" s="208"/>
    </row>
    <row r="189" spans="1:18">
      <c r="A189" s="277">
        <v>155</v>
      </c>
      <c r="B189" s="278">
        <v>46086</v>
      </c>
      <c r="C189" s="208" t="s">
        <v>298</v>
      </c>
      <c r="D189" s="208" t="s">
        <v>377</v>
      </c>
      <c r="E189" s="208" t="s">
        <v>402</v>
      </c>
      <c r="F189" s="208">
        <v>2026</v>
      </c>
      <c r="G189" s="208">
        <v>3</v>
      </c>
      <c r="H189" s="208" t="s">
        <v>61</v>
      </c>
      <c r="I189" s="208" t="s">
        <v>62</v>
      </c>
      <c r="J189" s="208" t="s">
        <v>360</v>
      </c>
      <c r="K189" s="208" t="s">
        <v>35</v>
      </c>
      <c r="L189" s="208" t="s">
        <v>429</v>
      </c>
      <c r="M189" s="208">
        <v>3</v>
      </c>
      <c r="N189" s="208"/>
      <c r="O189" s="208" t="s">
        <v>87</v>
      </c>
      <c r="P189" s="208"/>
      <c r="Q189" s="207"/>
      <c r="R189" s="208"/>
    </row>
    <row r="190" spans="1:18">
      <c r="A190" s="277"/>
      <c r="B190" s="278">
        <v>46087</v>
      </c>
      <c r="C190" s="208" t="s">
        <v>301</v>
      </c>
      <c r="D190" s="208"/>
      <c r="E190" s="208" t="s">
        <v>402</v>
      </c>
      <c r="F190" s="208">
        <v>2026</v>
      </c>
      <c r="G190" s="208"/>
      <c r="H190" s="208" t="s">
        <v>115</v>
      </c>
      <c r="I190" s="208" t="s">
        <v>437</v>
      </c>
      <c r="J190" s="208" t="s">
        <v>438</v>
      </c>
      <c r="K190" s="208" t="s">
        <v>101</v>
      </c>
      <c r="L190" s="208" t="s">
        <v>439</v>
      </c>
      <c r="M190" s="208"/>
      <c r="N190" s="208"/>
      <c r="O190" s="208"/>
      <c r="P190" s="208"/>
      <c r="Q190" s="207"/>
      <c r="R190" s="208"/>
    </row>
    <row r="191" spans="1:18">
      <c r="A191" s="277">
        <v>156</v>
      </c>
      <c r="B191" s="278">
        <v>46087</v>
      </c>
      <c r="C191" s="208" t="s">
        <v>301</v>
      </c>
      <c r="D191" s="208" t="s">
        <v>398</v>
      </c>
      <c r="E191" s="208" t="s">
        <v>402</v>
      </c>
      <c r="F191" s="208">
        <v>2026</v>
      </c>
      <c r="G191" s="208">
        <v>2</v>
      </c>
      <c r="H191" s="208" t="s">
        <v>57</v>
      </c>
      <c r="I191" s="208" t="s">
        <v>74</v>
      </c>
      <c r="J191" s="208" t="s">
        <v>373</v>
      </c>
      <c r="K191" s="208"/>
      <c r="L191" s="208" t="s">
        <v>440</v>
      </c>
      <c r="M191" s="208">
        <v>2</v>
      </c>
      <c r="N191" s="208"/>
      <c r="O191" s="208" t="s">
        <v>66</v>
      </c>
      <c r="P191" s="208"/>
      <c r="Q191" s="207"/>
      <c r="R191" s="208"/>
    </row>
    <row r="192" spans="1:18">
      <c r="A192" s="277">
        <v>157</v>
      </c>
      <c r="B192" s="278">
        <v>46087</v>
      </c>
      <c r="C192" s="208" t="s">
        <v>301</v>
      </c>
      <c r="D192" s="208" t="s">
        <v>395</v>
      </c>
      <c r="E192" s="208" t="s">
        <v>402</v>
      </c>
      <c r="F192" s="208">
        <v>2026</v>
      </c>
      <c r="G192" s="208">
        <v>4</v>
      </c>
      <c r="H192" s="208" t="s">
        <v>80</v>
      </c>
      <c r="I192" s="208" t="s">
        <v>81</v>
      </c>
      <c r="J192" s="208" t="s">
        <v>366</v>
      </c>
      <c r="K192" s="208"/>
      <c r="L192" s="208" t="s">
        <v>441</v>
      </c>
      <c r="M192" s="208">
        <v>4</v>
      </c>
      <c r="N192" s="208"/>
      <c r="O192" s="208" t="s">
        <v>12</v>
      </c>
      <c r="P192" s="208"/>
      <c r="Q192" s="207"/>
      <c r="R192" s="208"/>
    </row>
    <row r="193" spans="1:18">
      <c r="A193" s="277">
        <v>158</v>
      </c>
      <c r="B193" s="278">
        <v>46087</v>
      </c>
      <c r="C193" s="208" t="s">
        <v>301</v>
      </c>
      <c r="D193" s="208" t="s">
        <v>372</v>
      </c>
      <c r="E193" s="208" t="s">
        <v>402</v>
      </c>
      <c r="F193" s="208">
        <v>2026</v>
      </c>
      <c r="G193" s="208">
        <v>2.5</v>
      </c>
      <c r="H193" s="208" t="s">
        <v>57</v>
      </c>
      <c r="I193" s="208" t="s">
        <v>58</v>
      </c>
      <c r="J193" s="208" t="s">
        <v>373</v>
      </c>
      <c r="K193" s="208"/>
      <c r="L193" s="208" t="s">
        <v>442</v>
      </c>
      <c r="M193" s="208">
        <v>2.5</v>
      </c>
      <c r="N193" s="208"/>
      <c r="O193" s="208" t="s">
        <v>414</v>
      </c>
      <c r="P193" s="208"/>
      <c r="Q193" s="207"/>
      <c r="R193" s="208"/>
    </row>
    <row r="194" spans="1:18">
      <c r="A194" s="277">
        <v>159</v>
      </c>
      <c r="B194" s="278">
        <v>46087</v>
      </c>
      <c r="C194" s="208" t="s">
        <v>301</v>
      </c>
      <c r="D194" s="208" t="s">
        <v>377</v>
      </c>
      <c r="E194" s="208" t="s">
        <v>402</v>
      </c>
      <c r="F194" s="208">
        <v>2026</v>
      </c>
      <c r="G194" s="208">
        <v>3</v>
      </c>
      <c r="H194" s="208" t="s">
        <v>61</v>
      </c>
      <c r="I194" s="208" t="s">
        <v>62</v>
      </c>
      <c r="J194" s="208" t="s">
        <v>360</v>
      </c>
      <c r="K194" s="208" t="s">
        <v>34</v>
      </c>
      <c r="L194" s="208" t="s">
        <v>443</v>
      </c>
      <c r="M194" s="208">
        <v>3</v>
      </c>
      <c r="N194" s="208"/>
      <c r="O194" s="208" t="s">
        <v>63</v>
      </c>
      <c r="P194" s="208"/>
      <c r="Q194" s="207"/>
      <c r="R194" s="208"/>
    </row>
    <row r="195" spans="1:18">
      <c r="A195" s="277">
        <v>160</v>
      </c>
      <c r="B195" s="278">
        <v>46087</v>
      </c>
      <c r="C195" s="208" t="s">
        <v>301</v>
      </c>
      <c r="D195" s="208" t="s">
        <v>377</v>
      </c>
      <c r="E195" s="208" t="s">
        <v>402</v>
      </c>
      <c r="F195" s="208">
        <v>2026</v>
      </c>
      <c r="G195" s="208">
        <v>3</v>
      </c>
      <c r="H195" s="208" t="s">
        <v>61</v>
      </c>
      <c r="I195" s="208" t="s">
        <v>62</v>
      </c>
      <c r="J195" s="208" t="s">
        <v>360</v>
      </c>
      <c r="K195" s="208" t="s">
        <v>35</v>
      </c>
      <c r="L195" s="208" t="s">
        <v>436</v>
      </c>
      <c r="M195" s="208">
        <v>3</v>
      </c>
      <c r="N195" s="208"/>
      <c r="O195" s="208" t="s">
        <v>87</v>
      </c>
      <c r="P195" s="208"/>
      <c r="Q195" s="207"/>
      <c r="R195" s="208"/>
    </row>
    <row r="196" spans="1:18">
      <c r="A196" s="277"/>
      <c r="B196" s="278">
        <v>46090</v>
      </c>
      <c r="C196" s="208" t="s">
        <v>302</v>
      </c>
      <c r="D196" s="208" t="s">
        <v>444</v>
      </c>
      <c r="E196" s="208" t="s">
        <v>402</v>
      </c>
      <c r="F196" s="208">
        <v>2026</v>
      </c>
      <c r="G196" s="208">
        <v>0.5</v>
      </c>
      <c r="H196" s="208" t="s">
        <v>99</v>
      </c>
      <c r="I196" s="208" t="s">
        <v>108</v>
      </c>
      <c r="J196" s="208" t="s">
        <v>366</v>
      </c>
      <c r="K196" s="208" t="s">
        <v>101</v>
      </c>
      <c r="L196" s="208" t="s">
        <v>445</v>
      </c>
      <c r="M196" s="208">
        <v>0.5</v>
      </c>
      <c r="N196" s="208"/>
      <c r="O196" s="208"/>
      <c r="P196" s="208"/>
      <c r="Q196" s="207"/>
      <c r="R196" s="208"/>
    </row>
    <row r="197" spans="1:18">
      <c r="A197" s="277"/>
      <c r="B197" s="278">
        <v>46090</v>
      </c>
      <c r="C197" s="208" t="s">
        <v>302</v>
      </c>
      <c r="D197" s="208" t="s">
        <v>446</v>
      </c>
      <c r="E197" s="208" t="s">
        <v>402</v>
      </c>
      <c r="F197" s="208">
        <v>2026</v>
      </c>
      <c r="G197" s="208">
        <v>0.5</v>
      </c>
      <c r="H197" s="208" t="s">
        <v>99</v>
      </c>
      <c r="I197" s="208" t="s">
        <v>108</v>
      </c>
      <c r="J197" s="208" t="s">
        <v>366</v>
      </c>
      <c r="K197" s="208" t="s">
        <v>10</v>
      </c>
      <c r="L197" s="208" t="s">
        <v>445</v>
      </c>
      <c r="M197" s="208">
        <v>0.5</v>
      </c>
      <c r="N197" s="208"/>
      <c r="O197" s="208"/>
      <c r="P197" s="208"/>
      <c r="Q197" s="207"/>
      <c r="R197" s="208"/>
    </row>
    <row r="198" spans="1:18">
      <c r="A198" s="277"/>
      <c r="B198" s="278">
        <v>46090</v>
      </c>
      <c r="C198" s="208" t="s">
        <v>302</v>
      </c>
      <c r="D198" s="208" t="s">
        <v>447</v>
      </c>
      <c r="E198" s="208" t="s">
        <v>402</v>
      </c>
      <c r="F198" s="208">
        <v>2026</v>
      </c>
      <c r="G198" s="208">
        <v>0.5</v>
      </c>
      <c r="H198" s="208" t="s">
        <v>99</v>
      </c>
      <c r="I198" s="208" t="s">
        <v>108</v>
      </c>
      <c r="J198" s="208" t="s">
        <v>366</v>
      </c>
      <c r="K198" s="208" t="s">
        <v>104</v>
      </c>
      <c r="L198" s="208" t="s">
        <v>445</v>
      </c>
      <c r="M198" s="208">
        <v>0.5</v>
      </c>
      <c r="N198" s="208"/>
      <c r="O198" s="208"/>
      <c r="P198" s="208"/>
      <c r="Q198" s="207"/>
      <c r="R198" s="208"/>
    </row>
    <row r="199" spans="1:18">
      <c r="A199" s="277"/>
      <c r="B199" s="278">
        <v>46090</v>
      </c>
      <c r="C199" s="208" t="s">
        <v>302</v>
      </c>
      <c r="D199" s="208" t="s">
        <v>448</v>
      </c>
      <c r="E199" s="208" t="s">
        <v>402</v>
      </c>
      <c r="F199" s="208">
        <v>2026</v>
      </c>
      <c r="G199" s="208">
        <v>0.5</v>
      </c>
      <c r="H199" s="208" t="s">
        <v>99</v>
      </c>
      <c r="I199" s="208" t="s">
        <v>108</v>
      </c>
      <c r="J199" s="208" t="s">
        <v>366</v>
      </c>
      <c r="K199" s="208" t="s">
        <v>106</v>
      </c>
      <c r="L199" s="208" t="s">
        <v>445</v>
      </c>
      <c r="M199" s="208">
        <v>0.5</v>
      </c>
      <c r="N199" s="208"/>
      <c r="O199" s="208"/>
      <c r="P199" s="208"/>
      <c r="Q199" s="207"/>
      <c r="R199" s="208"/>
    </row>
    <row r="200" spans="1:18">
      <c r="A200" s="277">
        <v>161</v>
      </c>
      <c r="B200" s="278">
        <v>46090</v>
      </c>
      <c r="C200" s="208" t="s">
        <v>302</v>
      </c>
      <c r="D200" s="208" t="s">
        <v>398</v>
      </c>
      <c r="E200" s="208" t="s">
        <v>402</v>
      </c>
      <c r="F200" s="208">
        <v>2026</v>
      </c>
      <c r="G200" s="208">
        <v>2</v>
      </c>
      <c r="H200" s="208" t="s">
        <v>57</v>
      </c>
      <c r="I200" s="208" t="s">
        <v>74</v>
      </c>
      <c r="J200" s="208" t="s">
        <v>373</v>
      </c>
      <c r="K200" s="208"/>
      <c r="L200" s="208" t="s">
        <v>449</v>
      </c>
      <c r="M200" s="208">
        <v>2</v>
      </c>
      <c r="N200" s="208"/>
      <c r="O200" s="208" t="s">
        <v>66</v>
      </c>
      <c r="P200" s="208"/>
      <c r="Q200" s="207"/>
      <c r="R200" s="208"/>
    </row>
    <row r="201" spans="1:18">
      <c r="A201" s="277"/>
      <c r="B201" s="278">
        <v>46090</v>
      </c>
      <c r="C201" s="208" t="s">
        <v>302</v>
      </c>
      <c r="D201" s="208"/>
      <c r="E201" s="208" t="s">
        <v>402</v>
      </c>
      <c r="F201" s="208">
        <v>2026</v>
      </c>
      <c r="G201" s="208"/>
      <c r="H201" s="208" t="s">
        <v>80</v>
      </c>
      <c r="I201" s="208" t="s">
        <v>81</v>
      </c>
      <c r="J201" s="208" t="s">
        <v>366</v>
      </c>
      <c r="K201" s="208"/>
      <c r="L201" s="208" t="s">
        <v>391</v>
      </c>
      <c r="M201" s="208"/>
      <c r="N201" s="208"/>
      <c r="O201" s="208"/>
      <c r="P201" s="208"/>
      <c r="Q201" s="207"/>
      <c r="R201" s="208"/>
    </row>
    <row r="202" spans="1:18">
      <c r="A202" s="277">
        <v>162</v>
      </c>
      <c r="B202" s="278">
        <v>46090</v>
      </c>
      <c r="C202" s="208" t="s">
        <v>302</v>
      </c>
      <c r="D202" s="208" t="s">
        <v>377</v>
      </c>
      <c r="E202" s="208" t="s">
        <v>402</v>
      </c>
      <c r="F202" s="208">
        <v>2026</v>
      </c>
      <c r="G202" s="208">
        <v>3</v>
      </c>
      <c r="H202" s="208" t="s">
        <v>61</v>
      </c>
      <c r="I202" s="208" t="s">
        <v>62</v>
      </c>
      <c r="J202" s="208" t="s">
        <v>360</v>
      </c>
      <c r="K202" s="208" t="s">
        <v>34</v>
      </c>
      <c r="L202" s="208" t="s">
        <v>450</v>
      </c>
      <c r="M202" s="208">
        <v>3</v>
      </c>
      <c r="N202" s="208"/>
      <c r="O202" s="208" t="s">
        <v>63</v>
      </c>
      <c r="P202" s="208"/>
      <c r="Q202" s="207"/>
      <c r="R202" s="208"/>
    </row>
    <row r="203" spans="1:18">
      <c r="A203" s="277">
        <v>163</v>
      </c>
      <c r="B203" s="278">
        <v>46090</v>
      </c>
      <c r="C203" s="208" t="s">
        <v>302</v>
      </c>
      <c r="D203" s="208" t="s">
        <v>377</v>
      </c>
      <c r="E203" s="208" t="s">
        <v>402</v>
      </c>
      <c r="F203" s="208">
        <v>2026</v>
      </c>
      <c r="G203" s="208">
        <v>3</v>
      </c>
      <c r="H203" s="208" t="s">
        <v>61</v>
      </c>
      <c r="I203" s="208" t="s">
        <v>62</v>
      </c>
      <c r="J203" s="208" t="s">
        <v>360</v>
      </c>
      <c r="K203" s="208" t="s">
        <v>35</v>
      </c>
      <c r="L203" s="208" t="s">
        <v>443</v>
      </c>
      <c r="M203" s="208">
        <v>3</v>
      </c>
      <c r="N203" s="208"/>
      <c r="O203" s="208" t="s">
        <v>87</v>
      </c>
      <c r="P203" s="208"/>
      <c r="Q203" s="207"/>
      <c r="R203" s="208"/>
    </row>
    <row r="204" spans="1:18">
      <c r="A204" s="277">
        <v>164</v>
      </c>
      <c r="B204" s="278">
        <v>46090</v>
      </c>
      <c r="C204" s="208" t="s">
        <v>302</v>
      </c>
      <c r="D204" s="208" t="s">
        <v>451</v>
      </c>
      <c r="E204" s="208" t="s">
        <v>402</v>
      </c>
      <c r="F204" s="208">
        <v>2026</v>
      </c>
      <c r="G204" s="208">
        <v>3</v>
      </c>
      <c r="H204" s="208" t="s">
        <v>61</v>
      </c>
      <c r="I204" s="208" t="s">
        <v>62</v>
      </c>
      <c r="J204" s="208" t="s">
        <v>360</v>
      </c>
      <c r="K204" s="208" t="s">
        <v>37</v>
      </c>
      <c r="L204" s="208" t="s">
        <v>378</v>
      </c>
      <c r="M204" s="208">
        <v>3</v>
      </c>
      <c r="N204" s="208"/>
      <c r="O204" s="208" t="s">
        <v>63</v>
      </c>
      <c r="P204" s="208"/>
      <c r="Q204" s="207"/>
      <c r="R204" s="208"/>
    </row>
    <row r="205" spans="1:18">
      <c r="A205" s="277">
        <v>165</v>
      </c>
      <c r="B205" s="278">
        <v>46090</v>
      </c>
      <c r="C205" s="208" t="s">
        <v>302</v>
      </c>
      <c r="D205" s="208" t="s">
        <v>452</v>
      </c>
      <c r="E205" s="208" t="s">
        <v>402</v>
      </c>
      <c r="F205" s="208">
        <v>2026</v>
      </c>
      <c r="G205" s="208">
        <v>3</v>
      </c>
      <c r="H205" s="208" t="s">
        <v>61</v>
      </c>
      <c r="I205" s="208" t="s">
        <v>62</v>
      </c>
      <c r="J205" s="208" t="s">
        <v>360</v>
      </c>
      <c r="K205" s="208" t="s">
        <v>38</v>
      </c>
      <c r="L205" s="208" t="s">
        <v>378</v>
      </c>
      <c r="M205" s="208">
        <v>3</v>
      </c>
      <c r="N205" s="208"/>
      <c r="O205" s="208" t="s">
        <v>112</v>
      </c>
      <c r="P205" s="208"/>
      <c r="Q205" s="207"/>
      <c r="R205" s="208"/>
    </row>
    <row r="206" spans="1:18">
      <c r="A206" s="277"/>
      <c r="B206" s="278">
        <v>46091</v>
      </c>
      <c r="C206" s="208" t="s">
        <v>289</v>
      </c>
      <c r="D206" s="208" t="s">
        <v>453</v>
      </c>
      <c r="E206" s="208" t="s">
        <v>402</v>
      </c>
      <c r="F206" s="208">
        <v>2026</v>
      </c>
      <c r="G206" s="208">
        <v>1</v>
      </c>
      <c r="H206" s="208" t="s">
        <v>57</v>
      </c>
      <c r="I206" s="208" t="s">
        <v>454</v>
      </c>
      <c r="J206" s="208" t="s">
        <v>311</v>
      </c>
      <c r="K206" s="208"/>
      <c r="L206" s="208" t="s">
        <v>455</v>
      </c>
      <c r="M206" s="208">
        <v>1</v>
      </c>
      <c r="N206" s="208"/>
      <c r="O206" s="208"/>
      <c r="P206" s="208"/>
      <c r="Q206" s="207"/>
      <c r="R206" s="208"/>
    </row>
    <row r="207" spans="1:18">
      <c r="A207" s="277">
        <v>166</v>
      </c>
      <c r="B207" s="278">
        <v>46091</v>
      </c>
      <c r="C207" s="208" t="s">
        <v>289</v>
      </c>
      <c r="D207" s="208" t="s">
        <v>456</v>
      </c>
      <c r="E207" s="208" t="s">
        <v>402</v>
      </c>
      <c r="F207" s="208">
        <v>2026</v>
      </c>
      <c r="G207" s="208">
        <v>2.5</v>
      </c>
      <c r="H207" s="208" t="s">
        <v>99</v>
      </c>
      <c r="I207" s="208" t="s">
        <v>100</v>
      </c>
      <c r="J207" s="208" t="s">
        <v>373</v>
      </c>
      <c r="K207" s="208" t="s">
        <v>101</v>
      </c>
      <c r="L207" s="208" t="s">
        <v>431</v>
      </c>
      <c r="M207" s="208">
        <v>2.5</v>
      </c>
      <c r="N207" s="208"/>
      <c r="O207" s="208" t="s">
        <v>102</v>
      </c>
      <c r="P207" s="208"/>
      <c r="Q207" s="207"/>
      <c r="R207" s="208"/>
    </row>
    <row r="208" spans="1:18">
      <c r="A208" s="277">
        <v>167</v>
      </c>
      <c r="B208" s="278">
        <v>46091</v>
      </c>
      <c r="C208" s="208" t="s">
        <v>289</v>
      </c>
      <c r="D208" s="208" t="s">
        <v>430</v>
      </c>
      <c r="E208" s="208" t="s">
        <v>402</v>
      </c>
      <c r="F208" s="208">
        <v>2026</v>
      </c>
      <c r="G208" s="208">
        <v>2.5</v>
      </c>
      <c r="H208" s="208" t="s">
        <v>99</v>
      </c>
      <c r="I208" s="208" t="s">
        <v>100</v>
      </c>
      <c r="J208" s="208" t="s">
        <v>373</v>
      </c>
      <c r="K208" s="208" t="s">
        <v>106</v>
      </c>
      <c r="L208" s="208" t="s">
        <v>457</v>
      </c>
      <c r="M208" s="208">
        <v>2.5</v>
      </c>
      <c r="N208" s="208"/>
      <c r="O208" s="208" t="s">
        <v>432</v>
      </c>
      <c r="P208" s="208"/>
      <c r="Q208" s="207"/>
      <c r="R208" s="208"/>
    </row>
    <row r="209" spans="1:18">
      <c r="A209" s="277">
        <v>168</v>
      </c>
      <c r="B209" s="278">
        <v>46091</v>
      </c>
      <c r="C209" s="208" t="s">
        <v>289</v>
      </c>
      <c r="D209" s="208" t="s">
        <v>395</v>
      </c>
      <c r="E209" s="208" t="s">
        <v>402</v>
      </c>
      <c r="F209" s="208">
        <v>2026</v>
      </c>
      <c r="G209" s="208">
        <v>4</v>
      </c>
      <c r="H209" s="208" t="s">
        <v>80</v>
      </c>
      <c r="I209" s="208" t="s">
        <v>81</v>
      </c>
      <c r="J209" s="208" t="s">
        <v>366</v>
      </c>
      <c r="K209" s="208"/>
      <c r="L209" s="208" t="s">
        <v>458</v>
      </c>
      <c r="M209" s="208">
        <v>4</v>
      </c>
      <c r="N209" s="208"/>
      <c r="O209" s="208" t="s">
        <v>119</v>
      </c>
      <c r="P209" s="208"/>
      <c r="Q209" s="207"/>
      <c r="R209" s="208"/>
    </row>
    <row r="210" spans="1:18">
      <c r="A210" s="277">
        <v>169</v>
      </c>
      <c r="B210" s="278">
        <v>46091</v>
      </c>
      <c r="C210" s="208" t="s">
        <v>289</v>
      </c>
      <c r="D210" s="208" t="s">
        <v>377</v>
      </c>
      <c r="E210" s="208" t="s">
        <v>402</v>
      </c>
      <c r="F210" s="208">
        <v>2026</v>
      </c>
      <c r="G210" s="208">
        <v>3</v>
      </c>
      <c r="H210" s="208" t="s">
        <v>61</v>
      </c>
      <c r="I210" s="208" t="s">
        <v>62</v>
      </c>
      <c r="J210" s="208" t="s">
        <v>360</v>
      </c>
      <c r="K210" s="208" t="s">
        <v>34</v>
      </c>
      <c r="L210" s="208" t="s">
        <v>459</v>
      </c>
      <c r="M210" s="208">
        <v>3</v>
      </c>
      <c r="N210" s="208"/>
      <c r="O210" s="208" t="s">
        <v>63</v>
      </c>
      <c r="P210" s="208"/>
      <c r="Q210" s="207"/>
      <c r="R210" s="208"/>
    </row>
    <row r="211" spans="1:18">
      <c r="A211" s="277">
        <v>170</v>
      </c>
      <c r="B211" s="278">
        <v>46091</v>
      </c>
      <c r="C211" s="208" t="s">
        <v>289</v>
      </c>
      <c r="D211" s="208" t="s">
        <v>377</v>
      </c>
      <c r="E211" s="208" t="s">
        <v>402</v>
      </c>
      <c r="F211" s="208">
        <v>2026</v>
      </c>
      <c r="G211" s="208">
        <v>3</v>
      </c>
      <c r="H211" s="208" t="s">
        <v>61</v>
      </c>
      <c r="I211" s="208" t="s">
        <v>62</v>
      </c>
      <c r="J211" s="208" t="s">
        <v>360</v>
      </c>
      <c r="K211" s="208" t="s">
        <v>35</v>
      </c>
      <c r="L211" s="208" t="s">
        <v>450</v>
      </c>
      <c r="M211" s="208">
        <v>3</v>
      </c>
      <c r="N211" s="208"/>
      <c r="O211" s="208" t="s">
        <v>87</v>
      </c>
      <c r="P211" s="208"/>
      <c r="Q211" s="207"/>
      <c r="R211" s="208"/>
    </row>
    <row r="212" spans="1:18">
      <c r="A212" s="277">
        <v>171</v>
      </c>
      <c r="B212" s="278">
        <v>46091</v>
      </c>
      <c r="C212" s="208" t="s">
        <v>289</v>
      </c>
      <c r="D212" s="208" t="s">
        <v>451</v>
      </c>
      <c r="E212" s="208" t="s">
        <v>402</v>
      </c>
      <c r="F212" s="208">
        <v>2026</v>
      </c>
      <c r="G212" s="208">
        <v>3</v>
      </c>
      <c r="H212" s="208" t="s">
        <v>61</v>
      </c>
      <c r="I212" s="208" t="s">
        <v>62</v>
      </c>
      <c r="J212" s="208" t="s">
        <v>360</v>
      </c>
      <c r="K212" s="208" t="s">
        <v>37</v>
      </c>
      <c r="L212" s="208" t="s">
        <v>383</v>
      </c>
      <c r="M212" s="208">
        <v>3</v>
      </c>
      <c r="N212" s="208"/>
      <c r="O212" s="208" t="s">
        <v>63</v>
      </c>
      <c r="P212" s="208"/>
      <c r="Q212" s="207"/>
      <c r="R212" s="208"/>
    </row>
    <row r="213" spans="1:18">
      <c r="A213" s="277">
        <v>172</v>
      </c>
      <c r="B213" s="278">
        <v>46091</v>
      </c>
      <c r="C213" s="208" t="s">
        <v>289</v>
      </c>
      <c r="D213" s="208" t="s">
        <v>452</v>
      </c>
      <c r="E213" s="208" t="s">
        <v>402</v>
      </c>
      <c r="F213" s="208">
        <v>2026</v>
      </c>
      <c r="G213" s="208">
        <v>3</v>
      </c>
      <c r="H213" s="208" t="s">
        <v>61</v>
      </c>
      <c r="I213" s="208" t="s">
        <v>62</v>
      </c>
      <c r="J213" s="208" t="s">
        <v>360</v>
      </c>
      <c r="K213" s="208" t="s">
        <v>38</v>
      </c>
      <c r="L213" s="208" t="s">
        <v>383</v>
      </c>
      <c r="M213" s="208">
        <v>3</v>
      </c>
      <c r="N213" s="208"/>
      <c r="O213" s="208" t="s">
        <v>112</v>
      </c>
      <c r="P213" s="208"/>
      <c r="Q213" s="207"/>
      <c r="R213" s="208"/>
    </row>
    <row r="214" spans="1:18">
      <c r="A214" s="277">
        <v>173</v>
      </c>
      <c r="B214" s="278">
        <v>46092</v>
      </c>
      <c r="C214" s="208" t="s">
        <v>294</v>
      </c>
      <c r="D214" s="208" t="s">
        <v>460</v>
      </c>
      <c r="E214" s="208" t="s">
        <v>402</v>
      </c>
      <c r="F214" s="208">
        <v>2026</v>
      </c>
      <c r="G214" s="208">
        <v>1</v>
      </c>
      <c r="H214" s="208" t="s">
        <v>461</v>
      </c>
      <c r="I214" s="208" t="s">
        <v>136</v>
      </c>
      <c r="J214" s="208" t="s">
        <v>462</v>
      </c>
      <c r="K214" s="208" t="s">
        <v>101</v>
      </c>
      <c r="L214" s="208" t="s">
        <v>463</v>
      </c>
      <c r="M214" s="208">
        <v>1</v>
      </c>
      <c r="N214" s="208"/>
      <c r="O214" s="208" t="s">
        <v>93</v>
      </c>
      <c r="P214" s="208"/>
      <c r="Q214" s="207"/>
      <c r="R214" s="208"/>
    </row>
    <row r="215" spans="1:18">
      <c r="A215" s="277">
        <v>174</v>
      </c>
      <c r="B215" s="278">
        <v>46092</v>
      </c>
      <c r="C215" s="208" t="s">
        <v>294</v>
      </c>
      <c r="D215" s="208" t="s">
        <v>460</v>
      </c>
      <c r="E215" s="208" t="s">
        <v>402</v>
      </c>
      <c r="F215" s="208">
        <v>2026</v>
      </c>
      <c r="G215" s="208">
        <v>0.5</v>
      </c>
      <c r="H215" s="208" t="s">
        <v>461</v>
      </c>
      <c r="I215" s="208" t="s">
        <v>136</v>
      </c>
      <c r="J215" s="208" t="s">
        <v>462</v>
      </c>
      <c r="K215" s="208" t="s">
        <v>10</v>
      </c>
      <c r="L215" s="208" t="s">
        <v>463</v>
      </c>
      <c r="M215" s="208">
        <v>1</v>
      </c>
      <c r="N215" s="208"/>
      <c r="O215" s="208" t="s">
        <v>93</v>
      </c>
      <c r="P215" s="208"/>
      <c r="Q215" s="207"/>
      <c r="R215" s="208"/>
    </row>
    <row r="216" spans="1:18">
      <c r="A216" s="277">
        <v>175</v>
      </c>
      <c r="B216" s="278">
        <v>46092</v>
      </c>
      <c r="C216" s="208" t="s">
        <v>294</v>
      </c>
      <c r="D216" s="208" t="s">
        <v>398</v>
      </c>
      <c r="E216" s="208" t="s">
        <v>402</v>
      </c>
      <c r="F216" s="208">
        <v>2026</v>
      </c>
      <c r="G216" s="208">
        <v>2</v>
      </c>
      <c r="H216" s="208" t="s">
        <v>57</v>
      </c>
      <c r="I216" s="208" t="s">
        <v>74</v>
      </c>
      <c r="J216" s="208" t="s">
        <v>373</v>
      </c>
      <c r="K216" s="208"/>
      <c r="L216" s="208" t="s">
        <v>464</v>
      </c>
      <c r="M216" s="208">
        <v>2</v>
      </c>
      <c r="N216" s="208"/>
      <c r="O216" s="208" t="s">
        <v>66</v>
      </c>
      <c r="P216" s="208"/>
      <c r="Q216" s="207"/>
      <c r="R216" s="208"/>
    </row>
    <row r="217" spans="1:18">
      <c r="A217" s="277">
        <v>176</v>
      </c>
      <c r="B217" s="278">
        <v>46092</v>
      </c>
      <c r="C217" s="208" t="s">
        <v>294</v>
      </c>
      <c r="D217" s="208" t="s">
        <v>395</v>
      </c>
      <c r="E217" s="208" t="s">
        <v>402</v>
      </c>
      <c r="F217" s="208">
        <v>2026</v>
      </c>
      <c r="G217" s="208">
        <v>4</v>
      </c>
      <c r="H217" s="208" t="s">
        <v>80</v>
      </c>
      <c r="I217" s="208" t="s">
        <v>81</v>
      </c>
      <c r="J217" s="208" t="s">
        <v>366</v>
      </c>
      <c r="K217" s="208"/>
      <c r="L217" s="208" t="s">
        <v>465</v>
      </c>
      <c r="M217" s="208">
        <v>4</v>
      </c>
      <c r="N217" s="208"/>
      <c r="O217" s="208" t="s">
        <v>119</v>
      </c>
      <c r="P217" s="208"/>
      <c r="Q217" s="207"/>
      <c r="R217" s="208"/>
    </row>
    <row r="218" spans="1:18">
      <c r="A218" s="277">
        <v>177</v>
      </c>
      <c r="B218" s="278">
        <v>46092</v>
      </c>
      <c r="C218" s="208" t="s">
        <v>294</v>
      </c>
      <c r="D218" s="208" t="s">
        <v>372</v>
      </c>
      <c r="E218" s="208" t="s">
        <v>402</v>
      </c>
      <c r="F218" s="208">
        <v>2026</v>
      </c>
      <c r="G218" s="208">
        <v>2.5</v>
      </c>
      <c r="H218" s="208" t="s">
        <v>57</v>
      </c>
      <c r="I218" s="208" t="s">
        <v>58</v>
      </c>
      <c r="J218" s="208" t="s">
        <v>373</v>
      </c>
      <c r="K218" s="208"/>
      <c r="L218" s="208" t="s">
        <v>442</v>
      </c>
      <c r="M218" s="208">
        <v>2.5</v>
      </c>
      <c r="N218" s="208"/>
      <c r="O218" s="208" t="s">
        <v>414</v>
      </c>
      <c r="P218" s="208"/>
      <c r="Q218" s="207"/>
      <c r="R218" s="208"/>
    </row>
    <row r="219" spans="1:18">
      <c r="A219" s="277">
        <v>178</v>
      </c>
      <c r="B219" s="278">
        <v>46092</v>
      </c>
      <c r="C219" s="208" t="s">
        <v>294</v>
      </c>
      <c r="D219" s="208" t="s">
        <v>377</v>
      </c>
      <c r="E219" s="208" t="s">
        <v>402</v>
      </c>
      <c r="F219" s="208">
        <v>2026</v>
      </c>
      <c r="G219" s="208">
        <v>3</v>
      </c>
      <c r="H219" s="208" t="s">
        <v>61</v>
      </c>
      <c r="I219" s="208" t="s">
        <v>62</v>
      </c>
      <c r="J219" s="208" t="s">
        <v>360</v>
      </c>
      <c r="K219" s="208" t="s">
        <v>34</v>
      </c>
      <c r="L219" s="208" t="s">
        <v>466</v>
      </c>
      <c r="M219" s="208">
        <v>3</v>
      </c>
      <c r="N219" s="208"/>
      <c r="O219" s="208" t="s">
        <v>63</v>
      </c>
      <c r="P219" s="208"/>
      <c r="Q219" s="207"/>
      <c r="R219" s="208"/>
    </row>
    <row r="220" spans="1:18">
      <c r="A220" s="277">
        <v>179</v>
      </c>
      <c r="B220" s="278">
        <v>46092</v>
      </c>
      <c r="C220" s="208" t="s">
        <v>294</v>
      </c>
      <c r="D220" s="208" t="s">
        <v>377</v>
      </c>
      <c r="E220" s="208" t="s">
        <v>402</v>
      </c>
      <c r="F220" s="208">
        <v>2026</v>
      </c>
      <c r="G220" s="208">
        <v>3</v>
      </c>
      <c r="H220" s="208" t="s">
        <v>61</v>
      </c>
      <c r="I220" s="208" t="s">
        <v>62</v>
      </c>
      <c r="J220" s="208" t="s">
        <v>360</v>
      </c>
      <c r="K220" s="208" t="s">
        <v>35</v>
      </c>
      <c r="L220" s="208" t="s">
        <v>459</v>
      </c>
      <c r="M220" s="208">
        <v>3</v>
      </c>
      <c r="N220" s="208"/>
      <c r="O220" s="208" t="s">
        <v>112</v>
      </c>
      <c r="P220" s="208"/>
      <c r="Q220" s="207"/>
      <c r="R220" s="208"/>
    </row>
    <row r="221" spans="1:18">
      <c r="A221" s="277">
        <v>180</v>
      </c>
      <c r="B221" s="278">
        <v>46092</v>
      </c>
      <c r="C221" s="208" t="s">
        <v>294</v>
      </c>
      <c r="D221" s="208" t="s">
        <v>451</v>
      </c>
      <c r="E221" s="208" t="s">
        <v>402</v>
      </c>
      <c r="F221" s="208">
        <v>2026</v>
      </c>
      <c r="G221" s="208">
        <v>3</v>
      </c>
      <c r="H221" s="208" t="s">
        <v>61</v>
      </c>
      <c r="I221" s="208" t="s">
        <v>62</v>
      </c>
      <c r="J221" s="208" t="s">
        <v>360</v>
      </c>
      <c r="K221" s="208" t="s">
        <v>37</v>
      </c>
      <c r="L221" s="208" t="s">
        <v>384</v>
      </c>
      <c r="M221" s="208">
        <v>3</v>
      </c>
      <c r="N221" s="208"/>
      <c r="O221" s="208" t="s">
        <v>63</v>
      </c>
      <c r="P221" s="208"/>
      <c r="Q221" s="207"/>
      <c r="R221" s="208"/>
    </row>
    <row r="222" spans="1:18">
      <c r="A222" s="277">
        <v>181</v>
      </c>
      <c r="B222" s="278">
        <v>46092</v>
      </c>
      <c r="C222" s="208" t="s">
        <v>294</v>
      </c>
      <c r="D222" s="208" t="s">
        <v>452</v>
      </c>
      <c r="E222" s="208" t="s">
        <v>402</v>
      </c>
      <c r="F222" s="208">
        <v>2026</v>
      </c>
      <c r="G222" s="208">
        <v>3</v>
      </c>
      <c r="H222" s="208" t="s">
        <v>61</v>
      </c>
      <c r="I222" s="208" t="s">
        <v>62</v>
      </c>
      <c r="J222" s="208" t="s">
        <v>360</v>
      </c>
      <c r="K222" s="208" t="s">
        <v>38</v>
      </c>
      <c r="L222" s="208" t="s">
        <v>384</v>
      </c>
      <c r="M222" s="208">
        <v>3</v>
      </c>
      <c r="N222" s="208"/>
      <c r="O222" s="208" t="s">
        <v>112</v>
      </c>
      <c r="P222" s="208"/>
      <c r="Q222" s="207"/>
      <c r="R222" s="208"/>
    </row>
    <row r="223" spans="1:18">
      <c r="A223" s="277">
        <v>182</v>
      </c>
      <c r="B223" s="278">
        <v>46093</v>
      </c>
      <c r="C223" s="208" t="s">
        <v>298</v>
      </c>
      <c r="D223" s="208" t="s">
        <v>456</v>
      </c>
      <c r="E223" s="208" t="s">
        <v>402</v>
      </c>
      <c r="F223" s="208">
        <v>2026</v>
      </c>
      <c r="G223" s="208">
        <v>2.5</v>
      </c>
      <c r="H223" s="208" t="s">
        <v>99</v>
      </c>
      <c r="I223" s="208" t="s">
        <v>100</v>
      </c>
      <c r="J223" s="208" t="s">
        <v>373</v>
      </c>
      <c r="K223" s="208" t="s">
        <v>101</v>
      </c>
      <c r="L223" s="208" t="s">
        <v>457</v>
      </c>
      <c r="M223" s="208">
        <v>2.5</v>
      </c>
      <c r="N223" s="208"/>
      <c r="O223" s="208" t="s">
        <v>102</v>
      </c>
      <c r="P223" s="208"/>
      <c r="Q223" s="207"/>
      <c r="R223" s="208"/>
    </row>
    <row r="224" spans="1:18">
      <c r="A224" s="277">
        <v>183</v>
      </c>
      <c r="B224" s="278">
        <v>46093</v>
      </c>
      <c r="C224" s="208" t="s">
        <v>298</v>
      </c>
      <c r="D224" s="208" t="s">
        <v>467</v>
      </c>
      <c r="E224" s="208" t="s">
        <v>402</v>
      </c>
      <c r="F224" s="208">
        <v>2026</v>
      </c>
      <c r="G224" s="208">
        <v>2.5</v>
      </c>
      <c r="H224" s="208" t="s">
        <v>99</v>
      </c>
      <c r="I224" s="208" t="s">
        <v>100</v>
      </c>
      <c r="J224" s="208" t="s">
        <v>373</v>
      </c>
      <c r="K224" s="208" t="s">
        <v>104</v>
      </c>
      <c r="L224" s="208" t="s">
        <v>431</v>
      </c>
      <c r="M224" s="208">
        <v>2.5</v>
      </c>
      <c r="N224" s="208"/>
      <c r="O224" s="208" t="s">
        <v>432</v>
      </c>
      <c r="P224" s="208"/>
      <c r="Q224" s="207"/>
      <c r="R224" s="208"/>
    </row>
    <row r="225" spans="1:18" ht="45.75">
      <c r="A225" s="277">
        <v>184</v>
      </c>
      <c r="B225" s="278">
        <v>46093</v>
      </c>
      <c r="C225" s="208" t="s">
        <v>298</v>
      </c>
      <c r="D225" s="208" t="s">
        <v>430</v>
      </c>
      <c r="E225" s="208" t="s">
        <v>402</v>
      </c>
      <c r="F225" s="208">
        <v>2026</v>
      </c>
      <c r="G225" s="208">
        <v>2.5</v>
      </c>
      <c r="H225" s="208" t="s">
        <v>99</v>
      </c>
      <c r="I225" s="208" t="s">
        <v>100</v>
      </c>
      <c r="J225" s="208" t="s">
        <v>373</v>
      </c>
      <c r="K225" s="208" t="s">
        <v>106</v>
      </c>
      <c r="L225" s="279" t="s">
        <v>468</v>
      </c>
      <c r="M225" s="208">
        <v>2.5</v>
      </c>
      <c r="N225" s="208"/>
      <c r="O225" s="208" t="s">
        <v>432</v>
      </c>
      <c r="P225" s="208"/>
      <c r="Q225" s="207"/>
      <c r="R225" s="208"/>
    </row>
    <row r="226" spans="1:18">
      <c r="A226" s="277">
        <v>185</v>
      </c>
      <c r="B226" s="278">
        <v>46093</v>
      </c>
      <c r="C226" s="208" t="s">
        <v>298</v>
      </c>
      <c r="D226" s="208" t="s">
        <v>377</v>
      </c>
      <c r="E226" s="208" t="s">
        <v>402</v>
      </c>
      <c r="F226" s="208">
        <v>2026</v>
      </c>
      <c r="G226" s="208">
        <v>3</v>
      </c>
      <c r="H226" s="208" t="s">
        <v>61</v>
      </c>
      <c r="I226" s="208" t="s">
        <v>62</v>
      </c>
      <c r="J226" s="208" t="s">
        <v>360</v>
      </c>
      <c r="K226" s="208" t="s">
        <v>34</v>
      </c>
      <c r="L226" s="208" t="s">
        <v>469</v>
      </c>
      <c r="M226" s="208">
        <v>3</v>
      </c>
      <c r="N226" s="208"/>
      <c r="O226" s="208" t="s">
        <v>63</v>
      </c>
      <c r="P226" s="208"/>
      <c r="Q226" s="207"/>
      <c r="R226" s="208"/>
    </row>
    <row r="227" spans="1:18">
      <c r="A227" s="277">
        <v>186</v>
      </c>
      <c r="B227" s="278">
        <v>46093</v>
      </c>
      <c r="C227" s="208" t="s">
        <v>298</v>
      </c>
      <c r="D227" s="208" t="s">
        <v>377</v>
      </c>
      <c r="E227" s="208" t="s">
        <v>402</v>
      </c>
      <c r="F227" s="208">
        <v>2026</v>
      </c>
      <c r="G227" s="208">
        <v>3</v>
      </c>
      <c r="H227" s="208" t="s">
        <v>61</v>
      </c>
      <c r="I227" s="208" t="s">
        <v>62</v>
      </c>
      <c r="J227" s="208" t="s">
        <v>360</v>
      </c>
      <c r="K227" s="208" t="s">
        <v>35</v>
      </c>
      <c r="L227" s="208" t="s">
        <v>466</v>
      </c>
      <c r="M227" s="208">
        <v>3</v>
      </c>
      <c r="N227" s="208"/>
      <c r="O227" s="208" t="s">
        <v>112</v>
      </c>
      <c r="P227" s="208"/>
      <c r="Q227" s="207"/>
      <c r="R227" s="208"/>
    </row>
    <row r="228" spans="1:18">
      <c r="A228" s="277">
        <v>187</v>
      </c>
      <c r="B228" s="278">
        <v>46093</v>
      </c>
      <c r="C228" s="208" t="s">
        <v>298</v>
      </c>
      <c r="D228" s="208" t="s">
        <v>451</v>
      </c>
      <c r="E228" s="208" t="s">
        <v>402</v>
      </c>
      <c r="F228" s="208">
        <v>2026</v>
      </c>
      <c r="G228" s="208">
        <v>3</v>
      </c>
      <c r="H228" s="208" t="s">
        <v>61</v>
      </c>
      <c r="I228" s="208" t="s">
        <v>62</v>
      </c>
      <c r="J228" s="208" t="s">
        <v>360</v>
      </c>
      <c r="K228" s="208" t="s">
        <v>37</v>
      </c>
      <c r="L228" s="208" t="s">
        <v>387</v>
      </c>
      <c r="M228" s="208">
        <v>3</v>
      </c>
      <c r="N228" s="208"/>
      <c r="O228" s="208" t="s">
        <v>63</v>
      </c>
      <c r="P228" s="208"/>
      <c r="Q228" s="207"/>
      <c r="R228" s="208"/>
    </row>
    <row r="229" spans="1:18">
      <c r="A229" s="277">
        <v>188</v>
      </c>
      <c r="B229" s="278">
        <v>46093</v>
      </c>
      <c r="C229" s="208" t="s">
        <v>298</v>
      </c>
      <c r="D229" s="208" t="s">
        <v>452</v>
      </c>
      <c r="E229" s="208" t="s">
        <v>402</v>
      </c>
      <c r="F229" s="208">
        <v>2026</v>
      </c>
      <c r="G229" s="208">
        <v>3</v>
      </c>
      <c r="H229" s="208" t="s">
        <v>61</v>
      </c>
      <c r="I229" s="208" t="s">
        <v>62</v>
      </c>
      <c r="J229" s="208" t="s">
        <v>360</v>
      </c>
      <c r="K229" s="208" t="s">
        <v>38</v>
      </c>
      <c r="L229" s="208" t="s">
        <v>387</v>
      </c>
      <c r="M229" s="208">
        <v>3</v>
      </c>
      <c r="N229" s="208"/>
      <c r="O229" s="208" t="s">
        <v>112</v>
      </c>
      <c r="P229" s="208"/>
      <c r="Q229" s="207"/>
      <c r="R229" s="208"/>
    </row>
    <row r="230" spans="1:18">
      <c r="A230" s="277">
        <v>189</v>
      </c>
      <c r="B230" s="278">
        <v>46094</v>
      </c>
      <c r="C230" s="208" t="s">
        <v>301</v>
      </c>
      <c r="D230" s="208" t="s">
        <v>470</v>
      </c>
      <c r="E230" s="208" t="s">
        <v>402</v>
      </c>
      <c r="F230" s="208">
        <v>2026</v>
      </c>
      <c r="G230" s="208">
        <v>1.5</v>
      </c>
      <c r="H230" s="208" t="s">
        <v>57</v>
      </c>
      <c r="I230" s="208" t="s">
        <v>454</v>
      </c>
      <c r="J230" s="208" t="s">
        <v>311</v>
      </c>
      <c r="K230" s="208"/>
      <c r="L230" s="208" t="s">
        <v>471</v>
      </c>
      <c r="M230" s="208">
        <v>1.5</v>
      </c>
      <c r="N230" s="208"/>
      <c r="O230" s="208" t="s">
        <v>60</v>
      </c>
      <c r="P230" s="208"/>
      <c r="Q230" s="207"/>
      <c r="R230" s="208"/>
    </row>
    <row r="231" spans="1:18">
      <c r="A231" s="277">
        <v>190</v>
      </c>
      <c r="B231" s="278">
        <v>46094</v>
      </c>
      <c r="C231" s="208" t="s">
        <v>301</v>
      </c>
      <c r="D231" s="208" t="s">
        <v>398</v>
      </c>
      <c r="E231" s="208" t="s">
        <v>402</v>
      </c>
      <c r="F231" s="208">
        <v>2026</v>
      </c>
      <c r="G231" s="208">
        <v>2</v>
      </c>
      <c r="H231" s="208" t="s">
        <v>57</v>
      </c>
      <c r="I231" s="208" t="s">
        <v>74</v>
      </c>
      <c r="J231" s="208" t="s">
        <v>373</v>
      </c>
      <c r="K231" s="208"/>
      <c r="L231" s="208" t="s">
        <v>472</v>
      </c>
      <c r="M231" s="208">
        <v>2</v>
      </c>
      <c r="N231" s="208"/>
      <c r="O231" s="208" t="s">
        <v>66</v>
      </c>
      <c r="P231" s="208"/>
      <c r="Q231" s="207"/>
      <c r="R231" s="208"/>
    </row>
    <row r="232" spans="1:18">
      <c r="A232" s="277">
        <v>191</v>
      </c>
      <c r="B232" s="278">
        <v>46094</v>
      </c>
      <c r="C232" s="208" t="s">
        <v>301</v>
      </c>
      <c r="D232" s="208"/>
      <c r="E232" s="208" t="s">
        <v>402</v>
      </c>
      <c r="F232" s="208">
        <v>2026</v>
      </c>
      <c r="G232" s="208">
        <v>2.5</v>
      </c>
      <c r="H232" s="208" t="s">
        <v>363</v>
      </c>
      <c r="I232" s="208"/>
      <c r="J232" s="208" t="s">
        <v>311</v>
      </c>
      <c r="K232" s="208" t="s">
        <v>101</v>
      </c>
      <c r="L232" s="208" t="s">
        <v>435</v>
      </c>
      <c r="M232" s="208"/>
      <c r="N232" s="208"/>
      <c r="O232" s="208" t="s">
        <v>401</v>
      </c>
      <c r="P232" s="208"/>
      <c r="Q232" s="207"/>
      <c r="R232" s="208"/>
    </row>
    <row r="233" spans="1:18">
      <c r="A233" s="277">
        <v>192</v>
      </c>
      <c r="B233" s="278">
        <v>46094</v>
      </c>
      <c r="C233" s="208" t="s">
        <v>301</v>
      </c>
      <c r="D233" s="208"/>
      <c r="E233" s="208" t="s">
        <v>291</v>
      </c>
      <c r="F233" s="208">
        <v>2026</v>
      </c>
      <c r="G233" s="208">
        <v>2.5</v>
      </c>
      <c r="H233" s="208" t="s">
        <v>363</v>
      </c>
      <c r="I233" s="208"/>
      <c r="J233" s="208" t="s">
        <v>311</v>
      </c>
      <c r="K233" s="208" t="s">
        <v>101</v>
      </c>
      <c r="L233" s="208" t="s">
        <v>473</v>
      </c>
      <c r="M233" s="208"/>
      <c r="N233" s="208"/>
      <c r="O233" s="208" t="s">
        <v>401</v>
      </c>
      <c r="P233" s="208"/>
      <c r="Q233" s="207"/>
      <c r="R233" s="208"/>
    </row>
    <row r="234" spans="1:18">
      <c r="A234" s="277">
        <v>193</v>
      </c>
      <c r="B234" s="278">
        <v>46094</v>
      </c>
      <c r="C234" s="208" t="s">
        <v>301</v>
      </c>
      <c r="D234" s="208" t="s">
        <v>372</v>
      </c>
      <c r="E234" s="208" t="s">
        <v>402</v>
      </c>
      <c r="F234" s="208">
        <v>2026</v>
      </c>
      <c r="G234" s="208">
        <v>2.5</v>
      </c>
      <c r="H234" s="208" t="s">
        <v>57</v>
      </c>
      <c r="I234" s="208" t="s">
        <v>58</v>
      </c>
      <c r="J234" s="208" t="s">
        <v>373</v>
      </c>
      <c r="K234" s="208"/>
      <c r="L234" s="208" t="s">
        <v>474</v>
      </c>
      <c r="M234" s="208">
        <v>2.5</v>
      </c>
      <c r="N234" s="208"/>
      <c r="O234" s="208" t="s">
        <v>414</v>
      </c>
      <c r="P234" s="208"/>
      <c r="Q234" s="207"/>
      <c r="R234" s="208"/>
    </row>
    <row r="235" spans="1:18">
      <c r="A235" s="277">
        <v>194</v>
      </c>
      <c r="B235" s="278">
        <v>46094</v>
      </c>
      <c r="C235" s="208" t="s">
        <v>301</v>
      </c>
      <c r="D235" s="208" t="s">
        <v>475</v>
      </c>
      <c r="E235" s="208" t="s">
        <v>402</v>
      </c>
      <c r="F235" s="208">
        <v>2026</v>
      </c>
      <c r="G235" s="208">
        <v>4.5</v>
      </c>
      <c r="H235" s="208" t="s">
        <v>61</v>
      </c>
      <c r="I235" s="208" t="s">
        <v>62</v>
      </c>
      <c r="J235" s="208" t="s">
        <v>360</v>
      </c>
      <c r="K235" s="208" t="s">
        <v>34</v>
      </c>
      <c r="L235" s="208" t="s">
        <v>476</v>
      </c>
      <c r="M235" s="208">
        <v>4.5</v>
      </c>
      <c r="N235" s="208"/>
      <c r="O235" s="208" t="s">
        <v>63</v>
      </c>
      <c r="P235" s="208"/>
      <c r="Q235" s="207"/>
      <c r="R235" s="208"/>
    </row>
    <row r="236" spans="1:18">
      <c r="A236" s="277">
        <v>195</v>
      </c>
      <c r="B236" s="278">
        <v>46094</v>
      </c>
      <c r="C236" s="208" t="s">
        <v>301</v>
      </c>
      <c r="D236" s="208" t="s">
        <v>377</v>
      </c>
      <c r="E236" s="208" t="s">
        <v>402</v>
      </c>
      <c r="F236" s="208">
        <v>2026</v>
      </c>
      <c r="G236" s="208">
        <v>3</v>
      </c>
      <c r="H236" s="208" t="s">
        <v>61</v>
      </c>
      <c r="I236" s="208" t="s">
        <v>62</v>
      </c>
      <c r="J236" s="208" t="s">
        <v>360</v>
      </c>
      <c r="K236" s="208" t="s">
        <v>35</v>
      </c>
      <c r="L236" s="208" t="s">
        <v>469</v>
      </c>
      <c r="M236" s="208">
        <v>3</v>
      </c>
      <c r="N236" s="208"/>
      <c r="O236" s="208" t="s">
        <v>112</v>
      </c>
      <c r="P236" s="208"/>
      <c r="Q236" s="207"/>
      <c r="R236" s="208"/>
    </row>
    <row r="237" spans="1:18">
      <c r="A237" s="277">
        <v>196</v>
      </c>
      <c r="B237" s="278">
        <v>46094</v>
      </c>
      <c r="C237" s="208" t="s">
        <v>301</v>
      </c>
      <c r="D237" s="208" t="s">
        <v>451</v>
      </c>
      <c r="E237" s="208" t="s">
        <v>402</v>
      </c>
      <c r="F237" s="208">
        <v>2026</v>
      </c>
      <c r="G237" s="208">
        <v>3</v>
      </c>
      <c r="H237" s="208" t="s">
        <v>61</v>
      </c>
      <c r="I237" s="208" t="s">
        <v>62</v>
      </c>
      <c r="J237" s="208" t="s">
        <v>360</v>
      </c>
      <c r="K237" s="208" t="s">
        <v>37</v>
      </c>
      <c r="L237" s="208" t="s">
        <v>390</v>
      </c>
      <c r="M237" s="208">
        <v>3</v>
      </c>
      <c r="N237" s="208"/>
      <c r="O237" s="208" t="s">
        <v>63</v>
      </c>
      <c r="P237" s="208"/>
      <c r="Q237" s="207"/>
      <c r="R237" s="208"/>
    </row>
    <row r="238" spans="1:18">
      <c r="A238" s="277">
        <v>197</v>
      </c>
      <c r="B238" s="278">
        <v>46094</v>
      </c>
      <c r="C238" s="208" t="s">
        <v>301</v>
      </c>
      <c r="D238" s="208" t="s">
        <v>452</v>
      </c>
      <c r="E238" s="208" t="s">
        <v>402</v>
      </c>
      <c r="F238" s="208">
        <v>2026</v>
      </c>
      <c r="G238" s="208">
        <v>3</v>
      </c>
      <c r="H238" s="208" t="s">
        <v>61</v>
      </c>
      <c r="I238" s="208" t="s">
        <v>62</v>
      </c>
      <c r="J238" s="208" t="s">
        <v>360</v>
      </c>
      <c r="K238" s="208" t="s">
        <v>38</v>
      </c>
      <c r="L238" s="208" t="s">
        <v>390</v>
      </c>
      <c r="M238" s="208">
        <v>3</v>
      </c>
      <c r="N238" s="208"/>
      <c r="O238" s="208" t="s">
        <v>112</v>
      </c>
      <c r="P238" s="208"/>
      <c r="Q238" s="207"/>
      <c r="R238" s="208"/>
    </row>
    <row r="239" spans="1:18">
      <c r="A239" s="277">
        <v>198</v>
      </c>
      <c r="B239" s="278">
        <v>46097</v>
      </c>
      <c r="C239" s="208" t="s">
        <v>302</v>
      </c>
      <c r="D239" s="208" t="s">
        <v>477</v>
      </c>
      <c r="E239" s="208" t="s">
        <v>402</v>
      </c>
      <c r="F239" s="208">
        <v>2026</v>
      </c>
      <c r="G239" s="208">
        <v>3</v>
      </c>
      <c r="H239" s="208" t="s">
        <v>461</v>
      </c>
      <c r="I239" s="208" t="s">
        <v>136</v>
      </c>
      <c r="J239" s="208" t="s">
        <v>462</v>
      </c>
      <c r="K239" s="208" t="s">
        <v>101</v>
      </c>
      <c r="L239" s="208" t="s">
        <v>478</v>
      </c>
      <c r="M239" s="208">
        <v>3</v>
      </c>
      <c r="N239" s="208"/>
      <c r="O239" s="208" t="s">
        <v>82</v>
      </c>
      <c r="P239" s="208"/>
      <c r="Q239" s="207"/>
      <c r="R239" s="208"/>
    </row>
    <row r="240" spans="1:18">
      <c r="A240" s="277">
        <v>199</v>
      </c>
      <c r="B240" s="278">
        <v>46097</v>
      </c>
      <c r="C240" s="208" t="s">
        <v>302</v>
      </c>
      <c r="D240" s="208" t="s">
        <v>479</v>
      </c>
      <c r="E240" s="208" t="s">
        <v>402</v>
      </c>
      <c r="F240" s="208">
        <v>2026</v>
      </c>
      <c r="G240" s="208">
        <v>3</v>
      </c>
      <c r="H240" s="208" t="s">
        <v>461</v>
      </c>
      <c r="I240" s="208" t="s">
        <v>136</v>
      </c>
      <c r="J240" s="208" t="s">
        <v>462</v>
      </c>
      <c r="K240" s="208" t="s">
        <v>10</v>
      </c>
      <c r="L240" s="208" t="s">
        <v>478</v>
      </c>
      <c r="M240" s="208">
        <v>3</v>
      </c>
      <c r="N240" s="208"/>
      <c r="O240" s="208" t="s">
        <v>138</v>
      </c>
      <c r="P240" s="208"/>
      <c r="Q240" s="207"/>
      <c r="R240" s="208"/>
    </row>
    <row r="241" spans="1:18">
      <c r="A241" s="277">
        <v>200</v>
      </c>
      <c r="B241" s="278">
        <v>46097</v>
      </c>
      <c r="C241" s="208" t="s">
        <v>302</v>
      </c>
      <c r="D241" s="208" t="s">
        <v>480</v>
      </c>
      <c r="E241" s="208" t="s">
        <v>402</v>
      </c>
      <c r="F241" s="208">
        <v>2026</v>
      </c>
      <c r="G241" s="208">
        <v>3</v>
      </c>
      <c r="H241" s="208" t="s">
        <v>132</v>
      </c>
      <c r="I241" s="208" t="s">
        <v>133</v>
      </c>
      <c r="J241" s="208" t="s">
        <v>360</v>
      </c>
      <c r="K241" s="208" t="s">
        <v>106</v>
      </c>
      <c r="L241" s="208" t="s">
        <v>481</v>
      </c>
      <c r="M241" s="208">
        <v>3</v>
      </c>
      <c r="N241" s="208"/>
      <c r="O241" s="208" t="s">
        <v>127</v>
      </c>
      <c r="P241" s="208"/>
      <c r="Q241" s="207"/>
      <c r="R241" s="208"/>
    </row>
    <row r="242" spans="1:18">
      <c r="A242" s="277">
        <v>201</v>
      </c>
      <c r="B242" s="278">
        <v>46097</v>
      </c>
      <c r="C242" s="208" t="s">
        <v>302</v>
      </c>
      <c r="D242" s="208" t="s">
        <v>482</v>
      </c>
      <c r="E242" s="208" t="s">
        <v>402</v>
      </c>
      <c r="F242" s="208">
        <v>2026</v>
      </c>
      <c r="G242" s="208">
        <v>2</v>
      </c>
      <c r="H242" s="208" t="s">
        <v>132</v>
      </c>
      <c r="I242" s="208" t="s">
        <v>133</v>
      </c>
      <c r="J242" s="208" t="s">
        <v>360</v>
      </c>
      <c r="K242" s="208" t="s">
        <v>135</v>
      </c>
      <c r="L242" s="208" t="s">
        <v>481</v>
      </c>
      <c r="M242" s="208">
        <v>2</v>
      </c>
      <c r="N242" s="208"/>
      <c r="O242" s="208" t="s">
        <v>127</v>
      </c>
      <c r="P242" s="208"/>
      <c r="Q242" s="207"/>
      <c r="R242" s="208"/>
    </row>
    <row r="243" spans="1:18">
      <c r="A243" s="277">
        <v>202</v>
      </c>
      <c r="B243" s="278">
        <v>46097</v>
      </c>
      <c r="C243" s="208" t="s">
        <v>302</v>
      </c>
      <c r="D243" s="208" t="s">
        <v>483</v>
      </c>
      <c r="E243" s="208" t="s">
        <v>402</v>
      </c>
      <c r="F243" s="208">
        <v>2026</v>
      </c>
      <c r="G243" s="208">
        <v>2</v>
      </c>
      <c r="H243" s="208" t="s">
        <v>99</v>
      </c>
      <c r="I243" s="208" t="s">
        <v>108</v>
      </c>
      <c r="J243" s="208" t="s">
        <v>366</v>
      </c>
      <c r="K243" s="208" t="s">
        <v>10</v>
      </c>
      <c r="L243" s="208" t="s">
        <v>484</v>
      </c>
      <c r="M243" s="208">
        <v>2</v>
      </c>
      <c r="N243" s="208"/>
      <c r="O243" s="208" t="s">
        <v>485</v>
      </c>
      <c r="P243" s="208"/>
      <c r="Q243" s="207"/>
      <c r="R243" s="208"/>
    </row>
    <row r="244" spans="1:18">
      <c r="A244" s="277">
        <v>203</v>
      </c>
      <c r="B244" s="278">
        <v>46097</v>
      </c>
      <c r="C244" s="208" t="s">
        <v>302</v>
      </c>
      <c r="D244" s="208" t="s">
        <v>398</v>
      </c>
      <c r="E244" s="208" t="s">
        <v>402</v>
      </c>
      <c r="F244" s="208">
        <v>2026</v>
      </c>
      <c r="G244" s="208">
        <v>2</v>
      </c>
      <c r="H244" s="208" t="s">
        <v>57</v>
      </c>
      <c r="I244" s="208" t="s">
        <v>74</v>
      </c>
      <c r="J244" s="208" t="s">
        <v>373</v>
      </c>
      <c r="K244" s="208"/>
      <c r="L244" s="208" t="s">
        <v>486</v>
      </c>
      <c r="M244" s="208">
        <v>2</v>
      </c>
      <c r="N244" s="208"/>
      <c r="O244" s="208" t="s">
        <v>66</v>
      </c>
      <c r="P244" s="208"/>
      <c r="Q244" s="207"/>
      <c r="R244" s="208"/>
    </row>
    <row r="245" spans="1:18">
      <c r="A245" s="277">
        <v>204</v>
      </c>
      <c r="B245" s="278">
        <v>46097</v>
      </c>
      <c r="C245" s="208" t="s">
        <v>302</v>
      </c>
      <c r="D245" s="208" t="s">
        <v>475</v>
      </c>
      <c r="E245" s="208" t="s">
        <v>402</v>
      </c>
      <c r="F245" s="208">
        <v>2026</v>
      </c>
      <c r="G245" s="208">
        <v>4.5</v>
      </c>
      <c r="H245" s="208" t="s">
        <v>61</v>
      </c>
      <c r="I245" s="208" t="s">
        <v>62</v>
      </c>
      <c r="J245" s="208" t="s">
        <v>360</v>
      </c>
      <c r="K245" s="208" t="s">
        <v>34</v>
      </c>
      <c r="L245" s="208" t="s">
        <v>487</v>
      </c>
      <c r="M245" s="208">
        <v>4.5</v>
      </c>
      <c r="N245" s="208"/>
      <c r="O245" s="208" t="s">
        <v>63</v>
      </c>
      <c r="P245" s="208"/>
      <c r="Q245" s="207"/>
      <c r="R245" s="208"/>
    </row>
    <row r="246" spans="1:18">
      <c r="A246" s="277">
        <v>205</v>
      </c>
      <c r="B246" s="278">
        <v>46097</v>
      </c>
      <c r="C246" s="208" t="s">
        <v>302</v>
      </c>
      <c r="D246" s="208" t="s">
        <v>488</v>
      </c>
      <c r="E246" s="208" t="s">
        <v>402</v>
      </c>
      <c r="F246" s="208">
        <v>2026</v>
      </c>
      <c r="G246" s="208">
        <v>4</v>
      </c>
      <c r="H246" s="208" t="s">
        <v>61</v>
      </c>
      <c r="I246" s="208" t="s">
        <v>62</v>
      </c>
      <c r="J246" s="208" t="s">
        <v>360</v>
      </c>
      <c r="K246" s="208" t="s">
        <v>35</v>
      </c>
      <c r="L246" s="208" t="s">
        <v>476</v>
      </c>
      <c r="M246" s="208">
        <v>4</v>
      </c>
      <c r="N246" s="208"/>
      <c r="O246" s="208" t="s">
        <v>87</v>
      </c>
      <c r="P246" s="208"/>
      <c r="Q246" s="207"/>
      <c r="R246" s="208"/>
    </row>
    <row r="247" spans="1:18">
      <c r="A247" s="277">
        <v>206</v>
      </c>
      <c r="B247" s="278">
        <v>46097</v>
      </c>
      <c r="C247" s="208" t="s">
        <v>302</v>
      </c>
      <c r="D247" s="208" t="s">
        <v>451</v>
      </c>
      <c r="E247" s="208" t="s">
        <v>402</v>
      </c>
      <c r="F247" s="208">
        <v>2026</v>
      </c>
      <c r="G247" s="208">
        <v>3</v>
      </c>
      <c r="H247" s="208" t="s">
        <v>61</v>
      </c>
      <c r="I247" s="208" t="s">
        <v>62</v>
      </c>
      <c r="J247" s="208" t="s">
        <v>360</v>
      </c>
      <c r="K247" s="208" t="s">
        <v>37</v>
      </c>
      <c r="L247" s="208" t="s">
        <v>489</v>
      </c>
      <c r="M247" s="208">
        <v>3</v>
      </c>
      <c r="N247" s="208"/>
      <c r="O247" s="208" t="s">
        <v>63</v>
      </c>
      <c r="P247" s="208"/>
      <c r="Q247" s="207"/>
      <c r="R247" s="208"/>
    </row>
    <row r="248" spans="1:18">
      <c r="A248" s="277"/>
      <c r="B248" s="278">
        <v>46097</v>
      </c>
      <c r="C248" s="208" t="s">
        <v>302</v>
      </c>
      <c r="D248" s="208"/>
      <c r="E248" s="208" t="s">
        <v>402</v>
      </c>
      <c r="F248" s="208">
        <v>2026</v>
      </c>
      <c r="G248" s="208"/>
      <c r="H248" s="208" t="s">
        <v>61</v>
      </c>
      <c r="I248" s="208" t="s">
        <v>62</v>
      </c>
      <c r="J248" s="208" t="s">
        <v>360</v>
      </c>
      <c r="K248" s="208" t="s">
        <v>38</v>
      </c>
      <c r="L248" s="208" t="s">
        <v>391</v>
      </c>
      <c r="M248" s="208"/>
      <c r="N248" s="208"/>
      <c r="O248" s="208"/>
      <c r="P248" s="208"/>
      <c r="Q248" s="207"/>
      <c r="R248" s="208"/>
    </row>
    <row r="249" spans="1:18">
      <c r="A249" s="277">
        <v>207</v>
      </c>
      <c r="B249" s="278">
        <v>46098</v>
      </c>
      <c r="C249" s="208" t="s">
        <v>289</v>
      </c>
      <c r="D249" s="208" t="s">
        <v>490</v>
      </c>
      <c r="E249" s="208" t="s">
        <v>402</v>
      </c>
      <c r="F249" s="208">
        <v>2026</v>
      </c>
      <c r="G249" s="208">
        <v>2</v>
      </c>
      <c r="H249" s="208" t="s">
        <v>99</v>
      </c>
      <c r="I249" s="208" t="s">
        <v>108</v>
      </c>
      <c r="J249" s="208" t="s">
        <v>366</v>
      </c>
      <c r="K249" s="208" t="s">
        <v>101</v>
      </c>
      <c r="L249" s="208" t="s">
        <v>484</v>
      </c>
      <c r="M249" s="208">
        <v>2</v>
      </c>
      <c r="N249" s="208"/>
      <c r="O249" s="208" t="s">
        <v>66</v>
      </c>
      <c r="P249" s="208"/>
      <c r="Q249" s="207"/>
      <c r="R249" s="208"/>
    </row>
    <row r="250" spans="1:18">
      <c r="A250" s="277">
        <v>208</v>
      </c>
      <c r="B250" s="278">
        <v>46098</v>
      </c>
      <c r="C250" s="208" t="s">
        <v>289</v>
      </c>
      <c r="D250" s="208" t="s">
        <v>491</v>
      </c>
      <c r="E250" s="208" t="s">
        <v>402</v>
      </c>
      <c r="F250" s="208">
        <v>2026</v>
      </c>
      <c r="G250" s="208">
        <v>2</v>
      </c>
      <c r="H250" s="208" t="s">
        <v>99</v>
      </c>
      <c r="I250" s="208" t="s">
        <v>108</v>
      </c>
      <c r="J250" s="208" t="s">
        <v>366</v>
      </c>
      <c r="K250" s="208" t="s">
        <v>104</v>
      </c>
      <c r="L250" s="208" t="s">
        <v>484</v>
      </c>
      <c r="M250" s="208">
        <v>2</v>
      </c>
      <c r="N250" s="208"/>
      <c r="O250" s="208" t="s">
        <v>63</v>
      </c>
      <c r="P250" s="208"/>
      <c r="Q250" s="207"/>
      <c r="R250" s="208"/>
    </row>
    <row r="251" spans="1:18" ht="45.75">
      <c r="A251" s="277">
        <v>209</v>
      </c>
      <c r="B251" s="278">
        <v>46098</v>
      </c>
      <c r="C251" s="208" t="s">
        <v>289</v>
      </c>
      <c r="D251" s="208" t="s">
        <v>456</v>
      </c>
      <c r="E251" s="208" t="s">
        <v>402</v>
      </c>
      <c r="F251" s="208">
        <v>2026</v>
      </c>
      <c r="G251" s="208">
        <v>2.5</v>
      </c>
      <c r="H251" s="208" t="s">
        <v>99</v>
      </c>
      <c r="I251" s="208" t="s">
        <v>100</v>
      </c>
      <c r="J251" s="208" t="s">
        <v>373</v>
      </c>
      <c r="K251" s="208" t="s">
        <v>101</v>
      </c>
      <c r="L251" s="279" t="s">
        <v>468</v>
      </c>
      <c r="M251" s="208">
        <v>2.5</v>
      </c>
      <c r="N251" s="208"/>
      <c r="O251" s="208" t="s">
        <v>102</v>
      </c>
      <c r="P251" s="208"/>
      <c r="Q251" s="207"/>
      <c r="R251" s="208"/>
    </row>
    <row r="252" spans="1:18">
      <c r="A252" s="277">
        <v>210</v>
      </c>
      <c r="B252" s="278">
        <v>46098</v>
      </c>
      <c r="C252" s="208" t="s">
        <v>289</v>
      </c>
      <c r="D252" s="208" t="s">
        <v>467</v>
      </c>
      <c r="E252" s="208" t="s">
        <v>402</v>
      </c>
      <c r="F252" s="208">
        <v>2026</v>
      </c>
      <c r="G252" s="208">
        <v>2.5</v>
      </c>
      <c r="H252" s="208" t="s">
        <v>99</v>
      </c>
      <c r="I252" s="208" t="s">
        <v>100</v>
      </c>
      <c r="J252" s="208" t="s">
        <v>373</v>
      </c>
      <c r="K252" s="208" t="s">
        <v>104</v>
      </c>
      <c r="L252" s="208" t="s">
        <v>457</v>
      </c>
      <c r="M252" s="208">
        <v>2.5</v>
      </c>
      <c r="N252" s="208"/>
      <c r="O252" s="208" t="s">
        <v>432</v>
      </c>
      <c r="P252" s="208"/>
      <c r="Q252" s="207"/>
      <c r="R252" s="208"/>
    </row>
    <row r="253" spans="1:18" ht="45.75">
      <c r="A253" s="277">
        <v>211</v>
      </c>
      <c r="B253" s="278">
        <v>46098</v>
      </c>
      <c r="C253" s="208" t="s">
        <v>289</v>
      </c>
      <c r="D253" s="208" t="s">
        <v>430</v>
      </c>
      <c r="E253" s="208" t="s">
        <v>402</v>
      </c>
      <c r="F253" s="208">
        <v>2026</v>
      </c>
      <c r="G253" s="208">
        <v>2.5</v>
      </c>
      <c r="H253" s="208" t="s">
        <v>99</v>
      </c>
      <c r="I253" s="208" t="s">
        <v>100</v>
      </c>
      <c r="J253" s="208" t="s">
        <v>373</v>
      </c>
      <c r="K253" s="208" t="s">
        <v>106</v>
      </c>
      <c r="L253" s="279" t="s">
        <v>492</v>
      </c>
      <c r="M253" s="208">
        <v>2.5</v>
      </c>
      <c r="N253" s="208"/>
      <c r="O253" s="208" t="s">
        <v>432</v>
      </c>
      <c r="P253" s="208"/>
      <c r="Q253" s="207"/>
      <c r="R253" s="208"/>
    </row>
    <row r="254" spans="1:18">
      <c r="A254" s="277">
        <v>212</v>
      </c>
      <c r="B254" s="278">
        <v>46098</v>
      </c>
      <c r="C254" s="208" t="s">
        <v>289</v>
      </c>
      <c r="D254" s="208" t="s">
        <v>475</v>
      </c>
      <c r="E254" s="208" t="s">
        <v>402</v>
      </c>
      <c r="F254" s="208">
        <v>2026</v>
      </c>
      <c r="G254" s="208">
        <v>4.5</v>
      </c>
      <c r="H254" s="208" t="s">
        <v>61</v>
      </c>
      <c r="I254" s="208" t="s">
        <v>62</v>
      </c>
      <c r="J254" s="208" t="s">
        <v>360</v>
      </c>
      <c r="K254" s="208" t="s">
        <v>34</v>
      </c>
      <c r="L254" s="208" t="s">
        <v>487</v>
      </c>
      <c r="M254" s="208">
        <v>4.5</v>
      </c>
      <c r="N254" s="208"/>
      <c r="O254" s="208" t="s">
        <v>63</v>
      </c>
      <c r="P254" s="208"/>
      <c r="Q254" s="207"/>
      <c r="R254" s="208"/>
    </row>
    <row r="255" spans="1:18">
      <c r="A255" s="277">
        <v>213</v>
      </c>
      <c r="B255" s="278">
        <v>46098</v>
      </c>
      <c r="C255" s="208" t="s">
        <v>289</v>
      </c>
      <c r="D255" s="208" t="s">
        <v>488</v>
      </c>
      <c r="E255" s="208" t="s">
        <v>402</v>
      </c>
      <c r="F255" s="208">
        <v>2026</v>
      </c>
      <c r="G255" s="208">
        <v>4</v>
      </c>
      <c r="H255" s="208" t="s">
        <v>61</v>
      </c>
      <c r="I255" s="208" t="s">
        <v>62</v>
      </c>
      <c r="J255" s="208" t="s">
        <v>360</v>
      </c>
      <c r="K255" s="208" t="s">
        <v>35</v>
      </c>
      <c r="L255" s="208" t="s">
        <v>487</v>
      </c>
      <c r="M255" s="208">
        <v>4</v>
      </c>
      <c r="N255" s="208"/>
      <c r="O255" s="208" t="s">
        <v>87</v>
      </c>
      <c r="P255" s="208"/>
      <c r="Q255" s="207"/>
      <c r="R255" s="208"/>
    </row>
    <row r="256" spans="1:18">
      <c r="A256" s="277">
        <v>214</v>
      </c>
      <c r="B256" s="278">
        <v>46098</v>
      </c>
      <c r="C256" s="208" t="s">
        <v>289</v>
      </c>
      <c r="D256" s="208" t="s">
        <v>451</v>
      </c>
      <c r="E256" s="208" t="s">
        <v>402</v>
      </c>
      <c r="F256" s="208">
        <v>2026</v>
      </c>
      <c r="G256" s="208">
        <v>3</v>
      </c>
      <c r="H256" s="208" t="s">
        <v>61</v>
      </c>
      <c r="I256" s="208" t="s">
        <v>62</v>
      </c>
      <c r="J256" s="208" t="s">
        <v>360</v>
      </c>
      <c r="K256" s="208" t="s">
        <v>37</v>
      </c>
      <c r="L256" s="208" t="s">
        <v>393</v>
      </c>
      <c r="M256" s="208">
        <v>3</v>
      </c>
      <c r="N256" s="208"/>
      <c r="O256" s="208" t="s">
        <v>112</v>
      </c>
      <c r="P256" s="208"/>
      <c r="Q256" s="207"/>
      <c r="R256" s="208"/>
    </row>
    <row r="257" spans="1:18">
      <c r="A257" s="277">
        <v>215</v>
      </c>
      <c r="B257" s="278">
        <v>46098</v>
      </c>
      <c r="C257" s="208" t="s">
        <v>289</v>
      </c>
      <c r="D257" s="208" t="s">
        <v>452</v>
      </c>
      <c r="E257" s="208" t="s">
        <v>402</v>
      </c>
      <c r="F257" s="208">
        <v>2026</v>
      </c>
      <c r="G257" s="208">
        <v>3</v>
      </c>
      <c r="H257" s="208" t="s">
        <v>61</v>
      </c>
      <c r="I257" s="208" t="s">
        <v>62</v>
      </c>
      <c r="J257" s="208" t="s">
        <v>360</v>
      </c>
      <c r="K257" s="208" t="s">
        <v>38</v>
      </c>
      <c r="L257" s="208" t="s">
        <v>393</v>
      </c>
      <c r="M257" s="208">
        <v>3</v>
      </c>
      <c r="N257" s="208"/>
      <c r="O257" s="208" t="s">
        <v>87</v>
      </c>
      <c r="P257" s="208"/>
      <c r="Q257" s="207"/>
      <c r="R257" s="208"/>
    </row>
    <row r="258" spans="1:18">
      <c r="A258" s="277">
        <v>216</v>
      </c>
      <c r="B258" s="278">
        <v>46099</v>
      </c>
      <c r="C258" s="208" t="s">
        <v>294</v>
      </c>
      <c r="D258" s="208" t="s">
        <v>493</v>
      </c>
      <c r="E258" s="208" t="s">
        <v>402</v>
      </c>
      <c r="F258" s="208">
        <v>2026</v>
      </c>
      <c r="G258" s="208">
        <v>1</v>
      </c>
      <c r="H258" s="208" t="s">
        <v>57</v>
      </c>
      <c r="I258" s="208" t="s">
        <v>89</v>
      </c>
      <c r="J258" s="208" t="s">
        <v>311</v>
      </c>
      <c r="K258" s="208" t="s">
        <v>90</v>
      </c>
      <c r="L258" s="208" t="s">
        <v>494</v>
      </c>
      <c r="M258" s="208">
        <v>1</v>
      </c>
      <c r="N258" s="208"/>
      <c r="O258" s="208" t="s">
        <v>93</v>
      </c>
      <c r="P258" s="208"/>
      <c r="Q258" s="207"/>
      <c r="R258" s="208"/>
    </row>
    <row r="259" spans="1:18">
      <c r="A259" s="277">
        <v>217</v>
      </c>
      <c r="B259" s="278">
        <v>46099</v>
      </c>
      <c r="C259" s="208" t="s">
        <v>294</v>
      </c>
      <c r="D259" s="208" t="s">
        <v>477</v>
      </c>
      <c r="E259" s="208" t="s">
        <v>402</v>
      </c>
      <c r="F259" s="208">
        <v>2026</v>
      </c>
      <c r="G259" s="208">
        <v>3</v>
      </c>
      <c r="H259" s="208" t="s">
        <v>461</v>
      </c>
      <c r="I259" s="208" t="s">
        <v>136</v>
      </c>
      <c r="J259" s="208" t="s">
        <v>462</v>
      </c>
      <c r="K259" s="208" t="s">
        <v>101</v>
      </c>
      <c r="L259" s="208" t="s">
        <v>495</v>
      </c>
      <c r="M259" s="208">
        <v>3</v>
      </c>
      <c r="N259" s="208"/>
      <c r="O259" s="208" t="s">
        <v>138</v>
      </c>
      <c r="P259" s="208"/>
      <c r="Q259" s="207"/>
      <c r="R259" s="208"/>
    </row>
    <row r="260" spans="1:18">
      <c r="A260" s="277">
        <v>218</v>
      </c>
      <c r="B260" s="278">
        <v>46099</v>
      </c>
      <c r="C260" s="208" t="s">
        <v>294</v>
      </c>
      <c r="D260" s="208" t="s">
        <v>479</v>
      </c>
      <c r="E260" s="208" t="s">
        <v>402</v>
      </c>
      <c r="F260" s="208">
        <v>2026</v>
      </c>
      <c r="G260" s="208">
        <v>3</v>
      </c>
      <c r="H260" s="208" t="s">
        <v>461</v>
      </c>
      <c r="I260" s="208" t="s">
        <v>136</v>
      </c>
      <c r="J260" s="208" t="s">
        <v>462</v>
      </c>
      <c r="K260" s="208" t="s">
        <v>10</v>
      </c>
      <c r="L260" s="208" t="s">
        <v>495</v>
      </c>
      <c r="M260" s="208">
        <v>3</v>
      </c>
      <c r="N260" s="208"/>
      <c r="O260" s="208" t="s">
        <v>138</v>
      </c>
      <c r="P260" s="208"/>
      <c r="Q260" s="207"/>
      <c r="R260" s="208"/>
    </row>
    <row r="261" spans="1:18">
      <c r="A261" s="277">
        <v>219</v>
      </c>
      <c r="B261" s="278">
        <v>46099</v>
      </c>
      <c r="C261" s="208" t="s">
        <v>294</v>
      </c>
      <c r="D261" s="208" t="s">
        <v>480</v>
      </c>
      <c r="E261" s="208" t="s">
        <v>402</v>
      </c>
      <c r="F261" s="208">
        <v>2026</v>
      </c>
      <c r="G261" s="208">
        <v>3</v>
      </c>
      <c r="H261" s="208" t="s">
        <v>132</v>
      </c>
      <c r="I261" s="208" t="s">
        <v>133</v>
      </c>
      <c r="J261" s="208" t="s">
        <v>360</v>
      </c>
      <c r="K261" s="208" t="s">
        <v>106</v>
      </c>
      <c r="L261" s="208" t="s">
        <v>496</v>
      </c>
      <c r="M261" s="208">
        <v>3</v>
      </c>
      <c r="N261" s="208"/>
      <c r="O261" s="208" t="s">
        <v>127</v>
      </c>
      <c r="P261" s="208"/>
      <c r="Q261" s="207"/>
      <c r="R261" s="208"/>
    </row>
    <row r="262" spans="1:18">
      <c r="A262" s="277">
        <v>220</v>
      </c>
      <c r="B262" s="278">
        <v>46099</v>
      </c>
      <c r="C262" s="208" t="s">
        <v>294</v>
      </c>
      <c r="D262" s="208" t="s">
        <v>482</v>
      </c>
      <c r="E262" s="208" t="s">
        <v>402</v>
      </c>
      <c r="F262" s="208">
        <v>2026</v>
      </c>
      <c r="G262" s="208">
        <v>2</v>
      </c>
      <c r="H262" s="208" t="s">
        <v>132</v>
      </c>
      <c r="I262" s="208" t="s">
        <v>133</v>
      </c>
      <c r="J262" s="208" t="s">
        <v>360</v>
      </c>
      <c r="K262" s="208" t="s">
        <v>135</v>
      </c>
      <c r="L262" s="208" t="s">
        <v>496</v>
      </c>
      <c r="M262" s="208">
        <v>2</v>
      </c>
      <c r="N262" s="208"/>
      <c r="O262" s="208" t="s">
        <v>127</v>
      </c>
      <c r="P262" s="208"/>
      <c r="Q262" s="207"/>
      <c r="R262" s="208"/>
    </row>
    <row r="263" spans="1:18">
      <c r="A263" s="277">
        <v>221</v>
      </c>
      <c r="B263" s="278">
        <v>46099</v>
      </c>
      <c r="C263" s="208" t="s">
        <v>294</v>
      </c>
      <c r="D263" s="208" t="s">
        <v>497</v>
      </c>
      <c r="E263" s="208" t="s">
        <v>402</v>
      </c>
      <c r="F263" s="208">
        <v>2026</v>
      </c>
      <c r="G263" s="208" t="s">
        <v>498</v>
      </c>
      <c r="H263" s="208" t="s">
        <v>57</v>
      </c>
      <c r="I263" s="208" t="s">
        <v>454</v>
      </c>
      <c r="J263" s="208" t="s">
        <v>311</v>
      </c>
      <c r="K263" s="208"/>
      <c r="L263" s="208" t="s">
        <v>499</v>
      </c>
      <c r="M263" s="208" t="s">
        <v>498</v>
      </c>
      <c r="N263" s="208"/>
      <c r="O263" s="208" t="s">
        <v>72</v>
      </c>
      <c r="P263" s="208"/>
      <c r="Q263" s="207"/>
      <c r="R263" s="208"/>
    </row>
    <row r="264" spans="1:18">
      <c r="A264" s="277">
        <v>222</v>
      </c>
      <c r="B264" s="278">
        <v>46099</v>
      </c>
      <c r="C264" s="208" t="s">
        <v>294</v>
      </c>
      <c r="D264" s="208" t="s">
        <v>483</v>
      </c>
      <c r="E264" s="208" t="s">
        <v>402</v>
      </c>
      <c r="F264" s="208">
        <v>2026</v>
      </c>
      <c r="G264" s="208">
        <v>2</v>
      </c>
      <c r="H264" s="208" t="s">
        <v>99</v>
      </c>
      <c r="I264" s="208" t="s">
        <v>108</v>
      </c>
      <c r="J264" s="208" t="s">
        <v>366</v>
      </c>
      <c r="K264" s="208" t="s">
        <v>10</v>
      </c>
      <c r="L264" s="208" t="s">
        <v>500</v>
      </c>
      <c r="M264" s="208">
        <v>2</v>
      </c>
      <c r="N264" s="208"/>
      <c r="O264" s="208" t="s">
        <v>485</v>
      </c>
      <c r="P264" s="208"/>
      <c r="Q264" s="207"/>
      <c r="R264" s="208"/>
    </row>
    <row r="265" spans="1:18">
      <c r="A265" s="277">
        <v>223</v>
      </c>
      <c r="B265" s="278">
        <v>46099</v>
      </c>
      <c r="C265" s="208" t="s">
        <v>294</v>
      </c>
      <c r="D265" s="208" t="s">
        <v>491</v>
      </c>
      <c r="E265" s="208" t="s">
        <v>402</v>
      </c>
      <c r="F265" s="208">
        <v>2026</v>
      </c>
      <c r="G265" s="208">
        <v>2.5</v>
      </c>
      <c r="H265" s="208" t="s">
        <v>99</v>
      </c>
      <c r="I265" s="208" t="s">
        <v>108</v>
      </c>
      <c r="J265" s="208" t="s">
        <v>366</v>
      </c>
      <c r="K265" s="208" t="s">
        <v>106</v>
      </c>
      <c r="L265" s="208" t="s">
        <v>484</v>
      </c>
      <c r="M265" s="208">
        <v>2.5</v>
      </c>
      <c r="N265" s="208"/>
      <c r="O265" s="208" t="s">
        <v>63</v>
      </c>
      <c r="P265" s="208"/>
      <c r="Q265" s="207"/>
      <c r="R265" s="208"/>
    </row>
    <row r="266" spans="1:18">
      <c r="A266" s="277">
        <v>224</v>
      </c>
      <c r="B266" s="278">
        <v>46099</v>
      </c>
      <c r="C266" s="208" t="s">
        <v>294</v>
      </c>
      <c r="D266" s="208" t="s">
        <v>398</v>
      </c>
      <c r="E266" s="208" t="s">
        <v>402</v>
      </c>
      <c r="F266" s="208">
        <v>2026</v>
      </c>
      <c r="G266" s="208">
        <v>2</v>
      </c>
      <c r="H266" s="208" t="s">
        <v>57</v>
      </c>
      <c r="I266" s="208" t="s">
        <v>74</v>
      </c>
      <c r="J266" s="208" t="s">
        <v>373</v>
      </c>
      <c r="K266" s="208"/>
      <c r="L266" s="208" t="s">
        <v>501</v>
      </c>
      <c r="M266" s="208">
        <v>2</v>
      </c>
      <c r="N266" s="208"/>
      <c r="O266" s="208" t="s">
        <v>66</v>
      </c>
      <c r="P266" s="208"/>
      <c r="Q266" s="207"/>
      <c r="R266" s="208"/>
    </row>
    <row r="267" spans="1:18">
      <c r="A267" s="277">
        <v>225</v>
      </c>
      <c r="B267" s="278">
        <v>46099</v>
      </c>
      <c r="C267" s="208" t="s">
        <v>294</v>
      </c>
      <c r="D267" s="208" t="s">
        <v>372</v>
      </c>
      <c r="E267" s="208" t="s">
        <v>402</v>
      </c>
      <c r="F267" s="208">
        <v>2026</v>
      </c>
      <c r="G267" s="208">
        <v>2.5</v>
      </c>
      <c r="H267" s="208" t="s">
        <v>57</v>
      </c>
      <c r="I267" s="208" t="s">
        <v>58</v>
      </c>
      <c r="J267" s="208" t="s">
        <v>373</v>
      </c>
      <c r="K267" s="208"/>
      <c r="L267" s="208" t="s">
        <v>474</v>
      </c>
      <c r="M267" s="208">
        <v>2.5</v>
      </c>
      <c r="N267" s="208"/>
      <c r="O267" s="208" t="s">
        <v>414</v>
      </c>
      <c r="P267" s="208"/>
      <c r="Q267" s="207"/>
      <c r="R267" s="208"/>
    </row>
    <row r="268" spans="1:18">
      <c r="A268" s="277">
        <v>226</v>
      </c>
      <c r="B268" s="278">
        <v>46099</v>
      </c>
      <c r="C268" s="208" t="s">
        <v>294</v>
      </c>
      <c r="D268" s="208" t="s">
        <v>377</v>
      </c>
      <c r="E268" s="208" t="s">
        <v>402</v>
      </c>
      <c r="F268" s="208">
        <v>2026</v>
      </c>
      <c r="G268" s="208">
        <v>3</v>
      </c>
      <c r="H268" s="208" t="s">
        <v>61</v>
      </c>
      <c r="I268" s="208" t="s">
        <v>62</v>
      </c>
      <c r="J268" s="208" t="s">
        <v>360</v>
      </c>
      <c r="K268" s="208" t="s">
        <v>34</v>
      </c>
      <c r="L268" s="208" t="s">
        <v>502</v>
      </c>
      <c r="M268" s="208">
        <v>3</v>
      </c>
      <c r="N268" s="208"/>
      <c r="O268" s="208" t="s">
        <v>63</v>
      </c>
      <c r="P268" s="208"/>
      <c r="Q268" s="207"/>
      <c r="R268" s="208"/>
    </row>
    <row r="269" spans="1:18">
      <c r="A269" s="277">
        <v>227</v>
      </c>
      <c r="B269" s="278">
        <v>46099</v>
      </c>
      <c r="C269" s="208" t="s">
        <v>294</v>
      </c>
      <c r="D269" s="208" t="s">
        <v>503</v>
      </c>
      <c r="E269" s="208" t="s">
        <v>402</v>
      </c>
      <c r="F269" s="208">
        <v>2026</v>
      </c>
      <c r="G269" s="208">
        <v>5</v>
      </c>
      <c r="H269" s="208" t="s">
        <v>61</v>
      </c>
      <c r="I269" s="208" t="s">
        <v>62</v>
      </c>
      <c r="J269" s="208" t="s">
        <v>360</v>
      </c>
      <c r="K269" s="208" t="s">
        <v>35</v>
      </c>
      <c r="L269" s="208" t="s">
        <v>487</v>
      </c>
      <c r="M269" s="208">
        <v>5</v>
      </c>
      <c r="N269" s="208"/>
      <c r="O269" s="208" t="s">
        <v>87</v>
      </c>
      <c r="P269" s="208"/>
      <c r="Q269" s="207"/>
      <c r="R269" s="208"/>
    </row>
    <row r="270" spans="1:18">
      <c r="A270" s="277">
        <v>228</v>
      </c>
      <c r="B270" s="278">
        <v>46099</v>
      </c>
      <c r="C270" s="208" t="s">
        <v>294</v>
      </c>
      <c r="D270" s="208" t="s">
        <v>451</v>
      </c>
      <c r="E270" s="208" t="s">
        <v>402</v>
      </c>
      <c r="F270" s="208">
        <v>2026</v>
      </c>
      <c r="G270" s="208">
        <v>3</v>
      </c>
      <c r="H270" s="208" t="s">
        <v>61</v>
      </c>
      <c r="I270" s="208" t="s">
        <v>62</v>
      </c>
      <c r="J270" s="208" t="s">
        <v>360</v>
      </c>
      <c r="K270" s="208" t="s">
        <v>37</v>
      </c>
      <c r="L270" s="208" t="s">
        <v>394</v>
      </c>
      <c r="M270" s="208">
        <v>3</v>
      </c>
      <c r="N270" s="208"/>
      <c r="O270" s="208" t="s">
        <v>112</v>
      </c>
      <c r="P270" s="208"/>
      <c r="Q270" s="207"/>
      <c r="R270" s="208"/>
    </row>
    <row r="271" spans="1:18">
      <c r="A271" s="277">
        <v>229</v>
      </c>
      <c r="B271" s="278">
        <v>46099</v>
      </c>
      <c r="C271" s="208" t="s">
        <v>294</v>
      </c>
      <c r="D271" s="208" t="s">
        <v>452</v>
      </c>
      <c r="E271" s="208" t="s">
        <v>402</v>
      </c>
      <c r="F271" s="208">
        <v>2026</v>
      </c>
      <c r="G271" s="208">
        <v>3</v>
      </c>
      <c r="H271" s="208" t="s">
        <v>61</v>
      </c>
      <c r="I271" s="208" t="s">
        <v>62</v>
      </c>
      <c r="J271" s="208" t="s">
        <v>360</v>
      </c>
      <c r="K271" s="208" t="s">
        <v>38</v>
      </c>
      <c r="L271" s="208" t="s">
        <v>394</v>
      </c>
      <c r="M271" s="208">
        <v>3</v>
      </c>
      <c r="N271" s="208"/>
      <c r="O271" s="208" t="s">
        <v>87</v>
      </c>
      <c r="P271" s="208"/>
      <c r="Q271" s="207"/>
      <c r="R271" s="208"/>
    </row>
    <row r="272" spans="1:18">
      <c r="A272" s="277">
        <v>230</v>
      </c>
      <c r="B272" s="278">
        <v>46100</v>
      </c>
      <c r="C272" s="208" t="s">
        <v>298</v>
      </c>
      <c r="D272" s="208" t="s">
        <v>504</v>
      </c>
      <c r="E272" s="208" t="s">
        <v>402</v>
      </c>
      <c r="F272" s="208">
        <v>2026</v>
      </c>
      <c r="G272" s="208">
        <v>1</v>
      </c>
      <c r="H272" s="208" t="s">
        <v>461</v>
      </c>
      <c r="I272" s="208" t="s">
        <v>142</v>
      </c>
      <c r="J272" s="208" t="s">
        <v>462</v>
      </c>
      <c r="K272" s="208" t="s">
        <v>10</v>
      </c>
      <c r="L272" s="208" t="s">
        <v>505</v>
      </c>
      <c r="M272" s="208">
        <v>1</v>
      </c>
      <c r="N272" s="208"/>
      <c r="O272" s="208" t="s">
        <v>93</v>
      </c>
      <c r="P272" s="208"/>
      <c r="Q272" s="207"/>
      <c r="R272" s="208"/>
    </row>
    <row r="273" spans="1:18">
      <c r="A273" s="277">
        <v>231</v>
      </c>
      <c r="B273" s="278">
        <v>46100</v>
      </c>
      <c r="C273" s="208" t="s">
        <v>298</v>
      </c>
      <c r="D273" s="208" t="s">
        <v>504</v>
      </c>
      <c r="E273" s="208" t="s">
        <v>402</v>
      </c>
      <c r="F273" s="208">
        <v>2026</v>
      </c>
      <c r="G273" s="208">
        <v>0.5</v>
      </c>
      <c r="H273" s="208" t="s">
        <v>461</v>
      </c>
      <c r="I273" s="208" t="s">
        <v>142</v>
      </c>
      <c r="J273" s="208" t="s">
        <v>462</v>
      </c>
      <c r="K273" s="208" t="s">
        <v>101</v>
      </c>
      <c r="L273" s="208" t="s">
        <v>463</v>
      </c>
      <c r="M273" s="208">
        <v>1</v>
      </c>
      <c r="N273" s="208"/>
      <c r="O273" s="208" t="s">
        <v>93</v>
      </c>
      <c r="P273" s="208"/>
      <c r="Q273" s="207"/>
      <c r="R273" s="208"/>
    </row>
    <row r="274" spans="1:18">
      <c r="A274" s="277">
        <v>232</v>
      </c>
      <c r="B274" s="278">
        <v>46100</v>
      </c>
      <c r="C274" s="208" t="s">
        <v>298</v>
      </c>
      <c r="D274" s="208" t="s">
        <v>377</v>
      </c>
      <c r="E274" s="208" t="s">
        <v>402</v>
      </c>
      <c r="F274" s="208">
        <v>2026</v>
      </c>
      <c r="G274" s="208">
        <v>3</v>
      </c>
      <c r="H274" s="208" t="s">
        <v>61</v>
      </c>
      <c r="I274" s="208" t="s">
        <v>62</v>
      </c>
      <c r="J274" s="208" t="s">
        <v>360</v>
      </c>
      <c r="K274" s="208" t="s">
        <v>34</v>
      </c>
      <c r="L274" s="208" t="s">
        <v>506</v>
      </c>
      <c r="M274" s="208">
        <v>3</v>
      </c>
      <c r="N274" s="208"/>
      <c r="O274" s="208" t="s">
        <v>63</v>
      </c>
      <c r="P274" s="208"/>
      <c r="Q274" s="207"/>
      <c r="R274" s="208"/>
    </row>
    <row r="275" spans="1:18">
      <c r="A275" s="277">
        <v>233</v>
      </c>
      <c r="B275" s="278">
        <v>46100</v>
      </c>
      <c r="C275" s="208" t="s">
        <v>298</v>
      </c>
      <c r="D275" s="208" t="s">
        <v>377</v>
      </c>
      <c r="E275" s="208" t="s">
        <v>402</v>
      </c>
      <c r="F275" s="208">
        <v>2026</v>
      </c>
      <c r="G275" s="208">
        <v>3</v>
      </c>
      <c r="H275" s="208" t="s">
        <v>61</v>
      </c>
      <c r="I275" s="208" t="s">
        <v>62</v>
      </c>
      <c r="J275" s="208" t="s">
        <v>360</v>
      </c>
      <c r="K275" s="208" t="s">
        <v>35</v>
      </c>
      <c r="L275" s="208" t="s">
        <v>502</v>
      </c>
      <c r="M275" s="208">
        <v>3</v>
      </c>
      <c r="N275" s="208"/>
      <c r="O275" s="208" t="s">
        <v>87</v>
      </c>
      <c r="P275" s="208"/>
      <c r="Q275" s="207"/>
      <c r="R275" s="208"/>
    </row>
    <row r="276" spans="1:18">
      <c r="A276" s="277">
        <v>234</v>
      </c>
      <c r="B276" s="278">
        <v>46100</v>
      </c>
      <c r="C276" s="208" t="s">
        <v>298</v>
      </c>
      <c r="D276" s="208" t="s">
        <v>451</v>
      </c>
      <c r="E276" s="208" t="s">
        <v>402</v>
      </c>
      <c r="F276" s="208">
        <v>2026</v>
      </c>
      <c r="G276" s="208">
        <v>3</v>
      </c>
      <c r="H276" s="208" t="s">
        <v>61</v>
      </c>
      <c r="I276" s="208" t="s">
        <v>62</v>
      </c>
      <c r="J276" s="208" t="s">
        <v>360</v>
      </c>
      <c r="K276" s="208" t="s">
        <v>37</v>
      </c>
      <c r="L276" s="208" t="s">
        <v>397</v>
      </c>
      <c r="M276" s="208">
        <v>3</v>
      </c>
      <c r="N276" s="208"/>
      <c r="O276" s="208" t="s">
        <v>112</v>
      </c>
      <c r="P276" s="208"/>
      <c r="Q276" s="207"/>
      <c r="R276" s="208"/>
    </row>
    <row r="277" spans="1:18">
      <c r="A277" s="277">
        <v>235</v>
      </c>
      <c r="B277" s="278">
        <v>46100</v>
      </c>
      <c r="C277" s="208" t="s">
        <v>298</v>
      </c>
      <c r="D277" s="208" t="s">
        <v>452</v>
      </c>
      <c r="E277" s="208" t="s">
        <v>402</v>
      </c>
      <c r="F277" s="208">
        <v>2026</v>
      </c>
      <c r="G277" s="208">
        <v>3</v>
      </c>
      <c r="H277" s="208" t="s">
        <v>61</v>
      </c>
      <c r="I277" s="208" t="s">
        <v>62</v>
      </c>
      <c r="J277" s="208" t="s">
        <v>360</v>
      </c>
      <c r="K277" s="208" t="s">
        <v>38</v>
      </c>
      <c r="L277" s="208" t="s">
        <v>397</v>
      </c>
      <c r="M277" s="208">
        <v>3</v>
      </c>
      <c r="N277" s="208"/>
      <c r="O277" s="208" t="s">
        <v>87</v>
      </c>
      <c r="P277" s="208"/>
      <c r="Q277" s="207"/>
      <c r="R277" s="208"/>
    </row>
    <row r="278" spans="1:18">
      <c r="A278" s="277">
        <v>236</v>
      </c>
      <c r="B278" s="278">
        <v>46101</v>
      </c>
      <c r="C278" s="208" t="s">
        <v>301</v>
      </c>
      <c r="D278" s="208" t="s">
        <v>490</v>
      </c>
      <c r="E278" s="208" t="s">
        <v>402</v>
      </c>
      <c r="F278" s="208">
        <v>2026</v>
      </c>
      <c r="G278" s="208">
        <v>2</v>
      </c>
      <c r="H278" s="208" t="s">
        <v>99</v>
      </c>
      <c r="I278" s="208" t="s">
        <v>108</v>
      </c>
      <c r="J278" s="208" t="s">
        <v>366</v>
      </c>
      <c r="K278" s="208" t="s">
        <v>101</v>
      </c>
      <c r="L278" s="208" t="s">
        <v>500</v>
      </c>
      <c r="M278" s="208">
        <v>2</v>
      </c>
      <c r="N278" s="208"/>
      <c r="O278" s="208" t="s">
        <v>66</v>
      </c>
      <c r="P278" s="208"/>
      <c r="Q278" s="207"/>
      <c r="R278" s="208"/>
    </row>
    <row r="279" spans="1:18">
      <c r="A279" s="277">
        <v>237</v>
      </c>
      <c r="B279" s="278">
        <v>46101</v>
      </c>
      <c r="C279" s="208" t="s">
        <v>301</v>
      </c>
      <c r="D279" s="208" t="s">
        <v>491</v>
      </c>
      <c r="E279" s="208" t="s">
        <v>402</v>
      </c>
      <c r="F279" s="208">
        <v>2026</v>
      </c>
      <c r="G279" s="208">
        <v>2</v>
      </c>
      <c r="H279" s="208" t="s">
        <v>99</v>
      </c>
      <c r="I279" s="208" t="s">
        <v>108</v>
      </c>
      <c r="J279" s="208" t="s">
        <v>366</v>
      </c>
      <c r="K279" s="208" t="s">
        <v>104</v>
      </c>
      <c r="L279" s="208" t="s">
        <v>500</v>
      </c>
      <c r="M279" s="208">
        <v>2</v>
      </c>
      <c r="N279" s="208"/>
      <c r="O279" s="208" t="s">
        <v>63</v>
      </c>
      <c r="P279" s="208"/>
      <c r="Q279" s="207"/>
      <c r="R279" s="208"/>
    </row>
    <row r="280" spans="1:18">
      <c r="A280" s="277"/>
      <c r="B280" s="278">
        <v>46101</v>
      </c>
      <c r="C280" s="208" t="s">
        <v>301</v>
      </c>
      <c r="D280" s="208" t="s">
        <v>372</v>
      </c>
      <c r="E280" s="208" t="s">
        <v>402</v>
      </c>
      <c r="F280" s="208">
        <v>2026</v>
      </c>
      <c r="G280" s="208"/>
      <c r="H280" s="208" t="s">
        <v>57</v>
      </c>
      <c r="I280" s="208" t="s">
        <v>58</v>
      </c>
      <c r="J280" s="208" t="s">
        <v>373</v>
      </c>
      <c r="K280" s="208"/>
      <c r="L280" s="208" t="s">
        <v>427</v>
      </c>
      <c r="M280" s="208"/>
      <c r="N280" s="208"/>
      <c r="O280" s="208"/>
      <c r="P280" s="208"/>
      <c r="Q280" s="207"/>
      <c r="R280" s="208"/>
    </row>
    <row r="281" spans="1:18">
      <c r="A281" s="277">
        <v>238</v>
      </c>
      <c r="B281" s="278">
        <v>46101</v>
      </c>
      <c r="C281" s="208" t="s">
        <v>301</v>
      </c>
      <c r="D281" s="208" t="s">
        <v>377</v>
      </c>
      <c r="E281" s="208" t="s">
        <v>402</v>
      </c>
      <c r="F281" s="208">
        <v>2026</v>
      </c>
      <c r="G281" s="208">
        <v>3</v>
      </c>
      <c r="H281" s="208" t="s">
        <v>61</v>
      </c>
      <c r="I281" s="208" t="s">
        <v>62</v>
      </c>
      <c r="J281" s="208" t="s">
        <v>360</v>
      </c>
      <c r="K281" s="208" t="s">
        <v>34</v>
      </c>
      <c r="L281" s="208" t="s">
        <v>507</v>
      </c>
      <c r="M281" s="208">
        <v>3</v>
      </c>
      <c r="N281" s="208"/>
      <c r="O281" s="208" t="s">
        <v>63</v>
      </c>
      <c r="P281" s="208"/>
      <c r="Q281" s="207"/>
      <c r="R281" s="208"/>
    </row>
    <row r="282" spans="1:18">
      <c r="A282" s="277">
        <v>239</v>
      </c>
      <c r="B282" s="278">
        <v>46101</v>
      </c>
      <c r="C282" s="208" t="s">
        <v>301</v>
      </c>
      <c r="D282" s="208" t="s">
        <v>377</v>
      </c>
      <c r="E282" s="208" t="s">
        <v>402</v>
      </c>
      <c r="F282" s="208">
        <v>2026</v>
      </c>
      <c r="G282" s="208">
        <v>3</v>
      </c>
      <c r="H282" s="208" t="s">
        <v>61</v>
      </c>
      <c r="I282" s="208" t="s">
        <v>62</v>
      </c>
      <c r="J282" s="208" t="s">
        <v>360</v>
      </c>
      <c r="K282" s="208" t="s">
        <v>35</v>
      </c>
      <c r="L282" s="208" t="s">
        <v>506</v>
      </c>
      <c r="M282" s="208">
        <v>3</v>
      </c>
      <c r="N282" s="208"/>
      <c r="O282" s="208" t="s">
        <v>87</v>
      </c>
      <c r="P282" s="208"/>
      <c r="Q282" s="207"/>
      <c r="R282" s="208"/>
    </row>
    <row r="283" spans="1:18">
      <c r="A283" s="277">
        <v>240</v>
      </c>
      <c r="B283" s="278">
        <v>46101</v>
      </c>
      <c r="C283" s="208" t="s">
        <v>301</v>
      </c>
      <c r="D283" s="208" t="s">
        <v>451</v>
      </c>
      <c r="E283" s="208" t="s">
        <v>402</v>
      </c>
      <c r="F283" s="208">
        <v>2026</v>
      </c>
      <c r="G283" s="208">
        <v>3</v>
      </c>
      <c r="H283" s="208" t="s">
        <v>61</v>
      </c>
      <c r="I283" s="208" t="s">
        <v>62</v>
      </c>
      <c r="J283" s="208" t="s">
        <v>360</v>
      </c>
      <c r="K283" s="208" t="s">
        <v>37</v>
      </c>
      <c r="L283" s="208" t="s">
        <v>405</v>
      </c>
      <c r="M283" s="208">
        <v>3</v>
      </c>
      <c r="N283" s="208"/>
      <c r="O283" s="208" t="s">
        <v>112</v>
      </c>
      <c r="P283" s="208"/>
      <c r="Q283" s="207"/>
      <c r="R283" s="208"/>
    </row>
    <row r="284" spans="1:18">
      <c r="A284" s="277">
        <v>241</v>
      </c>
      <c r="B284" s="278">
        <v>46104</v>
      </c>
      <c r="C284" s="208" t="s">
        <v>302</v>
      </c>
      <c r="D284" s="208"/>
      <c r="E284" s="208" t="s">
        <v>402</v>
      </c>
      <c r="F284" s="208">
        <v>2026</v>
      </c>
      <c r="G284" s="208">
        <v>3</v>
      </c>
      <c r="H284" s="208" t="s">
        <v>57</v>
      </c>
      <c r="I284" s="208" t="s">
        <v>89</v>
      </c>
      <c r="J284" s="208" t="s">
        <v>311</v>
      </c>
      <c r="K284" s="208" t="s">
        <v>90</v>
      </c>
      <c r="L284" s="208" t="s">
        <v>508</v>
      </c>
      <c r="M284" s="208">
        <v>3</v>
      </c>
      <c r="N284" s="208"/>
      <c r="O284" s="208" t="s">
        <v>91</v>
      </c>
      <c r="P284" s="208"/>
      <c r="Q284" s="207"/>
      <c r="R284" s="208"/>
    </row>
    <row r="285" spans="1:18">
      <c r="A285" s="277">
        <v>242</v>
      </c>
      <c r="B285" s="278">
        <v>46104</v>
      </c>
      <c r="C285" s="208" t="s">
        <v>302</v>
      </c>
      <c r="D285" s="208" t="s">
        <v>477</v>
      </c>
      <c r="E285" s="208" t="s">
        <v>402</v>
      </c>
      <c r="F285" s="208">
        <v>2026</v>
      </c>
      <c r="G285" s="208">
        <v>3</v>
      </c>
      <c r="H285" s="208" t="s">
        <v>461</v>
      </c>
      <c r="I285" s="208" t="s">
        <v>136</v>
      </c>
      <c r="J285" s="208" t="s">
        <v>462</v>
      </c>
      <c r="K285" s="208" t="s">
        <v>101</v>
      </c>
      <c r="L285" s="208" t="s">
        <v>509</v>
      </c>
      <c r="M285" s="208">
        <v>3</v>
      </c>
      <c r="N285" s="208"/>
      <c r="O285" s="208" t="s">
        <v>138</v>
      </c>
      <c r="P285" s="208"/>
      <c r="Q285" s="207"/>
      <c r="R285" s="208"/>
    </row>
    <row r="286" spans="1:18">
      <c r="A286" s="277">
        <v>243</v>
      </c>
      <c r="B286" s="278">
        <v>46104</v>
      </c>
      <c r="C286" s="208" t="s">
        <v>302</v>
      </c>
      <c r="D286" s="208" t="s">
        <v>479</v>
      </c>
      <c r="E286" s="208" t="s">
        <v>402</v>
      </c>
      <c r="F286" s="208">
        <v>2026</v>
      </c>
      <c r="G286" s="208">
        <v>3</v>
      </c>
      <c r="H286" s="208" t="s">
        <v>461</v>
      </c>
      <c r="I286" s="208" t="s">
        <v>136</v>
      </c>
      <c r="J286" s="208" t="s">
        <v>462</v>
      </c>
      <c r="K286" s="208" t="s">
        <v>10</v>
      </c>
      <c r="L286" s="208" t="s">
        <v>509</v>
      </c>
      <c r="M286" s="208">
        <v>3</v>
      </c>
      <c r="N286" s="208"/>
      <c r="O286" s="208" t="s">
        <v>138</v>
      </c>
      <c r="P286" s="208"/>
      <c r="Q286" s="207"/>
      <c r="R286" s="208"/>
    </row>
    <row r="287" spans="1:18">
      <c r="A287" s="277">
        <v>244</v>
      </c>
      <c r="B287" s="278">
        <v>46104</v>
      </c>
      <c r="C287" s="208" t="s">
        <v>302</v>
      </c>
      <c r="D287" s="208" t="s">
        <v>480</v>
      </c>
      <c r="E287" s="208" t="s">
        <v>402</v>
      </c>
      <c r="F287" s="208">
        <v>2026</v>
      </c>
      <c r="G287" s="208">
        <v>3</v>
      </c>
      <c r="H287" s="208" t="s">
        <v>132</v>
      </c>
      <c r="I287" s="208" t="s">
        <v>133</v>
      </c>
      <c r="J287" s="208" t="s">
        <v>360</v>
      </c>
      <c r="K287" s="208" t="s">
        <v>106</v>
      </c>
      <c r="L287" s="208" t="s">
        <v>510</v>
      </c>
      <c r="M287" s="208">
        <v>3</v>
      </c>
      <c r="N287" s="208"/>
      <c r="O287" s="208" t="s">
        <v>127</v>
      </c>
      <c r="P287" s="208"/>
      <c r="Q287" s="207"/>
      <c r="R287" s="208"/>
    </row>
    <row r="288" spans="1:18">
      <c r="A288" s="277">
        <v>245</v>
      </c>
      <c r="B288" s="278">
        <v>46104</v>
      </c>
      <c r="C288" s="208" t="s">
        <v>302</v>
      </c>
      <c r="D288" s="208" t="s">
        <v>482</v>
      </c>
      <c r="E288" s="208" t="s">
        <v>402</v>
      </c>
      <c r="F288" s="208">
        <v>2026</v>
      </c>
      <c r="G288" s="208">
        <v>2</v>
      </c>
      <c r="H288" s="208" t="s">
        <v>132</v>
      </c>
      <c r="I288" s="208" t="s">
        <v>133</v>
      </c>
      <c r="J288" s="208" t="s">
        <v>360</v>
      </c>
      <c r="K288" s="208" t="s">
        <v>135</v>
      </c>
      <c r="L288" s="208" t="s">
        <v>511</v>
      </c>
      <c r="M288" s="208">
        <v>2</v>
      </c>
      <c r="N288" s="208"/>
      <c r="O288" s="208" t="s">
        <v>127</v>
      </c>
      <c r="P288" s="208"/>
      <c r="Q288" s="207"/>
      <c r="R288" s="208"/>
    </row>
    <row r="289" spans="1:18">
      <c r="A289" s="277">
        <v>246</v>
      </c>
      <c r="B289" s="278">
        <v>46104</v>
      </c>
      <c r="C289" s="208" t="s">
        <v>302</v>
      </c>
      <c r="D289" s="208" t="s">
        <v>483</v>
      </c>
      <c r="E289" s="208" t="s">
        <v>402</v>
      </c>
      <c r="F289" s="208">
        <v>2026</v>
      </c>
      <c r="G289" s="208">
        <v>2</v>
      </c>
      <c r="H289" s="208" t="s">
        <v>99</v>
      </c>
      <c r="I289" s="208" t="s">
        <v>108</v>
      </c>
      <c r="J289" s="208" t="s">
        <v>366</v>
      </c>
      <c r="K289" s="208" t="s">
        <v>10</v>
      </c>
      <c r="L289" s="208" t="s">
        <v>512</v>
      </c>
      <c r="M289" s="208">
        <v>2</v>
      </c>
      <c r="N289" s="208"/>
      <c r="O289" s="208" t="s">
        <v>63</v>
      </c>
      <c r="P289" s="208"/>
      <c r="Q289" s="207"/>
      <c r="R289" s="208"/>
    </row>
    <row r="290" spans="1:18">
      <c r="A290" s="277">
        <v>247</v>
      </c>
      <c r="B290" s="278">
        <v>46104</v>
      </c>
      <c r="C290" s="208" t="s">
        <v>302</v>
      </c>
      <c r="D290" s="208" t="s">
        <v>491</v>
      </c>
      <c r="E290" s="208" t="s">
        <v>402</v>
      </c>
      <c r="F290" s="208">
        <v>2026</v>
      </c>
      <c r="G290" s="208">
        <v>2.5</v>
      </c>
      <c r="H290" s="208" t="s">
        <v>99</v>
      </c>
      <c r="I290" s="208" t="s">
        <v>108</v>
      </c>
      <c r="J290" s="208" t="s">
        <v>366</v>
      </c>
      <c r="K290" s="208" t="s">
        <v>106</v>
      </c>
      <c r="L290" s="208" t="s">
        <v>500</v>
      </c>
      <c r="M290" s="208">
        <v>2.5</v>
      </c>
      <c r="N290" s="208"/>
      <c r="O290" s="208" t="s">
        <v>63</v>
      </c>
      <c r="P290" s="208"/>
      <c r="Q290" s="207"/>
      <c r="R290" s="208"/>
    </row>
    <row r="291" spans="1:18">
      <c r="A291" s="277">
        <v>248</v>
      </c>
      <c r="B291" s="278">
        <v>46104</v>
      </c>
      <c r="C291" s="208" t="s">
        <v>302</v>
      </c>
      <c r="D291" s="208" t="s">
        <v>377</v>
      </c>
      <c r="E291" s="208" t="s">
        <v>402</v>
      </c>
      <c r="F291" s="208">
        <v>2026</v>
      </c>
      <c r="G291" s="208">
        <v>3</v>
      </c>
      <c r="H291" s="208" t="s">
        <v>61</v>
      </c>
      <c r="I291" s="208" t="s">
        <v>62</v>
      </c>
      <c r="J291" s="208" t="s">
        <v>360</v>
      </c>
      <c r="K291" s="208" t="s">
        <v>34</v>
      </c>
      <c r="L291" s="208" t="s">
        <v>513</v>
      </c>
      <c r="M291" s="208">
        <v>3</v>
      </c>
      <c r="N291" s="208"/>
      <c r="O291" s="208" t="s">
        <v>63</v>
      </c>
      <c r="P291" s="208"/>
      <c r="Q291" s="207"/>
      <c r="R291" s="208"/>
    </row>
    <row r="292" spans="1:18">
      <c r="A292" s="277">
        <v>249</v>
      </c>
      <c r="B292" s="278">
        <v>46104</v>
      </c>
      <c r="C292" s="208" t="s">
        <v>302</v>
      </c>
      <c r="D292" s="208" t="s">
        <v>377</v>
      </c>
      <c r="E292" s="208" t="s">
        <v>402</v>
      </c>
      <c r="F292" s="208">
        <v>2026</v>
      </c>
      <c r="G292" s="208">
        <v>3</v>
      </c>
      <c r="H292" s="208" t="s">
        <v>61</v>
      </c>
      <c r="I292" s="208" t="s">
        <v>62</v>
      </c>
      <c r="J292" s="208" t="s">
        <v>360</v>
      </c>
      <c r="K292" s="208" t="s">
        <v>35</v>
      </c>
      <c r="L292" s="208" t="s">
        <v>507</v>
      </c>
      <c r="M292" s="208">
        <v>3</v>
      </c>
      <c r="N292" s="208"/>
      <c r="O292" s="208" t="s">
        <v>87</v>
      </c>
      <c r="P292" s="208"/>
      <c r="Q292" s="207"/>
      <c r="R292" s="208"/>
    </row>
    <row r="293" spans="1:18">
      <c r="A293" s="277">
        <v>250</v>
      </c>
      <c r="B293" s="278">
        <v>46104</v>
      </c>
      <c r="C293" s="208" t="s">
        <v>302</v>
      </c>
      <c r="D293" s="208" t="s">
        <v>451</v>
      </c>
      <c r="E293" s="208" t="s">
        <v>402</v>
      </c>
      <c r="F293" s="208">
        <v>2026</v>
      </c>
      <c r="G293" s="208">
        <v>3</v>
      </c>
      <c r="H293" s="208" t="s">
        <v>61</v>
      </c>
      <c r="I293" s="208" t="s">
        <v>62</v>
      </c>
      <c r="J293" s="208" t="s">
        <v>360</v>
      </c>
      <c r="K293" s="208" t="s">
        <v>37</v>
      </c>
      <c r="L293" s="208" t="s">
        <v>407</v>
      </c>
      <c r="M293" s="208">
        <v>3</v>
      </c>
      <c r="N293" s="208"/>
      <c r="O293" s="208" t="s">
        <v>112</v>
      </c>
      <c r="P293" s="208"/>
      <c r="Q293" s="207"/>
      <c r="R293" s="208"/>
    </row>
    <row r="294" spans="1:18">
      <c r="A294" s="277">
        <v>251</v>
      </c>
      <c r="B294" s="278">
        <v>46105</v>
      </c>
      <c r="C294" s="208" t="s">
        <v>289</v>
      </c>
      <c r="D294" s="208" t="s">
        <v>479</v>
      </c>
      <c r="E294" s="208" t="s">
        <v>402</v>
      </c>
      <c r="F294" s="208">
        <v>2026</v>
      </c>
      <c r="G294" s="208">
        <v>3</v>
      </c>
      <c r="H294" s="208" t="s">
        <v>461</v>
      </c>
      <c r="I294" s="208" t="s">
        <v>142</v>
      </c>
      <c r="J294" s="208" t="s">
        <v>462</v>
      </c>
      <c r="K294" s="208" t="s">
        <v>10</v>
      </c>
      <c r="L294" s="208" t="s">
        <v>514</v>
      </c>
      <c r="M294" s="208">
        <v>3</v>
      </c>
      <c r="N294" s="208"/>
      <c r="O294" s="208" t="s">
        <v>102</v>
      </c>
      <c r="P294" s="208"/>
      <c r="Q294" s="207"/>
      <c r="R294" s="208"/>
    </row>
    <row r="295" spans="1:18">
      <c r="A295" s="277">
        <v>252</v>
      </c>
      <c r="B295" s="278">
        <v>46105</v>
      </c>
      <c r="C295" s="208" t="s">
        <v>289</v>
      </c>
      <c r="D295" s="208" t="s">
        <v>477</v>
      </c>
      <c r="E295" s="208" t="s">
        <v>402</v>
      </c>
      <c r="F295" s="208">
        <v>2026</v>
      </c>
      <c r="G295" s="208">
        <v>3</v>
      </c>
      <c r="H295" s="208" t="s">
        <v>461</v>
      </c>
      <c r="I295" s="208" t="s">
        <v>142</v>
      </c>
      <c r="J295" s="208" t="s">
        <v>462</v>
      </c>
      <c r="K295" s="208" t="s">
        <v>101</v>
      </c>
      <c r="L295" s="208" t="s">
        <v>514</v>
      </c>
      <c r="M295" s="208">
        <v>3</v>
      </c>
      <c r="N295" s="208"/>
      <c r="O295" s="208" t="s">
        <v>82</v>
      </c>
      <c r="P295" s="208"/>
      <c r="Q295" s="207"/>
      <c r="R295" s="208"/>
    </row>
    <row r="296" spans="1:18">
      <c r="A296" s="277">
        <v>253</v>
      </c>
      <c r="B296" s="278">
        <v>46105</v>
      </c>
      <c r="C296" s="208" t="s">
        <v>289</v>
      </c>
      <c r="D296" s="208" t="s">
        <v>497</v>
      </c>
      <c r="E296" s="208" t="s">
        <v>402</v>
      </c>
      <c r="F296" s="208">
        <v>2026</v>
      </c>
      <c r="G296" s="208" t="s">
        <v>498</v>
      </c>
      <c r="H296" s="208" t="s">
        <v>57</v>
      </c>
      <c r="I296" s="208" t="s">
        <v>454</v>
      </c>
      <c r="J296" s="208" t="s">
        <v>311</v>
      </c>
      <c r="K296" s="208"/>
      <c r="L296" s="208" t="s">
        <v>515</v>
      </c>
      <c r="M296" s="208" t="s">
        <v>498</v>
      </c>
      <c r="N296" s="208"/>
      <c r="O296" s="208" t="s">
        <v>516</v>
      </c>
      <c r="P296" s="208"/>
      <c r="Q296" s="207"/>
      <c r="R296" s="208"/>
    </row>
    <row r="297" spans="1:18">
      <c r="A297" s="277">
        <v>254</v>
      </c>
      <c r="B297" s="278">
        <v>46105</v>
      </c>
      <c r="C297" s="208" t="s">
        <v>289</v>
      </c>
      <c r="D297" s="208" t="s">
        <v>490</v>
      </c>
      <c r="E297" s="208" t="s">
        <v>402</v>
      </c>
      <c r="F297" s="208">
        <v>2026</v>
      </c>
      <c r="G297" s="208">
        <v>2</v>
      </c>
      <c r="H297" s="208" t="s">
        <v>99</v>
      </c>
      <c r="I297" s="208" t="s">
        <v>108</v>
      </c>
      <c r="J297" s="208" t="s">
        <v>366</v>
      </c>
      <c r="K297" s="208" t="s">
        <v>101</v>
      </c>
      <c r="L297" s="208" t="s">
        <v>512</v>
      </c>
      <c r="M297" s="208">
        <v>2</v>
      </c>
      <c r="N297" s="208"/>
      <c r="O297" s="208" t="s">
        <v>109</v>
      </c>
      <c r="P297" s="208"/>
      <c r="Q297" s="207"/>
      <c r="R297" s="208"/>
    </row>
    <row r="298" spans="1:18">
      <c r="A298" s="277"/>
      <c r="B298" s="278">
        <v>46105</v>
      </c>
      <c r="C298" s="208" t="s">
        <v>289</v>
      </c>
      <c r="D298" s="208"/>
      <c r="E298" s="208" t="s">
        <v>402</v>
      </c>
      <c r="F298" s="208">
        <v>2026</v>
      </c>
      <c r="G298" s="208"/>
      <c r="H298" s="208" t="s">
        <v>99</v>
      </c>
      <c r="I298" s="208" t="s">
        <v>108</v>
      </c>
      <c r="J298" s="208" t="s">
        <v>366</v>
      </c>
      <c r="K298" s="208" t="s">
        <v>104</v>
      </c>
      <c r="L298" s="208" t="s">
        <v>512</v>
      </c>
      <c r="M298" s="208"/>
      <c r="N298" s="208"/>
      <c r="O298" s="208"/>
      <c r="P298" s="208"/>
      <c r="Q298" s="207"/>
      <c r="R298" s="208"/>
    </row>
    <row r="299" spans="1:18" ht="45.75">
      <c r="A299" s="277">
        <v>255</v>
      </c>
      <c r="B299" s="278">
        <v>46105</v>
      </c>
      <c r="C299" s="208" t="s">
        <v>289</v>
      </c>
      <c r="D299" s="208" t="s">
        <v>456</v>
      </c>
      <c r="E299" s="208" t="s">
        <v>402</v>
      </c>
      <c r="F299" s="208">
        <v>2026</v>
      </c>
      <c r="G299" s="208">
        <v>2.5</v>
      </c>
      <c r="H299" s="208" t="s">
        <v>99</v>
      </c>
      <c r="I299" s="208" t="s">
        <v>100</v>
      </c>
      <c r="J299" s="208" t="s">
        <v>373</v>
      </c>
      <c r="K299" s="208" t="s">
        <v>101</v>
      </c>
      <c r="L299" s="279" t="s">
        <v>517</v>
      </c>
      <c r="M299" s="208">
        <v>2.5</v>
      </c>
      <c r="N299" s="208"/>
      <c r="O299" s="208" t="s">
        <v>102</v>
      </c>
      <c r="P299" s="208"/>
      <c r="Q299" s="207"/>
      <c r="R299" s="208"/>
    </row>
    <row r="300" spans="1:18" ht="45.75">
      <c r="A300" s="277">
        <v>256</v>
      </c>
      <c r="B300" s="278">
        <v>46105</v>
      </c>
      <c r="C300" s="208" t="s">
        <v>289</v>
      </c>
      <c r="D300" s="208" t="s">
        <v>467</v>
      </c>
      <c r="E300" s="208" t="s">
        <v>402</v>
      </c>
      <c r="F300" s="208">
        <v>2026</v>
      </c>
      <c r="G300" s="208">
        <v>2.5</v>
      </c>
      <c r="H300" s="208" t="s">
        <v>99</v>
      </c>
      <c r="I300" s="208" t="s">
        <v>100</v>
      </c>
      <c r="J300" s="208" t="s">
        <v>373</v>
      </c>
      <c r="K300" s="208" t="s">
        <v>104</v>
      </c>
      <c r="L300" s="279" t="s">
        <v>468</v>
      </c>
      <c r="M300" s="208">
        <v>2.5</v>
      </c>
      <c r="N300" s="208"/>
      <c r="O300" s="208" t="s">
        <v>432</v>
      </c>
      <c r="P300" s="208"/>
      <c r="Q300" s="207"/>
      <c r="R300" s="208"/>
    </row>
    <row r="301" spans="1:18" ht="45.75">
      <c r="A301" s="277">
        <v>257</v>
      </c>
      <c r="B301" s="278">
        <v>46105</v>
      </c>
      <c r="C301" s="208" t="s">
        <v>289</v>
      </c>
      <c r="D301" s="208" t="s">
        <v>430</v>
      </c>
      <c r="E301" s="208" t="s">
        <v>402</v>
      </c>
      <c r="F301" s="208">
        <v>2026</v>
      </c>
      <c r="G301" s="208">
        <v>2.5</v>
      </c>
      <c r="H301" s="208" t="s">
        <v>99</v>
      </c>
      <c r="I301" s="208" t="s">
        <v>100</v>
      </c>
      <c r="J301" s="208" t="s">
        <v>373</v>
      </c>
      <c r="K301" s="208" t="s">
        <v>106</v>
      </c>
      <c r="L301" s="279" t="s">
        <v>518</v>
      </c>
      <c r="M301" s="208">
        <v>2.5</v>
      </c>
      <c r="N301" s="208"/>
      <c r="O301" s="208" t="s">
        <v>432</v>
      </c>
      <c r="P301" s="208"/>
      <c r="Q301" s="207"/>
      <c r="R301" s="208"/>
    </row>
    <row r="302" spans="1:18">
      <c r="A302" s="277">
        <v>258</v>
      </c>
      <c r="B302" s="278">
        <v>46105</v>
      </c>
      <c r="C302" s="208" t="s">
        <v>289</v>
      </c>
      <c r="D302" s="208" t="s">
        <v>377</v>
      </c>
      <c r="E302" s="208" t="s">
        <v>402</v>
      </c>
      <c r="F302" s="208">
        <v>2026</v>
      </c>
      <c r="G302" s="208">
        <v>3</v>
      </c>
      <c r="H302" s="208" t="s">
        <v>61</v>
      </c>
      <c r="I302" s="208" t="s">
        <v>62</v>
      </c>
      <c r="J302" s="208" t="s">
        <v>360</v>
      </c>
      <c r="K302" s="208" t="s">
        <v>34</v>
      </c>
      <c r="L302" s="208" t="s">
        <v>519</v>
      </c>
      <c r="M302" s="208">
        <v>3</v>
      </c>
      <c r="N302" s="208"/>
      <c r="O302" s="208" t="s">
        <v>63</v>
      </c>
      <c r="P302" s="208"/>
      <c r="Q302" s="207"/>
      <c r="R302" s="208"/>
    </row>
    <row r="303" spans="1:18">
      <c r="A303" s="277">
        <v>259</v>
      </c>
      <c r="B303" s="278">
        <v>46105</v>
      </c>
      <c r="C303" s="208" t="s">
        <v>289</v>
      </c>
      <c r="D303" s="208" t="s">
        <v>377</v>
      </c>
      <c r="E303" s="208" t="s">
        <v>402</v>
      </c>
      <c r="F303" s="208">
        <v>2026</v>
      </c>
      <c r="G303" s="208">
        <v>3</v>
      </c>
      <c r="H303" s="208" t="s">
        <v>61</v>
      </c>
      <c r="I303" s="208" t="s">
        <v>62</v>
      </c>
      <c r="J303" s="208" t="s">
        <v>360</v>
      </c>
      <c r="K303" s="208" t="s">
        <v>35</v>
      </c>
      <c r="L303" s="208" t="s">
        <v>513</v>
      </c>
      <c r="M303" s="208">
        <v>3</v>
      </c>
      <c r="N303" s="208"/>
      <c r="O303" s="208" t="s">
        <v>87</v>
      </c>
      <c r="P303" s="208"/>
      <c r="Q303" s="207"/>
      <c r="R303" s="208"/>
    </row>
    <row r="304" spans="1:18">
      <c r="A304" s="277">
        <v>260</v>
      </c>
      <c r="B304" s="278">
        <v>46105</v>
      </c>
      <c r="C304" s="208" t="s">
        <v>289</v>
      </c>
      <c r="D304" s="208" t="s">
        <v>451</v>
      </c>
      <c r="E304" s="208" t="s">
        <v>402</v>
      </c>
      <c r="F304" s="208">
        <v>2026</v>
      </c>
      <c r="G304" s="208">
        <v>3</v>
      </c>
      <c r="H304" s="208" t="s">
        <v>61</v>
      </c>
      <c r="I304" s="208" t="s">
        <v>62</v>
      </c>
      <c r="J304" s="208" t="s">
        <v>360</v>
      </c>
      <c r="K304" s="208" t="s">
        <v>37</v>
      </c>
      <c r="L304" s="208" t="s">
        <v>410</v>
      </c>
      <c r="M304" s="208">
        <v>3</v>
      </c>
      <c r="N304" s="208"/>
      <c r="O304" s="208" t="s">
        <v>112</v>
      </c>
      <c r="P304" s="208"/>
      <c r="Q304" s="207"/>
      <c r="R304" s="208"/>
    </row>
    <row r="305" spans="1:18">
      <c r="A305" s="277">
        <v>261</v>
      </c>
      <c r="B305" s="278">
        <v>46105</v>
      </c>
      <c r="C305" s="208" t="s">
        <v>289</v>
      </c>
      <c r="D305" s="208" t="s">
        <v>452</v>
      </c>
      <c r="E305" s="208" t="s">
        <v>402</v>
      </c>
      <c r="F305" s="208">
        <v>2026</v>
      </c>
      <c r="G305" s="208">
        <v>3</v>
      </c>
      <c r="H305" s="208" t="s">
        <v>61</v>
      </c>
      <c r="I305" s="208" t="s">
        <v>62</v>
      </c>
      <c r="J305" s="208" t="s">
        <v>360</v>
      </c>
      <c r="K305" s="208" t="s">
        <v>38</v>
      </c>
      <c r="L305" s="208" t="s">
        <v>411</v>
      </c>
      <c r="M305" s="208">
        <v>3</v>
      </c>
      <c r="N305" s="208"/>
      <c r="O305" s="208" t="s">
        <v>85</v>
      </c>
      <c r="P305" s="208"/>
      <c r="Q305" s="207"/>
      <c r="R305" s="208"/>
    </row>
    <row r="306" spans="1:18">
      <c r="A306" s="277">
        <v>262</v>
      </c>
      <c r="B306" s="278">
        <v>46106</v>
      </c>
      <c r="C306" s="208" t="s">
        <v>294</v>
      </c>
      <c r="D306" s="208" t="s">
        <v>520</v>
      </c>
      <c r="E306" s="208" t="s">
        <v>402</v>
      </c>
      <c r="F306" s="208">
        <v>2026</v>
      </c>
      <c r="G306" s="208">
        <v>3</v>
      </c>
      <c r="H306" s="208" t="s">
        <v>57</v>
      </c>
      <c r="I306" s="208" t="s">
        <v>89</v>
      </c>
      <c r="J306" s="208" t="s">
        <v>311</v>
      </c>
      <c r="K306" s="208" t="s">
        <v>90</v>
      </c>
      <c r="L306" s="208" t="s">
        <v>521</v>
      </c>
      <c r="M306" s="208">
        <v>3</v>
      </c>
      <c r="N306" s="208"/>
      <c r="O306" s="208" t="s">
        <v>91</v>
      </c>
      <c r="P306" s="208"/>
      <c r="Q306" s="207"/>
      <c r="R306" s="208"/>
    </row>
    <row r="307" spans="1:18">
      <c r="A307" s="277">
        <v>263</v>
      </c>
      <c r="B307" s="278">
        <v>46106</v>
      </c>
      <c r="C307" s="208" t="s">
        <v>294</v>
      </c>
      <c r="D307" s="208" t="s">
        <v>477</v>
      </c>
      <c r="E307" s="208" t="s">
        <v>402</v>
      </c>
      <c r="F307" s="208">
        <v>2026</v>
      </c>
      <c r="G307" s="208">
        <v>3</v>
      </c>
      <c r="H307" s="208" t="s">
        <v>461</v>
      </c>
      <c r="I307" s="208" t="s">
        <v>136</v>
      </c>
      <c r="J307" s="208" t="s">
        <v>462</v>
      </c>
      <c r="K307" s="208" t="s">
        <v>101</v>
      </c>
      <c r="L307" s="208" t="s">
        <v>522</v>
      </c>
      <c r="M307" s="208">
        <v>3</v>
      </c>
      <c r="N307" s="208"/>
      <c r="O307" s="208" t="s">
        <v>82</v>
      </c>
      <c r="P307" s="208"/>
      <c r="Q307" s="207"/>
      <c r="R307" s="208"/>
    </row>
    <row r="308" spans="1:18">
      <c r="A308" s="277">
        <v>264</v>
      </c>
      <c r="B308" s="278">
        <v>46106</v>
      </c>
      <c r="C308" s="208" t="s">
        <v>294</v>
      </c>
      <c r="D308" s="208" t="s">
        <v>479</v>
      </c>
      <c r="E308" s="208" t="s">
        <v>402</v>
      </c>
      <c r="F308" s="208">
        <v>2026</v>
      </c>
      <c r="G308" s="208">
        <v>3</v>
      </c>
      <c r="H308" s="208" t="s">
        <v>461</v>
      </c>
      <c r="I308" s="208" t="s">
        <v>136</v>
      </c>
      <c r="J308" s="208" t="s">
        <v>462</v>
      </c>
      <c r="K308" s="208" t="s">
        <v>10</v>
      </c>
      <c r="L308" s="208" t="s">
        <v>522</v>
      </c>
      <c r="M308" s="208">
        <v>3</v>
      </c>
      <c r="N308" s="208"/>
      <c r="O308" s="208" t="s">
        <v>140</v>
      </c>
      <c r="P308" s="208"/>
      <c r="Q308" s="207"/>
      <c r="R308" s="208"/>
    </row>
    <row r="309" spans="1:18">
      <c r="A309" s="277">
        <v>265</v>
      </c>
      <c r="B309" s="278">
        <v>46106</v>
      </c>
      <c r="C309" s="208" t="s">
        <v>294</v>
      </c>
      <c r="D309" s="208" t="s">
        <v>480</v>
      </c>
      <c r="E309" s="208" t="s">
        <v>402</v>
      </c>
      <c r="F309" s="208">
        <v>2026</v>
      </c>
      <c r="G309" s="208">
        <v>3</v>
      </c>
      <c r="H309" s="208" t="s">
        <v>132</v>
      </c>
      <c r="I309" s="208" t="s">
        <v>133</v>
      </c>
      <c r="J309" s="208" t="s">
        <v>360</v>
      </c>
      <c r="K309" s="208" t="s">
        <v>106</v>
      </c>
      <c r="L309" s="208" t="s">
        <v>523</v>
      </c>
      <c r="M309" s="208">
        <v>3</v>
      </c>
      <c r="N309" s="208"/>
      <c r="O309" s="208" t="s">
        <v>127</v>
      </c>
      <c r="P309" s="208"/>
      <c r="Q309" s="207"/>
      <c r="R309" s="208"/>
    </row>
    <row r="310" spans="1:18">
      <c r="A310" s="277">
        <v>266</v>
      </c>
      <c r="B310" s="278">
        <v>46106</v>
      </c>
      <c r="C310" s="208" t="s">
        <v>294</v>
      </c>
      <c r="D310" s="208" t="s">
        <v>482</v>
      </c>
      <c r="E310" s="208" t="s">
        <v>402</v>
      </c>
      <c r="F310" s="208">
        <v>2026</v>
      </c>
      <c r="G310" s="208">
        <v>2</v>
      </c>
      <c r="H310" s="208" t="s">
        <v>132</v>
      </c>
      <c r="I310" s="208" t="s">
        <v>133</v>
      </c>
      <c r="J310" s="208" t="s">
        <v>360</v>
      </c>
      <c r="K310" s="208" t="s">
        <v>135</v>
      </c>
      <c r="L310" s="208" t="s">
        <v>510</v>
      </c>
      <c r="M310" s="208">
        <v>2</v>
      </c>
      <c r="N310" s="208"/>
      <c r="O310" s="208" t="s">
        <v>127</v>
      </c>
      <c r="P310" s="208"/>
      <c r="Q310" s="207"/>
      <c r="R310" s="208"/>
    </row>
    <row r="311" spans="1:18">
      <c r="A311" s="277">
        <v>267</v>
      </c>
      <c r="B311" s="278">
        <v>46106</v>
      </c>
      <c r="C311" s="208" t="s">
        <v>294</v>
      </c>
      <c r="D311" s="208" t="s">
        <v>524</v>
      </c>
      <c r="E311" s="208" t="s">
        <v>402</v>
      </c>
      <c r="F311" s="208">
        <v>2026</v>
      </c>
      <c r="G311" s="208">
        <v>2.5</v>
      </c>
      <c r="H311" s="208" t="s">
        <v>115</v>
      </c>
      <c r="I311" s="208" t="s">
        <v>437</v>
      </c>
      <c r="J311" s="208" t="s">
        <v>438</v>
      </c>
      <c r="K311" s="208" t="s">
        <v>101</v>
      </c>
      <c r="L311" s="208" t="s">
        <v>525</v>
      </c>
      <c r="M311" s="208">
        <v>2.5</v>
      </c>
      <c r="N311" s="208"/>
      <c r="O311" s="208" t="s">
        <v>117</v>
      </c>
      <c r="P311" s="208"/>
      <c r="Q311" s="207"/>
      <c r="R311" s="208"/>
    </row>
    <row r="312" spans="1:18">
      <c r="A312" s="277"/>
      <c r="B312" s="278">
        <v>46106</v>
      </c>
      <c r="C312" s="208" t="s">
        <v>294</v>
      </c>
      <c r="D312" s="208"/>
      <c r="E312" s="208" t="s">
        <v>402</v>
      </c>
      <c r="F312" s="208">
        <v>2026</v>
      </c>
      <c r="G312" s="208"/>
      <c r="H312" s="208" t="s">
        <v>99</v>
      </c>
      <c r="I312" s="208" t="s">
        <v>108</v>
      </c>
      <c r="J312" s="208" t="s">
        <v>366</v>
      </c>
      <c r="K312" s="208" t="s">
        <v>101</v>
      </c>
      <c r="L312" s="208" t="s">
        <v>391</v>
      </c>
      <c r="M312" s="208"/>
      <c r="N312" s="208"/>
      <c r="O312" s="208"/>
      <c r="P312" s="208"/>
      <c r="Q312" s="207"/>
      <c r="R312" s="208"/>
    </row>
    <row r="313" spans="1:18">
      <c r="A313" s="277">
        <v>268</v>
      </c>
      <c r="B313" s="278">
        <v>46106</v>
      </c>
      <c r="C313" s="208" t="s">
        <v>294</v>
      </c>
      <c r="D313" s="208" t="s">
        <v>483</v>
      </c>
      <c r="E313" s="208" t="s">
        <v>402</v>
      </c>
      <c r="F313" s="208">
        <v>2026</v>
      </c>
      <c r="G313" s="208">
        <v>2</v>
      </c>
      <c r="H313" s="208" t="s">
        <v>99</v>
      </c>
      <c r="I313" s="208" t="s">
        <v>108</v>
      </c>
      <c r="J313" s="208" t="s">
        <v>366</v>
      </c>
      <c r="K313" s="208" t="s">
        <v>10</v>
      </c>
      <c r="L313" s="208" t="s">
        <v>526</v>
      </c>
      <c r="M313" s="208">
        <v>2</v>
      </c>
      <c r="N313" s="208"/>
      <c r="O313" s="208" t="s">
        <v>63</v>
      </c>
      <c r="P313" s="208"/>
      <c r="Q313" s="207"/>
      <c r="R313" s="208"/>
    </row>
    <row r="314" spans="1:18">
      <c r="A314" s="277"/>
      <c r="B314" s="278">
        <v>46106</v>
      </c>
      <c r="C314" s="208" t="s">
        <v>294</v>
      </c>
      <c r="D314" s="208"/>
      <c r="E314" s="208" t="s">
        <v>402</v>
      </c>
      <c r="F314" s="208">
        <v>2026</v>
      </c>
      <c r="G314" s="208"/>
      <c r="H314" s="208" t="s">
        <v>99</v>
      </c>
      <c r="I314" s="208" t="s">
        <v>108</v>
      </c>
      <c r="J314" s="208" t="s">
        <v>366</v>
      </c>
      <c r="K314" s="208" t="s">
        <v>104</v>
      </c>
      <c r="L314" s="208" t="s">
        <v>526</v>
      </c>
      <c r="M314" s="208"/>
      <c r="N314" s="208"/>
      <c r="O314" s="208"/>
      <c r="P314" s="208"/>
      <c r="Q314" s="207"/>
      <c r="R314" s="208"/>
    </row>
    <row r="315" spans="1:18">
      <c r="A315" s="277">
        <v>269</v>
      </c>
      <c r="B315" s="278">
        <v>46106</v>
      </c>
      <c r="C315" s="208" t="s">
        <v>294</v>
      </c>
      <c r="D315" s="208" t="s">
        <v>491</v>
      </c>
      <c r="E315" s="208" t="s">
        <v>402</v>
      </c>
      <c r="F315" s="208">
        <v>2026</v>
      </c>
      <c r="G315" s="208">
        <v>2.5</v>
      </c>
      <c r="H315" s="208" t="s">
        <v>99</v>
      </c>
      <c r="I315" s="208" t="s">
        <v>108</v>
      </c>
      <c r="J315" s="208" t="s">
        <v>366</v>
      </c>
      <c r="K315" s="208" t="s">
        <v>106</v>
      </c>
      <c r="L315" s="208" t="s">
        <v>512</v>
      </c>
      <c r="M315" s="208">
        <v>2.5</v>
      </c>
      <c r="N315" s="208"/>
      <c r="O315" s="208" t="s">
        <v>112</v>
      </c>
      <c r="P315" s="208"/>
      <c r="Q315" s="207"/>
      <c r="R315" s="208"/>
    </row>
    <row r="316" spans="1:18">
      <c r="A316" s="277">
        <v>270</v>
      </c>
      <c r="B316" s="278">
        <v>46106</v>
      </c>
      <c r="C316" s="208" t="s">
        <v>294</v>
      </c>
      <c r="D316" s="208" t="s">
        <v>398</v>
      </c>
      <c r="E316" s="208" t="s">
        <v>402</v>
      </c>
      <c r="F316" s="208">
        <v>2026</v>
      </c>
      <c r="G316" s="208">
        <v>2</v>
      </c>
      <c r="H316" s="208" t="s">
        <v>57</v>
      </c>
      <c r="I316" s="208" t="s">
        <v>74</v>
      </c>
      <c r="J316" s="208" t="s">
        <v>373</v>
      </c>
      <c r="K316" s="208"/>
      <c r="L316" s="208" t="s">
        <v>527</v>
      </c>
      <c r="M316" s="208">
        <v>2</v>
      </c>
      <c r="N316" s="208"/>
      <c r="O316" s="208" t="s">
        <v>66</v>
      </c>
      <c r="P316" s="208"/>
      <c r="Q316" s="207"/>
      <c r="R316" s="208"/>
    </row>
    <row r="317" spans="1:18">
      <c r="A317" s="277">
        <v>271</v>
      </c>
      <c r="B317" s="278">
        <v>46106</v>
      </c>
      <c r="C317" s="208" t="s">
        <v>294</v>
      </c>
      <c r="D317" s="208" t="s">
        <v>372</v>
      </c>
      <c r="E317" s="208" t="s">
        <v>402</v>
      </c>
      <c r="F317" s="208">
        <v>2026</v>
      </c>
      <c r="G317" s="208">
        <v>2.5</v>
      </c>
      <c r="H317" s="208" t="s">
        <v>57</v>
      </c>
      <c r="I317" s="208" t="s">
        <v>58</v>
      </c>
      <c r="J317" s="208" t="s">
        <v>373</v>
      </c>
      <c r="K317" s="208"/>
      <c r="L317" s="208" t="s">
        <v>528</v>
      </c>
      <c r="M317" s="208">
        <v>2.5</v>
      </c>
      <c r="N317" s="208"/>
      <c r="O317" s="208" t="s">
        <v>414</v>
      </c>
      <c r="P317" s="208"/>
      <c r="Q317" s="207"/>
      <c r="R317" s="208"/>
    </row>
    <row r="318" spans="1:18">
      <c r="A318" s="277">
        <v>272</v>
      </c>
      <c r="B318" s="278">
        <v>46106</v>
      </c>
      <c r="C318" s="208" t="s">
        <v>294</v>
      </c>
      <c r="D318" s="208" t="s">
        <v>377</v>
      </c>
      <c r="E318" s="208" t="s">
        <v>402</v>
      </c>
      <c r="F318" s="208">
        <v>2026</v>
      </c>
      <c r="G318" s="208">
        <v>3</v>
      </c>
      <c r="H318" s="208" t="s">
        <v>61</v>
      </c>
      <c r="I318" s="208" t="s">
        <v>62</v>
      </c>
      <c r="J318" s="208" t="s">
        <v>360</v>
      </c>
      <c r="K318" s="208" t="s">
        <v>34</v>
      </c>
      <c r="L318" s="208" t="s">
        <v>529</v>
      </c>
      <c r="M318" s="208">
        <v>3</v>
      </c>
      <c r="N318" s="208"/>
      <c r="O318" s="208" t="s">
        <v>63</v>
      </c>
      <c r="P318" s="208"/>
      <c r="Q318" s="207"/>
      <c r="R318" s="208"/>
    </row>
    <row r="319" spans="1:18">
      <c r="A319" s="277">
        <v>273</v>
      </c>
      <c r="B319" s="278">
        <v>46106</v>
      </c>
      <c r="C319" s="208" t="s">
        <v>294</v>
      </c>
      <c r="D319" s="208" t="s">
        <v>377</v>
      </c>
      <c r="E319" s="208" t="s">
        <v>402</v>
      </c>
      <c r="F319" s="208">
        <v>2026</v>
      </c>
      <c r="G319" s="208">
        <v>3</v>
      </c>
      <c r="H319" s="208" t="s">
        <v>61</v>
      </c>
      <c r="I319" s="208" t="s">
        <v>62</v>
      </c>
      <c r="J319" s="208" t="s">
        <v>360</v>
      </c>
      <c r="K319" s="208" t="s">
        <v>35</v>
      </c>
      <c r="L319" s="208" t="s">
        <v>519</v>
      </c>
      <c r="M319" s="208">
        <v>3</v>
      </c>
      <c r="N319" s="208"/>
      <c r="O319" s="208" t="s">
        <v>87</v>
      </c>
      <c r="P319" s="208"/>
      <c r="Q319" s="207"/>
      <c r="R319" s="208"/>
    </row>
    <row r="320" spans="1:18">
      <c r="A320" s="277">
        <v>274</v>
      </c>
      <c r="B320" s="278">
        <v>46106</v>
      </c>
      <c r="C320" s="208" t="s">
        <v>294</v>
      </c>
      <c r="D320" s="208" t="s">
        <v>451</v>
      </c>
      <c r="E320" s="208" t="s">
        <v>402</v>
      </c>
      <c r="F320" s="208">
        <v>2026</v>
      </c>
      <c r="G320" s="208">
        <v>3</v>
      </c>
      <c r="H320" s="208" t="s">
        <v>61</v>
      </c>
      <c r="I320" s="208" t="s">
        <v>62</v>
      </c>
      <c r="J320" s="208" t="s">
        <v>360</v>
      </c>
      <c r="K320" s="208" t="s">
        <v>37</v>
      </c>
      <c r="L320" s="208" t="s">
        <v>530</v>
      </c>
      <c r="M320" s="208"/>
      <c r="N320" s="208"/>
      <c r="O320" s="208" t="s">
        <v>112</v>
      </c>
      <c r="P320" s="208"/>
      <c r="Q320" s="207"/>
      <c r="R320" s="208"/>
    </row>
    <row r="321" spans="1:18">
      <c r="A321" s="277">
        <v>275</v>
      </c>
      <c r="B321" s="278">
        <v>46106</v>
      </c>
      <c r="C321" s="208" t="s">
        <v>294</v>
      </c>
      <c r="D321" s="208" t="s">
        <v>452</v>
      </c>
      <c r="E321" s="208" t="s">
        <v>402</v>
      </c>
      <c r="F321" s="208">
        <v>2026</v>
      </c>
      <c r="G321" s="208">
        <v>3</v>
      </c>
      <c r="H321" s="208" t="s">
        <v>61</v>
      </c>
      <c r="I321" s="208" t="s">
        <v>62</v>
      </c>
      <c r="J321" s="208" t="s">
        <v>360</v>
      </c>
      <c r="K321" s="208" t="s">
        <v>38</v>
      </c>
      <c r="L321" s="208" t="s">
        <v>415</v>
      </c>
      <c r="M321" s="208">
        <v>3</v>
      </c>
      <c r="N321" s="208"/>
      <c r="O321" s="208" t="s">
        <v>85</v>
      </c>
      <c r="P321" s="208"/>
      <c r="Q321" s="207"/>
      <c r="R321" s="208"/>
    </row>
    <row r="322" spans="1:18">
      <c r="A322" s="277">
        <v>276</v>
      </c>
      <c r="B322" s="278">
        <v>46107</v>
      </c>
      <c r="C322" s="208" t="s">
        <v>298</v>
      </c>
      <c r="D322" s="208" t="s">
        <v>524</v>
      </c>
      <c r="E322" s="208" t="s">
        <v>402</v>
      </c>
      <c r="F322" s="208">
        <v>2026</v>
      </c>
      <c r="G322" s="208">
        <v>2.5</v>
      </c>
      <c r="H322" s="208" t="s">
        <v>115</v>
      </c>
      <c r="I322" s="208" t="s">
        <v>437</v>
      </c>
      <c r="J322" s="208" t="s">
        <v>438</v>
      </c>
      <c r="K322" s="208" t="s">
        <v>101</v>
      </c>
      <c r="L322" s="208" t="s">
        <v>531</v>
      </c>
      <c r="M322" s="208">
        <v>2.5</v>
      </c>
      <c r="N322" s="208"/>
      <c r="O322" s="208" t="s">
        <v>117</v>
      </c>
      <c r="P322" s="208"/>
      <c r="Q322" s="207"/>
      <c r="R322" s="208"/>
    </row>
    <row r="323" spans="1:18">
      <c r="A323" s="277">
        <v>277</v>
      </c>
      <c r="B323" s="278">
        <v>46107</v>
      </c>
      <c r="C323" s="208" t="s">
        <v>298</v>
      </c>
      <c r="D323" s="208"/>
      <c r="E323" s="208" t="s">
        <v>402</v>
      </c>
      <c r="F323" s="208">
        <v>2026</v>
      </c>
      <c r="G323" s="208"/>
      <c r="H323" s="208" t="s">
        <v>99</v>
      </c>
      <c r="I323" s="208" t="s">
        <v>100</v>
      </c>
      <c r="J323" s="208" t="s">
        <v>373</v>
      </c>
      <c r="K323" s="208" t="s">
        <v>101</v>
      </c>
      <c r="L323" s="208" t="s">
        <v>427</v>
      </c>
      <c r="M323" s="208"/>
      <c r="N323" s="208"/>
      <c r="O323" s="208" t="s">
        <v>102</v>
      </c>
      <c r="P323" s="208"/>
      <c r="Q323" s="207"/>
      <c r="R323" s="208"/>
    </row>
    <row r="324" spans="1:18">
      <c r="A324" s="277">
        <v>278</v>
      </c>
      <c r="B324" s="278">
        <v>46107</v>
      </c>
      <c r="C324" s="208" t="s">
        <v>298</v>
      </c>
      <c r="D324" s="208" t="s">
        <v>532</v>
      </c>
      <c r="E324" s="208" t="s">
        <v>402</v>
      </c>
      <c r="F324" s="208">
        <v>2026</v>
      </c>
      <c r="G324" s="208">
        <v>2.5</v>
      </c>
      <c r="H324" s="208" t="s">
        <v>99</v>
      </c>
      <c r="I324" s="208" t="s">
        <v>100</v>
      </c>
      <c r="J324" s="208" t="s">
        <v>373</v>
      </c>
      <c r="K324" s="208" t="s">
        <v>10</v>
      </c>
      <c r="L324" s="208" t="s">
        <v>431</v>
      </c>
      <c r="M324" s="208">
        <v>2.5</v>
      </c>
      <c r="N324" s="208"/>
      <c r="O324" s="208" t="s">
        <v>29</v>
      </c>
      <c r="P324" s="208"/>
      <c r="Q324" s="207"/>
      <c r="R324" s="208"/>
    </row>
    <row r="325" spans="1:18">
      <c r="A325" s="277"/>
      <c r="B325" s="278">
        <v>46107</v>
      </c>
      <c r="C325" s="208" t="s">
        <v>298</v>
      </c>
      <c r="D325" s="208"/>
      <c r="E325" s="208" t="s">
        <v>402</v>
      </c>
      <c r="F325" s="208">
        <v>2026</v>
      </c>
      <c r="G325" s="208"/>
      <c r="H325" s="208" t="s">
        <v>99</v>
      </c>
      <c r="I325" s="208" t="s">
        <v>100</v>
      </c>
      <c r="J325" s="208" t="s">
        <v>373</v>
      </c>
      <c r="K325" s="208" t="s">
        <v>104</v>
      </c>
      <c r="L325" s="208" t="s">
        <v>427</v>
      </c>
      <c r="M325" s="208">
        <v>2.5</v>
      </c>
      <c r="N325" s="208"/>
      <c r="O325" s="208"/>
      <c r="P325" s="208"/>
      <c r="Q325" s="207"/>
      <c r="R325" s="208"/>
    </row>
    <row r="326" spans="1:18">
      <c r="A326" s="277"/>
      <c r="B326" s="278">
        <v>46107</v>
      </c>
      <c r="C326" s="208" t="s">
        <v>298</v>
      </c>
      <c r="D326" s="208"/>
      <c r="E326" s="208" t="s">
        <v>402</v>
      </c>
      <c r="F326" s="208">
        <v>2026</v>
      </c>
      <c r="G326" s="208"/>
      <c r="H326" s="208" t="s">
        <v>99</v>
      </c>
      <c r="I326" s="208" t="s">
        <v>100</v>
      </c>
      <c r="J326" s="208" t="s">
        <v>373</v>
      </c>
      <c r="K326" s="208" t="s">
        <v>106</v>
      </c>
      <c r="L326" s="208" t="s">
        <v>427</v>
      </c>
      <c r="M326" s="208"/>
      <c r="N326" s="208"/>
      <c r="O326" s="208"/>
      <c r="P326" s="208"/>
      <c r="Q326" s="207"/>
      <c r="R326" s="208"/>
    </row>
    <row r="327" spans="1:18">
      <c r="A327" s="277">
        <v>279</v>
      </c>
      <c r="B327" s="278">
        <v>46107</v>
      </c>
      <c r="C327" s="208" t="s">
        <v>298</v>
      </c>
      <c r="D327" s="208" t="s">
        <v>377</v>
      </c>
      <c r="E327" s="208" t="s">
        <v>402</v>
      </c>
      <c r="F327" s="208">
        <v>2026</v>
      </c>
      <c r="G327" s="208">
        <v>3</v>
      </c>
      <c r="H327" s="208" t="s">
        <v>61</v>
      </c>
      <c r="I327" s="208" t="s">
        <v>62</v>
      </c>
      <c r="J327" s="208" t="s">
        <v>360</v>
      </c>
      <c r="K327" s="208" t="s">
        <v>35</v>
      </c>
      <c r="L327" s="208" t="s">
        <v>529</v>
      </c>
      <c r="M327" s="208">
        <v>3</v>
      </c>
      <c r="N327" s="208"/>
      <c r="O327" s="208" t="s">
        <v>87</v>
      </c>
      <c r="P327" s="208"/>
      <c r="Q327" s="207"/>
      <c r="R327" s="208"/>
    </row>
    <row r="328" spans="1:18">
      <c r="A328" s="277">
        <v>280</v>
      </c>
      <c r="B328" s="278">
        <v>46107</v>
      </c>
      <c r="C328" s="208" t="s">
        <v>298</v>
      </c>
      <c r="D328" s="208" t="s">
        <v>451</v>
      </c>
      <c r="E328" s="208" t="s">
        <v>402</v>
      </c>
      <c r="F328" s="208">
        <v>2026</v>
      </c>
      <c r="G328" s="208">
        <v>3</v>
      </c>
      <c r="H328" s="208" t="s">
        <v>61</v>
      </c>
      <c r="I328" s="208" t="s">
        <v>62</v>
      </c>
      <c r="J328" s="208" t="s">
        <v>360</v>
      </c>
      <c r="K328" s="208" t="s">
        <v>37</v>
      </c>
      <c r="L328" s="208" t="s">
        <v>533</v>
      </c>
      <c r="M328" s="208"/>
      <c r="N328" s="208"/>
      <c r="O328" s="208" t="s">
        <v>112</v>
      </c>
      <c r="P328" s="208"/>
      <c r="Q328" s="207"/>
      <c r="R328" s="208"/>
    </row>
    <row r="329" spans="1:18">
      <c r="A329" s="277">
        <v>281</v>
      </c>
      <c r="B329" s="278">
        <v>46107</v>
      </c>
      <c r="C329" s="208" t="s">
        <v>298</v>
      </c>
      <c r="D329" s="208" t="s">
        <v>452</v>
      </c>
      <c r="E329" s="208" t="s">
        <v>402</v>
      </c>
      <c r="F329" s="208">
        <v>2026</v>
      </c>
      <c r="G329" s="208">
        <v>3</v>
      </c>
      <c r="H329" s="208" t="s">
        <v>61</v>
      </c>
      <c r="I329" s="208" t="s">
        <v>62</v>
      </c>
      <c r="J329" s="208" t="s">
        <v>360</v>
      </c>
      <c r="K329" s="208" t="s">
        <v>38</v>
      </c>
      <c r="L329" s="208" t="s">
        <v>405</v>
      </c>
      <c r="M329" s="208">
        <v>3</v>
      </c>
      <c r="N329" s="208"/>
      <c r="O329" s="208" t="s">
        <v>127</v>
      </c>
      <c r="P329" s="208"/>
      <c r="Q329" s="207"/>
      <c r="R329" s="208"/>
    </row>
    <row r="330" spans="1:18">
      <c r="A330" s="277">
        <v>282</v>
      </c>
      <c r="B330" s="278">
        <v>46108</v>
      </c>
      <c r="C330" s="208" t="s">
        <v>301</v>
      </c>
      <c r="D330" s="208" t="s">
        <v>480</v>
      </c>
      <c r="E330" s="208" t="s">
        <v>402</v>
      </c>
      <c r="F330" s="208">
        <v>2026</v>
      </c>
      <c r="G330" s="208">
        <v>3</v>
      </c>
      <c r="H330" s="208" t="s">
        <v>132</v>
      </c>
      <c r="I330" s="208" t="s">
        <v>133</v>
      </c>
      <c r="J330" s="208" t="s">
        <v>360</v>
      </c>
      <c r="K330" s="208" t="s">
        <v>106</v>
      </c>
      <c r="L330" s="208" t="s">
        <v>534</v>
      </c>
      <c r="M330" s="208">
        <v>3</v>
      </c>
      <c r="N330" s="208"/>
      <c r="O330" s="208" t="s">
        <v>127</v>
      </c>
      <c r="P330" s="208"/>
      <c r="Q330" s="207"/>
      <c r="R330" s="208"/>
    </row>
    <row r="331" spans="1:18">
      <c r="A331" s="277">
        <v>283</v>
      </c>
      <c r="B331" s="278">
        <v>46108</v>
      </c>
      <c r="C331" s="208" t="s">
        <v>301</v>
      </c>
      <c r="D331" s="208" t="s">
        <v>482</v>
      </c>
      <c r="E331" s="208" t="s">
        <v>402</v>
      </c>
      <c r="F331" s="208">
        <v>2026</v>
      </c>
      <c r="G331" s="208">
        <v>2</v>
      </c>
      <c r="H331" s="208" t="s">
        <v>132</v>
      </c>
      <c r="I331" s="208" t="s">
        <v>133</v>
      </c>
      <c r="J331" s="208" t="s">
        <v>360</v>
      </c>
      <c r="K331" s="208" t="s">
        <v>135</v>
      </c>
      <c r="L331" s="208" t="s">
        <v>523</v>
      </c>
      <c r="M331" s="208">
        <v>2</v>
      </c>
      <c r="N331" s="208"/>
      <c r="O331" s="208" t="s">
        <v>127</v>
      </c>
      <c r="P331" s="208"/>
      <c r="Q331" s="207"/>
      <c r="R331" s="208"/>
    </row>
    <row r="332" spans="1:18">
      <c r="A332" s="277">
        <v>284</v>
      </c>
      <c r="B332" s="278">
        <v>46108</v>
      </c>
      <c r="C332" s="208" t="s">
        <v>301</v>
      </c>
      <c r="D332" s="208" t="s">
        <v>497</v>
      </c>
      <c r="E332" s="208" t="s">
        <v>402</v>
      </c>
      <c r="F332" s="208">
        <v>2026</v>
      </c>
      <c r="G332" s="208" t="s">
        <v>498</v>
      </c>
      <c r="H332" s="208" t="s">
        <v>57</v>
      </c>
      <c r="I332" s="208" t="s">
        <v>454</v>
      </c>
      <c r="J332" s="208" t="s">
        <v>311</v>
      </c>
      <c r="K332" s="208"/>
      <c r="L332" s="208" t="s">
        <v>535</v>
      </c>
      <c r="M332" s="208" t="s">
        <v>498</v>
      </c>
      <c r="N332" s="208"/>
      <c r="O332" s="208" t="s">
        <v>516</v>
      </c>
      <c r="P332" s="208"/>
      <c r="Q332" s="207"/>
      <c r="R332" s="208"/>
    </row>
    <row r="333" spans="1:18">
      <c r="A333" s="277">
        <v>285</v>
      </c>
      <c r="B333" s="278">
        <v>46108</v>
      </c>
      <c r="C333" s="208" t="s">
        <v>301</v>
      </c>
      <c r="D333" s="208" t="s">
        <v>524</v>
      </c>
      <c r="E333" s="208" t="s">
        <v>402</v>
      </c>
      <c r="F333" s="208">
        <v>2026</v>
      </c>
      <c r="G333" s="208">
        <v>2.5</v>
      </c>
      <c r="H333" s="208" t="s">
        <v>115</v>
      </c>
      <c r="I333" s="208" t="s">
        <v>437</v>
      </c>
      <c r="J333" s="208" t="s">
        <v>438</v>
      </c>
      <c r="K333" s="208" t="s">
        <v>101</v>
      </c>
      <c r="L333" s="208" t="s">
        <v>536</v>
      </c>
      <c r="M333" s="208">
        <v>2.5</v>
      </c>
      <c r="N333" s="208"/>
      <c r="O333" s="208" t="s">
        <v>117</v>
      </c>
      <c r="P333" s="208"/>
      <c r="Q333" s="207"/>
      <c r="R333" s="208"/>
    </row>
    <row r="334" spans="1:18">
      <c r="A334" s="277">
        <v>286</v>
      </c>
      <c r="B334" s="278">
        <v>46108</v>
      </c>
      <c r="C334" s="208" t="s">
        <v>301</v>
      </c>
      <c r="D334" s="208" t="s">
        <v>490</v>
      </c>
      <c r="E334" s="208" t="s">
        <v>402</v>
      </c>
      <c r="F334" s="208">
        <v>2026</v>
      </c>
      <c r="G334" s="208">
        <v>2</v>
      </c>
      <c r="H334" s="208" t="s">
        <v>99</v>
      </c>
      <c r="I334" s="208" t="s">
        <v>108</v>
      </c>
      <c r="J334" s="208" t="s">
        <v>366</v>
      </c>
      <c r="K334" s="208" t="s">
        <v>101</v>
      </c>
      <c r="L334" s="208" t="s">
        <v>526</v>
      </c>
      <c r="M334" s="208">
        <v>2</v>
      </c>
      <c r="N334" s="208"/>
      <c r="O334" s="208" t="s">
        <v>109</v>
      </c>
      <c r="P334" s="208"/>
      <c r="Q334" s="207"/>
      <c r="R334" s="208"/>
    </row>
    <row r="335" spans="1:18">
      <c r="A335" s="277"/>
      <c r="B335" s="278">
        <v>46108</v>
      </c>
      <c r="C335" s="208" t="s">
        <v>301</v>
      </c>
      <c r="D335" s="208"/>
      <c r="E335" s="208" t="s">
        <v>402</v>
      </c>
      <c r="F335" s="208">
        <v>2026</v>
      </c>
      <c r="G335" s="208"/>
      <c r="H335" s="208" t="s">
        <v>99</v>
      </c>
      <c r="I335" s="208" t="s">
        <v>108</v>
      </c>
      <c r="J335" s="208" t="s">
        <v>366</v>
      </c>
      <c r="K335" s="208" t="s">
        <v>10</v>
      </c>
      <c r="L335" s="208" t="s">
        <v>391</v>
      </c>
      <c r="M335" s="208"/>
      <c r="N335" s="208"/>
      <c r="O335" s="208"/>
      <c r="P335" s="208"/>
      <c r="Q335" s="207"/>
      <c r="R335" s="208"/>
    </row>
    <row r="336" spans="1:18">
      <c r="A336" s="277"/>
      <c r="B336" s="278">
        <v>46108</v>
      </c>
      <c r="C336" s="208" t="s">
        <v>301</v>
      </c>
      <c r="D336" s="208"/>
      <c r="E336" s="208" t="s">
        <v>402</v>
      </c>
      <c r="F336" s="208">
        <v>2026</v>
      </c>
      <c r="G336" s="208"/>
      <c r="H336" s="208" t="s">
        <v>99</v>
      </c>
      <c r="I336" s="208" t="s">
        <v>108</v>
      </c>
      <c r="J336" s="208" t="s">
        <v>366</v>
      </c>
      <c r="K336" s="208" t="s">
        <v>106</v>
      </c>
      <c r="L336" s="208" t="s">
        <v>391</v>
      </c>
      <c r="M336" s="208"/>
      <c r="N336" s="208"/>
      <c r="O336" s="208"/>
      <c r="P336" s="208"/>
      <c r="Q336" s="207"/>
      <c r="R336" s="208"/>
    </row>
    <row r="337" spans="1:18">
      <c r="A337" s="277">
        <v>287</v>
      </c>
      <c r="B337" s="278">
        <v>46108</v>
      </c>
      <c r="C337" s="208" t="s">
        <v>301</v>
      </c>
      <c r="D337" s="208" t="s">
        <v>372</v>
      </c>
      <c r="E337" s="208" t="s">
        <v>402</v>
      </c>
      <c r="F337" s="208">
        <v>2026</v>
      </c>
      <c r="G337" s="208">
        <v>2.5</v>
      </c>
      <c r="H337" s="208" t="s">
        <v>57</v>
      </c>
      <c r="I337" s="208" t="s">
        <v>58</v>
      </c>
      <c r="J337" s="208" t="s">
        <v>373</v>
      </c>
      <c r="K337" s="208"/>
      <c r="L337" s="208" t="s">
        <v>537</v>
      </c>
      <c r="M337" s="208">
        <v>2.5</v>
      </c>
      <c r="N337" s="208"/>
      <c r="O337" s="208" t="s">
        <v>414</v>
      </c>
      <c r="P337" s="208"/>
      <c r="Q337" s="207"/>
      <c r="R337" s="208"/>
    </row>
    <row r="338" spans="1:18">
      <c r="A338" s="277">
        <v>288</v>
      </c>
      <c r="B338" s="278">
        <v>46108</v>
      </c>
      <c r="C338" s="208" t="s">
        <v>301</v>
      </c>
      <c r="D338" s="208" t="s">
        <v>451</v>
      </c>
      <c r="E338" s="208" t="s">
        <v>402</v>
      </c>
      <c r="F338" s="208">
        <v>2026</v>
      </c>
      <c r="G338" s="208">
        <v>3</v>
      </c>
      <c r="H338" s="208" t="s">
        <v>61</v>
      </c>
      <c r="I338" s="208" t="s">
        <v>62</v>
      </c>
      <c r="J338" s="208" t="s">
        <v>360</v>
      </c>
      <c r="K338" s="208" t="s">
        <v>37</v>
      </c>
      <c r="L338" s="208" t="s">
        <v>538</v>
      </c>
      <c r="M338" s="208"/>
      <c r="N338" s="208"/>
      <c r="O338" s="208" t="s">
        <v>112</v>
      </c>
      <c r="P338" s="208"/>
      <c r="Q338" s="207"/>
      <c r="R338" s="208"/>
    </row>
    <row r="339" spans="1:18">
      <c r="A339" s="277"/>
      <c r="B339" s="278">
        <v>46108</v>
      </c>
      <c r="C339" s="208" t="s">
        <v>301</v>
      </c>
      <c r="D339" s="208" t="s">
        <v>452</v>
      </c>
      <c r="E339" s="208" t="s">
        <v>402</v>
      </c>
      <c r="F339" s="208">
        <v>2026</v>
      </c>
      <c r="G339" s="208"/>
      <c r="H339" s="208" t="s">
        <v>61</v>
      </c>
      <c r="I339" s="208" t="s">
        <v>62</v>
      </c>
      <c r="J339" s="208" t="s">
        <v>360</v>
      </c>
      <c r="K339" s="208" t="s">
        <v>38</v>
      </c>
      <c r="L339" s="208" t="s">
        <v>391</v>
      </c>
      <c r="M339" s="208">
        <v>3</v>
      </c>
      <c r="N339" s="208"/>
      <c r="O339" s="208"/>
      <c r="P339" s="208"/>
      <c r="Q339" s="207"/>
      <c r="R339" s="208"/>
    </row>
    <row r="340" spans="1:18">
      <c r="A340" s="277">
        <v>289</v>
      </c>
      <c r="B340" s="278">
        <v>46111</v>
      </c>
      <c r="C340" s="208" t="s">
        <v>302</v>
      </c>
      <c r="D340" s="208" t="s">
        <v>520</v>
      </c>
      <c r="E340" s="208" t="s">
        <v>402</v>
      </c>
      <c r="F340" s="208">
        <v>2026</v>
      </c>
      <c r="G340" s="208">
        <v>3</v>
      </c>
      <c r="H340" s="208" t="s">
        <v>57</v>
      </c>
      <c r="I340" s="208" t="s">
        <v>89</v>
      </c>
      <c r="J340" s="208" t="s">
        <v>311</v>
      </c>
      <c r="K340" s="208" t="s">
        <v>90</v>
      </c>
      <c r="L340" s="208" t="s">
        <v>539</v>
      </c>
      <c r="M340" s="208">
        <v>3</v>
      </c>
      <c r="N340" s="208"/>
      <c r="O340" s="208" t="s">
        <v>91</v>
      </c>
      <c r="P340" s="208"/>
      <c r="Q340" s="207"/>
      <c r="R340" s="208"/>
    </row>
    <row r="341" spans="1:18">
      <c r="A341" s="277">
        <v>290</v>
      </c>
      <c r="B341" s="278">
        <v>46111</v>
      </c>
      <c r="C341" s="208" t="s">
        <v>302</v>
      </c>
      <c r="D341" s="208" t="s">
        <v>477</v>
      </c>
      <c r="E341" s="208" t="s">
        <v>402</v>
      </c>
      <c r="F341" s="208">
        <v>2026</v>
      </c>
      <c r="G341" s="208">
        <v>3</v>
      </c>
      <c r="H341" s="208" t="s">
        <v>461</v>
      </c>
      <c r="I341" s="208" t="s">
        <v>136</v>
      </c>
      <c r="J341" s="208" t="s">
        <v>462</v>
      </c>
      <c r="K341" s="208" t="s">
        <v>101</v>
      </c>
      <c r="L341" s="208" t="s">
        <v>540</v>
      </c>
      <c r="M341" s="208">
        <v>3</v>
      </c>
      <c r="N341" s="208"/>
      <c r="O341" s="208" t="s">
        <v>138</v>
      </c>
      <c r="P341" s="208"/>
      <c r="Q341" s="207"/>
      <c r="R341" s="208"/>
    </row>
    <row r="342" spans="1:18">
      <c r="A342" s="277">
        <v>291</v>
      </c>
      <c r="B342" s="278">
        <v>46111</v>
      </c>
      <c r="C342" s="208" t="s">
        <v>302</v>
      </c>
      <c r="D342" s="208" t="s">
        <v>479</v>
      </c>
      <c r="E342" s="208" t="s">
        <v>402</v>
      </c>
      <c r="F342" s="208">
        <v>2026</v>
      </c>
      <c r="G342" s="208">
        <v>3</v>
      </c>
      <c r="H342" s="208" t="s">
        <v>461</v>
      </c>
      <c r="I342" s="208" t="s">
        <v>136</v>
      </c>
      <c r="J342" s="208" t="s">
        <v>462</v>
      </c>
      <c r="K342" s="208" t="s">
        <v>10</v>
      </c>
      <c r="L342" s="208" t="s">
        <v>540</v>
      </c>
      <c r="M342" s="208">
        <v>3</v>
      </c>
      <c r="N342" s="208"/>
      <c r="O342" s="208" t="s">
        <v>138</v>
      </c>
      <c r="P342" s="208"/>
      <c r="Q342" s="207"/>
      <c r="R342" s="208"/>
    </row>
    <row r="343" spans="1:18">
      <c r="A343" s="277">
        <v>292</v>
      </c>
      <c r="B343" s="278">
        <v>46111</v>
      </c>
      <c r="C343" s="208" t="s">
        <v>302</v>
      </c>
      <c r="D343" s="208" t="s">
        <v>480</v>
      </c>
      <c r="E343" s="208" t="s">
        <v>402</v>
      </c>
      <c r="F343" s="208">
        <v>2026</v>
      </c>
      <c r="G343" s="208">
        <v>3</v>
      </c>
      <c r="H343" s="208" t="s">
        <v>132</v>
      </c>
      <c r="I343" s="208" t="s">
        <v>133</v>
      </c>
      <c r="J343" s="208" t="s">
        <v>360</v>
      </c>
      <c r="K343" s="208" t="s">
        <v>106</v>
      </c>
      <c r="L343" s="208" t="s">
        <v>541</v>
      </c>
      <c r="M343" s="208">
        <v>3</v>
      </c>
      <c r="N343" s="208"/>
      <c r="O343" s="208" t="s">
        <v>127</v>
      </c>
      <c r="P343" s="208"/>
      <c r="Q343" s="207"/>
      <c r="R343" s="208"/>
    </row>
    <row r="344" spans="1:18">
      <c r="A344" s="277">
        <v>293</v>
      </c>
      <c r="B344" s="278">
        <v>46111</v>
      </c>
      <c r="C344" s="208" t="s">
        <v>302</v>
      </c>
      <c r="D344" s="208" t="s">
        <v>482</v>
      </c>
      <c r="E344" s="208" t="s">
        <v>402</v>
      </c>
      <c r="F344" s="208">
        <v>2026</v>
      </c>
      <c r="G344" s="208">
        <v>2</v>
      </c>
      <c r="H344" s="208" t="s">
        <v>132</v>
      </c>
      <c r="I344" s="208" t="s">
        <v>133</v>
      </c>
      <c r="J344" s="208" t="s">
        <v>360</v>
      </c>
      <c r="K344" s="208" t="s">
        <v>135</v>
      </c>
      <c r="L344" s="208" t="s">
        <v>534</v>
      </c>
      <c r="M344" s="208">
        <v>2</v>
      </c>
      <c r="N344" s="208"/>
      <c r="O344" s="208" t="s">
        <v>127</v>
      </c>
      <c r="P344" s="208"/>
      <c r="Q344" s="207"/>
      <c r="R344" s="208"/>
    </row>
    <row r="345" spans="1:18">
      <c r="A345" s="277">
        <v>294</v>
      </c>
      <c r="B345" s="278">
        <v>46111</v>
      </c>
      <c r="C345" s="208" t="s">
        <v>302</v>
      </c>
      <c r="D345" s="208" t="s">
        <v>483</v>
      </c>
      <c r="E345" s="208" t="s">
        <v>402</v>
      </c>
      <c r="F345" s="208">
        <v>2026</v>
      </c>
      <c r="G345" s="208">
        <v>2</v>
      </c>
      <c r="H345" s="208" t="s">
        <v>99</v>
      </c>
      <c r="I345" s="208" t="s">
        <v>108</v>
      </c>
      <c r="J345" s="208" t="s">
        <v>366</v>
      </c>
      <c r="K345" s="208" t="s">
        <v>10</v>
      </c>
      <c r="L345" s="208" t="s">
        <v>542</v>
      </c>
      <c r="M345" s="208">
        <v>2</v>
      </c>
      <c r="N345" s="208"/>
      <c r="O345" s="208" t="s">
        <v>63</v>
      </c>
      <c r="P345" s="208"/>
      <c r="Q345" s="207"/>
      <c r="R345" s="208"/>
    </row>
    <row r="346" spans="1:18">
      <c r="A346" s="277">
        <v>295</v>
      </c>
      <c r="B346" s="278">
        <v>46111</v>
      </c>
      <c r="C346" s="208" t="s">
        <v>302</v>
      </c>
      <c r="D346" s="208" t="s">
        <v>491</v>
      </c>
      <c r="E346" s="208" t="s">
        <v>402</v>
      </c>
      <c r="F346" s="208">
        <v>2026</v>
      </c>
      <c r="G346" s="208">
        <v>2.5</v>
      </c>
      <c r="H346" s="208" t="s">
        <v>99</v>
      </c>
      <c r="I346" s="208" t="s">
        <v>108</v>
      </c>
      <c r="J346" s="208" t="s">
        <v>366</v>
      </c>
      <c r="K346" s="208" t="s">
        <v>106</v>
      </c>
      <c r="L346" s="208" t="s">
        <v>526</v>
      </c>
      <c r="M346" s="208">
        <v>2.5</v>
      </c>
      <c r="N346" s="208"/>
      <c r="O346" s="208" t="s">
        <v>112</v>
      </c>
      <c r="P346" s="208"/>
      <c r="Q346" s="207"/>
      <c r="R346" s="208"/>
    </row>
    <row r="347" spans="1:18">
      <c r="A347" s="277">
        <v>296</v>
      </c>
      <c r="B347" s="278">
        <v>46111</v>
      </c>
      <c r="C347" s="208" t="s">
        <v>302</v>
      </c>
      <c r="D347" s="208" t="s">
        <v>398</v>
      </c>
      <c r="E347" s="208" t="s">
        <v>402</v>
      </c>
      <c r="F347" s="208">
        <v>2026</v>
      </c>
      <c r="G347" s="208">
        <v>2</v>
      </c>
      <c r="H347" s="208" t="s">
        <v>57</v>
      </c>
      <c r="I347" s="208" t="s">
        <v>74</v>
      </c>
      <c r="J347" s="208" t="s">
        <v>373</v>
      </c>
      <c r="K347" s="208"/>
      <c r="L347" s="208" t="s">
        <v>543</v>
      </c>
      <c r="M347" s="208">
        <v>2</v>
      </c>
      <c r="N347" s="208"/>
      <c r="O347" s="208" t="s">
        <v>66</v>
      </c>
      <c r="P347" s="208"/>
      <c r="Q347" s="207"/>
      <c r="R347" s="208"/>
    </row>
    <row r="348" spans="1:18">
      <c r="A348" s="277">
        <v>297</v>
      </c>
      <c r="B348" s="278">
        <v>46111</v>
      </c>
      <c r="C348" s="208" t="s">
        <v>302</v>
      </c>
      <c r="D348" s="208" t="s">
        <v>372</v>
      </c>
      <c r="E348" s="208" t="s">
        <v>402</v>
      </c>
      <c r="F348" s="208">
        <v>2026</v>
      </c>
      <c r="G348" s="208">
        <v>2.5</v>
      </c>
      <c r="H348" s="208" t="s">
        <v>57</v>
      </c>
      <c r="I348" s="208" t="s">
        <v>58</v>
      </c>
      <c r="J348" s="208" t="s">
        <v>373</v>
      </c>
      <c r="K348" s="208"/>
      <c r="L348" s="208" t="s">
        <v>544</v>
      </c>
      <c r="M348" s="208">
        <v>2.5</v>
      </c>
      <c r="N348" s="208"/>
      <c r="O348" s="208" t="s">
        <v>70</v>
      </c>
      <c r="P348" s="208"/>
      <c r="Q348" s="207"/>
      <c r="R348" s="208"/>
    </row>
    <row r="349" spans="1:18">
      <c r="A349" s="277">
        <v>298</v>
      </c>
      <c r="B349" s="278">
        <v>46111</v>
      </c>
      <c r="C349" s="208" t="s">
        <v>302</v>
      </c>
      <c r="D349" s="208" t="s">
        <v>451</v>
      </c>
      <c r="E349" s="208" t="s">
        <v>402</v>
      </c>
      <c r="F349" s="208">
        <v>2026</v>
      </c>
      <c r="G349" s="208">
        <v>3</v>
      </c>
      <c r="H349" s="208" t="s">
        <v>61</v>
      </c>
      <c r="I349" s="208" t="s">
        <v>62</v>
      </c>
      <c r="J349" s="208" t="s">
        <v>360</v>
      </c>
      <c r="K349" s="208" t="s">
        <v>37</v>
      </c>
      <c r="L349" s="208" t="s">
        <v>411</v>
      </c>
      <c r="M349" s="208">
        <v>3</v>
      </c>
      <c r="N349" s="208"/>
      <c r="O349" s="208" t="s">
        <v>29</v>
      </c>
      <c r="P349" s="208"/>
      <c r="Q349" s="207"/>
      <c r="R349" s="208"/>
    </row>
    <row r="350" spans="1:18">
      <c r="A350" s="277">
        <v>299</v>
      </c>
      <c r="B350" s="278">
        <v>46111</v>
      </c>
      <c r="C350" s="208" t="s">
        <v>302</v>
      </c>
      <c r="D350" s="208" t="s">
        <v>452</v>
      </c>
      <c r="E350" s="208" t="s">
        <v>402</v>
      </c>
      <c r="F350" s="208">
        <v>2026</v>
      </c>
      <c r="G350" s="208">
        <v>3</v>
      </c>
      <c r="H350" s="208" t="s">
        <v>61</v>
      </c>
      <c r="I350" s="208" t="s">
        <v>62</v>
      </c>
      <c r="J350" s="208" t="s">
        <v>360</v>
      </c>
      <c r="K350" s="208" t="s">
        <v>38</v>
      </c>
      <c r="L350" s="208" t="s">
        <v>407</v>
      </c>
      <c r="M350" s="208">
        <v>3</v>
      </c>
      <c r="N350" s="208"/>
      <c r="O350" s="208" t="s">
        <v>127</v>
      </c>
      <c r="P350" s="208"/>
      <c r="Q350" s="207"/>
      <c r="R350" s="208"/>
    </row>
    <row r="351" spans="1:18">
      <c r="A351" s="277">
        <v>300</v>
      </c>
      <c r="B351" s="278">
        <v>46112</v>
      </c>
      <c r="C351" s="208" t="s">
        <v>289</v>
      </c>
      <c r="D351" s="208" t="s">
        <v>497</v>
      </c>
      <c r="E351" s="208" t="s">
        <v>402</v>
      </c>
      <c r="F351" s="208">
        <v>2026</v>
      </c>
      <c r="G351" s="208" t="s">
        <v>498</v>
      </c>
      <c r="H351" s="208" t="s">
        <v>57</v>
      </c>
      <c r="I351" s="208" t="s">
        <v>454</v>
      </c>
      <c r="J351" s="208" t="s">
        <v>311</v>
      </c>
      <c r="K351" s="208"/>
      <c r="L351" s="208" t="s">
        <v>545</v>
      </c>
      <c r="M351" s="208" t="s">
        <v>498</v>
      </c>
      <c r="N351" s="208"/>
      <c r="O351" s="208" t="s">
        <v>516</v>
      </c>
      <c r="P351" s="208"/>
      <c r="Q351" s="207"/>
      <c r="R351" s="208"/>
    </row>
    <row r="352" spans="1:18">
      <c r="A352" s="277">
        <v>301</v>
      </c>
      <c r="B352" s="278">
        <v>46112</v>
      </c>
      <c r="C352" s="208" t="s">
        <v>289</v>
      </c>
      <c r="D352" s="208" t="s">
        <v>524</v>
      </c>
      <c r="E352" s="208" t="s">
        <v>402</v>
      </c>
      <c r="F352" s="208">
        <v>2026</v>
      </c>
      <c r="G352" s="208">
        <v>2.5</v>
      </c>
      <c r="H352" s="208" t="s">
        <v>115</v>
      </c>
      <c r="I352" s="208" t="s">
        <v>437</v>
      </c>
      <c r="J352" s="208" t="s">
        <v>438</v>
      </c>
      <c r="K352" s="208" t="s">
        <v>101</v>
      </c>
      <c r="L352" s="208" t="s">
        <v>546</v>
      </c>
      <c r="M352" s="208">
        <v>2.5</v>
      </c>
      <c r="N352" s="208"/>
      <c r="O352" s="208" t="s">
        <v>117</v>
      </c>
      <c r="P352" s="208"/>
      <c r="Q352" s="207"/>
      <c r="R352" s="208"/>
    </row>
    <row r="353" spans="1:18">
      <c r="A353" s="277">
        <v>302</v>
      </c>
      <c r="B353" s="278">
        <v>46112</v>
      </c>
      <c r="C353" s="208" t="s">
        <v>289</v>
      </c>
      <c r="D353" s="208" t="s">
        <v>490</v>
      </c>
      <c r="E353" s="208" t="s">
        <v>402</v>
      </c>
      <c r="F353" s="208">
        <v>2026</v>
      </c>
      <c r="G353" s="208">
        <v>2</v>
      </c>
      <c r="H353" s="208" t="s">
        <v>99</v>
      </c>
      <c r="I353" s="208" t="s">
        <v>108</v>
      </c>
      <c r="J353" s="208" t="s">
        <v>366</v>
      </c>
      <c r="K353" s="208" t="s">
        <v>101</v>
      </c>
      <c r="L353" s="208" t="s">
        <v>542</v>
      </c>
      <c r="M353" s="208">
        <v>2</v>
      </c>
      <c r="N353" s="208"/>
      <c r="O353" s="208" t="s">
        <v>109</v>
      </c>
      <c r="P353" s="208"/>
      <c r="Q353" s="207"/>
      <c r="R353" s="208"/>
    </row>
    <row r="354" spans="1:18">
      <c r="A354" s="277">
        <v>303</v>
      </c>
      <c r="B354" s="278">
        <v>46112</v>
      </c>
      <c r="C354" s="208" t="s">
        <v>289</v>
      </c>
      <c r="D354" s="208" t="s">
        <v>491</v>
      </c>
      <c r="E354" s="208" t="s">
        <v>402</v>
      </c>
      <c r="F354" s="208">
        <v>2026</v>
      </c>
      <c r="G354" s="208">
        <v>2</v>
      </c>
      <c r="H354" s="208" t="s">
        <v>99</v>
      </c>
      <c r="I354" s="208" t="s">
        <v>108</v>
      </c>
      <c r="J354" s="208" t="s">
        <v>366</v>
      </c>
      <c r="K354" s="208" t="s">
        <v>104</v>
      </c>
      <c r="L354" s="208" t="s">
        <v>542</v>
      </c>
      <c r="M354" s="208">
        <v>2</v>
      </c>
      <c r="N354" s="208"/>
      <c r="O354" s="208" t="s">
        <v>109</v>
      </c>
      <c r="P354" s="208"/>
      <c r="Q354" s="207"/>
      <c r="R354" s="208"/>
    </row>
    <row r="355" spans="1:18" ht="45.75">
      <c r="A355" s="277">
        <v>304</v>
      </c>
      <c r="B355" s="278">
        <v>46112</v>
      </c>
      <c r="C355" s="208" t="s">
        <v>289</v>
      </c>
      <c r="D355" s="208" t="s">
        <v>456</v>
      </c>
      <c r="E355" s="208" t="s">
        <v>402</v>
      </c>
      <c r="F355" s="208">
        <v>2026</v>
      </c>
      <c r="G355" s="208">
        <v>2.5</v>
      </c>
      <c r="H355" s="208" t="s">
        <v>99</v>
      </c>
      <c r="I355" s="208" t="s">
        <v>100</v>
      </c>
      <c r="J355" s="208" t="s">
        <v>373</v>
      </c>
      <c r="K355" s="208" t="s">
        <v>101</v>
      </c>
      <c r="L355" s="279" t="s">
        <v>547</v>
      </c>
      <c r="M355" s="208">
        <v>2.5</v>
      </c>
      <c r="N355" s="208"/>
      <c r="O355" s="208" t="s">
        <v>102</v>
      </c>
      <c r="P355" s="208"/>
      <c r="Q355" s="207"/>
      <c r="R355" s="208"/>
    </row>
    <row r="356" spans="1:18" ht="45.75">
      <c r="A356" s="277">
        <v>305</v>
      </c>
      <c r="B356" s="278">
        <v>46112</v>
      </c>
      <c r="C356" s="208" t="s">
        <v>289</v>
      </c>
      <c r="D356" s="208" t="s">
        <v>467</v>
      </c>
      <c r="E356" s="208" t="s">
        <v>402</v>
      </c>
      <c r="F356" s="208">
        <v>2026</v>
      </c>
      <c r="G356" s="208">
        <v>2.5</v>
      </c>
      <c r="H356" s="208" t="s">
        <v>99</v>
      </c>
      <c r="I356" s="208" t="s">
        <v>100</v>
      </c>
      <c r="J356" s="208" t="s">
        <v>373</v>
      </c>
      <c r="K356" s="208" t="s">
        <v>104</v>
      </c>
      <c r="L356" s="279" t="s">
        <v>517</v>
      </c>
      <c r="M356" s="208">
        <v>2.5</v>
      </c>
      <c r="N356" s="208"/>
      <c r="O356" s="208" t="s">
        <v>70</v>
      </c>
      <c r="P356" s="208"/>
      <c r="Q356" s="207"/>
      <c r="R356" s="208"/>
    </row>
    <row r="357" spans="1:18" ht="30.75">
      <c r="A357" s="277">
        <v>306</v>
      </c>
      <c r="B357" s="278">
        <v>46112</v>
      </c>
      <c r="C357" s="208" t="s">
        <v>289</v>
      </c>
      <c r="D357" s="208" t="s">
        <v>430</v>
      </c>
      <c r="E357" s="208" t="s">
        <v>402</v>
      </c>
      <c r="F357" s="208">
        <v>2026</v>
      </c>
      <c r="G357" s="208">
        <v>2.5</v>
      </c>
      <c r="H357" s="208" t="s">
        <v>99</v>
      </c>
      <c r="I357" s="208" t="s">
        <v>100</v>
      </c>
      <c r="J357" s="208" t="s">
        <v>373</v>
      </c>
      <c r="K357" s="208" t="s">
        <v>106</v>
      </c>
      <c r="L357" s="279" t="s">
        <v>548</v>
      </c>
      <c r="M357" s="208">
        <v>2.5</v>
      </c>
      <c r="N357" s="208"/>
      <c r="O357" s="208" t="s">
        <v>432</v>
      </c>
      <c r="P357" s="208"/>
      <c r="Q357" s="207"/>
      <c r="R357" s="208"/>
    </row>
    <row r="358" spans="1:18">
      <c r="A358" s="277">
        <v>307</v>
      </c>
      <c r="B358" s="278">
        <v>46112</v>
      </c>
      <c r="C358" s="208" t="s">
        <v>289</v>
      </c>
      <c r="D358" s="208" t="s">
        <v>395</v>
      </c>
      <c r="E358" s="208" t="s">
        <v>402</v>
      </c>
      <c r="F358" s="208">
        <v>2026</v>
      </c>
      <c r="G358" s="208">
        <v>4</v>
      </c>
      <c r="H358" s="208" t="s">
        <v>80</v>
      </c>
      <c r="I358" s="208" t="s">
        <v>81</v>
      </c>
      <c r="J358" s="208" t="s">
        <v>366</v>
      </c>
      <c r="K358" s="208"/>
      <c r="L358" s="208" t="s">
        <v>549</v>
      </c>
      <c r="M358" s="208">
        <v>4</v>
      </c>
      <c r="N358" s="208"/>
      <c r="O358" s="208" t="s">
        <v>12</v>
      </c>
      <c r="P358" s="208"/>
      <c r="Q358" s="207"/>
      <c r="R358" s="208"/>
    </row>
    <row r="359" spans="1:18">
      <c r="A359" s="277">
        <v>308</v>
      </c>
      <c r="B359" s="278">
        <v>46112</v>
      </c>
      <c r="C359" s="208" t="s">
        <v>289</v>
      </c>
      <c r="D359" s="208" t="s">
        <v>451</v>
      </c>
      <c r="E359" s="208" t="s">
        <v>402</v>
      </c>
      <c r="F359" s="208">
        <v>2026</v>
      </c>
      <c r="G359" s="208">
        <v>3</v>
      </c>
      <c r="H359" s="208" t="s">
        <v>61</v>
      </c>
      <c r="I359" s="208" t="s">
        <v>62</v>
      </c>
      <c r="J359" s="208" t="s">
        <v>360</v>
      </c>
      <c r="K359" s="208" t="s">
        <v>37</v>
      </c>
      <c r="L359" s="208" t="s">
        <v>415</v>
      </c>
      <c r="M359" s="208">
        <v>3</v>
      </c>
      <c r="N359" s="208"/>
      <c r="O359" s="208" t="s">
        <v>112</v>
      </c>
      <c r="P359" s="208"/>
      <c r="Q359" s="207"/>
      <c r="R359" s="208"/>
    </row>
    <row r="360" spans="1:18">
      <c r="A360" s="277">
        <v>309</v>
      </c>
      <c r="B360" s="278">
        <v>46112</v>
      </c>
      <c r="C360" s="208" t="s">
        <v>289</v>
      </c>
      <c r="D360" s="208"/>
      <c r="E360" s="208" t="s">
        <v>402</v>
      </c>
      <c r="F360" s="208">
        <v>2026</v>
      </c>
      <c r="G360" s="208">
        <v>3</v>
      </c>
      <c r="H360" s="208" t="s">
        <v>61</v>
      </c>
      <c r="I360" s="208" t="s">
        <v>62</v>
      </c>
      <c r="J360" s="208" t="s">
        <v>360</v>
      </c>
      <c r="K360" s="208" t="s">
        <v>38</v>
      </c>
      <c r="L360" s="208" t="s">
        <v>410</v>
      </c>
      <c r="M360" s="208"/>
      <c r="N360" s="208"/>
      <c r="O360" s="208" t="s">
        <v>127</v>
      </c>
      <c r="P360" s="208"/>
      <c r="Q360" s="207"/>
      <c r="R360" s="208"/>
    </row>
    <row r="361" spans="1:18">
      <c r="A361" s="277">
        <v>310</v>
      </c>
      <c r="B361" s="278">
        <v>46113</v>
      </c>
      <c r="C361" s="208" t="s">
        <v>294</v>
      </c>
      <c r="D361" s="208" t="s">
        <v>520</v>
      </c>
      <c r="E361" s="208" t="s">
        <v>291</v>
      </c>
      <c r="F361" s="208">
        <v>2026</v>
      </c>
      <c r="G361" s="208">
        <v>3</v>
      </c>
      <c r="H361" s="208" t="s">
        <v>57</v>
      </c>
      <c r="I361" s="208" t="s">
        <v>89</v>
      </c>
      <c r="J361" s="208" t="s">
        <v>311</v>
      </c>
      <c r="K361" s="208" t="s">
        <v>90</v>
      </c>
      <c r="L361" s="208" t="s">
        <v>550</v>
      </c>
      <c r="M361" s="208">
        <v>3</v>
      </c>
      <c r="N361" s="208"/>
      <c r="O361" s="208" t="s">
        <v>91</v>
      </c>
      <c r="P361" s="208"/>
      <c r="Q361" s="207"/>
      <c r="R361" s="208"/>
    </row>
    <row r="362" spans="1:18">
      <c r="A362" s="277">
        <v>311</v>
      </c>
      <c r="B362" s="278">
        <v>46113</v>
      </c>
      <c r="C362" s="208" t="s">
        <v>294</v>
      </c>
      <c r="D362" s="208" t="s">
        <v>477</v>
      </c>
      <c r="E362" s="208" t="s">
        <v>291</v>
      </c>
      <c r="F362" s="208">
        <v>2026</v>
      </c>
      <c r="G362" s="208">
        <v>3</v>
      </c>
      <c r="H362" s="208" t="s">
        <v>461</v>
      </c>
      <c r="I362" s="208" t="s">
        <v>136</v>
      </c>
      <c r="J362" s="208" t="s">
        <v>462</v>
      </c>
      <c r="K362" s="208" t="s">
        <v>101</v>
      </c>
      <c r="L362" s="208" t="s">
        <v>551</v>
      </c>
      <c r="M362" s="208">
        <v>3</v>
      </c>
      <c r="N362" s="208"/>
      <c r="O362" s="208" t="s">
        <v>138</v>
      </c>
      <c r="P362" s="208"/>
      <c r="Q362" s="207"/>
      <c r="R362" s="208"/>
    </row>
    <row r="363" spans="1:18">
      <c r="A363" s="277">
        <v>312</v>
      </c>
      <c r="B363" s="278">
        <v>46113</v>
      </c>
      <c r="C363" s="208" t="s">
        <v>294</v>
      </c>
      <c r="D363" s="208" t="s">
        <v>479</v>
      </c>
      <c r="E363" s="208" t="s">
        <v>291</v>
      </c>
      <c r="F363" s="208">
        <v>2026</v>
      </c>
      <c r="G363" s="208">
        <v>3</v>
      </c>
      <c r="H363" s="208" t="s">
        <v>461</v>
      </c>
      <c r="I363" s="208" t="s">
        <v>136</v>
      </c>
      <c r="J363" s="208" t="s">
        <v>462</v>
      </c>
      <c r="K363" s="208" t="s">
        <v>10</v>
      </c>
      <c r="L363" s="208" t="s">
        <v>551</v>
      </c>
      <c r="M363" s="208">
        <v>3</v>
      </c>
      <c r="N363" s="208"/>
      <c r="O363" s="208" t="s">
        <v>138</v>
      </c>
      <c r="P363" s="208"/>
      <c r="Q363" s="207"/>
      <c r="R363" s="208"/>
    </row>
    <row r="364" spans="1:18">
      <c r="A364" s="277">
        <v>313</v>
      </c>
      <c r="B364" s="278">
        <v>46113</v>
      </c>
      <c r="C364" s="208" t="s">
        <v>294</v>
      </c>
      <c r="D364" s="208" t="s">
        <v>480</v>
      </c>
      <c r="E364" s="208" t="s">
        <v>291</v>
      </c>
      <c r="F364" s="208">
        <v>2026</v>
      </c>
      <c r="G364" s="208">
        <v>3</v>
      </c>
      <c r="H364" s="208" t="s">
        <v>132</v>
      </c>
      <c r="I364" s="208" t="s">
        <v>133</v>
      </c>
      <c r="J364" s="208" t="s">
        <v>360</v>
      </c>
      <c r="K364" s="208" t="s">
        <v>106</v>
      </c>
      <c r="L364" s="208" t="s">
        <v>552</v>
      </c>
      <c r="M364" s="208">
        <v>3</v>
      </c>
      <c r="N364" s="208"/>
      <c r="O364" s="208" t="s">
        <v>127</v>
      </c>
      <c r="P364" s="208"/>
      <c r="Q364" s="207"/>
      <c r="R364" s="208"/>
    </row>
    <row r="365" spans="1:18">
      <c r="A365" s="277">
        <v>314</v>
      </c>
      <c r="B365" s="278">
        <v>46113</v>
      </c>
      <c r="C365" s="208" t="s">
        <v>294</v>
      </c>
      <c r="D365" s="208" t="s">
        <v>482</v>
      </c>
      <c r="E365" s="208" t="s">
        <v>291</v>
      </c>
      <c r="F365" s="208">
        <v>2026</v>
      </c>
      <c r="G365" s="208">
        <v>2</v>
      </c>
      <c r="H365" s="208" t="s">
        <v>132</v>
      </c>
      <c r="I365" s="208" t="s">
        <v>133</v>
      </c>
      <c r="J365" s="208" t="s">
        <v>360</v>
      </c>
      <c r="K365" s="208" t="s">
        <v>135</v>
      </c>
      <c r="L365" s="208" t="s">
        <v>553</v>
      </c>
      <c r="M365" s="208">
        <v>2</v>
      </c>
      <c r="N365" s="208"/>
      <c r="O365" s="208" t="s">
        <v>63</v>
      </c>
      <c r="P365" s="208"/>
      <c r="Q365" s="207"/>
      <c r="R365" s="208"/>
    </row>
    <row r="366" spans="1:18">
      <c r="A366" s="277">
        <v>315</v>
      </c>
      <c r="B366" s="278">
        <v>46113</v>
      </c>
      <c r="C366" s="208" t="s">
        <v>294</v>
      </c>
      <c r="D366" s="208" t="s">
        <v>524</v>
      </c>
      <c r="E366" s="208" t="s">
        <v>291</v>
      </c>
      <c r="F366" s="208">
        <v>2026</v>
      </c>
      <c r="G366" s="208">
        <v>2.5</v>
      </c>
      <c r="H366" s="208" t="s">
        <v>115</v>
      </c>
      <c r="I366" s="208" t="s">
        <v>437</v>
      </c>
      <c r="J366" s="208" t="s">
        <v>438</v>
      </c>
      <c r="K366" s="208" t="s">
        <v>101</v>
      </c>
      <c r="L366" s="208" t="s">
        <v>554</v>
      </c>
      <c r="M366" s="208">
        <v>2.5</v>
      </c>
      <c r="N366" s="208"/>
      <c r="O366" s="208" t="s">
        <v>117</v>
      </c>
      <c r="P366" s="208"/>
      <c r="Q366" s="207"/>
      <c r="R366" s="208"/>
    </row>
    <row r="367" spans="1:18">
      <c r="A367" s="277"/>
      <c r="B367" s="278">
        <v>46113</v>
      </c>
      <c r="C367" s="208" t="s">
        <v>294</v>
      </c>
      <c r="D367" s="208"/>
      <c r="E367" s="208" t="s">
        <v>291</v>
      </c>
      <c r="F367" s="208">
        <v>2026</v>
      </c>
      <c r="G367" s="208"/>
      <c r="H367" s="208" t="s">
        <v>99</v>
      </c>
      <c r="I367" s="208" t="s">
        <v>108</v>
      </c>
      <c r="J367" s="208" t="s">
        <v>366</v>
      </c>
      <c r="K367" s="208" t="s">
        <v>101</v>
      </c>
      <c r="L367" s="208" t="s">
        <v>391</v>
      </c>
      <c r="M367" s="208"/>
      <c r="N367" s="208"/>
      <c r="O367" s="208"/>
      <c r="P367" s="208"/>
      <c r="Q367" s="207"/>
      <c r="R367" s="208"/>
    </row>
    <row r="368" spans="1:18">
      <c r="A368" s="277">
        <v>316</v>
      </c>
      <c r="B368" s="278">
        <v>46113</v>
      </c>
      <c r="C368" s="208" t="s">
        <v>294</v>
      </c>
      <c r="D368" s="208" t="s">
        <v>483</v>
      </c>
      <c r="E368" s="208" t="s">
        <v>291</v>
      </c>
      <c r="F368" s="208">
        <v>2026</v>
      </c>
      <c r="G368" s="208">
        <v>2</v>
      </c>
      <c r="H368" s="208" t="s">
        <v>99</v>
      </c>
      <c r="I368" s="208" t="s">
        <v>108</v>
      </c>
      <c r="J368" s="208" t="s">
        <v>366</v>
      </c>
      <c r="K368" s="208" t="s">
        <v>10</v>
      </c>
      <c r="L368" s="208" t="s">
        <v>555</v>
      </c>
      <c r="M368" s="208">
        <v>2</v>
      </c>
      <c r="N368" s="208"/>
      <c r="O368" s="208" t="s">
        <v>63</v>
      </c>
      <c r="P368" s="208"/>
      <c r="Q368" s="207"/>
      <c r="R368" s="208"/>
    </row>
    <row r="369" spans="1:18">
      <c r="A369" s="277">
        <v>317</v>
      </c>
      <c r="B369" s="278">
        <v>46113</v>
      </c>
      <c r="C369" s="208" t="s">
        <v>294</v>
      </c>
      <c r="D369" s="208" t="s">
        <v>491</v>
      </c>
      <c r="E369" s="208" t="s">
        <v>291</v>
      </c>
      <c r="F369" s="208">
        <v>2026</v>
      </c>
      <c r="G369" s="208">
        <v>2.5</v>
      </c>
      <c r="H369" s="208" t="s">
        <v>99</v>
      </c>
      <c r="I369" s="208" t="s">
        <v>108</v>
      </c>
      <c r="J369" s="208" t="s">
        <v>366</v>
      </c>
      <c r="K369" s="208" t="s">
        <v>106</v>
      </c>
      <c r="L369" s="208" t="s">
        <v>542</v>
      </c>
      <c r="M369" s="208">
        <v>2.5</v>
      </c>
      <c r="N369" s="208"/>
      <c r="O369" s="208" t="s">
        <v>112</v>
      </c>
      <c r="P369" s="208"/>
      <c r="Q369" s="207"/>
      <c r="R369" s="208"/>
    </row>
    <row r="370" spans="1:18">
      <c r="A370" s="277">
        <v>318</v>
      </c>
      <c r="B370" s="278">
        <v>46113</v>
      </c>
      <c r="C370" s="208" t="s">
        <v>294</v>
      </c>
      <c r="D370" s="208" t="s">
        <v>398</v>
      </c>
      <c r="E370" s="208" t="s">
        <v>291</v>
      </c>
      <c r="F370" s="208">
        <v>2026</v>
      </c>
      <c r="G370" s="208">
        <v>2</v>
      </c>
      <c r="H370" s="208" t="s">
        <v>57</v>
      </c>
      <c r="I370" s="208" t="s">
        <v>74</v>
      </c>
      <c r="J370" s="208" t="s">
        <v>373</v>
      </c>
      <c r="K370" s="208"/>
      <c r="L370" s="208" t="s">
        <v>556</v>
      </c>
      <c r="M370" s="208">
        <v>2</v>
      </c>
      <c r="N370" s="208"/>
      <c r="O370" s="208" t="s">
        <v>66</v>
      </c>
      <c r="P370" s="208"/>
      <c r="Q370" s="207"/>
      <c r="R370" s="208"/>
    </row>
    <row r="371" spans="1:18">
      <c r="A371" s="277">
        <v>319</v>
      </c>
      <c r="B371" s="278">
        <v>46113</v>
      </c>
      <c r="C371" s="208" t="s">
        <v>294</v>
      </c>
      <c r="D371" s="208" t="s">
        <v>395</v>
      </c>
      <c r="E371" s="208" t="s">
        <v>291</v>
      </c>
      <c r="F371" s="208">
        <v>2026</v>
      </c>
      <c r="G371" s="208">
        <v>4</v>
      </c>
      <c r="H371" s="208" t="s">
        <v>80</v>
      </c>
      <c r="I371" s="208" t="s">
        <v>81</v>
      </c>
      <c r="J371" s="208" t="s">
        <v>366</v>
      </c>
      <c r="K371" s="208"/>
      <c r="L371" s="208" t="s">
        <v>557</v>
      </c>
      <c r="M371" s="208">
        <v>4</v>
      </c>
      <c r="N371" s="208"/>
      <c r="O371" s="208" t="s">
        <v>12</v>
      </c>
      <c r="P371" s="208"/>
      <c r="Q371" s="207"/>
      <c r="R371" s="208"/>
    </row>
    <row r="372" spans="1:18">
      <c r="A372" s="277">
        <v>320</v>
      </c>
      <c r="B372" s="278">
        <v>46113</v>
      </c>
      <c r="C372" s="208" t="s">
        <v>294</v>
      </c>
      <c r="D372" s="208" t="s">
        <v>372</v>
      </c>
      <c r="E372" s="208" t="s">
        <v>291</v>
      </c>
      <c r="F372" s="208">
        <v>2026</v>
      </c>
      <c r="G372" s="208">
        <v>2.5</v>
      </c>
      <c r="H372" s="208" t="s">
        <v>57</v>
      </c>
      <c r="I372" s="208" t="s">
        <v>58</v>
      </c>
      <c r="J372" s="208" t="s">
        <v>373</v>
      </c>
      <c r="K372" s="208"/>
      <c r="L372" s="208" t="s">
        <v>558</v>
      </c>
      <c r="M372" s="208">
        <v>2.5</v>
      </c>
      <c r="N372" s="208"/>
      <c r="O372" s="208" t="s">
        <v>559</v>
      </c>
      <c r="P372" s="208"/>
      <c r="Q372" s="207"/>
      <c r="R372" s="208"/>
    </row>
    <row r="373" spans="1:18">
      <c r="A373" s="277">
        <v>321</v>
      </c>
      <c r="B373" s="278">
        <v>46113</v>
      </c>
      <c r="C373" s="208" t="s">
        <v>294</v>
      </c>
      <c r="D373" s="208" t="s">
        <v>451</v>
      </c>
      <c r="E373" s="208" t="s">
        <v>291</v>
      </c>
      <c r="F373" s="208">
        <v>2026</v>
      </c>
      <c r="G373" s="208">
        <v>3</v>
      </c>
      <c r="H373" s="208" t="s">
        <v>61</v>
      </c>
      <c r="I373" s="208" t="s">
        <v>62</v>
      </c>
      <c r="J373" s="208" t="s">
        <v>360</v>
      </c>
      <c r="K373" s="208" t="s">
        <v>37</v>
      </c>
      <c r="L373" s="208" t="s">
        <v>419</v>
      </c>
      <c r="M373" s="208">
        <v>3</v>
      </c>
      <c r="N373" s="208"/>
      <c r="O373" s="208" t="s">
        <v>112</v>
      </c>
      <c r="P373" s="208"/>
      <c r="Q373" s="207"/>
      <c r="R373" s="208"/>
    </row>
    <row r="374" spans="1:18">
      <c r="A374" s="277">
        <v>322</v>
      </c>
      <c r="B374" s="278">
        <v>46113</v>
      </c>
      <c r="C374" s="208" t="s">
        <v>294</v>
      </c>
      <c r="D374" s="208" t="s">
        <v>452</v>
      </c>
      <c r="E374" s="208" t="s">
        <v>291</v>
      </c>
      <c r="F374" s="208">
        <v>2026</v>
      </c>
      <c r="G374" s="208">
        <v>3</v>
      </c>
      <c r="H374" s="208" t="s">
        <v>61</v>
      </c>
      <c r="I374" s="208" t="s">
        <v>62</v>
      </c>
      <c r="J374" s="208" t="s">
        <v>360</v>
      </c>
      <c r="K374" s="208" t="s">
        <v>38</v>
      </c>
      <c r="L374" s="208" t="s">
        <v>419</v>
      </c>
      <c r="M374" s="208">
        <v>3</v>
      </c>
      <c r="N374" s="208"/>
      <c r="O374" s="208" t="s">
        <v>127</v>
      </c>
      <c r="P374" s="208"/>
      <c r="Q374" s="207"/>
      <c r="R374" s="208"/>
    </row>
    <row r="375" spans="1:18">
      <c r="A375" s="277">
        <v>323</v>
      </c>
      <c r="B375" s="278">
        <v>46114</v>
      </c>
      <c r="C375" s="208" t="s">
        <v>298</v>
      </c>
      <c r="D375" s="208" t="s">
        <v>480</v>
      </c>
      <c r="E375" s="208" t="s">
        <v>291</v>
      </c>
      <c r="F375" s="208">
        <v>2026</v>
      </c>
      <c r="G375" s="208">
        <v>3</v>
      </c>
      <c r="H375" s="208" t="s">
        <v>132</v>
      </c>
      <c r="I375" s="208" t="s">
        <v>133</v>
      </c>
      <c r="J375" s="208" t="s">
        <v>360</v>
      </c>
      <c r="K375" s="208" t="s">
        <v>106</v>
      </c>
      <c r="L375" s="208" t="s">
        <v>560</v>
      </c>
      <c r="M375" s="208">
        <v>3</v>
      </c>
      <c r="N375" s="208"/>
      <c r="O375" s="208" t="s">
        <v>127</v>
      </c>
      <c r="P375" s="208"/>
      <c r="Q375" s="207"/>
      <c r="R375" s="208"/>
    </row>
    <row r="376" spans="1:18">
      <c r="A376" s="277">
        <v>324</v>
      </c>
      <c r="B376" s="278">
        <v>46114</v>
      </c>
      <c r="C376" s="208" t="s">
        <v>298</v>
      </c>
      <c r="D376" s="208" t="s">
        <v>482</v>
      </c>
      <c r="E376" s="208" t="s">
        <v>291</v>
      </c>
      <c r="F376" s="208">
        <v>2026</v>
      </c>
      <c r="G376" s="208">
        <v>2</v>
      </c>
      <c r="H376" s="208" t="s">
        <v>132</v>
      </c>
      <c r="I376" s="208" t="s">
        <v>133</v>
      </c>
      <c r="J376" s="208" t="s">
        <v>360</v>
      </c>
      <c r="K376" s="208" t="s">
        <v>135</v>
      </c>
      <c r="L376" s="208" t="s">
        <v>561</v>
      </c>
      <c r="M376" s="208">
        <v>2</v>
      </c>
      <c r="N376" s="208"/>
      <c r="O376" s="208" t="s">
        <v>63</v>
      </c>
      <c r="P376" s="208"/>
      <c r="Q376" s="207"/>
      <c r="R376" s="208"/>
    </row>
    <row r="377" spans="1:18">
      <c r="A377" s="277">
        <v>325</v>
      </c>
      <c r="B377" s="278">
        <v>46114</v>
      </c>
      <c r="C377" s="208" t="s">
        <v>298</v>
      </c>
      <c r="D377" s="208" t="s">
        <v>497</v>
      </c>
      <c r="E377" s="208" t="s">
        <v>291</v>
      </c>
      <c r="F377" s="208">
        <v>2026</v>
      </c>
      <c r="G377" s="208" t="s">
        <v>498</v>
      </c>
      <c r="H377" s="208" t="s">
        <v>57</v>
      </c>
      <c r="I377" s="208" t="s">
        <v>454</v>
      </c>
      <c r="J377" s="208" t="s">
        <v>311</v>
      </c>
      <c r="K377" s="208"/>
      <c r="L377" s="208" t="s">
        <v>562</v>
      </c>
      <c r="M377" s="208" t="s">
        <v>498</v>
      </c>
      <c r="N377" s="208"/>
      <c r="O377" s="208" t="s">
        <v>516</v>
      </c>
      <c r="P377" s="208"/>
      <c r="Q377" s="207"/>
      <c r="R377" s="208"/>
    </row>
    <row r="378" spans="1:18">
      <c r="A378" s="277">
        <v>326</v>
      </c>
      <c r="B378" s="278">
        <v>46114</v>
      </c>
      <c r="C378" s="208" t="s">
        <v>298</v>
      </c>
      <c r="D378" s="208" t="s">
        <v>490</v>
      </c>
      <c r="E378" s="208" t="s">
        <v>291</v>
      </c>
      <c r="F378" s="208">
        <v>2026</v>
      </c>
      <c r="G378" s="208">
        <v>2</v>
      </c>
      <c r="H378" s="208" t="s">
        <v>99</v>
      </c>
      <c r="I378" s="208" t="s">
        <v>108</v>
      </c>
      <c r="J378" s="208" t="s">
        <v>366</v>
      </c>
      <c r="K378" s="208" t="s">
        <v>101</v>
      </c>
      <c r="L378" s="208" t="s">
        <v>555</v>
      </c>
      <c r="M378" s="208">
        <v>2</v>
      </c>
      <c r="N378" s="208"/>
      <c r="O378" s="208" t="s">
        <v>109</v>
      </c>
      <c r="P378" s="208"/>
      <c r="Q378" s="207"/>
      <c r="R378" s="208"/>
    </row>
    <row r="379" spans="1:18">
      <c r="A379" s="277">
        <v>327</v>
      </c>
      <c r="B379" s="278">
        <v>46114</v>
      </c>
      <c r="C379" s="208" t="s">
        <v>298</v>
      </c>
      <c r="D379" s="208" t="s">
        <v>491</v>
      </c>
      <c r="E379" s="208" t="s">
        <v>291</v>
      </c>
      <c r="F379" s="208">
        <v>2026</v>
      </c>
      <c r="G379" s="208">
        <v>2</v>
      </c>
      <c r="H379" s="208" t="s">
        <v>99</v>
      </c>
      <c r="I379" s="208" t="s">
        <v>108</v>
      </c>
      <c r="J379" s="208" t="s">
        <v>366</v>
      </c>
      <c r="K379" s="208" t="s">
        <v>104</v>
      </c>
      <c r="L379" s="208" t="s">
        <v>555</v>
      </c>
      <c r="M379" s="208">
        <v>2</v>
      </c>
      <c r="N379" s="208"/>
      <c r="O379" s="208" t="s">
        <v>109</v>
      </c>
      <c r="P379" s="208"/>
      <c r="Q379" s="207"/>
      <c r="R379" s="208"/>
    </row>
    <row r="380" spans="1:18">
      <c r="A380" s="277">
        <v>328</v>
      </c>
      <c r="B380" s="278">
        <v>46114</v>
      </c>
      <c r="C380" s="208" t="s">
        <v>298</v>
      </c>
      <c r="D380" s="208" t="s">
        <v>451</v>
      </c>
      <c r="E380" s="208" t="s">
        <v>291</v>
      </c>
      <c r="F380" s="208">
        <v>2026</v>
      </c>
      <c r="G380" s="208">
        <v>3</v>
      </c>
      <c r="H380" s="208" t="s">
        <v>61</v>
      </c>
      <c r="I380" s="208" t="s">
        <v>62</v>
      </c>
      <c r="J380" s="208" t="s">
        <v>360</v>
      </c>
      <c r="K380" s="208" t="s">
        <v>37</v>
      </c>
      <c r="L380" s="208" t="s">
        <v>422</v>
      </c>
      <c r="M380" s="208">
        <v>3</v>
      </c>
      <c r="N380" s="208"/>
      <c r="O380" s="208" t="s">
        <v>112</v>
      </c>
      <c r="P380" s="208"/>
      <c r="Q380" s="207"/>
      <c r="R380" s="208"/>
    </row>
    <row r="381" spans="1:18">
      <c r="A381" s="277">
        <v>329</v>
      </c>
      <c r="B381" s="278">
        <v>46114</v>
      </c>
      <c r="C381" s="208" t="s">
        <v>298</v>
      </c>
      <c r="D381" s="208" t="s">
        <v>452</v>
      </c>
      <c r="E381" s="208" t="s">
        <v>291</v>
      </c>
      <c r="F381" s="208">
        <v>2026</v>
      </c>
      <c r="G381" s="208">
        <v>3</v>
      </c>
      <c r="H381" s="208" t="s">
        <v>61</v>
      </c>
      <c r="I381" s="208" t="s">
        <v>62</v>
      </c>
      <c r="J381" s="208" t="s">
        <v>360</v>
      </c>
      <c r="K381" s="208" t="s">
        <v>38</v>
      </c>
      <c r="L381" s="208" t="s">
        <v>422</v>
      </c>
      <c r="M381" s="208">
        <v>3</v>
      </c>
      <c r="N381" s="208"/>
      <c r="O381" s="208" t="s">
        <v>127</v>
      </c>
      <c r="P381" s="208"/>
      <c r="Q381" s="207"/>
      <c r="R381" s="208"/>
    </row>
    <row r="382" spans="1:18">
      <c r="A382" s="277"/>
      <c r="B382" s="278">
        <v>46115</v>
      </c>
      <c r="C382" s="208" t="s">
        <v>301</v>
      </c>
      <c r="D382" s="208"/>
      <c r="E382" s="208" t="s">
        <v>291</v>
      </c>
      <c r="F382" s="208">
        <v>2026</v>
      </c>
      <c r="G382" s="208"/>
      <c r="H382" s="208" t="s">
        <v>99</v>
      </c>
      <c r="I382" s="208" t="s">
        <v>108</v>
      </c>
      <c r="J382" s="208" t="s">
        <v>366</v>
      </c>
      <c r="K382" s="208" t="s">
        <v>104</v>
      </c>
      <c r="L382" s="208" t="s">
        <v>391</v>
      </c>
      <c r="M382" s="208"/>
      <c r="N382" s="208"/>
      <c r="O382" s="208"/>
      <c r="P382" s="208"/>
      <c r="Q382" s="207"/>
      <c r="R382" s="208"/>
    </row>
    <row r="383" spans="1:18">
      <c r="A383" s="277">
        <v>330</v>
      </c>
      <c r="B383" s="278">
        <v>46118</v>
      </c>
      <c r="C383" s="208" t="s">
        <v>302</v>
      </c>
      <c r="D383" s="208" t="s">
        <v>520</v>
      </c>
      <c r="E383" s="208" t="s">
        <v>291</v>
      </c>
      <c r="F383" s="208">
        <v>2026</v>
      </c>
      <c r="G383" s="208">
        <v>3</v>
      </c>
      <c r="H383" s="208" t="s">
        <v>57</v>
      </c>
      <c r="I383" s="208" t="s">
        <v>89</v>
      </c>
      <c r="J383" s="208" t="s">
        <v>311</v>
      </c>
      <c r="K383" s="208" t="s">
        <v>90</v>
      </c>
      <c r="L383" s="208" t="s">
        <v>563</v>
      </c>
      <c r="M383" s="208">
        <v>3</v>
      </c>
      <c r="N383" s="208"/>
      <c r="O383" s="208" t="s">
        <v>91</v>
      </c>
      <c r="P383" s="208"/>
      <c r="Q383" s="207"/>
      <c r="R383" s="208"/>
    </row>
    <row r="384" spans="1:18">
      <c r="A384" s="277">
        <v>331</v>
      </c>
      <c r="B384" s="278">
        <v>46118</v>
      </c>
      <c r="C384" s="208" t="s">
        <v>302</v>
      </c>
      <c r="D384" s="208" t="s">
        <v>480</v>
      </c>
      <c r="E384" s="208" t="s">
        <v>291</v>
      </c>
      <c r="F384" s="208">
        <v>2026</v>
      </c>
      <c r="G384" s="208">
        <v>3</v>
      </c>
      <c r="H384" s="208" t="s">
        <v>132</v>
      </c>
      <c r="I384" s="208" t="s">
        <v>133</v>
      </c>
      <c r="J384" s="208" t="s">
        <v>360</v>
      </c>
      <c r="K384" s="208" t="s">
        <v>106</v>
      </c>
      <c r="L384" s="208" t="s">
        <v>564</v>
      </c>
      <c r="M384" s="208">
        <v>3</v>
      </c>
      <c r="N384" s="208"/>
      <c r="O384" s="208" t="s">
        <v>127</v>
      </c>
      <c r="P384" s="208"/>
      <c r="Q384" s="207"/>
      <c r="R384" s="208"/>
    </row>
    <row r="385" spans="1:18">
      <c r="A385" s="277">
        <v>332</v>
      </c>
      <c r="B385" s="278">
        <v>46118</v>
      </c>
      <c r="C385" s="208" t="s">
        <v>302</v>
      </c>
      <c r="D385" s="208" t="s">
        <v>482</v>
      </c>
      <c r="E385" s="208" t="s">
        <v>291</v>
      </c>
      <c r="F385" s="208">
        <v>2026</v>
      </c>
      <c r="G385" s="208">
        <v>2</v>
      </c>
      <c r="H385" s="208" t="s">
        <v>132</v>
      </c>
      <c r="I385" s="208" t="s">
        <v>133</v>
      </c>
      <c r="J385" s="208" t="s">
        <v>360</v>
      </c>
      <c r="K385" s="208" t="s">
        <v>135</v>
      </c>
      <c r="L385" s="208" t="s">
        <v>565</v>
      </c>
      <c r="M385" s="208">
        <v>2</v>
      </c>
      <c r="N385" s="208"/>
      <c r="O385" s="208" t="s">
        <v>63</v>
      </c>
      <c r="P385" s="208"/>
      <c r="Q385" s="207"/>
      <c r="R385" s="208"/>
    </row>
    <row r="386" spans="1:18">
      <c r="A386" s="277">
        <v>333</v>
      </c>
      <c r="B386" s="278">
        <v>46118</v>
      </c>
      <c r="C386" s="208" t="s">
        <v>302</v>
      </c>
      <c r="D386" s="208" t="s">
        <v>483</v>
      </c>
      <c r="E386" s="208" t="s">
        <v>291</v>
      </c>
      <c r="F386" s="208">
        <v>2026</v>
      </c>
      <c r="G386" s="208">
        <v>2</v>
      </c>
      <c r="H386" s="208" t="s">
        <v>99</v>
      </c>
      <c r="I386" s="208" t="s">
        <v>108</v>
      </c>
      <c r="J386" s="208" t="s">
        <v>366</v>
      </c>
      <c r="K386" s="208" t="s">
        <v>10</v>
      </c>
      <c r="L386" s="208" t="s">
        <v>566</v>
      </c>
      <c r="M386" s="208">
        <v>2</v>
      </c>
      <c r="N386" s="208"/>
      <c r="O386" s="208" t="s">
        <v>63</v>
      </c>
      <c r="P386" s="208"/>
      <c r="Q386" s="207"/>
      <c r="R386" s="208"/>
    </row>
    <row r="387" spans="1:18">
      <c r="A387" s="277">
        <v>334</v>
      </c>
      <c r="B387" s="278">
        <v>46118</v>
      </c>
      <c r="C387" s="208" t="s">
        <v>302</v>
      </c>
      <c r="D387" s="208" t="s">
        <v>398</v>
      </c>
      <c r="E387" s="208" t="s">
        <v>291</v>
      </c>
      <c r="F387" s="208">
        <v>2026</v>
      </c>
      <c r="G387" s="208">
        <v>2</v>
      </c>
      <c r="H387" s="208" t="s">
        <v>57</v>
      </c>
      <c r="I387" s="208" t="s">
        <v>74</v>
      </c>
      <c r="J387" s="208" t="s">
        <v>373</v>
      </c>
      <c r="K387" s="208"/>
      <c r="L387" s="208" t="s">
        <v>567</v>
      </c>
      <c r="M387" s="208">
        <v>2</v>
      </c>
      <c r="N387" s="208"/>
      <c r="O387" s="208" t="s">
        <v>66</v>
      </c>
      <c r="P387" s="208"/>
      <c r="Q387" s="207"/>
      <c r="R387" s="208"/>
    </row>
    <row r="388" spans="1:18">
      <c r="A388" s="277">
        <v>335</v>
      </c>
      <c r="B388" s="278">
        <v>46118</v>
      </c>
      <c r="C388" s="208" t="s">
        <v>302</v>
      </c>
      <c r="D388" s="208" t="s">
        <v>372</v>
      </c>
      <c r="E388" s="208" t="s">
        <v>291</v>
      </c>
      <c r="F388" s="208">
        <v>2026</v>
      </c>
      <c r="G388" s="208">
        <v>2.5</v>
      </c>
      <c r="H388" s="208" t="s">
        <v>57</v>
      </c>
      <c r="I388" s="208" t="s">
        <v>58</v>
      </c>
      <c r="J388" s="208" t="s">
        <v>373</v>
      </c>
      <c r="K388" s="208"/>
      <c r="L388" s="208" t="s">
        <v>544</v>
      </c>
      <c r="M388" s="208">
        <v>2.5</v>
      </c>
      <c r="N388" s="208"/>
      <c r="O388" s="208" t="s">
        <v>70</v>
      </c>
      <c r="P388" s="208"/>
      <c r="Q388" s="207"/>
      <c r="R388" s="208"/>
    </row>
    <row r="389" spans="1:18">
      <c r="A389" s="277">
        <v>336</v>
      </c>
      <c r="B389" s="278">
        <v>46118</v>
      </c>
      <c r="C389" s="208" t="s">
        <v>302</v>
      </c>
      <c r="D389" s="208" t="s">
        <v>568</v>
      </c>
      <c r="E389" s="208" t="s">
        <v>291</v>
      </c>
      <c r="F389" s="208">
        <v>2026</v>
      </c>
      <c r="G389" s="208">
        <v>3</v>
      </c>
      <c r="H389" s="208" t="s">
        <v>61</v>
      </c>
      <c r="I389" s="208" t="s">
        <v>62</v>
      </c>
      <c r="J389" s="208" t="s">
        <v>360</v>
      </c>
      <c r="K389" s="208" t="s">
        <v>34</v>
      </c>
      <c r="L389" s="208" t="s">
        <v>569</v>
      </c>
      <c r="M389" s="208">
        <v>3</v>
      </c>
      <c r="N389" s="208"/>
      <c r="O389" s="208" t="s">
        <v>169</v>
      </c>
      <c r="P389" s="208"/>
      <c r="Q389" s="207"/>
      <c r="R389" s="208"/>
    </row>
    <row r="390" spans="1:18">
      <c r="A390" s="277">
        <v>337</v>
      </c>
      <c r="B390" s="278">
        <v>46118</v>
      </c>
      <c r="C390" s="208" t="s">
        <v>302</v>
      </c>
      <c r="D390" s="208" t="s">
        <v>568</v>
      </c>
      <c r="E390" s="208" t="s">
        <v>291</v>
      </c>
      <c r="F390" s="208">
        <v>2026</v>
      </c>
      <c r="G390" s="208">
        <v>3</v>
      </c>
      <c r="H390" s="208" t="s">
        <v>61</v>
      </c>
      <c r="I390" s="208" t="s">
        <v>62</v>
      </c>
      <c r="J390" s="208" t="s">
        <v>360</v>
      </c>
      <c r="K390" s="208" t="s">
        <v>35</v>
      </c>
      <c r="L390" s="208" t="s">
        <v>569</v>
      </c>
      <c r="M390" s="208">
        <v>3</v>
      </c>
      <c r="N390" s="208"/>
      <c r="O390" s="208" t="s">
        <v>169</v>
      </c>
      <c r="P390" s="208"/>
      <c r="Q390" s="207"/>
      <c r="R390" s="208"/>
    </row>
    <row r="391" spans="1:18">
      <c r="A391" s="277">
        <v>338</v>
      </c>
      <c r="B391" s="278">
        <v>46118</v>
      </c>
      <c r="C391" s="208" t="s">
        <v>302</v>
      </c>
      <c r="D391" s="208" t="s">
        <v>451</v>
      </c>
      <c r="E391" s="208" t="s">
        <v>291</v>
      </c>
      <c r="F391" s="208">
        <v>2026</v>
      </c>
      <c r="G391" s="208">
        <v>3</v>
      </c>
      <c r="H391" s="208" t="s">
        <v>61</v>
      </c>
      <c r="I391" s="208" t="s">
        <v>62</v>
      </c>
      <c r="J391" s="208" t="s">
        <v>360</v>
      </c>
      <c r="K391" s="208" t="s">
        <v>37</v>
      </c>
      <c r="L391" s="208" t="s">
        <v>424</v>
      </c>
      <c r="M391" s="208">
        <v>3</v>
      </c>
      <c r="N391" s="208"/>
      <c r="O391" s="208" t="s">
        <v>112</v>
      </c>
      <c r="P391" s="208"/>
      <c r="Q391" s="207"/>
      <c r="R391" s="208"/>
    </row>
    <row r="392" spans="1:18">
      <c r="A392" s="277">
        <v>339</v>
      </c>
      <c r="B392" s="278">
        <v>46118</v>
      </c>
      <c r="C392" s="208" t="s">
        <v>302</v>
      </c>
      <c r="D392" s="208" t="s">
        <v>452</v>
      </c>
      <c r="E392" s="208" t="s">
        <v>291</v>
      </c>
      <c r="F392" s="208">
        <v>2026</v>
      </c>
      <c r="G392" s="208">
        <v>3</v>
      </c>
      <c r="H392" s="208" t="s">
        <v>61</v>
      </c>
      <c r="I392" s="208" t="s">
        <v>62</v>
      </c>
      <c r="J392" s="208" t="s">
        <v>360</v>
      </c>
      <c r="K392" s="208" t="s">
        <v>38</v>
      </c>
      <c r="L392" s="208" t="s">
        <v>424</v>
      </c>
      <c r="M392" s="208">
        <v>3</v>
      </c>
      <c r="N392" s="208"/>
      <c r="O392" s="208" t="s">
        <v>127</v>
      </c>
      <c r="P392" s="208"/>
      <c r="Q392" s="207"/>
      <c r="R392" s="208"/>
    </row>
    <row r="393" spans="1:18">
      <c r="A393" s="277">
        <v>340</v>
      </c>
      <c r="B393" s="278">
        <v>46119</v>
      </c>
      <c r="C393" s="208" t="s">
        <v>289</v>
      </c>
      <c r="D393" s="208" t="s">
        <v>479</v>
      </c>
      <c r="E393" s="208" t="s">
        <v>291</v>
      </c>
      <c r="F393" s="208">
        <v>2026</v>
      </c>
      <c r="G393" s="208">
        <v>3</v>
      </c>
      <c r="H393" s="208" t="s">
        <v>461</v>
      </c>
      <c r="I393" s="208" t="s">
        <v>142</v>
      </c>
      <c r="J393" s="208" t="s">
        <v>462</v>
      </c>
      <c r="K393" s="208" t="s">
        <v>10</v>
      </c>
      <c r="L393" s="208" t="s">
        <v>570</v>
      </c>
      <c r="M393" s="208">
        <v>3</v>
      </c>
      <c r="N393" s="208"/>
      <c r="O393" s="208" t="s">
        <v>102</v>
      </c>
      <c r="P393" s="208"/>
      <c r="Q393" s="207"/>
      <c r="R393" s="208"/>
    </row>
    <row r="394" spans="1:18">
      <c r="A394" s="277">
        <v>341</v>
      </c>
      <c r="B394" s="278">
        <v>46119</v>
      </c>
      <c r="C394" s="208" t="s">
        <v>289</v>
      </c>
      <c r="D394" s="208" t="s">
        <v>477</v>
      </c>
      <c r="E394" s="208" t="s">
        <v>291</v>
      </c>
      <c r="F394" s="208">
        <v>2026</v>
      </c>
      <c r="G394" s="208">
        <v>3</v>
      </c>
      <c r="H394" s="208" t="s">
        <v>461</v>
      </c>
      <c r="I394" s="208" t="s">
        <v>142</v>
      </c>
      <c r="J394" s="208" t="s">
        <v>462</v>
      </c>
      <c r="K394" s="208" t="s">
        <v>101</v>
      </c>
      <c r="L394" s="208" t="s">
        <v>570</v>
      </c>
      <c r="M394" s="208">
        <v>3</v>
      </c>
      <c r="N394" s="208"/>
      <c r="O394" s="208" t="s">
        <v>179</v>
      </c>
      <c r="P394" s="208"/>
      <c r="Q394" s="207"/>
      <c r="R394" s="208"/>
    </row>
    <row r="395" spans="1:18">
      <c r="A395" s="277">
        <v>342</v>
      </c>
      <c r="B395" s="278">
        <v>46119</v>
      </c>
      <c r="C395" s="208" t="s">
        <v>289</v>
      </c>
      <c r="D395" s="208" t="s">
        <v>524</v>
      </c>
      <c r="E395" s="208" t="s">
        <v>291</v>
      </c>
      <c r="F395" s="208">
        <v>2026</v>
      </c>
      <c r="G395" s="208">
        <v>2.5</v>
      </c>
      <c r="H395" s="208" t="s">
        <v>115</v>
      </c>
      <c r="I395" s="208" t="s">
        <v>437</v>
      </c>
      <c r="J395" s="208" t="s">
        <v>438</v>
      </c>
      <c r="K395" s="208" t="s">
        <v>101</v>
      </c>
      <c r="L395" s="208" t="s">
        <v>571</v>
      </c>
      <c r="M395" s="208">
        <v>2.5</v>
      </c>
      <c r="N395" s="208"/>
      <c r="O395" s="208" t="s">
        <v>117</v>
      </c>
      <c r="P395" s="208"/>
      <c r="Q395" s="207"/>
      <c r="R395" s="208"/>
    </row>
    <row r="396" spans="1:18">
      <c r="A396" s="277">
        <v>343</v>
      </c>
      <c r="B396" s="278">
        <v>46119</v>
      </c>
      <c r="C396" s="208" t="s">
        <v>289</v>
      </c>
      <c r="D396" s="208" t="s">
        <v>490</v>
      </c>
      <c r="E396" s="208" t="s">
        <v>291</v>
      </c>
      <c r="F396" s="208">
        <v>2026</v>
      </c>
      <c r="G396" s="208">
        <v>2</v>
      </c>
      <c r="H396" s="208" t="s">
        <v>99</v>
      </c>
      <c r="I396" s="208" t="s">
        <v>108</v>
      </c>
      <c r="J396" s="208" t="s">
        <v>366</v>
      </c>
      <c r="K396" s="208" t="s">
        <v>101</v>
      </c>
      <c r="L396" s="208" t="s">
        <v>566</v>
      </c>
      <c r="M396" s="208">
        <v>2</v>
      </c>
      <c r="N396" s="208"/>
      <c r="O396" s="208" t="s">
        <v>109</v>
      </c>
      <c r="P396" s="208"/>
      <c r="Q396" s="207"/>
      <c r="R396" s="208"/>
    </row>
    <row r="397" spans="1:18">
      <c r="A397" s="277">
        <v>344</v>
      </c>
      <c r="B397" s="278">
        <v>46119</v>
      </c>
      <c r="C397" s="208" t="s">
        <v>289</v>
      </c>
      <c r="D397" s="208" t="s">
        <v>491</v>
      </c>
      <c r="E397" s="208" t="s">
        <v>291</v>
      </c>
      <c r="F397" s="208">
        <v>2026</v>
      </c>
      <c r="G397" s="208">
        <v>2</v>
      </c>
      <c r="H397" s="208" t="s">
        <v>99</v>
      </c>
      <c r="I397" s="208" t="s">
        <v>108</v>
      </c>
      <c r="J397" s="208" t="s">
        <v>366</v>
      </c>
      <c r="K397" s="208" t="s">
        <v>104</v>
      </c>
      <c r="L397" s="208" t="s">
        <v>566</v>
      </c>
      <c r="M397" s="208">
        <v>2</v>
      </c>
      <c r="N397" s="208"/>
      <c r="O397" s="208" t="s">
        <v>109</v>
      </c>
      <c r="P397" s="208"/>
      <c r="Q397" s="207"/>
      <c r="R397" s="208"/>
    </row>
    <row r="398" spans="1:18">
      <c r="A398" s="277">
        <v>345</v>
      </c>
      <c r="B398" s="278">
        <v>46119</v>
      </c>
      <c r="C398" s="208" t="s">
        <v>289</v>
      </c>
      <c r="D398" s="208" t="s">
        <v>491</v>
      </c>
      <c r="E398" s="208" t="s">
        <v>291</v>
      </c>
      <c r="F398" s="208">
        <v>2026</v>
      </c>
      <c r="G398" s="208">
        <v>2.5</v>
      </c>
      <c r="H398" s="208" t="s">
        <v>99</v>
      </c>
      <c r="I398" s="208" t="s">
        <v>108</v>
      </c>
      <c r="J398" s="208" t="s">
        <v>366</v>
      </c>
      <c r="K398" s="208" t="s">
        <v>106</v>
      </c>
      <c r="L398" s="208" t="s">
        <v>555</v>
      </c>
      <c r="M398" s="208">
        <v>2.5</v>
      </c>
      <c r="N398" s="208"/>
      <c r="O398" s="208" t="s">
        <v>63</v>
      </c>
      <c r="P398" s="208"/>
      <c r="Q398" s="207"/>
      <c r="R398" s="208"/>
    </row>
    <row r="399" spans="1:18" ht="30.75">
      <c r="A399" s="277">
        <v>346</v>
      </c>
      <c r="B399" s="278">
        <v>46119</v>
      </c>
      <c r="C399" s="208" t="s">
        <v>289</v>
      </c>
      <c r="D399" s="208" t="s">
        <v>456</v>
      </c>
      <c r="E399" s="208" t="s">
        <v>291</v>
      </c>
      <c r="F399" s="208">
        <v>2026</v>
      </c>
      <c r="G399" s="208">
        <v>2.5</v>
      </c>
      <c r="H399" s="208" t="s">
        <v>99</v>
      </c>
      <c r="I399" s="208" t="s">
        <v>100</v>
      </c>
      <c r="J399" s="208" t="s">
        <v>373</v>
      </c>
      <c r="K399" s="208" t="s">
        <v>101</v>
      </c>
      <c r="L399" s="279" t="s">
        <v>548</v>
      </c>
      <c r="M399" s="208">
        <v>2.5</v>
      </c>
      <c r="N399" s="208"/>
      <c r="O399" s="208" t="s">
        <v>102</v>
      </c>
      <c r="P399" s="208"/>
      <c r="Q399" s="207"/>
      <c r="R399" s="208"/>
    </row>
    <row r="400" spans="1:18">
      <c r="A400" s="277">
        <v>347</v>
      </c>
      <c r="B400" s="278">
        <v>46119</v>
      </c>
      <c r="C400" s="208" t="s">
        <v>289</v>
      </c>
      <c r="D400" s="208" t="s">
        <v>532</v>
      </c>
      <c r="E400" s="208" t="s">
        <v>291</v>
      </c>
      <c r="F400" s="208">
        <v>2026</v>
      </c>
      <c r="G400" s="208">
        <v>2.5</v>
      </c>
      <c r="H400" s="208" t="s">
        <v>99</v>
      </c>
      <c r="I400" s="208" t="s">
        <v>100</v>
      </c>
      <c r="J400" s="208" t="s">
        <v>373</v>
      </c>
      <c r="K400" s="208" t="s">
        <v>10</v>
      </c>
      <c r="L400" s="208" t="s">
        <v>457</v>
      </c>
      <c r="M400" s="208">
        <v>2.5</v>
      </c>
      <c r="N400" s="208"/>
      <c r="O400" s="208" t="s">
        <v>29</v>
      </c>
      <c r="P400" s="208"/>
      <c r="Q400" s="207"/>
      <c r="R400" s="208"/>
    </row>
    <row r="401" spans="1:18" ht="45.75">
      <c r="A401" s="277">
        <v>348</v>
      </c>
      <c r="B401" s="278">
        <v>46119</v>
      </c>
      <c r="C401" s="208" t="s">
        <v>289</v>
      </c>
      <c r="D401" s="208" t="s">
        <v>467</v>
      </c>
      <c r="E401" s="208" t="s">
        <v>291</v>
      </c>
      <c r="F401" s="208">
        <v>2026</v>
      </c>
      <c r="G401" s="208">
        <v>2.5</v>
      </c>
      <c r="H401" s="208" t="s">
        <v>99</v>
      </c>
      <c r="I401" s="208" t="s">
        <v>100</v>
      </c>
      <c r="J401" s="208" t="s">
        <v>373</v>
      </c>
      <c r="K401" s="208" t="s">
        <v>104</v>
      </c>
      <c r="L401" s="279" t="s">
        <v>547</v>
      </c>
      <c r="M401" s="208">
        <v>2.5</v>
      </c>
      <c r="N401" s="208"/>
      <c r="O401" s="208" t="s">
        <v>70</v>
      </c>
      <c r="P401" s="208"/>
      <c r="Q401" s="207"/>
      <c r="R401" s="208"/>
    </row>
    <row r="402" spans="1:18" ht="30.75">
      <c r="A402" s="277">
        <v>349</v>
      </c>
      <c r="B402" s="278">
        <v>46119</v>
      </c>
      <c r="C402" s="208" t="s">
        <v>289</v>
      </c>
      <c r="D402" s="208" t="s">
        <v>430</v>
      </c>
      <c r="E402" s="208" t="s">
        <v>291</v>
      </c>
      <c r="F402" s="208">
        <v>2026</v>
      </c>
      <c r="G402" s="208">
        <v>2.5</v>
      </c>
      <c r="H402" s="208" t="s">
        <v>99</v>
      </c>
      <c r="I402" s="208" t="s">
        <v>100</v>
      </c>
      <c r="J402" s="208" t="s">
        <v>373</v>
      </c>
      <c r="K402" s="208" t="s">
        <v>106</v>
      </c>
      <c r="L402" s="279" t="s">
        <v>572</v>
      </c>
      <c r="M402" s="208">
        <v>2.5</v>
      </c>
      <c r="N402" s="208"/>
      <c r="O402" s="208" t="s">
        <v>432</v>
      </c>
      <c r="P402" s="208"/>
      <c r="Q402" s="207"/>
      <c r="R402" s="208"/>
    </row>
    <row r="403" spans="1:18">
      <c r="A403" s="277">
        <v>350</v>
      </c>
      <c r="B403" s="278">
        <v>46119</v>
      </c>
      <c r="C403" s="208" t="s">
        <v>289</v>
      </c>
      <c r="D403" s="208" t="s">
        <v>568</v>
      </c>
      <c r="E403" s="208" t="s">
        <v>291</v>
      </c>
      <c r="F403" s="208">
        <v>2026</v>
      </c>
      <c r="G403" s="208">
        <v>3</v>
      </c>
      <c r="H403" s="208" t="s">
        <v>61</v>
      </c>
      <c r="I403" s="208" t="s">
        <v>62</v>
      </c>
      <c r="J403" s="208" t="s">
        <v>360</v>
      </c>
      <c r="K403" s="208" t="s">
        <v>34</v>
      </c>
      <c r="L403" s="208" t="s">
        <v>569</v>
      </c>
      <c r="M403" s="208">
        <v>3</v>
      </c>
      <c r="N403" s="208"/>
      <c r="O403" s="208" t="s">
        <v>169</v>
      </c>
      <c r="P403" s="208"/>
      <c r="Q403" s="207"/>
      <c r="R403" s="208"/>
    </row>
    <row r="404" spans="1:18">
      <c r="A404" s="277">
        <v>351</v>
      </c>
      <c r="B404" s="278">
        <v>46119</v>
      </c>
      <c r="C404" s="208" t="s">
        <v>289</v>
      </c>
      <c r="D404" s="208" t="s">
        <v>568</v>
      </c>
      <c r="E404" s="208" t="s">
        <v>291</v>
      </c>
      <c r="F404" s="208">
        <v>2026</v>
      </c>
      <c r="G404" s="208">
        <v>3</v>
      </c>
      <c r="H404" s="208" t="s">
        <v>61</v>
      </c>
      <c r="I404" s="208" t="s">
        <v>62</v>
      </c>
      <c r="J404" s="208" t="s">
        <v>360</v>
      </c>
      <c r="K404" s="208" t="s">
        <v>35</v>
      </c>
      <c r="L404" s="208" t="s">
        <v>569</v>
      </c>
      <c r="M404" s="208">
        <v>3</v>
      </c>
      <c r="N404" s="208"/>
      <c r="O404" s="208" t="s">
        <v>169</v>
      </c>
      <c r="P404" s="208"/>
      <c r="Q404" s="207"/>
      <c r="R404" s="208"/>
    </row>
    <row r="405" spans="1:18">
      <c r="A405" s="277">
        <v>352</v>
      </c>
      <c r="B405" s="278">
        <v>46119</v>
      </c>
      <c r="C405" s="208" t="s">
        <v>289</v>
      </c>
      <c r="D405" s="208" t="s">
        <v>451</v>
      </c>
      <c r="E405" s="208" t="s">
        <v>291</v>
      </c>
      <c r="F405" s="208">
        <v>2026</v>
      </c>
      <c r="G405" s="208">
        <v>3</v>
      </c>
      <c r="H405" s="208" t="s">
        <v>61</v>
      </c>
      <c r="I405" s="208" t="s">
        <v>62</v>
      </c>
      <c r="J405" s="208" t="s">
        <v>360</v>
      </c>
      <c r="K405" s="208" t="s">
        <v>37</v>
      </c>
      <c r="L405" s="208" t="s">
        <v>428</v>
      </c>
      <c r="M405" s="208">
        <v>3</v>
      </c>
      <c r="N405" s="208"/>
      <c r="O405" s="208" t="s">
        <v>112</v>
      </c>
      <c r="P405" s="208"/>
      <c r="Q405" s="207"/>
      <c r="R405" s="208"/>
    </row>
    <row r="406" spans="1:18">
      <c r="A406" s="277">
        <v>353</v>
      </c>
      <c r="B406" s="278">
        <v>46119</v>
      </c>
      <c r="C406" s="208" t="s">
        <v>289</v>
      </c>
      <c r="D406" s="208" t="s">
        <v>452</v>
      </c>
      <c r="E406" s="208" t="s">
        <v>291</v>
      </c>
      <c r="F406" s="208">
        <v>2026</v>
      </c>
      <c r="G406" s="208">
        <v>3</v>
      </c>
      <c r="H406" s="208" t="s">
        <v>61</v>
      </c>
      <c r="I406" s="208" t="s">
        <v>62</v>
      </c>
      <c r="J406" s="208" t="s">
        <v>360</v>
      </c>
      <c r="K406" s="208" t="s">
        <v>38</v>
      </c>
      <c r="L406" s="208" t="s">
        <v>417</v>
      </c>
      <c r="M406" s="208">
        <v>3</v>
      </c>
      <c r="N406" s="208"/>
      <c r="O406" s="208" t="s">
        <v>127</v>
      </c>
      <c r="P406" s="208"/>
      <c r="Q406" s="207"/>
      <c r="R406" s="208"/>
    </row>
    <row r="407" spans="1:18">
      <c r="A407" s="277">
        <v>354</v>
      </c>
      <c r="B407" s="278">
        <v>46120</v>
      </c>
      <c r="C407" s="208" t="s">
        <v>294</v>
      </c>
      <c r="D407" s="208" t="s">
        <v>520</v>
      </c>
      <c r="E407" s="208" t="s">
        <v>291</v>
      </c>
      <c r="F407" s="208">
        <v>2026</v>
      </c>
      <c r="G407" s="208">
        <v>3</v>
      </c>
      <c r="H407" s="208" t="s">
        <v>57</v>
      </c>
      <c r="I407" s="208" t="s">
        <v>89</v>
      </c>
      <c r="J407" s="208" t="s">
        <v>311</v>
      </c>
      <c r="K407" s="208" t="s">
        <v>90</v>
      </c>
      <c r="L407" s="208" t="s">
        <v>573</v>
      </c>
      <c r="M407" s="208">
        <v>3</v>
      </c>
      <c r="N407" s="208"/>
      <c r="O407" s="208" t="s">
        <v>91</v>
      </c>
      <c r="P407" s="208"/>
      <c r="Q407" s="207"/>
      <c r="R407" s="208"/>
    </row>
    <row r="408" spans="1:18">
      <c r="A408" s="277">
        <v>355</v>
      </c>
      <c r="B408" s="278">
        <v>46120</v>
      </c>
      <c r="C408" s="208" t="s">
        <v>294</v>
      </c>
      <c r="D408" s="208" t="s">
        <v>477</v>
      </c>
      <c r="E408" s="208" t="s">
        <v>291</v>
      </c>
      <c r="F408" s="208">
        <v>2026</v>
      </c>
      <c r="G408" s="208">
        <v>3</v>
      </c>
      <c r="H408" s="208" t="s">
        <v>461</v>
      </c>
      <c r="I408" s="208" t="s">
        <v>136</v>
      </c>
      <c r="J408" s="208" t="s">
        <v>462</v>
      </c>
      <c r="K408" s="208" t="s">
        <v>101</v>
      </c>
      <c r="L408" s="208" t="s">
        <v>574</v>
      </c>
      <c r="M408" s="208">
        <v>3</v>
      </c>
      <c r="N408" s="208"/>
      <c r="O408" s="208" t="s">
        <v>138</v>
      </c>
      <c r="P408" s="208"/>
      <c r="Q408" s="207"/>
      <c r="R408" s="208"/>
    </row>
    <row r="409" spans="1:18">
      <c r="A409" s="277">
        <v>356</v>
      </c>
      <c r="B409" s="278">
        <v>46120</v>
      </c>
      <c r="C409" s="208" t="s">
        <v>294</v>
      </c>
      <c r="D409" s="208" t="s">
        <v>479</v>
      </c>
      <c r="E409" s="208" t="s">
        <v>291</v>
      </c>
      <c r="F409" s="208">
        <v>2026</v>
      </c>
      <c r="G409" s="208">
        <v>3</v>
      </c>
      <c r="H409" s="208" t="s">
        <v>461</v>
      </c>
      <c r="I409" s="208" t="s">
        <v>136</v>
      </c>
      <c r="J409" s="208" t="s">
        <v>462</v>
      </c>
      <c r="K409" s="208" t="s">
        <v>10</v>
      </c>
      <c r="L409" s="208" t="s">
        <v>574</v>
      </c>
      <c r="M409" s="208">
        <v>3</v>
      </c>
      <c r="N409" s="208"/>
      <c r="O409" s="208" t="s">
        <v>138</v>
      </c>
      <c r="P409" s="208"/>
      <c r="Q409" s="207"/>
      <c r="R409" s="208"/>
    </row>
    <row r="410" spans="1:18">
      <c r="A410" s="277">
        <v>357</v>
      </c>
      <c r="B410" s="278">
        <v>46120</v>
      </c>
      <c r="C410" s="208" t="s">
        <v>294</v>
      </c>
      <c r="D410" s="208" t="s">
        <v>480</v>
      </c>
      <c r="E410" s="208" t="s">
        <v>291</v>
      </c>
      <c r="F410" s="208">
        <v>2026</v>
      </c>
      <c r="G410" s="208">
        <v>3</v>
      </c>
      <c r="H410" s="208" t="s">
        <v>132</v>
      </c>
      <c r="I410" s="208" t="s">
        <v>133</v>
      </c>
      <c r="J410" s="208" t="s">
        <v>360</v>
      </c>
      <c r="K410" s="208" t="s">
        <v>106</v>
      </c>
      <c r="L410" s="208" t="s">
        <v>575</v>
      </c>
      <c r="M410" s="208">
        <v>3</v>
      </c>
      <c r="N410" s="208"/>
      <c r="O410" s="208" t="s">
        <v>127</v>
      </c>
      <c r="P410" s="208"/>
      <c r="Q410" s="207"/>
      <c r="R410" s="208"/>
    </row>
    <row r="411" spans="1:18">
      <c r="A411" s="277">
        <v>358</v>
      </c>
      <c r="B411" s="278">
        <v>46120</v>
      </c>
      <c r="C411" s="208" t="s">
        <v>294</v>
      </c>
      <c r="D411" s="208" t="s">
        <v>483</v>
      </c>
      <c r="E411" s="208" t="s">
        <v>291</v>
      </c>
      <c r="F411" s="208">
        <v>2026</v>
      </c>
      <c r="G411" s="208">
        <v>2</v>
      </c>
      <c r="H411" s="208" t="s">
        <v>99</v>
      </c>
      <c r="I411" s="208" t="s">
        <v>108</v>
      </c>
      <c r="J411" s="208" t="s">
        <v>366</v>
      </c>
      <c r="K411" s="208" t="s">
        <v>10</v>
      </c>
      <c r="L411" s="208" t="s">
        <v>576</v>
      </c>
      <c r="M411" s="208">
        <v>2</v>
      </c>
      <c r="N411" s="208"/>
      <c r="O411" s="208" t="s">
        <v>63</v>
      </c>
      <c r="P411" s="208"/>
      <c r="Q411" s="207"/>
      <c r="R411" s="208"/>
    </row>
    <row r="412" spans="1:18">
      <c r="A412" s="277">
        <v>359</v>
      </c>
      <c r="B412" s="278">
        <v>46120</v>
      </c>
      <c r="C412" s="208" t="s">
        <v>294</v>
      </c>
      <c r="D412" s="208" t="s">
        <v>491</v>
      </c>
      <c r="E412" s="208" t="s">
        <v>291</v>
      </c>
      <c r="F412" s="208">
        <v>2026</v>
      </c>
      <c r="G412" s="208">
        <v>2.5</v>
      </c>
      <c r="H412" s="208" t="s">
        <v>99</v>
      </c>
      <c r="I412" s="208" t="s">
        <v>108</v>
      </c>
      <c r="J412" s="208" t="s">
        <v>366</v>
      </c>
      <c r="K412" s="208" t="s">
        <v>106</v>
      </c>
      <c r="L412" s="208" t="s">
        <v>566</v>
      </c>
      <c r="M412" s="208">
        <v>2.5</v>
      </c>
      <c r="N412" s="208"/>
      <c r="O412" s="208" t="s">
        <v>63</v>
      </c>
      <c r="P412" s="208"/>
      <c r="Q412" s="207"/>
      <c r="R412" s="208"/>
    </row>
    <row r="413" spans="1:18">
      <c r="A413" s="277">
        <v>360</v>
      </c>
      <c r="B413" s="278">
        <v>46120</v>
      </c>
      <c r="C413" s="208" t="s">
        <v>294</v>
      </c>
      <c r="D413" s="208" t="s">
        <v>398</v>
      </c>
      <c r="E413" s="208" t="s">
        <v>291</v>
      </c>
      <c r="F413" s="208">
        <v>2026</v>
      </c>
      <c r="G413" s="208">
        <v>2</v>
      </c>
      <c r="H413" s="208" t="s">
        <v>57</v>
      </c>
      <c r="I413" s="208" t="s">
        <v>74</v>
      </c>
      <c r="J413" s="208" t="s">
        <v>373</v>
      </c>
      <c r="K413" s="208"/>
      <c r="L413" s="208" t="s">
        <v>577</v>
      </c>
      <c r="M413" s="208">
        <v>2</v>
      </c>
      <c r="N413" s="208"/>
      <c r="O413" s="208" t="s">
        <v>66</v>
      </c>
      <c r="P413" s="208"/>
      <c r="Q413" s="207"/>
      <c r="R413" s="208"/>
    </row>
    <row r="414" spans="1:18">
      <c r="A414" s="277">
        <v>361</v>
      </c>
      <c r="B414" s="278">
        <v>46120</v>
      </c>
      <c r="C414" s="208" t="s">
        <v>294</v>
      </c>
      <c r="D414" s="208" t="s">
        <v>372</v>
      </c>
      <c r="E414" s="208" t="s">
        <v>291</v>
      </c>
      <c r="F414" s="208">
        <v>2026</v>
      </c>
      <c r="G414" s="208">
        <v>2.5</v>
      </c>
      <c r="H414" s="208" t="s">
        <v>57</v>
      </c>
      <c r="I414" s="208" t="s">
        <v>58</v>
      </c>
      <c r="J414" s="208" t="s">
        <v>373</v>
      </c>
      <c r="K414" s="208"/>
      <c r="L414" s="208" t="s">
        <v>578</v>
      </c>
      <c r="M414" s="208">
        <v>2.5</v>
      </c>
      <c r="N414" s="208"/>
      <c r="O414" s="208" t="s">
        <v>559</v>
      </c>
      <c r="P414" s="208"/>
      <c r="Q414" s="207"/>
      <c r="R414" s="208"/>
    </row>
    <row r="415" spans="1:18">
      <c r="A415" s="277">
        <v>362</v>
      </c>
      <c r="B415" s="278">
        <v>46120</v>
      </c>
      <c r="C415" s="208" t="s">
        <v>294</v>
      </c>
      <c r="D415" s="208" t="s">
        <v>451</v>
      </c>
      <c r="E415" s="208" t="s">
        <v>291</v>
      </c>
      <c r="F415" s="208">
        <v>2026</v>
      </c>
      <c r="G415" s="208">
        <v>3</v>
      </c>
      <c r="H415" s="208" t="s">
        <v>61</v>
      </c>
      <c r="I415" s="208" t="s">
        <v>62</v>
      </c>
      <c r="J415" s="208" t="s">
        <v>360</v>
      </c>
      <c r="K415" s="208" t="s">
        <v>37</v>
      </c>
      <c r="L415" s="208" t="s">
        <v>429</v>
      </c>
      <c r="M415" s="208">
        <v>3</v>
      </c>
      <c r="N415" s="208"/>
      <c r="O415" s="208" t="s">
        <v>112</v>
      </c>
      <c r="P415" s="208"/>
      <c r="Q415" s="207"/>
      <c r="R415" s="208"/>
    </row>
    <row r="416" spans="1:18">
      <c r="A416" s="277">
        <v>363</v>
      </c>
      <c r="B416" s="278">
        <v>46120</v>
      </c>
      <c r="C416" s="208" t="s">
        <v>294</v>
      </c>
      <c r="D416" s="208" t="s">
        <v>452</v>
      </c>
      <c r="E416" s="208" t="s">
        <v>291</v>
      </c>
      <c r="F416" s="208">
        <v>2026</v>
      </c>
      <c r="G416" s="208">
        <v>3</v>
      </c>
      <c r="H416" s="208" t="s">
        <v>61</v>
      </c>
      <c r="I416" s="208" t="s">
        <v>62</v>
      </c>
      <c r="J416" s="208" t="s">
        <v>360</v>
      </c>
      <c r="K416" s="208" t="s">
        <v>38</v>
      </c>
      <c r="L416" s="208" t="s">
        <v>428</v>
      </c>
      <c r="M416" s="208">
        <v>3</v>
      </c>
      <c r="N416" s="208"/>
      <c r="O416" s="208" t="s">
        <v>127</v>
      </c>
      <c r="P416" s="208"/>
      <c r="Q416" s="207"/>
      <c r="R416" s="208"/>
    </row>
    <row r="417" spans="1:18">
      <c r="A417" s="277">
        <v>364</v>
      </c>
      <c r="B417" s="278">
        <v>46121</v>
      </c>
      <c r="C417" s="208" t="s">
        <v>298</v>
      </c>
      <c r="D417" s="208" t="s">
        <v>482</v>
      </c>
      <c r="E417" s="208" t="s">
        <v>291</v>
      </c>
      <c r="F417" s="208">
        <v>2026</v>
      </c>
      <c r="G417" s="208">
        <v>2</v>
      </c>
      <c r="H417" s="208" t="s">
        <v>132</v>
      </c>
      <c r="I417" s="208" t="s">
        <v>133</v>
      </c>
      <c r="J417" s="208" t="s">
        <v>360</v>
      </c>
      <c r="K417" s="208" t="s">
        <v>135</v>
      </c>
      <c r="L417" s="208" t="s">
        <v>579</v>
      </c>
      <c r="M417" s="208">
        <v>2</v>
      </c>
      <c r="N417" s="208"/>
      <c r="O417" s="208" t="s">
        <v>63</v>
      </c>
      <c r="P417" s="208"/>
      <c r="Q417" s="207"/>
      <c r="R417" s="208"/>
    </row>
    <row r="418" spans="1:18">
      <c r="A418" s="277">
        <v>365</v>
      </c>
      <c r="B418" s="278">
        <v>46121</v>
      </c>
      <c r="C418" s="208" t="s">
        <v>298</v>
      </c>
      <c r="D418" s="208" t="s">
        <v>524</v>
      </c>
      <c r="E418" s="208" t="s">
        <v>291</v>
      </c>
      <c r="F418" s="208">
        <v>2026</v>
      </c>
      <c r="G418" s="208">
        <v>2.5</v>
      </c>
      <c r="H418" s="208" t="s">
        <v>115</v>
      </c>
      <c r="I418" s="208" t="s">
        <v>437</v>
      </c>
      <c r="J418" s="208" t="s">
        <v>438</v>
      </c>
      <c r="K418" s="208" t="s">
        <v>101</v>
      </c>
      <c r="L418" s="208" t="s">
        <v>580</v>
      </c>
      <c r="M418" s="208">
        <v>2.5</v>
      </c>
      <c r="N418" s="208"/>
      <c r="O418" s="208" t="s">
        <v>164</v>
      </c>
      <c r="P418" s="208"/>
      <c r="Q418" s="207"/>
      <c r="R418" s="208"/>
    </row>
    <row r="419" spans="1:18">
      <c r="A419" s="277">
        <v>366</v>
      </c>
      <c r="B419" s="278">
        <v>46121</v>
      </c>
      <c r="C419" s="208" t="s">
        <v>298</v>
      </c>
      <c r="D419" s="208" t="s">
        <v>490</v>
      </c>
      <c r="E419" s="208" t="s">
        <v>291</v>
      </c>
      <c r="F419" s="208">
        <v>2026</v>
      </c>
      <c r="G419" s="208">
        <v>2</v>
      </c>
      <c r="H419" s="208" t="s">
        <v>99</v>
      </c>
      <c r="I419" s="208" t="s">
        <v>108</v>
      </c>
      <c r="J419" s="208" t="s">
        <v>366</v>
      </c>
      <c r="K419" s="208" t="s">
        <v>101</v>
      </c>
      <c r="L419" s="208" t="s">
        <v>576</v>
      </c>
      <c r="M419" s="208">
        <v>2</v>
      </c>
      <c r="N419" s="208"/>
      <c r="O419" s="208" t="s">
        <v>109</v>
      </c>
      <c r="P419" s="208"/>
      <c r="Q419" s="207"/>
      <c r="R419" s="208"/>
    </row>
    <row r="420" spans="1:18">
      <c r="A420" s="277">
        <v>367</v>
      </c>
      <c r="B420" s="278">
        <v>46121</v>
      </c>
      <c r="C420" s="208" t="s">
        <v>298</v>
      </c>
      <c r="D420" s="208" t="s">
        <v>491</v>
      </c>
      <c r="E420" s="208" t="s">
        <v>291</v>
      </c>
      <c r="F420" s="208">
        <v>2026</v>
      </c>
      <c r="G420" s="208">
        <v>2</v>
      </c>
      <c r="H420" s="208" t="s">
        <v>99</v>
      </c>
      <c r="I420" s="208" t="s">
        <v>108</v>
      </c>
      <c r="J420" s="208" t="s">
        <v>366</v>
      </c>
      <c r="K420" s="208" t="s">
        <v>104</v>
      </c>
      <c r="L420" s="208" t="s">
        <v>576</v>
      </c>
      <c r="M420" s="208">
        <v>2</v>
      </c>
      <c r="N420" s="208"/>
      <c r="O420" s="208" t="s">
        <v>109</v>
      </c>
      <c r="P420" s="208"/>
      <c r="Q420" s="207"/>
      <c r="R420" s="208"/>
    </row>
    <row r="421" spans="1:18" ht="45.75">
      <c r="A421" s="277">
        <v>368</v>
      </c>
      <c r="B421" s="278">
        <v>46121</v>
      </c>
      <c r="C421" s="208" t="s">
        <v>298</v>
      </c>
      <c r="D421" s="208" t="s">
        <v>532</v>
      </c>
      <c r="E421" s="208" t="s">
        <v>291</v>
      </c>
      <c r="F421" s="208">
        <v>2026</v>
      </c>
      <c r="G421" s="208">
        <v>2.5</v>
      </c>
      <c r="H421" s="208" t="s">
        <v>99</v>
      </c>
      <c r="I421" s="208" t="s">
        <v>100</v>
      </c>
      <c r="J421" s="208" t="s">
        <v>373</v>
      </c>
      <c r="K421" s="208" t="s">
        <v>10</v>
      </c>
      <c r="L421" s="279" t="s">
        <v>468</v>
      </c>
      <c r="M421" s="208">
        <v>2.5</v>
      </c>
      <c r="N421" s="208"/>
      <c r="O421" s="208" t="s">
        <v>29</v>
      </c>
      <c r="P421" s="208"/>
      <c r="Q421" s="207"/>
      <c r="R421" s="208"/>
    </row>
    <row r="422" spans="1:18">
      <c r="A422" s="277">
        <v>369</v>
      </c>
      <c r="B422" s="278">
        <v>46121</v>
      </c>
      <c r="C422" s="208" t="s">
        <v>298</v>
      </c>
      <c r="D422" s="208" t="s">
        <v>395</v>
      </c>
      <c r="E422" s="208" t="s">
        <v>291</v>
      </c>
      <c r="F422" s="208">
        <v>2026</v>
      </c>
      <c r="G422" s="208">
        <v>4</v>
      </c>
      <c r="H422" s="208" t="s">
        <v>80</v>
      </c>
      <c r="I422" s="208" t="s">
        <v>81</v>
      </c>
      <c r="J422" s="208" t="s">
        <v>366</v>
      </c>
      <c r="K422" s="208"/>
      <c r="L422" s="208" t="s">
        <v>581</v>
      </c>
      <c r="M422" s="208">
        <v>4</v>
      </c>
      <c r="N422" s="208"/>
      <c r="O422" s="208" t="s">
        <v>119</v>
      </c>
      <c r="P422" s="208"/>
      <c r="Q422" s="207"/>
      <c r="R422" s="208"/>
    </row>
    <row r="423" spans="1:18">
      <c r="A423" s="277">
        <v>370</v>
      </c>
      <c r="B423" s="278">
        <v>46121</v>
      </c>
      <c r="C423" s="208" t="s">
        <v>298</v>
      </c>
      <c r="D423" s="208" t="s">
        <v>451</v>
      </c>
      <c r="E423" s="208" t="s">
        <v>291</v>
      </c>
      <c r="F423" s="208">
        <v>2026</v>
      </c>
      <c r="G423" s="208">
        <v>3</v>
      </c>
      <c r="H423" s="208" t="s">
        <v>61</v>
      </c>
      <c r="I423" s="208" t="s">
        <v>62</v>
      </c>
      <c r="J423" s="208" t="s">
        <v>360</v>
      </c>
      <c r="K423" s="208" t="s">
        <v>37</v>
      </c>
      <c r="L423" s="208" t="s">
        <v>417</v>
      </c>
      <c r="M423" s="208">
        <v>3</v>
      </c>
      <c r="N423" s="208"/>
      <c r="O423" s="208" t="s">
        <v>112</v>
      </c>
      <c r="P423" s="208"/>
      <c r="Q423" s="207"/>
      <c r="R423" s="208"/>
    </row>
    <row r="424" spans="1:18">
      <c r="A424" s="277">
        <v>371</v>
      </c>
      <c r="B424" s="278">
        <v>46121</v>
      </c>
      <c r="C424" s="208" t="s">
        <v>298</v>
      </c>
      <c r="D424" s="208" t="s">
        <v>452</v>
      </c>
      <c r="E424" s="208" t="s">
        <v>291</v>
      </c>
      <c r="F424" s="208">
        <v>2026</v>
      </c>
      <c r="G424" s="208">
        <v>3</v>
      </c>
      <c r="H424" s="208" t="s">
        <v>61</v>
      </c>
      <c r="I424" s="208" t="s">
        <v>62</v>
      </c>
      <c r="J424" s="208" t="s">
        <v>360</v>
      </c>
      <c r="K424" s="208" t="s">
        <v>38</v>
      </c>
      <c r="L424" s="208" t="s">
        <v>429</v>
      </c>
      <c r="M424" s="208">
        <v>3</v>
      </c>
      <c r="N424" s="208"/>
      <c r="O424" s="208" t="s">
        <v>127</v>
      </c>
      <c r="P424" s="208"/>
      <c r="Q424" s="207"/>
      <c r="R424" s="208"/>
    </row>
    <row r="425" spans="1:18">
      <c r="A425" s="277">
        <v>372</v>
      </c>
      <c r="B425" s="278">
        <v>46122</v>
      </c>
      <c r="C425" s="208" t="s">
        <v>301</v>
      </c>
      <c r="D425" s="208" t="s">
        <v>479</v>
      </c>
      <c r="E425" s="208" t="s">
        <v>291</v>
      </c>
      <c r="F425" s="208">
        <v>2026</v>
      </c>
      <c r="G425" s="208">
        <v>3</v>
      </c>
      <c r="H425" s="208" t="s">
        <v>461</v>
      </c>
      <c r="I425" s="208" t="s">
        <v>142</v>
      </c>
      <c r="J425" s="208" t="s">
        <v>462</v>
      </c>
      <c r="K425" s="208" t="s">
        <v>10</v>
      </c>
      <c r="L425" s="208" t="s">
        <v>582</v>
      </c>
      <c r="M425" s="208">
        <v>3</v>
      </c>
      <c r="N425" s="208"/>
      <c r="O425" s="208" t="s">
        <v>102</v>
      </c>
      <c r="P425" s="208"/>
      <c r="Q425" s="207"/>
      <c r="R425" s="208"/>
    </row>
    <row r="426" spans="1:18">
      <c r="A426" s="277">
        <v>373</v>
      </c>
      <c r="B426" s="278">
        <v>46122</v>
      </c>
      <c r="C426" s="208" t="s">
        <v>301</v>
      </c>
      <c r="D426" s="208" t="s">
        <v>480</v>
      </c>
      <c r="E426" s="208" t="s">
        <v>291</v>
      </c>
      <c r="F426" s="208">
        <v>2026</v>
      </c>
      <c r="G426" s="208">
        <v>3</v>
      </c>
      <c r="H426" s="208" t="s">
        <v>132</v>
      </c>
      <c r="I426" s="208" t="s">
        <v>133</v>
      </c>
      <c r="J426" s="208" t="s">
        <v>360</v>
      </c>
      <c r="K426" s="208" t="s">
        <v>106</v>
      </c>
      <c r="L426" s="208" t="s">
        <v>583</v>
      </c>
      <c r="M426" s="208">
        <v>3</v>
      </c>
      <c r="N426" s="208"/>
      <c r="O426" s="208" t="s">
        <v>127</v>
      </c>
      <c r="P426" s="208"/>
      <c r="Q426" s="207"/>
      <c r="R426" s="208"/>
    </row>
    <row r="427" spans="1:18">
      <c r="A427" s="277">
        <v>374</v>
      </c>
      <c r="B427" s="278">
        <v>46122</v>
      </c>
      <c r="C427" s="208" t="s">
        <v>301</v>
      </c>
      <c r="D427" s="208" t="s">
        <v>482</v>
      </c>
      <c r="E427" s="208" t="s">
        <v>291</v>
      </c>
      <c r="F427" s="208">
        <v>2026</v>
      </c>
      <c r="G427" s="208">
        <v>2</v>
      </c>
      <c r="H427" s="208" t="s">
        <v>132</v>
      </c>
      <c r="I427" s="208" t="s">
        <v>133</v>
      </c>
      <c r="J427" s="208" t="s">
        <v>360</v>
      </c>
      <c r="K427" s="208" t="s">
        <v>135</v>
      </c>
      <c r="L427" s="208" t="s">
        <v>552</v>
      </c>
      <c r="M427" s="208">
        <v>2</v>
      </c>
      <c r="N427" s="208"/>
      <c r="O427" s="208" t="s">
        <v>63</v>
      </c>
      <c r="P427" s="208"/>
      <c r="Q427" s="207"/>
      <c r="R427" s="208"/>
    </row>
    <row r="428" spans="1:18">
      <c r="A428" s="277">
        <v>375</v>
      </c>
      <c r="B428" s="278">
        <v>46122</v>
      </c>
      <c r="C428" s="208" t="s">
        <v>301</v>
      </c>
      <c r="D428" s="208" t="s">
        <v>497</v>
      </c>
      <c r="E428" s="208" t="s">
        <v>291</v>
      </c>
      <c r="F428" s="208">
        <v>2026</v>
      </c>
      <c r="G428" s="208" t="s">
        <v>498</v>
      </c>
      <c r="H428" s="208" t="s">
        <v>57</v>
      </c>
      <c r="I428" s="208" t="s">
        <v>454</v>
      </c>
      <c r="J428" s="208" t="s">
        <v>311</v>
      </c>
      <c r="K428" s="208"/>
      <c r="L428" s="208" t="s">
        <v>584</v>
      </c>
      <c r="M428" s="208" t="s">
        <v>498</v>
      </c>
      <c r="N428" s="208"/>
      <c r="O428" s="208" t="s">
        <v>12</v>
      </c>
      <c r="P428" s="208" t="s">
        <v>60</v>
      </c>
      <c r="Q428" s="207"/>
      <c r="R428" s="208"/>
    </row>
    <row r="429" spans="1:18">
      <c r="A429" s="277">
        <v>376</v>
      </c>
      <c r="B429" s="278">
        <v>46122</v>
      </c>
      <c r="C429" s="208" t="s">
        <v>301</v>
      </c>
      <c r="D429" s="208" t="s">
        <v>524</v>
      </c>
      <c r="E429" s="208" t="s">
        <v>291</v>
      </c>
      <c r="F429" s="208">
        <v>2026</v>
      </c>
      <c r="G429" s="208">
        <v>2.5</v>
      </c>
      <c r="H429" s="208" t="s">
        <v>115</v>
      </c>
      <c r="I429" s="208" t="s">
        <v>437</v>
      </c>
      <c r="J429" s="208" t="s">
        <v>438</v>
      </c>
      <c r="K429" s="208" t="s">
        <v>101</v>
      </c>
      <c r="L429" s="208" t="s">
        <v>585</v>
      </c>
      <c r="M429" s="208">
        <v>2.5</v>
      </c>
      <c r="N429" s="208"/>
      <c r="O429" s="208" t="s">
        <v>164</v>
      </c>
      <c r="P429" s="208"/>
      <c r="Q429" s="207"/>
      <c r="R429" s="208"/>
    </row>
    <row r="430" spans="1:18">
      <c r="A430" s="277"/>
      <c r="B430" s="278">
        <v>46122</v>
      </c>
      <c r="C430" s="208" t="s">
        <v>301</v>
      </c>
      <c r="D430" s="208"/>
      <c r="E430" s="208" t="s">
        <v>291</v>
      </c>
      <c r="F430" s="208">
        <v>2026</v>
      </c>
      <c r="G430" s="208"/>
      <c r="H430" s="208" t="s">
        <v>99</v>
      </c>
      <c r="I430" s="208" t="s">
        <v>108</v>
      </c>
      <c r="J430" s="208" t="s">
        <v>366</v>
      </c>
      <c r="K430" s="208" t="s">
        <v>101</v>
      </c>
      <c r="L430" s="208" t="s">
        <v>391</v>
      </c>
      <c r="M430" s="208"/>
      <c r="N430" s="208"/>
      <c r="O430" s="208"/>
      <c r="P430" s="208"/>
      <c r="Q430" s="207"/>
      <c r="R430" s="208"/>
    </row>
    <row r="431" spans="1:18">
      <c r="A431" s="277">
        <v>377</v>
      </c>
      <c r="B431" s="278">
        <v>46122</v>
      </c>
      <c r="C431" s="208" t="s">
        <v>301</v>
      </c>
      <c r="D431" s="208" t="s">
        <v>398</v>
      </c>
      <c r="E431" s="208" t="s">
        <v>291</v>
      </c>
      <c r="F431" s="208">
        <v>2026</v>
      </c>
      <c r="G431" s="208">
        <v>2</v>
      </c>
      <c r="H431" s="208" t="s">
        <v>57</v>
      </c>
      <c r="I431" s="208" t="s">
        <v>74</v>
      </c>
      <c r="J431" s="208" t="s">
        <v>373</v>
      </c>
      <c r="K431" s="208"/>
      <c r="L431" s="208" t="s">
        <v>586</v>
      </c>
      <c r="M431" s="208">
        <v>2</v>
      </c>
      <c r="N431" s="208"/>
      <c r="O431" s="208" t="s">
        <v>66</v>
      </c>
      <c r="P431" s="208"/>
      <c r="Q431" s="207"/>
      <c r="R431" s="208"/>
    </row>
    <row r="432" spans="1:18">
      <c r="A432" s="277">
        <v>378</v>
      </c>
      <c r="B432" s="278">
        <v>46122</v>
      </c>
      <c r="C432" s="208" t="s">
        <v>301</v>
      </c>
      <c r="D432" s="208"/>
      <c r="E432" s="208" t="s">
        <v>291</v>
      </c>
      <c r="F432" s="208">
        <v>2026</v>
      </c>
      <c r="G432" s="208">
        <v>2.5</v>
      </c>
      <c r="H432" s="208" t="s">
        <v>363</v>
      </c>
      <c r="I432" s="208"/>
      <c r="J432" s="208" t="s">
        <v>311</v>
      </c>
      <c r="K432" s="208" t="s">
        <v>101</v>
      </c>
      <c r="L432" s="208" t="s">
        <v>587</v>
      </c>
      <c r="M432" s="208"/>
      <c r="N432" s="208"/>
      <c r="O432" s="208" t="s">
        <v>401</v>
      </c>
      <c r="P432" s="208"/>
      <c r="Q432" s="207"/>
      <c r="R432" s="208"/>
    </row>
    <row r="433" spans="1:18">
      <c r="A433" s="277">
        <v>379</v>
      </c>
      <c r="B433" s="278">
        <v>46122</v>
      </c>
      <c r="C433" s="208" t="s">
        <v>301</v>
      </c>
      <c r="D433" s="208" t="s">
        <v>395</v>
      </c>
      <c r="E433" s="208" t="s">
        <v>291</v>
      </c>
      <c r="F433" s="208">
        <v>2026</v>
      </c>
      <c r="G433" s="208">
        <v>4</v>
      </c>
      <c r="H433" s="208" t="s">
        <v>80</v>
      </c>
      <c r="I433" s="208" t="s">
        <v>81</v>
      </c>
      <c r="J433" s="208" t="s">
        <v>366</v>
      </c>
      <c r="K433" s="208"/>
      <c r="L433" s="208" t="s">
        <v>588</v>
      </c>
      <c r="M433" s="208">
        <v>4</v>
      </c>
      <c r="N433" s="208"/>
      <c r="O433" s="208" t="s">
        <v>119</v>
      </c>
      <c r="P433" s="208"/>
      <c r="Q433" s="207"/>
      <c r="R433" s="208"/>
    </row>
    <row r="434" spans="1:18">
      <c r="A434" s="277">
        <v>380</v>
      </c>
      <c r="B434" s="278">
        <v>46122</v>
      </c>
      <c r="C434" s="208" t="s">
        <v>301</v>
      </c>
      <c r="D434" s="208" t="s">
        <v>372</v>
      </c>
      <c r="E434" s="208" t="s">
        <v>291</v>
      </c>
      <c r="F434" s="208">
        <v>2026</v>
      </c>
      <c r="G434" s="208">
        <v>2.5</v>
      </c>
      <c r="H434" s="208" t="s">
        <v>57</v>
      </c>
      <c r="I434" s="208" t="s">
        <v>58</v>
      </c>
      <c r="J434" s="208" t="s">
        <v>373</v>
      </c>
      <c r="K434" s="208"/>
      <c r="L434" s="208" t="s">
        <v>589</v>
      </c>
      <c r="M434" s="208">
        <v>2.5</v>
      </c>
      <c r="N434" s="208"/>
      <c r="O434" s="208" t="s">
        <v>559</v>
      </c>
      <c r="P434" s="208"/>
      <c r="Q434" s="207"/>
      <c r="R434" s="208"/>
    </row>
    <row r="435" spans="1:18">
      <c r="A435" s="277">
        <v>381</v>
      </c>
      <c r="B435" s="278">
        <v>46122</v>
      </c>
      <c r="C435" s="208" t="s">
        <v>301</v>
      </c>
      <c r="D435" s="208" t="s">
        <v>451</v>
      </c>
      <c r="E435" s="208" t="s">
        <v>291</v>
      </c>
      <c r="F435" s="208">
        <v>2026</v>
      </c>
      <c r="G435" s="208">
        <v>3</v>
      </c>
      <c r="H435" s="208" t="s">
        <v>61</v>
      </c>
      <c r="I435" s="208" t="s">
        <v>62</v>
      </c>
      <c r="J435" s="208" t="s">
        <v>360</v>
      </c>
      <c r="K435" s="208" t="s">
        <v>37</v>
      </c>
      <c r="L435" s="208" t="s">
        <v>436</v>
      </c>
      <c r="M435" s="208">
        <v>3</v>
      </c>
      <c r="N435" s="208"/>
      <c r="O435" s="208" t="s">
        <v>112</v>
      </c>
      <c r="P435" s="208"/>
      <c r="Q435" s="207"/>
      <c r="R435" s="208"/>
    </row>
    <row r="436" spans="1:18">
      <c r="A436" s="277">
        <v>382</v>
      </c>
      <c r="B436" s="278">
        <v>46122</v>
      </c>
      <c r="C436" s="208" t="s">
        <v>301</v>
      </c>
      <c r="D436" s="208" t="s">
        <v>452</v>
      </c>
      <c r="E436" s="208" t="s">
        <v>291</v>
      </c>
      <c r="F436" s="208">
        <v>2026</v>
      </c>
      <c r="G436" s="208">
        <v>3</v>
      </c>
      <c r="H436" s="208" t="s">
        <v>61</v>
      </c>
      <c r="I436" s="208" t="s">
        <v>62</v>
      </c>
      <c r="J436" s="208" t="s">
        <v>360</v>
      </c>
      <c r="K436" s="208" t="s">
        <v>38</v>
      </c>
      <c r="L436" s="208" t="s">
        <v>436</v>
      </c>
      <c r="M436" s="208">
        <v>3</v>
      </c>
      <c r="N436" s="208"/>
      <c r="O436" s="208" t="s">
        <v>127</v>
      </c>
      <c r="P436" s="208"/>
      <c r="Q436" s="207"/>
      <c r="R436" s="208"/>
    </row>
    <row r="437" spans="1:18">
      <c r="A437" s="277">
        <v>383</v>
      </c>
      <c r="B437" s="278">
        <v>46125</v>
      </c>
      <c r="C437" s="208" t="s">
        <v>302</v>
      </c>
      <c r="D437" s="208" t="s">
        <v>520</v>
      </c>
      <c r="E437" s="208" t="s">
        <v>291</v>
      </c>
      <c r="F437" s="208">
        <v>2026</v>
      </c>
      <c r="G437" s="208">
        <v>3</v>
      </c>
      <c r="H437" s="208" t="s">
        <v>57</v>
      </c>
      <c r="I437" s="208" t="s">
        <v>89</v>
      </c>
      <c r="J437" s="208" t="s">
        <v>311</v>
      </c>
      <c r="K437" s="208" t="s">
        <v>90</v>
      </c>
      <c r="L437" s="208" t="s">
        <v>590</v>
      </c>
      <c r="M437" s="208">
        <v>3</v>
      </c>
      <c r="N437" s="208"/>
      <c r="O437" s="208" t="s">
        <v>91</v>
      </c>
      <c r="P437" s="208"/>
      <c r="Q437" s="207"/>
      <c r="R437" s="208"/>
    </row>
    <row r="438" spans="1:18">
      <c r="A438" s="277">
        <v>384</v>
      </c>
      <c r="B438" s="278">
        <v>46125</v>
      </c>
      <c r="C438" s="208" t="s">
        <v>302</v>
      </c>
      <c r="D438" s="208" t="s">
        <v>477</v>
      </c>
      <c r="E438" s="208" t="s">
        <v>291</v>
      </c>
      <c r="F438" s="208">
        <v>2026</v>
      </c>
      <c r="G438" s="208">
        <v>3</v>
      </c>
      <c r="H438" s="208" t="s">
        <v>461</v>
      </c>
      <c r="I438" s="208" t="s">
        <v>136</v>
      </c>
      <c r="J438" s="208" t="s">
        <v>462</v>
      </c>
      <c r="K438" s="208" t="s">
        <v>101</v>
      </c>
      <c r="L438" s="208" t="s">
        <v>591</v>
      </c>
      <c r="M438" s="208">
        <v>3</v>
      </c>
      <c r="N438" s="208"/>
      <c r="O438" s="208" t="s">
        <v>140</v>
      </c>
      <c r="P438" s="208"/>
      <c r="Q438" s="207"/>
      <c r="R438" s="208"/>
    </row>
    <row r="439" spans="1:18">
      <c r="A439" s="277">
        <v>385</v>
      </c>
      <c r="B439" s="278">
        <v>46125</v>
      </c>
      <c r="C439" s="208" t="s">
        <v>302</v>
      </c>
      <c r="D439" s="208" t="s">
        <v>479</v>
      </c>
      <c r="E439" s="208" t="s">
        <v>291</v>
      </c>
      <c r="F439" s="208">
        <v>2026</v>
      </c>
      <c r="G439" s="208">
        <v>3</v>
      </c>
      <c r="H439" s="208" t="s">
        <v>461</v>
      </c>
      <c r="I439" s="208" t="s">
        <v>136</v>
      </c>
      <c r="J439" s="208" t="s">
        <v>462</v>
      </c>
      <c r="K439" s="208" t="s">
        <v>10</v>
      </c>
      <c r="L439" s="208" t="s">
        <v>591</v>
      </c>
      <c r="M439" s="208">
        <v>3</v>
      </c>
      <c r="N439" s="208"/>
      <c r="O439" s="208" t="s">
        <v>140</v>
      </c>
      <c r="P439" s="208"/>
      <c r="Q439" s="207"/>
      <c r="R439" s="208"/>
    </row>
    <row r="440" spans="1:18">
      <c r="A440" s="277">
        <v>386</v>
      </c>
      <c r="B440" s="278">
        <v>46125</v>
      </c>
      <c r="C440" s="208" t="s">
        <v>302</v>
      </c>
      <c r="D440" s="208" t="s">
        <v>477</v>
      </c>
      <c r="E440" s="208" t="s">
        <v>291</v>
      </c>
      <c r="F440" s="208">
        <v>2026</v>
      </c>
      <c r="G440" s="208">
        <v>3</v>
      </c>
      <c r="H440" s="208" t="s">
        <v>461</v>
      </c>
      <c r="I440" s="208" t="s">
        <v>142</v>
      </c>
      <c r="J440" s="208" t="s">
        <v>462</v>
      </c>
      <c r="K440" s="208" t="s">
        <v>101</v>
      </c>
      <c r="L440" s="208" t="s">
        <v>582</v>
      </c>
      <c r="M440" s="208">
        <v>3</v>
      </c>
      <c r="N440" s="208"/>
      <c r="O440" s="208" t="s">
        <v>179</v>
      </c>
      <c r="P440" s="208"/>
      <c r="Q440" s="207"/>
      <c r="R440" s="208"/>
    </row>
    <row r="441" spans="1:18">
      <c r="A441" s="277">
        <v>387</v>
      </c>
      <c r="B441" s="278">
        <v>46125</v>
      </c>
      <c r="C441" s="208" t="s">
        <v>302</v>
      </c>
      <c r="D441" s="208" t="s">
        <v>592</v>
      </c>
      <c r="E441" s="208" t="s">
        <v>291</v>
      </c>
      <c r="F441" s="208">
        <v>2026</v>
      </c>
      <c r="G441" s="208">
        <v>2</v>
      </c>
      <c r="H441" s="208" t="s">
        <v>132</v>
      </c>
      <c r="I441" s="208" t="s">
        <v>133</v>
      </c>
      <c r="J441" s="208" t="s">
        <v>360</v>
      </c>
      <c r="K441" s="208" t="s">
        <v>106</v>
      </c>
      <c r="L441" s="208" t="s">
        <v>593</v>
      </c>
      <c r="M441" s="208">
        <v>2</v>
      </c>
      <c r="N441" s="208"/>
      <c r="O441" s="208" t="s">
        <v>127</v>
      </c>
      <c r="P441" s="208"/>
      <c r="Q441" s="207"/>
      <c r="R441" s="208"/>
    </row>
    <row r="442" spans="1:18">
      <c r="A442" s="277">
        <v>388</v>
      </c>
      <c r="B442" s="278">
        <v>46125</v>
      </c>
      <c r="C442" s="208" t="s">
        <v>302</v>
      </c>
      <c r="D442" s="208" t="s">
        <v>482</v>
      </c>
      <c r="E442" s="208" t="s">
        <v>291</v>
      </c>
      <c r="F442" s="208">
        <v>2026</v>
      </c>
      <c r="G442" s="208">
        <v>2</v>
      </c>
      <c r="H442" s="208" t="s">
        <v>132</v>
      </c>
      <c r="I442" s="208" t="s">
        <v>133</v>
      </c>
      <c r="J442" s="208" t="s">
        <v>360</v>
      </c>
      <c r="K442" s="208" t="s">
        <v>135</v>
      </c>
      <c r="L442" s="208" t="s">
        <v>560</v>
      </c>
      <c r="M442" s="208">
        <v>2</v>
      </c>
      <c r="N442" s="208"/>
      <c r="O442" s="208" t="s">
        <v>63</v>
      </c>
      <c r="P442" s="208"/>
      <c r="Q442" s="207"/>
      <c r="R442" s="208"/>
    </row>
    <row r="443" spans="1:18">
      <c r="A443" s="277"/>
      <c r="B443" s="278">
        <v>46125</v>
      </c>
      <c r="C443" s="208" t="s">
        <v>302</v>
      </c>
      <c r="D443" s="208"/>
      <c r="E443" s="208" t="s">
        <v>291</v>
      </c>
      <c r="F443" s="208">
        <v>2026</v>
      </c>
      <c r="G443" s="208"/>
      <c r="H443" s="208" t="s">
        <v>99</v>
      </c>
      <c r="I443" s="208" t="s">
        <v>108</v>
      </c>
      <c r="J443" s="208" t="s">
        <v>366</v>
      </c>
      <c r="K443" s="208" t="s">
        <v>10</v>
      </c>
      <c r="L443" s="208" t="s">
        <v>594</v>
      </c>
      <c r="M443" s="208"/>
      <c r="N443" s="208"/>
      <c r="O443" s="208"/>
      <c r="P443" s="208"/>
      <c r="Q443" s="207"/>
      <c r="R443" s="208"/>
    </row>
    <row r="444" spans="1:18">
      <c r="A444" s="277">
        <v>389</v>
      </c>
      <c r="B444" s="278">
        <v>46125</v>
      </c>
      <c r="C444" s="208" t="s">
        <v>302</v>
      </c>
      <c r="D444" s="208" t="s">
        <v>372</v>
      </c>
      <c r="E444" s="208" t="s">
        <v>291</v>
      </c>
      <c r="F444" s="208">
        <v>2026</v>
      </c>
      <c r="G444" s="208">
        <v>2.5</v>
      </c>
      <c r="H444" s="208" t="s">
        <v>57</v>
      </c>
      <c r="I444" s="208" t="s">
        <v>58</v>
      </c>
      <c r="J444" s="208" t="s">
        <v>373</v>
      </c>
      <c r="K444" s="208"/>
      <c r="L444" s="208" t="s">
        <v>595</v>
      </c>
      <c r="M444" s="208">
        <v>2.5</v>
      </c>
      <c r="N444" s="208"/>
      <c r="O444" s="208" t="s">
        <v>70</v>
      </c>
      <c r="P444" s="208"/>
      <c r="Q444" s="207"/>
      <c r="R444" s="208"/>
    </row>
    <row r="445" spans="1:18">
      <c r="A445" s="277">
        <v>390</v>
      </c>
      <c r="B445" s="278">
        <v>46125</v>
      </c>
      <c r="C445" s="208" t="s">
        <v>302</v>
      </c>
      <c r="D445" s="208" t="s">
        <v>451</v>
      </c>
      <c r="E445" s="208" t="s">
        <v>291</v>
      </c>
      <c r="F445" s="208">
        <v>2026</v>
      </c>
      <c r="G445" s="208">
        <v>3</v>
      </c>
      <c r="H445" s="208" t="s">
        <v>61</v>
      </c>
      <c r="I445" s="208" t="s">
        <v>62</v>
      </c>
      <c r="J445" s="208" t="s">
        <v>360</v>
      </c>
      <c r="K445" s="208" t="s">
        <v>37</v>
      </c>
      <c r="L445" s="208" t="s">
        <v>443</v>
      </c>
      <c r="M445" s="208">
        <v>3</v>
      </c>
      <c r="N445" s="208"/>
      <c r="O445" s="208" t="s">
        <v>112</v>
      </c>
      <c r="P445" s="208"/>
      <c r="Q445" s="207"/>
      <c r="R445" s="208"/>
    </row>
    <row r="446" spans="1:18">
      <c r="A446" s="277">
        <v>391</v>
      </c>
      <c r="B446" s="278">
        <v>46125</v>
      </c>
      <c r="C446" s="208" t="s">
        <v>302</v>
      </c>
      <c r="D446" s="208" t="s">
        <v>452</v>
      </c>
      <c r="E446" s="208" t="s">
        <v>291</v>
      </c>
      <c r="F446" s="208">
        <v>2026</v>
      </c>
      <c r="G446" s="208">
        <v>3</v>
      </c>
      <c r="H446" s="208" t="s">
        <v>61</v>
      </c>
      <c r="I446" s="208" t="s">
        <v>62</v>
      </c>
      <c r="J446" s="208" t="s">
        <v>360</v>
      </c>
      <c r="K446" s="208" t="s">
        <v>38</v>
      </c>
      <c r="L446" s="208" t="s">
        <v>443</v>
      </c>
      <c r="M446" s="208">
        <v>3</v>
      </c>
      <c r="N446" s="208"/>
      <c r="O446" s="208" t="s">
        <v>127</v>
      </c>
      <c r="P446" s="208"/>
      <c r="Q446" s="207"/>
      <c r="R446" s="208"/>
    </row>
    <row r="447" spans="1:18">
      <c r="A447" s="277">
        <v>392</v>
      </c>
      <c r="B447" s="278">
        <v>46126</v>
      </c>
      <c r="C447" s="208" t="s">
        <v>289</v>
      </c>
      <c r="D447" s="208" t="s">
        <v>483</v>
      </c>
      <c r="E447" s="208" t="s">
        <v>291</v>
      </c>
      <c r="F447" s="208">
        <v>2026</v>
      </c>
      <c r="G447" s="208">
        <v>2</v>
      </c>
      <c r="H447" s="208" t="s">
        <v>99</v>
      </c>
      <c r="I447" s="208" t="s">
        <v>108</v>
      </c>
      <c r="J447" s="208" t="s">
        <v>366</v>
      </c>
      <c r="K447" s="208" t="s">
        <v>10</v>
      </c>
      <c r="L447" s="208" t="s">
        <v>596</v>
      </c>
      <c r="M447" s="208">
        <v>2</v>
      </c>
      <c r="N447" s="208"/>
      <c r="O447" s="208" t="s">
        <v>63</v>
      </c>
      <c r="P447" s="208"/>
      <c r="Q447" s="207"/>
      <c r="R447" s="208"/>
    </row>
    <row r="448" spans="1:18">
      <c r="A448" s="277">
        <v>393</v>
      </c>
      <c r="B448" s="278">
        <v>46126</v>
      </c>
      <c r="C448" s="208" t="s">
        <v>289</v>
      </c>
      <c r="D448" s="208" t="s">
        <v>491</v>
      </c>
      <c r="E448" s="208" t="s">
        <v>291</v>
      </c>
      <c r="F448" s="208">
        <v>2026</v>
      </c>
      <c r="G448" s="208">
        <v>2</v>
      </c>
      <c r="H448" s="208" t="s">
        <v>99</v>
      </c>
      <c r="I448" s="208" t="s">
        <v>108</v>
      </c>
      <c r="J448" s="208" t="s">
        <v>366</v>
      </c>
      <c r="K448" s="208" t="s">
        <v>104</v>
      </c>
      <c r="L448" s="208" t="s">
        <v>596</v>
      </c>
      <c r="M448" s="208">
        <v>2</v>
      </c>
      <c r="N448" s="208"/>
      <c r="O448" s="208" t="s">
        <v>109</v>
      </c>
      <c r="P448" s="208"/>
      <c r="Q448" s="207"/>
      <c r="R448" s="208"/>
    </row>
    <row r="449" spans="1:18">
      <c r="A449" s="277">
        <v>394</v>
      </c>
      <c r="B449" s="278">
        <v>46126</v>
      </c>
      <c r="C449" s="208" t="s">
        <v>289</v>
      </c>
      <c r="D449" s="208" t="s">
        <v>491</v>
      </c>
      <c r="E449" s="208" t="s">
        <v>291</v>
      </c>
      <c r="F449" s="208">
        <v>2026</v>
      </c>
      <c r="G449" s="208">
        <v>2.5</v>
      </c>
      <c r="H449" s="208" t="s">
        <v>99</v>
      </c>
      <c r="I449" s="208" t="s">
        <v>108</v>
      </c>
      <c r="J449" s="208" t="s">
        <v>366</v>
      </c>
      <c r="K449" s="208" t="s">
        <v>106</v>
      </c>
      <c r="L449" s="208" t="s">
        <v>576</v>
      </c>
      <c r="M449" s="208">
        <v>2.5</v>
      </c>
      <c r="N449" s="208"/>
      <c r="O449" s="208" t="s">
        <v>112</v>
      </c>
      <c r="P449" s="208"/>
      <c r="Q449" s="207"/>
      <c r="R449" s="208"/>
    </row>
    <row r="450" spans="1:18">
      <c r="A450" s="277">
        <v>395</v>
      </c>
      <c r="B450" s="278">
        <v>46126</v>
      </c>
      <c r="C450" s="208" t="s">
        <v>289</v>
      </c>
      <c r="D450" s="208" t="s">
        <v>451</v>
      </c>
      <c r="E450" s="208" t="s">
        <v>291</v>
      </c>
      <c r="F450" s="208">
        <v>2026</v>
      </c>
      <c r="G450" s="208">
        <v>3</v>
      </c>
      <c r="H450" s="208" t="s">
        <v>61</v>
      </c>
      <c r="I450" s="208" t="s">
        <v>62</v>
      </c>
      <c r="J450" s="208" t="s">
        <v>360</v>
      </c>
      <c r="K450" s="208" t="s">
        <v>37</v>
      </c>
      <c r="L450" s="208" t="s">
        <v>450</v>
      </c>
      <c r="M450" s="208">
        <v>3</v>
      </c>
      <c r="N450" s="208"/>
      <c r="O450" s="208" t="s">
        <v>112</v>
      </c>
      <c r="P450" s="208"/>
      <c r="Q450" s="207"/>
      <c r="R450" s="208"/>
    </row>
    <row r="451" spans="1:18">
      <c r="A451" s="277">
        <v>396</v>
      </c>
      <c r="B451" s="278">
        <v>46126</v>
      </c>
      <c r="C451" s="208" t="s">
        <v>289</v>
      </c>
      <c r="D451" s="208" t="s">
        <v>452</v>
      </c>
      <c r="E451" s="208" t="s">
        <v>291</v>
      </c>
      <c r="F451" s="208">
        <v>2026</v>
      </c>
      <c r="G451" s="208">
        <v>3</v>
      </c>
      <c r="H451" s="208" t="s">
        <v>61</v>
      </c>
      <c r="I451" s="208" t="s">
        <v>62</v>
      </c>
      <c r="J451" s="208" t="s">
        <v>360</v>
      </c>
      <c r="K451" s="208" t="s">
        <v>38</v>
      </c>
      <c r="L451" s="208" t="s">
        <v>450</v>
      </c>
      <c r="M451" s="208">
        <v>3</v>
      </c>
      <c r="N451" s="208"/>
      <c r="O451" s="208" t="s">
        <v>127</v>
      </c>
      <c r="P451" s="208"/>
      <c r="Q451" s="207"/>
      <c r="R451" s="208"/>
    </row>
    <row r="452" spans="1:18">
      <c r="A452" s="277">
        <v>397</v>
      </c>
      <c r="B452" s="278">
        <v>46127</v>
      </c>
      <c r="C452" s="208" t="s">
        <v>294</v>
      </c>
      <c r="D452" s="208" t="s">
        <v>497</v>
      </c>
      <c r="E452" s="208" t="s">
        <v>291</v>
      </c>
      <c r="F452" s="208">
        <v>2026</v>
      </c>
      <c r="G452" s="208" t="s">
        <v>498</v>
      </c>
      <c r="H452" s="208" t="s">
        <v>57</v>
      </c>
      <c r="I452" s="208" t="s">
        <v>454</v>
      </c>
      <c r="J452" s="208" t="s">
        <v>311</v>
      </c>
      <c r="K452" s="208"/>
      <c r="L452" s="208" t="s">
        <v>597</v>
      </c>
      <c r="M452" s="208" t="s">
        <v>498</v>
      </c>
      <c r="N452" s="208"/>
      <c r="O452" s="208" t="s">
        <v>516</v>
      </c>
      <c r="P452" s="208"/>
      <c r="Q452" s="207"/>
      <c r="R452" s="208"/>
    </row>
    <row r="453" spans="1:18">
      <c r="A453" s="277">
        <v>398</v>
      </c>
      <c r="B453" s="278">
        <v>46127</v>
      </c>
      <c r="C453" s="208" t="s">
        <v>294</v>
      </c>
      <c r="D453" s="208" t="s">
        <v>483</v>
      </c>
      <c r="E453" s="208" t="s">
        <v>291</v>
      </c>
      <c r="F453" s="208">
        <v>2026</v>
      </c>
      <c r="G453" s="208">
        <v>2</v>
      </c>
      <c r="H453" s="208" t="s">
        <v>99</v>
      </c>
      <c r="I453" s="208" t="s">
        <v>108</v>
      </c>
      <c r="J453" s="208" t="s">
        <v>366</v>
      </c>
      <c r="K453" s="208" t="s">
        <v>10</v>
      </c>
      <c r="L453" s="208" t="s">
        <v>598</v>
      </c>
      <c r="M453" s="208">
        <v>2</v>
      </c>
      <c r="N453" s="208"/>
      <c r="O453" s="208" t="s">
        <v>63</v>
      </c>
      <c r="P453" s="208"/>
      <c r="Q453" s="207"/>
      <c r="R453" s="208"/>
    </row>
    <row r="454" spans="1:18">
      <c r="A454" s="277">
        <v>399</v>
      </c>
      <c r="B454" s="278">
        <v>46127</v>
      </c>
      <c r="C454" s="208" t="s">
        <v>294</v>
      </c>
      <c r="D454" s="208" t="s">
        <v>599</v>
      </c>
      <c r="E454" s="208" t="s">
        <v>291</v>
      </c>
      <c r="F454" s="208">
        <v>2026</v>
      </c>
      <c r="G454" s="208">
        <v>5</v>
      </c>
      <c r="H454" s="208" t="s">
        <v>80</v>
      </c>
      <c r="I454" s="208" t="s">
        <v>81</v>
      </c>
      <c r="J454" s="208" t="s">
        <v>366</v>
      </c>
      <c r="K454" s="208"/>
      <c r="L454" s="208" t="s">
        <v>600</v>
      </c>
      <c r="M454" s="208">
        <v>5</v>
      </c>
      <c r="N454" s="208"/>
      <c r="O454" s="208" t="s">
        <v>12</v>
      </c>
      <c r="P454" s="208"/>
      <c r="Q454" s="207"/>
      <c r="R454" s="208"/>
    </row>
    <row r="455" spans="1:18">
      <c r="A455" s="277">
        <v>400</v>
      </c>
      <c r="B455" s="278">
        <v>46127</v>
      </c>
      <c r="C455" s="208" t="s">
        <v>294</v>
      </c>
      <c r="D455" s="208" t="s">
        <v>451</v>
      </c>
      <c r="E455" s="208" t="s">
        <v>291</v>
      </c>
      <c r="F455" s="208">
        <v>2026</v>
      </c>
      <c r="G455" s="208">
        <v>3</v>
      </c>
      <c r="H455" s="208" t="s">
        <v>61</v>
      </c>
      <c r="I455" s="208" t="s">
        <v>62</v>
      </c>
      <c r="J455" s="208" t="s">
        <v>360</v>
      </c>
      <c r="K455" s="208" t="s">
        <v>37</v>
      </c>
      <c r="L455" s="208" t="s">
        <v>459</v>
      </c>
      <c r="M455" s="208">
        <v>3</v>
      </c>
      <c r="N455" s="208"/>
      <c r="O455" s="208" t="s">
        <v>112</v>
      </c>
      <c r="P455" s="208"/>
      <c r="Q455" s="207"/>
      <c r="R455" s="208"/>
    </row>
    <row r="456" spans="1:18">
      <c r="A456" s="277">
        <v>401</v>
      </c>
      <c r="B456" s="278">
        <v>46127</v>
      </c>
      <c r="C456" s="208" t="s">
        <v>294</v>
      </c>
      <c r="D456" s="208" t="s">
        <v>452</v>
      </c>
      <c r="E456" s="208" t="s">
        <v>291</v>
      </c>
      <c r="F456" s="208">
        <v>2026</v>
      </c>
      <c r="G456" s="208">
        <v>3</v>
      </c>
      <c r="H456" s="208" t="s">
        <v>61</v>
      </c>
      <c r="I456" s="208" t="s">
        <v>62</v>
      </c>
      <c r="J456" s="208" t="s">
        <v>360</v>
      </c>
      <c r="K456" s="208" t="s">
        <v>38</v>
      </c>
      <c r="L456" s="208" t="s">
        <v>459</v>
      </c>
      <c r="M456" s="208">
        <v>3</v>
      </c>
      <c r="N456" s="208"/>
      <c r="O456" s="208" t="s">
        <v>127</v>
      </c>
      <c r="P456" s="208"/>
      <c r="Q456" s="207"/>
      <c r="R456" s="208"/>
    </row>
    <row r="457" spans="1:18">
      <c r="A457" s="277">
        <v>402</v>
      </c>
      <c r="B457" s="278">
        <v>46128</v>
      </c>
      <c r="C457" s="208" t="s">
        <v>298</v>
      </c>
      <c r="D457" s="208"/>
      <c r="E457" s="208" t="s">
        <v>291</v>
      </c>
      <c r="F457" s="208">
        <v>2026</v>
      </c>
      <c r="G457" s="208">
        <v>8</v>
      </c>
      <c r="H457" s="208" t="s">
        <v>76</v>
      </c>
      <c r="I457" s="208" t="s">
        <v>158</v>
      </c>
      <c r="J457" s="208" t="s">
        <v>366</v>
      </c>
      <c r="K457" s="208" t="s">
        <v>101</v>
      </c>
      <c r="L457" s="208" t="s">
        <v>601</v>
      </c>
      <c r="M457" s="208">
        <v>8</v>
      </c>
      <c r="N457" s="208"/>
      <c r="O457" s="208" t="s">
        <v>159</v>
      </c>
      <c r="P457" s="208"/>
      <c r="Q457" s="207"/>
      <c r="R457" s="208"/>
    </row>
    <row r="458" spans="1:18">
      <c r="A458" s="277">
        <v>403</v>
      </c>
      <c r="B458" s="278">
        <v>46128</v>
      </c>
      <c r="C458" s="208" t="s">
        <v>298</v>
      </c>
      <c r="D458" s="208" t="s">
        <v>520</v>
      </c>
      <c r="E458" s="208" t="s">
        <v>291</v>
      </c>
      <c r="F458" s="208">
        <v>2026</v>
      </c>
      <c r="G458" s="208">
        <v>3</v>
      </c>
      <c r="H458" s="208" t="s">
        <v>57</v>
      </c>
      <c r="I458" s="208" t="s">
        <v>89</v>
      </c>
      <c r="J458" s="208" t="s">
        <v>311</v>
      </c>
      <c r="K458" s="208" t="s">
        <v>90</v>
      </c>
      <c r="L458" s="208" t="s">
        <v>602</v>
      </c>
      <c r="M458" s="208">
        <v>3</v>
      </c>
      <c r="N458" s="208"/>
      <c r="O458" s="208" t="s">
        <v>91</v>
      </c>
      <c r="P458" s="208"/>
      <c r="Q458" s="207"/>
      <c r="R458" s="208"/>
    </row>
    <row r="459" spans="1:18">
      <c r="A459" s="277">
        <v>404</v>
      </c>
      <c r="B459" s="278">
        <v>46128</v>
      </c>
      <c r="C459" s="208" t="s">
        <v>298</v>
      </c>
      <c r="D459" s="208" t="s">
        <v>479</v>
      </c>
      <c r="E459" s="208" t="s">
        <v>291</v>
      </c>
      <c r="F459" s="208">
        <v>2026</v>
      </c>
      <c r="G459" s="208">
        <v>3</v>
      </c>
      <c r="H459" s="208" t="s">
        <v>461</v>
      </c>
      <c r="I459" s="208" t="s">
        <v>142</v>
      </c>
      <c r="J459" s="208" t="s">
        <v>462</v>
      </c>
      <c r="K459" s="208" t="s">
        <v>10</v>
      </c>
      <c r="L459" s="208" t="s">
        <v>603</v>
      </c>
      <c r="M459" s="208">
        <v>3</v>
      </c>
      <c r="N459" s="208"/>
      <c r="O459" s="208" t="s">
        <v>102</v>
      </c>
      <c r="P459" s="208"/>
      <c r="Q459" s="207"/>
      <c r="R459" s="208"/>
    </row>
    <row r="460" spans="1:18">
      <c r="A460" s="277">
        <v>405</v>
      </c>
      <c r="B460" s="278">
        <v>46128</v>
      </c>
      <c r="C460" s="208" t="s">
        <v>298</v>
      </c>
      <c r="D460" s="208" t="s">
        <v>477</v>
      </c>
      <c r="E460" s="208" t="s">
        <v>291</v>
      </c>
      <c r="F460" s="208">
        <v>2026</v>
      </c>
      <c r="G460" s="208">
        <v>3</v>
      </c>
      <c r="H460" s="208" t="s">
        <v>461</v>
      </c>
      <c r="I460" s="208" t="s">
        <v>142</v>
      </c>
      <c r="J460" s="208" t="s">
        <v>462</v>
      </c>
      <c r="K460" s="208" t="s">
        <v>101</v>
      </c>
      <c r="L460" s="208" t="s">
        <v>603</v>
      </c>
      <c r="M460" s="208">
        <v>3</v>
      </c>
      <c r="N460" s="208"/>
      <c r="O460" s="208" t="s">
        <v>179</v>
      </c>
      <c r="P460" s="208"/>
      <c r="Q460" s="207"/>
      <c r="R460" s="208"/>
    </row>
    <row r="461" spans="1:18">
      <c r="A461" s="277">
        <v>406</v>
      </c>
      <c r="B461" s="278">
        <v>46128</v>
      </c>
      <c r="C461" s="208" t="s">
        <v>298</v>
      </c>
      <c r="D461" s="208" t="s">
        <v>480</v>
      </c>
      <c r="E461" s="208" t="s">
        <v>291</v>
      </c>
      <c r="F461" s="208">
        <v>2026</v>
      </c>
      <c r="G461" s="208">
        <v>3</v>
      </c>
      <c r="H461" s="208" t="s">
        <v>132</v>
      </c>
      <c r="I461" s="208" t="s">
        <v>133</v>
      </c>
      <c r="J461" s="208" t="s">
        <v>360</v>
      </c>
      <c r="K461" s="208" t="s">
        <v>106</v>
      </c>
      <c r="L461" s="208" t="s">
        <v>604</v>
      </c>
      <c r="M461" s="208">
        <v>3</v>
      </c>
      <c r="N461" s="208"/>
      <c r="O461" s="208" t="s">
        <v>127</v>
      </c>
      <c r="P461" s="208"/>
      <c r="Q461" s="207"/>
      <c r="R461" s="208"/>
    </row>
    <row r="462" spans="1:18">
      <c r="A462" s="277">
        <v>407</v>
      </c>
      <c r="B462" s="278">
        <v>46128</v>
      </c>
      <c r="C462" s="208" t="s">
        <v>298</v>
      </c>
      <c r="D462" s="208" t="s">
        <v>482</v>
      </c>
      <c r="E462" s="208" t="s">
        <v>291</v>
      </c>
      <c r="F462" s="208">
        <v>2026</v>
      </c>
      <c r="G462" s="208">
        <v>2</v>
      </c>
      <c r="H462" s="208" t="s">
        <v>132</v>
      </c>
      <c r="I462" s="208" t="s">
        <v>133</v>
      </c>
      <c r="J462" s="208" t="s">
        <v>360</v>
      </c>
      <c r="K462" s="208" t="s">
        <v>135</v>
      </c>
      <c r="L462" s="208" t="s">
        <v>564</v>
      </c>
      <c r="M462" s="208">
        <v>2</v>
      </c>
      <c r="N462" s="208"/>
      <c r="O462" s="208" t="s">
        <v>63</v>
      </c>
      <c r="P462" s="208"/>
      <c r="Q462" s="207"/>
      <c r="R462" s="208"/>
    </row>
    <row r="463" spans="1:18">
      <c r="A463" s="277">
        <v>408</v>
      </c>
      <c r="B463" s="278">
        <v>46128</v>
      </c>
      <c r="C463" s="208" t="s">
        <v>298</v>
      </c>
      <c r="D463" s="208" t="s">
        <v>524</v>
      </c>
      <c r="E463" s="208" t="s">
        <v>291</v>
      </c>
      <c r="F463" s="208">
        <v>2026</v>
      </c>
      <c r="G463" s="208">
        <v>2.5</v>
      </c>
      <c r="H463" s="208" t="s">
        <v>115</v>
      </c>
      <c r="I463" s="208" t="s">
        <v>437</v>
      </c>
      <c r="J463" s="208" t="s">
        <v>438</v>
      </c>
      <c r="K463" s="208" t="s">
        <v>101</v>
      </c>
      <c r="L463" s="208" t="s">
        <v>605</v>
      </c>
      <c r="M463" s="208">
        <v>2.5</v>
      </c>
      <c r="N463" s="208"/>
      <c r="O463" s="208" t="s">
        <v>164</v>
      </c>
      <c r="P463" s="208"/>
      <c r="Q463" s="207"/>
      <c r="R463" s="208"/>
    </row>
    <row r="464" spans="1:18">
      <c r="A464" s="277">
        <v>409</v>
      </c>
      <c r="B464" s="278">
        <v>46128</v>
      </c>
      <c r="C464" s="208" t="s">
        <v>298</v>
      </c>
      <c r="D464" s="208" t="s">
        <v>490</v>
      </c>
      <c r="E464" s="208" t="s">
        <v>291</v>
      </c>
      <c r="F464" s="208">
        <v>2026</v>
      </c>
      <c r="G464" s="208">
        <v>2</v>
      </c>
      <c r="H464" s="208" t="s">
        <v>99</v>
      </c>
      <c r="I464" s="208" t="s">
        <v>108</v>
      </c>
      <c r="J464" s="208" t="s">
        <v>366</v>
      </c>
      <c r="K464" s="208" t="s">
        <v>101</v>
      </c>
      <c r="L464" s="208" t="s">
        <v>596</v>
      </c>
      <c r="M464" s="208">
        <v>2</v>
      </c>
      <c r="N464" s="208"/>
      <c r="O464" s="208" t="s">
        <v>109</v>
      </c>
      <c r="P464" s="208"/>
      <c r="Q464" s="207"/>
      <c r="R464" s="208"/>
    </row>
    <row r="465" spans="1:18">
      <c r="A465" s="277">
        <v>410</v>
      </c>
      <c r="B465" s="278">
        <v>46128</v>
      </c>
      <c r="C465" s="208" t="s">
        <v>298</v>
      </c>
      <c r="D465" s="208" t="s">
        <v>491</v>
      </c>
      <c r="E465" s="208" t="s">
        <v>291</v>
      </c>
      <c r="F465" s="208">
        <v>2026</v>
      </c>
      <c r="G465" s="208">
        <v>2</v>
      </c>
      <c r="H465" s="208" t="s">
        <v>99</v>
      </c>
      <c r="I465" s="208" t="s">
        <v>108</v>
      </c>
      <c r="J465" s="208" t="s">
        <v>366</v>
      </c>
      <c r="K465" s="208" t="s">
        <v>104</v>
      </c>
      <c r="L465" s="208" t="s">
        <v>598</v>
      </c>
      <c r="M465" s="208">
        <v>2</v>
      </c>
      <c r="N465" s="208"/>
      <c r="O465" s="208" t="s">
        <v>109</v>
      </c>
      <c r="P465" s="208"/>
      <c r="Q465" s="207"/>
      <c r="R465" s="208"/>
    </row>
    <row r="466" spans="1:18" ht="30.75">
      <c r="A466" s="277">
        <v>411</v>
      </c>
      <c r="B466" s="278">
        <v>46128</v>
      </c>
      <c r="C466" s="208" t="s">
        <v>298</v>
      </c>
      <c r="D466" s="208" t="s">
        <v>456</v>
      </c>
      <c r="E466" s="208" t="s">
        <v>291</v>
      </c>
      <c r="F466" s="208">
        <v>2026</v>
      </c>
      <c r="G466" s="208">
        <v>2.5</v>
      </c>
      <c r="H466" s="208" t="s">
        <v>99</v>
      </c>
      <c r="I466" s="208" t="s">
        <v>100</v>
      </c>
      <c r="J466" s="208" t="s">
        <v>373</v>
      </c>
      <c r="K466" s="208" t="s">
        <v>101</v>
      </c>
      <c r="L466" s="279" t="s">
        <v>572</v>
      </c>
      <c r="M466" s="208">
        <v>2.5</v>
      </c>
      <c r="N466" s="208"/>
      <c r="O466" s="208" t="s">
        <v>102</v>
      </c>
      <c r="P466" s="208"/>
      <c r="Q466" s="207"/>
      <c r="R466" s="208"/>
    </row>
    <row r="467" spans="1:18" ht="30.75">
      <c r="A467" s="277">
        <v>412</v>
      </c>
      <c r="B467" s="278">
        <v>46128</v>
      </c>
      <c r="C467" s="208" t="s">
        <v>298</v>
      </c>
      <c r="D467" s="208" t="s">
        <v>467</v>
      </c>
      <c r="E467" s="208" t="s">
        <v>291</v>
      </c>
      <c r="F467" s="208">
        <v>2026</v>
      </c>
      <c r="G467" s="208">
        <v>2.5</v>
      </c>
      <c r="H467" s="208" t="s">
        <v>99</v>
      </c>
      <c r="I467" s="208" t="s">
        <v>100</v>
      </c>
      <c r="J467" s="208" t="s">
        <v>373</v>
      </c>
      <c r="K467" s="208" t="s">
        <v>104</v>
      </c>
      <c r="L467" s="279" t="s">
        <v>548</v>
      </c>
      <c r="M467" s="208">
        <v>2.5</v>
      </c>
      <c r="N467" s="208"/>
      <c r="O467" s="208" t="s">
        <v>70</v>
      </c>
      <c r="P467" s="208"/>
      <c r="Q467" s="207"/>
      <c r="R467" s="208"/>
    </row>
    <row r="468" spans="1:18">
      <c r="A468" s="277">
        <v>413</v>
      </c>
      <c r="B468" s="278">
        <v>46128</v>
      </c>
      <c r="C468" s="208" t="s">
        <v>298</v>
      </c>
      <c r="D468" s="208" t="s">
        <v>430</v>
      </c>
      <c r="E468" s="208" t="s">
        <v>291</v>
      </c>
      <c r="F468" s="208">
        <v>2026</v>
      </c>
      <c r="G468" s="208">
        <v>2.5</v>
      </c>
      <c r="H468" s="208" t="s">
        <v>99</v>
      </c>
      <c r="I468" s="208" t="s">
        <v>100</v>
      </c>
      <c r="J468" s="208" t="s">
        <v>373</v>
      </c>
      <c r="K468" s="208" t="s">
        <v>106</v>
      </c>
      <c r="L468" s="208" t="s">
        <v>606</v>
      </c>
      <c r="M468" s="208">
        <v>2.5</v>
      </c>
      <c r="N468" s="208"/>
      <c r="O468" s="208" t="s">
        <v>432</v>
      </c>
      <c r="P468" s="208"/>
      <c r="Q468" s="207"/>
      <c r="R468" s="208"/>
    </row>
    <row r="469" spans="1:18">
      <c r="A469" s="277">
        <v>414</v>
      </c>
      <c r="B469" s="278">
        <v>46128</v>
      </c>
      <c r="C469" s="208" t="s">
        <v>298</v>
      </c>
      <c r="D469" s="208" t="s">
        <v>607</v>
      </c>
      <c r="E469" s="208" t="s">
        <v>291</v>
      </c>
      <c r="F469" s="208">
        <v>2026</v>
      </c>
      <c r="G469" s="208">
        <v>6</v>
      </c>
      <c r="H469" s="208" t="s">
        <v>80</v>
      </c>
      <c r="I469" s="208" t="s">
        <v>81</v>
      </c>
      <c r="J469" s="208" t="s">
        <v>366</v>
      </c>
      <c r="K469" s="208"/>
      <c r="L469" s="208" t="s">
        <v>608</v>
      </c>
      <c r="M469" s="208">
        <v>5</v>
      </c>
      <c r="N469" s="208"/>
      <c r="O469" s="208" t="s">
        <v>12</v>
      </c>
      <c r="P469" s="208"/>
      <c r="Q469" s="207"/>
      <c r="R469" s="208"/>
    </row>
    <row r="470" spans="1:18">
      <c r="A470" s="277">
        <v>415</v>
      </c>
      <c r="B470" s="278">
        <v>46128</v>
      </c>
      <c r="C470" s="208" t="s">
        <v>298</v>
      </c>
      <c r="D470" s="208" t="s">
        <v>451</v>
      </c>
      <c r="E470" s="208" t="s">
        <v>291</v>
      </c>
      <c r="F470" s="208">
        <v>2026</v>
      </c>
      <c r="G470" s="208">
        <v>3</v>
      </c>
      <c r="H470" s="208" t="s">
        <v>61</v>
      </c>
      <c r="I470" s="208" t="s">
        <v>62</v>
      </c>
      <c r="J470" s="208" t="s">
        <v>360</v>
      </c>
      <c r="K470" s="208" t="s">
        <v>37</v>
      </c>
      <c r="L470" s="208" t="s">
        <v>466</v>
      </c>
      <c r="M470" s="208">
        <v>3</v>
      </c>
      <c r="N470" s="208"/>
      <c r="O470" s="208" t="s">
        <v>112</v>
      </c>
      <c r="P470" s="208"/>
      <c r="Q470" s="207"/>
      <c r="R470" s="208"/>
    </row>
    <row r="471" spans="1:18">
      <c r="A471" s="277">
        <v>416</v>
      </c>
      <c r="B471" s="278">
        <v>46128</v>
      </c>
      <c r="C471" s="208" t="s">
        <v>298</v>
      </c>
      <c r="D471" s="208" t="s">
        <v>452</v>
      </c>
      <c r="E471" s="208" t="s">
        <v>291</v>
      </c>
      <c r="F471" s="208">
        <v>2026</v>
      </c>
      <c r="G471" s="208">
        <v>3</v>
      </c>
      <c r="H471" s="208" t="s">
        <v>61</v>
      </c>
      <c r="I471" s="208" t="s">
        <v>62</v>
      </c>
      <c r="J471" s="208" t="s">
        <v>360</v>
      </c>
      <c r="K471" s="208" t="s">
        <v>38</v>
      </c>
      <c r="L471" s="208" t="s">
        <v>466</v>
      </c>
      <c r="M471" s="208">
        <v>3</v>
      </c>
      <c r="N471" s="208"/>
      <c r="O471" s="208" t="s">
        <v>127</v>
      </c>
      <c r="P471" s="208"/>
      <c r="Q471" s="207"/>
      <c r="R471" s="208"/>
    </row>
    <row r="472" spans="1:18">
      <c r="A472" s="277">
        <v>417</v>
      </c>
      <c r="B472" s="278">
        <v>46129</v>
      </c>
      <c r="C472" s="208" t="s">
        <v>301</v>
      </c>
      <c r="D472" s="208" t="s">
        <v>592</v>
      </c>
      <c r="E472" s="208" t="s">
        <v>291</v>
      </c>
      <c r="F472" s="208">
        <v>2026</v>
      </c>
      <c r="G472" s="208">
        <v>2</v>
      </c>
      <c r="H472" s="208" t="s">
        <v>132</v>
      </c>
      <c r="I472" s="208" t="s">
        <v>133</v>
      </c>
      <c r="J472" s="208" t="s">
        <v>360</v>
      </c>
      <c r="K472" s="208" t="s">
        <v>106</v>
      </c>
      <c r="L472" s="208" t="s">
        <v>609</v>
      </c>
      <c r="M472" s="208">
        <v>2</v>
      </c>
      <c r="N472" s="208"/>
      <c r="O472" s="208" t="s">
        <v>127</v>
      </c>
      <c r="P472" s="208"/>
      <c r="Q472" s="207"/>
      <c r="R472" s="208"/>
    </row>
    <row r="473" spans="1:18">
      <c r="A473" s="277">
        <v>418</v>
      </c>
      <c r="B473" s="278">
        <v>46129</v>
      </c>
      <c r="C473" s="208" t="s">
        <v>301</v>
      </c>
      <c r="D473" s="208" t="s">
        <v>482</v>
      </c>
      <c r="E473" s="208" t="s">
        <v>291</v>
      </c>
      <c r="F473" s="208">
        <v>2026</v>
      </c>
      <c r="G473" s="208">
        <v>2</v>
      </c>
      <c r="H473" s="208" t="s">
        <v>132</v>
      </c>
      <c r="I473" s="208" t="s">
        <v>133</v>
      </c>
      <c r="J473" s="208" t="s">
        <v>360</v>
      </c>
      <c r="K473" s="208" t="s">
        <v>135</v>
      </c>
      <c r="L473" s="208" t="s">
        <v>575</v>
      </c>
      <c r="M473" s="208">
        <v>2</v>
      </c>
      <c r="N473" s="208"/>
      <c r="O473" s="208" t="s">
        <v>63</v>
      </c>
      <c r="P473" s="208"/>
      <c r="Q473" s="207"/>
      <c r="R473" s="208"/>
    </row>
    <row r="474" spans="1:18">
      <c r="A474" s="277">
        <v>419</v>
      </c>
      <c r="B474" s="278">
        <v>46129</v>
      </c>
      <c r="C474" s="208" t="s">
        <v>301</v>
      </c>
      <c r="D474" s="208" t="s">
        <v>497</v>
      </c>
      <c r="E474" s="208" t="s">
        <v>291</v>
      </c>
      <c r="F474" s="208">
        <v>2026</v>
      </c>
      <c r="G474" s="208" t="s">
        <v>498</v>
      </c>
      <c r="H474" s="208" t="s">
        <v>57</v>
      </c>
      <c r="I474" s="208" t="s">
        <v>454</v>
      </c>
      <c r="J474" s="208" t="s">
        <v>311</v>
      </c>
      <c r="K474" s="208"/>
      <c r="L474" s="208" t="s">
        <v>610</v>
      </c>
      <c r="M474" s="208" t="s">
        <v>498</v>
      </c>
      <c r="N474" s="208"/>
      <c r="O474" s="208" t="s">
        <v>516</v>
      </c>
      <c r="P474" s="208"/>
      <c r="Q474" s="207"/>
      <c r="R474" s="208"/>
    </row>
    <row r="475" spans="1:18">
      <c r="A475" s="277">
        <v>420</v>
      </c>
      <c r="B475" s="278">
        <v>46129</v>
      </c>
      <c r="C475" s="208" t="s">
        <v>301</v>
      </c>
      <c r="D475" s="208" t="s">
        <v>524</v>
      </c>
      <c r="E475" s="208" t="s">
        <v>291</v>
      </c>
      <c r="F475" s="208">
        <v>2026</v>
      </c>
      <c r="G475" s="208">
        <v>2.5</v>
      </c>
      <c r="H475" s="208" t="s">
        <v>115</v>
      </c>
      <c r="I475" s="208" t="s">
        <v>437</v>
      </c>
      <c r="J475" s="208" t="s">
        <v>438</v>
      </c>
      <c r="K475" s="208" t="s">
        <v>101</v>
      </c>
      <c r="L475" s="208" t="s">
        <v>611</v>
      </c>
      <c r="M475" s="208">
        <v>2.5</v>
      </c>
      <c r="N475" s="208"/>
      <c r="O475" s="208" t="s">
        <v>164</v>
      </c>
      <c r="P475" s="208"/>
      <c r="Q475" s="207"/>
      <c r="R475" s="208"/>
    </row>
    <row r="476" spans="1:18">
      <c r="A476" s="277">
        <v>421</v>
      </c>
      <c r="B476" s="278">
        <v>46129</v>
      </c>
      <c r="C476" s="208" t="s">
        <v>301</v>
      </c>
      <c r="D476" s="208" t="s">
        <v>490</v>
      </c>
      <c r="E476" s="208" t="s">
        <v>291</v>
      </c>
      <c r="F476" s="208">
        <v>2026</v>
      </c>
      <c r="G476" s="208">
        <v>2</v>
      </c>
      <c r="H476" s="208" t="s">
        <v>99</v>
      </c>
      <c r="I476" s="208" t="s">
        <v>108</v>
      </c>
      <c r="J476" s="208" t="s">
        <v>366</v>
      </c>
      <c r="K476" s="208" t="s">
        <v>101</v>
      </c>
      <c r="L476" s="208" t="s">
        <v>598</v>
      </c>
      <c r="M476" s="208">
        <v>2</v>
      </c>
      <c r="N476" s="208"/>
      <c r="O476" s="208" t="s">
        <v>109</v>
      </c>
      <c r="P476" s="208"/>
      <c r="Q476" s="207"/>
      <c r="R476" s="208"/>
    </row>
    <row r="477" spans="1:18">
      <c r="A477" s="277"/>
      <c r="B477" s="278">
        <v>46129</v>
      </c>
      <c r="C477" s="208" t="s">
        <v>301</v>
      </c>
      <c r="D477" s="208"/>
      <c r="E477" s="208" t="s">
        <v>291</v>
      </c>
      <c r="F477" s="208">
        <v>2026</v>
      </c>
      <c r="G477" s="208"/>
      <c r="H477" s="208" t="s">
        <v>99</v>
      </c>
      <c r="I477" s="208" t="s">
        <v>108</v>
      </c>
      <c r="J477" s="208" t="s">
        <v>366</v>
      </c>
      <c r="K477" s="208" t="s">
        <v>10</v>
      </c>
      <c r="L477" s="208" t="s">
        <v>391</v>
      </c>
      <c r="M477" s="208"/>
      <c r="N477" s="208"/>
      <c r="O477" s="208"/>
      <c r="P477" s="208"/>
      <c r="Q477" s="207"/>
      <c r="R477" s="208"/>
    </row>
    <row r="478" spans="1:18">
      <c r="A478" s="277"/>
      <c r="B478" s="278">
        <v>46129</v>
      </c>
      <c r="C478" s="208" t="s">
        <v>301</v>
      </c>
      <c r="D478" s="208"/>
      <c r="E478" s="208" t="s">
        <v>291</v>
      </c>
      <c r="F478" s="208">
        <v>2026</v>
      </c>
      <c r="G478" s="208"/>
      <c r="H478" s="208" t="s">
        <v>99</v>
      </c>
      <c r="I478" s="208" t="s">
        <v>108</v>
      </c>
      <c r="J478" s="208" t="s">
        <v>366</v>
      </c>
      <c r="K478" s="208" t="s">
        <v>104</v>
      </c>
      <c r="L478" s="208" t="s">
        <v>391</v>
      </c>
      <c r="M478" s="208"/>
      <c r="N478" s="208"/>
      <c r="O478" s="208"/>
      <c r="P478" s="208"/>
      <c r="Q478" s="207"/>
      <c r="R478" s="208"/>
    </row>
    <row r="479" spans="1:18">
      <c r="A479" s="277">
        <v>422</v>
      </c>
      <c r="B479" s="278">
        <v>46129</v>
      </c>
      <c r="C479" s="208" t="s">
        <v>301</v>
      </c>
      <c r="D479" s="208" t="s">
        <v>491</v>
      </c>
      <c r="E479" s="208" t="s">
        <v>291</v>
      </c>
      <c r="F479" s="208">
        <v>2026</v>
      </c>
      <c r="G479" s="208">
        <v>2.5</v>
      </c>
      <c r="H479" s="208" t="s">
        <v>99</v>
      </c>
      <c r="I479" s="208" t="s">
        <v>108</v>
      </c>
      <c r="J479" s="208" t="s">
        <v>366</v>
      </c>
      <c r="K479" s="208" t="s">
        <v>106</v>
      </c>
      <c r="L479" s="208" t="s">
        <v>596</v>
      </c>
      <c r="M479" s="208">
        <v>2.5</v>
      </c>
      <c r="N479" s="208"/>
      <c r="O479" s="208" t="s">
        <v>109</v>
      </c>
      <c r="P479" s="208"/>
      <c r="Q479" s="207"/>
      <c r="R479" s="208"/>
    </row>
    <row r="480" spans="1:18">
      <c r="A480" s="277">
        <v>423</v>
      </c>
      <c r="B480" s="278">
        <v>46129</v>
      </c>
      <c r="C480" s="208" t="s">
        <v>301</v>
      </c>
      <c r="D480" s="208" t="s">
        <v>607</v>
      </c>
      <c r="E480" s="208" t="s">
        <v>291</v>
      </c>
      <c r="F480" s="208">
        <v>2026</v>
      </c>
      <c r="G480" s="208">
        <v>6</v>
      </c>
      <c r="H480" s="208" t="s">
        <v>80</v>
      </c>
      <c r="I480" s="208" t="s">
        <v>81</v>
      </c>
      <c r="J480" s="208" t="s">
        <v>366</v>
      </c>
      <c r="K480" s="208"/>
      <c r="L480" s="208" t="s">
        <v>608</v>
      </c>
      <c r="M480" s="208">
        <v>5</v>
      </c>
      <c r="N480" s="208"/>
      <c r="O480" s="208" t="s">
        <v>12</v>
      </c>
      <c r="P480" s="208"/>
      <c r="Q480" s="207"/>
      <c r="R480" s="208"/>
    </row>
    <row r="481" spans="1:18">
      <c r="A481" s="277">
        <v>424</v>
      </c>
      <c r="B481" s="278">
        <v>46129</v>
      </c>
      <c r="C481" s="208" t="s">
        <v>301</v>
      </c>
      <c r="D481" s="208" t="s">
        <v>372</v>
      </c>
      <c r="E481" s="208" t="s">
        <v>291</v>
      </c>
      <c r="F481" s="208">
        <v>2026</v>
      </c>
      <c r="G481" s="208">
        <v>2.5</v>
      </c>
      <c r="H481" s="208" t="s">
        <v>57</v>
      </c>
      <c r="I481" s="208" t="s">
        <v>58</v>
      </c>
      <c r="J481" s="208" t="s">
        <v>373</v>
      </c>
      <c r="K481" s="208"/>
      <c r="L481" s="208" t="s">
        <v>612</v>
      </c>
      <c r="M481" s="208">
        <v>2.5</v>
      </c>
      <c r="N481" s="208"/>
      <c r="O481" s="208" t="s">
        <v>559</v>
      </c>
      <c r="P481" s="208"/>
      <c r="Q481" s="207"/>
      <c r="R481" s="208"/>
    </row>
    <row r="482" spans="1:18">
      <c r="A482" s="277">
        <v>425</v>
      </c>
      <c r="B482" s="278">
        <v>46129</v>
      </c>
      <c r="C482" s="208" t="s">
        <v>301</v>
      </c>
      <c r="D482" s="208" t="s">
        <v>451</v>
      </c>
      <c r="E482" s="208" t="s">
        <v>291</v>
      </c>
      <c r="F482" s="208">
        <v>2026</v>
      </c>
      <c r="G482" s="208">
        <v>3</v>
      </c>
      <c r="H482" s="208" t="s">
        <v>61</v>
      </c>
      <c r="I482" s="208" t="s">
        <v>62</v>
      </c>
      <c r="J482" s="208" t="s">
        <v>360</v>
      </c>
      <c r="K482" s="208" t="s">
        <v>37</v>
      </c>
      <c r="L482" s="208" t="s">
        <v>469</v>
      </c>
      <c r="M482" s="208">
        <v>3</v>
      </c>
      <c r="N482" s="208"/>
      <c r="O482" s="208" t="s">
        <v>112</v>
      </c>
      <c r="P482" s="208"/>
      <c r="Q482" s="207"/>
      <c r="R482" s="208"/>
    </row>
    <row r="483" spans="1:18">
      <c r="A483" s="277">
        <v>426</v>
      </c>
      <c r="B483" s="278">
        <v>46129</v>
      </c>
      <c r="C483" s="208" t="s">
        <v>301</v>
      </c>
      <c r="D483" s="208" t="s">
        <v>452</v>
      </c>
      <c r="E483" s="208" t="s">
        <v>291</v>
      </c>
      <c r="F483" s="208">
        <v>2026</v>
      </c>
      <c r="G483" s="208">
        <v>3</v>
      </c>
      <c r="H483" s="208" t="s">
        <v>61</v>
      </c>
      <c r="I483" s="208" t="s">
        <v>62</v>
      </c>
      <c r="J483" s="208" t="s">
        <v>360</v>
      </c>
      <c r="K483" s="208" t="s">
        <v>38</v>
      </c>
      <c r="L483" s="208" t="s">
        <v>469</v>
      </c>
      <c r="M483" s="208">
        <v>3</v>
      </c>
      <c r="N483" s="208"/>
      <c r="O483" s="208" t="s">
        <v>127</v>
      </c>
      <c r="P483" s="208"/>
      <c r="Q483" s="207"/>
      <c r="R483" s="208"/>
    </row>
    <row r="484" spans="1:18">
      <c r="A484" s="277">
        <v>427</v>
      </c>
      <c r="B484" s="278">
        <v>46132</v>
      </c>
      <c r="C484" s="208" t="s">
        <v>302</v>
      </c>
      <c r="D484" s="208" t="s">
        <v>520</v>
      </c>
      <c r="E484" s="208" t="s">
        <v>291</v>
      </c>
      <c r="F484" s="208">
        <v>2026</v>
      </c>
      <c r="G484" s="208">
        <v>3</v>
      </c>
      <c r="H484" s="208" t="s">
        <v>57</v>
      </c>
      <c r="I484" s="208" t="s">
        <v>89</v>
      </c>
      <c r="J484" s="208" t="s">
        <v>311</v>
      </c>
      <c r="K484" s="208" t="s">
        <v>90</v>
      </c>
      <c r="L484" s="208" t="s">
        <v>613</v>
      </c>
      <c r="M484" s="208">
        <v>3</v>
      </c>
      <c r="N484" s="208"/>
      <c r="O484" s="208" t="s">
        <v>91</v>
      </c>
      <c r="P484" s="208"/>
      <c r="Q484" s="207"/>
      <c r="R484" s="208"/>
    </row>
    <row r="485" spans="1:18">
      <c r="A485" s="277">
        <v>428</v>
      </c>
      <c r="B485" s="278">
        <v>46132</v>
      </c>
      <c r="C485" s="208" t="s">
        <v>302</v>
      </c>
      <c r="D485" s="208" t="s">
        <v>477</v>
      </c>
      <c r="E485" s="208" t="s">
        <v>291</v>
      </c>
      <c r="F485" s="208">
        <v>2026</v>
      </c>
      <c r="G485" s="208">
        <v>3</v>
      </c>
      <c r="H485" s="208" t="s">
        <v>461</v>
      </c>
      <c r="I485" s="208" t="s">
        <v>136</v>
      </c>
      <c r="J485" s="208" t="s">
        <v>462</v>
      </c>
      <c r="K485" s="208" t="s">
        <v>101</v>
      </c>
      <c r="L485" s="208" t="s">
        <v>614</v>
      </c>
      <c r="M485" s="208">
        <v>3</v>
      </c>
      <c r="N485" s="208"/>
      <c r="O485" s="208" t="s">
        <v>140</v>
      </c>
      <c r="P485" s="208"/>
      <c r="Q485" s="207"/>
      <c r="R485" s="208"/>
    </row>
    <row r="486" spans="1:18">
      <c r="A486" s="277">
        <v>429</v>
      </c>
      <c r="B486" s="278">
        <v>46132</v>
      </c>
      <c r="C486" s="208" t="s">
        <v>302</v>
      </c>
      <c r="D486" s="208" t="s">
        <v>479</v>
      </c>
      <c r="E486" s="208" t="s">
        <v>291</v>
      </c>
      <c r="F486" s="208">
        <v>2026</v>
      </c>
      <c r="G486" s="208">
        <v>3</v>
      </c>
      <c r="H486" s="208" t="s">
        <v>461</v>
      </c>
      <c r="I486" s="208" t="s">
        <v>136</v>
      </c>
      <c r="J486" s="208" t="s">
        <v>462</v>
      </c>
      <c r="K486" s="208" t="s">
        <v>10</v>
      </c>
      <c r="L486" s="208" t="s">
        <v>614</v>
      </c>
      <c r="M486" s="208">
        <v>3</v>
      </c>
      <c r="N486" s="208"/>
      <c r="O486" s="208" t="s">
        <v>138</v>
      </c>
      <c r="P486" s="208"/>
      <c r="Q486" s="207"/>
      <c r="R486" s="208"/>
    </row>
    <row r="487" spans="1:18">
      <c r="A487" s="277"/>
      <c r="B487" s="278">
        <v>46132</v>
      </c>
      <c r="C487" s="208" t="s">
        <v>302</v>
      </c>
      <c r="D487" s="208"/>
      <c r="E487" s="208" t="s">
        <v>291</v>
      </c>
      <c r="F487" s="208">
        <v>2026</v>
      </c>
      <c r="G487" s="208" t="s">
        <v>615</v>
      </c>
      <c r="H487" s="208" t="s">
        <v>132</v>
      </c>
      <c r="I487" s="208" t="s">
        <v>133</v>
      </c>
      <c r="J487" s="208" t="s">
        <v>360</v>
      </c>
      <c r="K487" s="208" t="s">
        <v>106</v>
      </c>
      <c r="L487" s="208" t="s">
        <v>616</v>
      </c>
      <c r="M487" s="208" t="s">
        <v>615</v>
      </c>
      <c r="N487" s="208"/>
      <c r="O487" s="208"/>
      <c r="P487" s="208"/>
      <c r="Q487" s="207"/>
      <c r="R487" s="208"/>
    </row>
    <row r="488" spans="1:18">
      <c r="A488" s="277">
        <v>430</v>
      </c>
      <c r="B488" s="278">
        <v>46132</v>
      </c>
      <c r="C488" s="208" t="s">
        <v>302</v>
      </c>
      <c r="D488" s="208" t="s">
        <v>482</v>
      </c>
      <c r="E488" s="208" t="s">
        <v>291</v>
      </c>
      <c r="F488" s="208">
        <v>2026</v>
      </c>
      <c r="G488" s="208">
        <v>2</v>
      </c>
      <c r="H488" s="208" t="s">
        <v>132</v>
      </c>
      <c r="I488" s="208" t="s">
        <v>133</v>
      </c>
      <c r="J488" s="208" t="s">
        <v>360</v>
      </c>
      <c r="K488" s="208" t="s">
        <v>135</v>
      </c>
      <c r="L488" s="208" t="s">
        <v>583</v>
      </c>
      <c r="M488" s="208">
        <v>2</v>
      </c>
      <c r="N488" s="208"/>
      <c r="O488" s="208" t="s">
        <v>63</v>
      </c>
      <c r="P488" s="208"/>
      <c r="Q488" s="207"/>
      <c r="R488" s="208"/>
    </row>
    <row r="489" spans="1:18">
      <c r="A489" s="277">
        <v>431</v>
      </c>
      <c r="B489" s="278">
        <v>46132</v>
      </c>
      <c r="C489" s="208" t="s">
        <v>302</v>
      </c>
      <c r="D489" s="208" t="s">
        <v>497</v>
      </c>
      <c r="E489" s="208" t="s">
        <v>291</v>
      </c>
      <c r="F489" s="208">
        <v>2026</v>
      </c>
      <c r="G489" s="208" t="s">
        <v>498</v>
      </c>
      <c r="H489" s="208" t="s">
        <v>57</v>
      </c>
      <c r="I489" s="208" t="s">
        <v>454</v>
      </c>
      <c r="J489" s="208" t="s">
        <v>311</v>
      </c>
      <c r="K489" s="208"/>
      <c r="L489" s="208" t="s">
        <v>617</v>
      </c>
      <c r="M489" s="208" t="s">
        <v>498</v>
      </c>
      <c r="N489" s="208"/>
      <c r="O489" s="208" t="s">
        <v>559</v>
      </c>
      <c r="P489" s="208"/>
      <c r="Q489" s="207"/>
      <c r="R489" s="208"/>
    </row>
    <row r="490" spans="1:18">
      <c r="A490" s="277">
        <v>432</v>
      </c>
      <c r="B490" s="278">
        <v>46132</v>
      </c>
      <c r="C490" s="208" t="s">
        <v>302</v>
      </c>
      <c r="D490" s="208" t="s">
        <v>483</v>
      </c>
      <c r="E490" s="208" t="s">
        <v>291</v>
      </c>
      <c r="F490" s="208">
        <v>2026</v>
      </c>
      <c r="G490" s="208">
        <v>2</v>
      </c>
      <c r="H490" s="208" t="s">
        <v>99</v>
      </c>
      <c r="I490" s="208" t="s">
        <v>108</v>
      </c>
      <c r="J490" s="208" t="s">
        <v>366</v>
      </c>
      <c r="K490" s="208" t="s">
        <v>10</v>
      </c>
      <c r="L490" s="208" t="s">
        <v>391</v>
      </c>
      <c r="M490" s="208">
        <v>2</v>
      </c>
      <c r="N490" s="208"/>
      <c r="O490" s="208" t="s">
        <v>63</v>
      </c>
      <c r="P490" s="208"/>
      <c r="Q490" s="207"/>
      <c r="R490" s="208"/>
    </row>
    <row r="491" spans="1:18">
      <c r="A491" s="277">
        <v>433</v>
      </c>
      <c r="B491" s="278">
        <v>46132</v>
      </c>
      <c r="C491" s="208" t="s">
        <v>302</v>
      </c>
      <c r="D491" s="208" t="s">
        <v>491</v>
      </c>
      <c r="E491" s="208" t="s">
        <v>291</v>
      </c>
      <c r="F491" s="208">
        <v>2026</v>
      </c>
      <c r="G491" s="208">
        <v>2.5</v>
      </c>
      <c r="H491" s="208" t="s">
        <v>99</v>
      </c>
      <c r="I491" s="208" t="s">
        <v>108</v>
      </c>
      <c r="J491" s="208" t="s">
        <v>366</v>
      </c>
      <c r="K491" s="208" t="s">
        <v>106</v>
      </c>
      <c r="L491" s="208" t="s">
        <v>598</v>
      </c>
      <c r="M491" s="208">
        <v>2.5</v>
      </c>
      <c r="N491" s="208"/>
      <c r="O491" s="208" t="s">
        <v>112</v>
      </c>
      <c r="P491" s="208"/>
      <c r="Q491" s="207"/>
      <c r="R491" s="208"/>
    </row>
    <row r="492" spans="1:18">
      <c r="A492" s="277"/>
      <c r="B492" s="278">
        <v>46132</v>
      </c>
      <c r="C492" s="208" t="s">
        <v>302</v>
      </c>
      <c r="D492" s="208" t="s">
        <v>451</v>
      </c>
      <c r="E492" s="208" t="s">
        <v>291</v>
      </c>
      <c r="F492" s="208">
        <v>2026</v>
      </c>
      <c r="G492" s="208"/>
      <c r="H492" s="208" t="s">
        <v>61</v>
      </c>
      <c r="I492" s="208" t="s">
        <v>62</v>
      </c>
      <c r="J492" s="208" t="s">
        <v>360</v>
      </c>
      <c r="K492" s="208" t="s">
        <v>37</v>
      </c>
      <c r="L492" s="208" t="s">
        <v>391</v>
      </c>
      <c r="M492" s="208">
        <v>3</v>
      </c>
      <c r="N492" s="208"/>
      <c r="O492" s="208"/>
      <c r="P492" s="208"/>
      <c r="Q492" s="207"/>
      <c r="R492" s="208"/>
    </row>
    <row r="493" spans="1:18">
      <c r="A493" s="277">
        <v>434</v>
      </c>
      <c r="B493" s="278">
        <v>46132</v>
      </c>
      <c r="C493" s="208" t="s">
        <v>302</v>
      </c>
      <c r="D493" s="208" t="s">
        <v>452</v>
      </c>
      <c r="E493" s="208" t="s">
        <v>291</v>
      </c>
      <c r="F493" s="208">
        <v>2026</v>
      </c>
      <c r="G493" s="208">
        <v>3</v>
      </c>
      <c r="H493" s="208" t="s">
        <v>61</v>
      </c>
      <c r="I493" s="208" t="s">
        <v>62</v>
      </c>
      <c r="J493" s="208" t="s">
        <v>360</v>
      </c>
      <c r="K493" s="208" t="s">
        <v>38</v>
      </c>
      <c r="L493" s="208" t="s">
        <v>476</v>
      </c>
      <c r="M493" s="208">
        <v>3</v>
      </c>
      <c r="N493" s="208"/>
      <c r="O493" s="208" t="s">
        <v>127</v>
      </c>
      <c r="P493" s="208"/>
      <c r="Q493" s="207"/>
      <c r="R493" s="208"/>
    </row>
    <row r="494" spans="1:18">
      <c r="A494" s="277">
        <v>435</v>
      </c>
      <c r="B494" s="278">
        <v>46133</v>
      </c>
      <c r="C494" s="208" t="s">
        <v>289</v>
      </c>
      <c r="D494" s="208" t="s">
        <v>479</v>
      </c>
      <c r="E494" s="208" t="s">
        <v>291</v>
      </c>
      <c r="F494" s="208">
        <v>2026</v>
      </c>
      <c r="G494" s="208">
        <v>3</v>
      </c>
      <c r="H494" s="208" t="s">
        <v>461</v>
      </c>
      <c r="I494" s="208" t="s">
        <v>142</v>
      </c>
      <c r="J494" s="208" t="s">
        <v>462</v>
      </c>
      <c r="K494" s="208" t="s">
        <v>10</v>
      </c>
      <c r="L494" s="208" t="s">
        <v>618</v>
      </c>
      <c r="M494" s="208">
        <v>3</v>
      </c>
      <c r="N494" s="208"/>
      <c r="O494" s="208" t="s">
        <v>102</v>
      </c>
      <c r="P494" s="208"/>
      <c r="Q494" s="207"/>
      <c r="R494" s="208"/>
    </row>
    <row r="495" spans="1:18">
      <c r="A495" s="277">
        <v>436</v>
      </c>
      <c r="B495" s="278">
        <v>46133</v>
      </c>
      <c r="C495" s="208" t="s">
        <v>289</v>
      </c>
      <c r="D495" s="208" t="s">
        <v>477</v>
      </c>
      <c r="E495" s="208" t="s">
        <v>291</v>
      </c>
      <c r="F495" s="208">
        <v>2026</v>
      </c>
      <c r="G495" s="208">
        <v>3</v>
      </c>
      <c r="H495" s="208" t="s">
        <v>461</v>
      </c>
      <c r="I495" s="208" t="s">
        <v>142</v>
      </c>
      <c r="J495" s="208" t="s">
        <v>462</v>
      </c>
      <c r="K495" s="208" t="s">
        <v>101</v>
      </c>
      <c r="L495" s="208" t="s">
        <v>618</v>
      </c>
      <c r="M495" s="208">
        <v>3</v>
      </c>
      <c r="N495" s="208"/>
      <c r="O495" s="208" t="s">
        <v>179</v>
      </c>
      <c r="P495" s="208"/>
      <c r="Q495" s="207"/>
      <c r="R495" s="208"/>
    </row>
    <row r="496" spans="1:18">
      <c r="A496" s="277">
        <v>437</v>
      </c>
      <c r="B496" s="278">
        <v>46133</v>
      </c>
      <c r="C496" s="208" t="s">
        <v>289</v>
      </c>
      <c r="D496" s="208" t="s">
        <v>497</v>
      </c>
      <c r="E496" s="208" t="s">
        <v>291</v>
      </c>
      <c r="F496" s="208">
        <v>2026</v>
      </c>
      <c r="G496" s="208" t="s">
        <v>498</v>
      </c>
      <c r="H496" s="208" t="s">
        <v>57</v>
      </c>
      <c r="I496" s="208" t="s">
        <v>454</v>
      </c>
      <c r="J496" s="208" t="s">
        <v>311</v>
      </c>
      <c r="K496" s="208"/>
      <c r="L496" s="208" t="s">
        <v>619</v>
      </c>
      <c r="M496" s="208" t="s">
        <v>498</v>
      </c>
      <c r="N496" s="208"/>
      <c r="O496" s="208" t="s">
        <v>559</v>
      </c>
      <c r="P496" s="208"/>
      <c r="Q496" s="207"/>
      <c r="R496" s="208"/>
    </row>
    <row r="497" spans="1:18">
      <c r="A497" s="277">
        <v>438</v>
      </c>
      <c r="B497" s="278">
        <v>46133</v>
      </c>
      <c r="C497" s="208" t="s">
        <v>289</v>
      </c>
      <c r="D497" s="208" t="s">
        <v>524</v>
      </c>
      <c r="E497" s="208" t="s">
        <v>291</v>
      </c>
      <c r="F497" s="208">
        <v>2026</v>
      </c>
      <c r="G497" s="208">
        <v>2.5</v>
      </c>
      <c r="H497" s="208" t="s">
        <v>115</v>
      </c>
      <c r="I497" s="208" t="s">
        <v>437</v>
      </c>
      <c r="J497" s="208" t="s">
        <v>438</v>
      </c>
      <c r="K497" s="208" t="s">
        <v>101</v>
      </c>
      <c r="L497" s="208" t="s">
        <v>620</v>
      </c>
      <c r="M497" s="208">
        <v>2.5</v>
      </c>
      <c r="N497" s="208"/>
      <c r="O497" s="208" t="s">
        <v>164</v>
      </c>
      <c r="P497" s="208"/>
      <c r="Q497" s="207"/>
      <c r="R497" s="208"/>
    </row>
    <row r="498" spans="1:18">
      <c r="A498" s="277">
        <v>439</v>
      </c>
      <c r="B498" s="278">
        <v>46133</v>
      </c>
      <c r="C498" s="208" t="s">
        <v>289</v>
      </c>
      <c r="D498" s="208" t="s">
        <v>456</v>
      </c>
      <c r="E498" s="208" t="s">
        <v>291</v>
      </c>
      <c r="F498" s="208">
        <v>2026</v>
      </c>
      <c r="G498" s="208">
        <v>2.5</v>
      </c>
      <c r="H498" s="208" t="s">
        <v>99</v>
      </c>
      <c r="I498" s="208" t="s">
        <v>100</v>
      </c>
      <c r="J498" s="208" t="s">
        <v>373</v>
      </c>
      <c r="K498" s="208" t="s">
        <v>101</v>
      </c>
      <c r="L498" s="208" t="s">
        <v>606</v>
      </c>
      <c r="M498" s="208">
        <v>2.5</v>
      </c>
      <c r="N498" s="208"/>
      <c r="O498" s="208" t="s">
        <v>102</v>
      </c>
      <c r="P498" s="208"/>
      <c r="Q498" s="207"/>
      <c r="R498" s="208"/>
    </row>
    <row r="499" spans="1:18" ht="45.75">
      <c r="A499" s="277">
        <v>440</v>
      </c>
      <c r="B499" s="278">
        <v>46133</v>
      </c>
      <c r="C499" s="208" t="s">
        <v>289</v>
      </c>
      <c r="D499" s="208" t="s">
        <v>532</v>
      </c>
      <c r="E499" s="208" t="s">
        <v>291</v>
      </c>
      <c r="F499" s="208">
        <v>2026</v>
      </c>
      <c r="G499" s="208">
        <v>2.5</v>
      </c>
      <c r="H499" s="208" t="s">
        <v>99</v>
      </c>
      <c r="I499" s="208" t="s">
        <v>100</v>
      </c>
      <c r="J499" s="208" t="s">
        <v>373</v>
      </c>
      <c r="K499" s="208" t="s">
        <v>10</v>
      </c>
      <c r="L499" s="279" t="s">
        <v>492</v>
      </c>
      <c r="M499" s="208">
        <v>2.5</v>
      </c>
      <c r="N499" s="208"/>
      <c r="O499" s="208" t="s">
        <v>29</v>
      </c>
      <c r="P499" s="208"/>
      <c r="Q499" s="207"/>
      <c r="R499" s="208"/>
    </row>
    <row r="500" spans="1:18" ht="30.75">
      <c r="A500" s="277">
        <v>441</v>
      </c>
      <c r="B500" s="278">
        <v>46133</v>
      </c>
      <c r="C500" s="208" t="s">
        <v>289</v>
      </c>
      <c r="D500" s="208" t="s">
        <v>467</v>
      </c>
      <c r="E500" s="208" t="s">
        <v>291</v>
      </c>
      <c r="F500" s="208">
        <v>2026</v>
      </c>
      <c r="G500" s="208">
        <v>2.5</v>
      </c>
      <c r="H500" s="208" t="s">
        <v>99</v>
      </c>
      <c r="I500" s="208" t="s">
        <v>100</v>
      </c>
      <c r="J500" s="208" t="s">
        <v>373</v>
      </c>
      <c r="K500" s="208" t="s">
        <v>104</v>
      </c>
      <c r="L500" s="279" t="s">
        <v>572</v>
      </c>
      <c r="M500" s="208">
        <v>2.5</v>
      </c>
      <c r="N500" s="208"/>
      <c r="O500" s="208" t="s">
        <v>70</v>
      </c>
      <c r="P500" s="208"/>
      <c r="Q500" s="207"/>
      <c r="R500" s="208"/>
    </row>
    <row r="501" spans="1:18">
      <c r="A501" s="277">
        <v>442</v>
      </c>
      <c r="B501" s="278">
        <v>46133</v>
      </c>
      <c r="C501" s="208" t="s">
        <v>289</v>
      </c>
      <c r="D501" s="208" t="s">
        <v>430</v>
      </c>
      <c r="E501" s="208" t="s">
        <v>291</v>
      </c>
      <c r="F501" s="208">
        <v>2026</v>
      </c>
      <c r="G501" s="208">
        <v>2.5</v>
      </c>
      <c r="H501" s="208" t="s">
        <v>99</v>
      </c>
      <c r="I501" s="208" t="s">
        <v>100</v>
      </c>
      <c r="J501" s="208" t="s">
        <v>373</v>
      </c>
      <c r="K501" s="208" t="s">
        <v>106</v>
      </c>
      <c r="L501" s="208" t="s">
        <v>621</v>
      </c>
      <c r="M501" s="208">
        <v>2.5</v>
      </c>
      <c r="N501" s="208"/>
      <c r="O501" s="208" t="s">
        <v>432</v>
      </c>
      <c r="P501" s="208"/>
      <c r="Q501" s="207"/>
      <c r="R501" s="208"/>
    </row>
    <row r="502" spans="1:18">
      <c r="A502" s="277">
        <v>443</v>
      </c>
      <c r="B502" s="278">
        <v>46133</v>
      </c>
      <c r="C502" s="208" t="s">
        <v>289</v>
      </c>
      <c r="D502" s="208" t="s">
        <v>451</v>
      </c>
      <c r="E502" s="208" t="s">
        <v>291</v>
      </c>
      <c r="F502" s="208">
        <v>2026</v>
      </c>
      <c r="G502" s="208">
        <v>3</v>
      </c>
      <c r="H502" s="208" t="s">
        <v>61</v>
      </c>
      <c r="I502" s="208" t="s">
        <v>62</v>
      </c>
      <c r="J502" s="208" t="s">
        <v>360</v>
      </c>
      <c r="K502" s="208" t="s">
        <v>37</v>
      </c>
      <c r="L502" s="208" t="s">
        <v>487</v>
      </c>
      <c r="M502" s="208"/>
      <c r="N502" s="208"/>
      <c r="O502" s="208" t="s">
        <v>112</v>
      </c>
      <c r="P502" s="208"/>
      <c r="Q502" s="207"/>
      <c r="R502" s="208"/>
    </row>
    <row r="503" spans="1:18">
      <c r="A503" s="277">
        <v>444</v>
      </c>
      <c r="B503" s="278">
        <v>46133</v>
      </c>
      <c r="C503" s="208" t="s">
        <v>289</v>
      </c>
      <c r="D503" s="208" t="s">
        <v>452</v>
      </c>
      <c r="E503" s="208" t="s">
        <v>291</v>
      </c>
      <c r="F503" s="208">
        <v>2026</v>
      </c>
      <c r="G503" s="208">
        <v>3</v>
      </c>
      <c r="H503" s="208" t="s">
        <v>61</v>
      </c>
      <c r="I503" s="208" t="s">
        <v>62</v>
      </c>
      <c r="J503" s="208" t="s">
        <v>360</v>
      </c>
      <c r="K503" s="208" t="s">
        <v>38</v>
      </c>
      <c r="L503" s="208" t="s">
        <v>487</v>
      </c>
      <c r="M503" s="208">
        <v>3</v>
      </c>
      <c r="N503" s="208"/>
      <c r="O503" s="208" t="s">
        <v>127</v>
      </c>
      <c r="P503" s="208"/>
      <c r="Q503" s="207"/>
      <c r="R503" s="208"/>
    </row>
    <row r="504" spans="1:18">
      <c r="A504" s="277"/>
      <c r="B504" s="278">
        <v>46134</v>
      </c>
      <c r="C504" s="208" t="s">
        <v>294</v>
      </c>
      <c r="D504" s="208" t="s">
        <v>622</v>
      </c>
      <c r="E504" s="208" t="s">
        <v>291</v>
      </c>
      <c r="F504" s="208">
        <v>2026</v>
      </c>
      <c r="G504" s="208">
        <v>1</v>
      </c>
      <c r="H504" s="208" t="s">
        <v>132</v>
      </c>
      <c r="I504" s="208" t="s">
        <v>183</v>
      </c>
      <c r="J504" s="208" t="s">
        <v>623</v>
      </c>
      <c r="K504" s="208" t="s">
        <v>101</v>
      </c>
      <c r="L504" s="208" t="s">
        <v>463</v>
      </c>
      <c r="M504" s="208">
        <v>1</v>
      </c>
      <c r="N504" s="208"/>
      <c r="O504" s="208"/>
      <c r="P504" s="208"/>
      <c r="Q504" s="207"/>
      <c r="R504" s="208"/>
    </row>
    <row r="505" spans="1:18">
      <c r="A505" s="277">
        <v>445</v>
      </c>
      <c r="B505" s="278">
        <v>46134</v>
      </c>
      <c r="C505" s="208" t="s">
        <v>294</v>
      </c>
      <c r="D505" s="208" t="s">
        <v>520</v>
      </c>
      <c r="E505" s="208" t="s">
        <v>291</v>
      </c>
      <c r="F505" s="208">
        <v>2026</v>
      </c>
      <c r="G505" s="208">
        <v>3</v>
      </c>
      <c r="H505" s="208" t="s">
        <v>57</v>
      </c>
      <c r="I505" s="208" t="s">
        <v>89</v>
      </c>
      <c r="J505" s="208" t="s">
        <v>311</v>
      </c>
      <c r="K505" s="208" t="s">
        <v>90</v>
      </c>
      <c r="L505" s="208" t="s">
        <v>624</v>
      </c>
      <c r="M505" s="208">
        <v>3</v>
      </c>
      <c r="N505" s="208"/>
      <c r="O505" s="208" t="s">
        <v>91</v>
      </c>
      <c r="P505" s="208"/>
      <c r="Q505" s="207"/>
      <c r="R505" s="208"/>
    </row>
    <row r="506" spans="1:18">
      <c r="A506" s="277">
        <v>446</v>
      </c>
      <c r="B506" s="278">
        <v>46134</v>
      </c>
      <c r="C506" s="208" t="s">
        <v>294</v>
      </c>
      <c r="D506" s="208" t="s">
        <v>477</v>
      </c>
      <c r="E506" s="208" t="s">
        <v>291</v>
      </c>
      <c r="F506" s="208">
        <v>2026</v>
      </c>
      <c r="G506" s="208">
        <v>3</v>
      </c>
      <c r="H506" s="208" t="s">
        <v>461</v>
      </c>
      <c r="I506" s="208" t="s">
        <v>136</v>
      </c>
      <c r="J506" s="208" t="s">
        <v>462</v>
      </c>
      <c r="K506" s="208" t="s">
        <v>101</v>
      </c>
      <c r="L506" s="208" t="s">
        <v>625</v>
      </c>
      <c r="M506" s="208">
        <v>3</v>
      </c>
      <c r="N506" s="208"/>
      <c r="O506" s="208" t="s">
        <v>140</v>
      </c>
      <c r="P506" s="208"/>
      <c r="Q506" s="207"/>
      <c r="R506" s="208"/>
    </row>
    <row r="507" spans="1:18">
      <c r="A507" s="277">
        <v>447</v>
      </c>
      <c r="B507" s="278">
        <v>46134</v>
      </c>
      <c r="C507" s="208" t="s">
        <v>294</v>
      </c>
      <c r="D507" s="208" t="s">
        <v>479</v>
      </c>
      <c r="E507" s="208" t="s">
        <v>291</v>
      </c>
      <c r="F507" s="208">
        <v>2026</v>
      </c>
      <c r="G507" s="208">
        <v>3</v>
      </c>
      <c r="H507" s="208" t="s">
        <v>461</v>
      </c>
      <c r="I507" s="208" t="s">
        <v>136</v>
      </c>
      <c r="J507" s="208" t="s">
        <v>462</v>
      </c>
      <c r="K507" s="208" t="s">
        <v>10</v>
      </c>
      <c r="L507" s="208" t="s">
        <v>625</v>
      </c>
      <c r="M507" s="208">
        <v>3</v>
      </c>
      <c r="N507" s="208"/>
      <c r="O507" s="208" t="s">
        <v>140</v>
      </c>
      <c r="P507" s="208"/>
      <c r="Q507" s="207"/>
      <c r="R507" s="208"/>
    </row>
    <row r="508" spans="1:18">
      <c r="A508" s="277">
        <v>448</v>
      </c>
      <c r="B508" s="278">
        <v>46134</v>
      </c>
      <c r="C508" s="208" t="s">
        <v>294</v>
      </c>
      <c r="D508" s="208" t="s">
        <v>480</v>
      </c>
      <c r="E508" s="208" t="s">
        <v>291</v>
      </c>
      <c r="F508" s="208">
        <v>2026</v>
      </c>
      <c r="G508" s="208">
        <v>3</v>
      </c>
      <c r="H508" s="208" t="s">
        <v>132</v>
      </c>
      <c r="I508" s="208" t="s">
        <v>133</v>
      </c>
      <c r="J508" s="208" t="s">
        <v>360</v>
      </c>
      <c r="K508" s="208" t="s">
        <v>106</v>
      </c>
      <c r="L508" s="208" t="s">
        <v>626</v>
      </c>
      <c r="M508" s="208">
        <v>3</v>
      </c>
      <c r="N508" s="208"/>
      <c r="O508" s="208" t="s">
        <v>127</v>
      </c>
      <c r="P508" s="208"/>
      <c r="Q508" s="207"/>
      <c r="R508" s="208"/>
    </row>
    <row r="509" spans="1:18">
      <c r="A509" s="277">
        <v>449</v>
      </c>
      <c r="B509" s="278">
        <v>46134</v>
      </c>
      <c r="C509" s="208" t="s">
        <v>294</v>
      </c>
      <c r="D509" s="208" t="s">
        <v>482</v>
      </c>
      <c r="E509" s="208" t="s">
        <v>291</v>
      </c>
      <c r="F509" s="208">
        <v>2026</v>
      </c>
      <c r="G509" s="208">
        <v>2</v>
      </c>
      <c r="H509" s="208" t="s">
        <v>132</v>
      </c>
      <c r="I509" s="208" t="s">
        <v>133</v>
      </c>
      <c r="J509" s="208" t="s">
        <v>360</v>
      </c>
      <c r="K509" s="208" t="s">
        <v>135</v>
      </c>
      <c r="L509" s="208" t="s">
        <v>627</v>
      </c>
      <c r="M509" s="208">
        <v>2</v>
      </c>
      <c r="N509" s="208"/>
      <c r="O509" s="208" t="s">
        <v>63</v>
      </c>
      <c r="P509" s="208"/>
      <c r="Q509" s="207"/>
      <c r="R509" s="208"/>
    </row>
    <row r="510" spans="1:18">
      <c r="A510" s="277">
        <v>450</v>
      </c>
      <c r="B510" s="278">
        <v>46134</v>
      </c>
      <c r="C510" s="208" t="s">
        <v>294</v>
      </c>
      <c r="D510" s="208" t="s">
        <v>497</v>
      </c>
      <c r="E510" s="208" t="s">
        <v>291</v>
      </c>
      <c r="F510" s="208">
        <v>2026</v>
      </c>
      <c r="G510" s="208" t="s">
        <v>498</v>
      </c>
      <c r="H510" s="208" t="s">
        <v>57</v>
      </c>
      <c r="I510" s="208" t="s">
        <v>454</v>
      </c>
      <c r="J510" s="208" t="s">
        <v>311</v>
      </c>
      <c r="K510" s="208"/>
      <c r="L510" s="208" t="s">
        <v>628</v>
      </c>
      <c r="M510" s="208" t="s">
        <v>498</v>
      </c>
      <c r="N510" s="208"/>
      <c r="O510" s="208" t="s">
        <v>12</v>
      </c>
      <c r="P510" s="208"/>
      <c r="Q510" s="207"/>
      <c r="R510" s="208"/>
    </row>
    <row r="511" spans="1:18">
      <c r="A511" s="277">
        <v>451</v>
      </c>
      <c r="B511" s="278">
        <v>46134</v>
      </c>
      <c r="C511" s="208" t="s">
        <v>294</v>
      </c>
      <c r="D511" s="208" t="s">
        <v>483</v>
      </c>
      <c r="E511" s="208" t="s">
        <v>291</v>
      </c>
      <c r="F511" s="208">
        <v>2026</v>
      </c>
      <c r="G511" s="208">
        <v>2</v>
      </c>
      <c r="H511" s="208" t="s">
        <v>99</v>
      </c>
      <c r="I511" s="208" t="s">
        <v>108</v>
      </c>
      <c r="J511" s="208" t="s">
        <v>366</v>
      </c>
      <c r="K511" s="208" t="s">
        <v>10</v>
      </c>
      <c r="L511" s="208" t="s">
        <v>391</v>
      </c>
      <c r="M511" s="208">
        <v>2</v>
      </c>
      <c r="N511" s="208"/>
      <c r="O511" s="208" t="s">
        <v>63</v>
      </c>
      <c r="P511" s="208"/>
      <c r="Q511" s="207"/>
      <c r="R511" s="208"/>
    </row>
    <row r="512" spans="1:18">
      <c r="A512" s="277">
        <v>452</v>
      </c>
      <c r="B512" s="278">
        <v>46134</v>
      </c>
      <c r="C512" s="208" t="s">
        <v>294</v>
      </c>
      <c r="D512" s="208"/>
      <c r="E512" s="208" t="s">
        <v>291</v>
      </c>
      <c r="F512" s="208">
        <v>2026</v>
      </c>
      <c r="G512" s="208"/>
      <c r="H512" s="208" t="s">
        <v>99</v>
      </c>
      <c r="I512" s="208" t="s">
        <v>108</v>
      </c>
      <c r="J512" s="208" t="s">
        <v>366</v>
      </c>
      <c r="K512" s="208" t="s">
        <v>104</v>
      </c>
      <c r="L512" s="208" t="s">
        <v>391</v>
      </c>
      <c r="M512" s="208"/>
      <c r="N512" s="208"/>
      <c r="O512" s="208" t="s">
        <v>109</v>
      </c>
      <c r="P512" s="208"/>
      <c r="Q512" s="207"/>
      <c r="R512" s="208"/>
    </row>
    <row r="513" spans="1:18">
      <c r="A513" s="277">
        <v>453</v>
      </c>
      <c r="B513" s="278">
        <v>46134</v>
      </c>
      <c r="C513" s="208" t="s">
        <v>294</v>
      </c>
      <c r="D513" s="208" t="s">
        <v>491</v>
      </c>
      <c r="E513" s="208" t="s">
        <v>291</v>
      </c>
      <c r="F513" s="208">
        <v>2026</v>
      </c>
      <c r="G513" s="208">
        <v>2.5</v>
      </c>
      <c r="H513" s="208" t="s">
        <v>99</v>
      </c>
      <c r="I513" s="208" t="s">
        <v>108</v>
      </c>
      <c r="J513" s="208" t="s">
        <v>366</v>
      </c>
      <c r="K513" s="208" t="s">
        <v>106</v>
      </c>
      <c r="L513" s="208" t="s">
        <v>391</v>
      </c>
      <c r="M513" s="208"/>
      <c r="N513" s="208"/>
      <c r="O513" s="208" t="s">
        <v>112</v>
      </c>
      <c r="P513" s="208"/>
      <c r="Q513" s="207"/>
      <c r="R513" s="208"/>
    </row>
    <row r="514" spans="1:18">
      <c r="A514" s="277">
        <v>454</v>
      </c>
      <c r="B514" s="278">
        <v>46134</v>
      </c>
      <c r="C514" s="208" t="s">
        <v>294</v>
      </c>
      <c r="D514" s="208" t="s">
        <v>372</v>
      </c>
      <c r="E514" s="208" t="s">
        <v>291</v>
      </c>
      <c r="F514" s="208">
        <v>2026</v>
      </c>
      <c r="G514" s="208">
        <v>2.5</v>
      </c>
      <c r="H514" s="208" t="s">
        <v>57</v>
      </c>
      <c r="I514" s="208" t="s">
        <v>58</v>
      </c>
      <c r="J514" s="208" t="s">
        <v>373</v>
      </c>
      <c r="K514" s="208"/>
      <c r="L514" s="208" t="s">
        <v>629</v>
      </c>
      <c r="M514" s="208">
        <v>2.5</v>
      </c>
      <c r="N514" s="208"/>
      <c r="O514" s="208" t="s">
        <v>559</v>
      </c>
      <c r="P514" s="208"/>
      <c r="Q514" s="207"/>
      <c r="R514" s="208"/>
    </row>
    <row r="515" spans="1:18">
      <c r="A515" s="277">
        <v>455</v>
      </c>
      <c r="B515" s="278">
        <v>46134</v>
      </c>
      <c r="C515" s="208" t="s">
        <v>294</v>
      </c>
      <c r="D515" s="208"/>
      <c r="E515" s="208" t="s">
        <v>291</v>
      </c>
      <c r="F515" s="208">
        <v>2026</v>
      </c>
      <c r="G515" s="208">
        <v>3</v>
      </c>
      <c r="H515" s="208" t="s">
        <v>61</v>
      </c>
      <c r="I515" s="208" t="s">
        <v>62</v>
      </c>
      <c r="J515" s="208" t="s">
        <v>360</v>
      </c>
      <c r="K515" s="208" t="s">
        <v>37</v>
      </c>
      <c r="L515" s="208" t="s">
        <v>630</v>
      </c>
      <c r="M515" s="208">
        <v>3</v>
      </c>
      <c r="N515" s="208"/>
      <c r="O515" s="208" t="s">
        <v>112</v>
      </c>
      <c r="P515" s="208"/>
      <c r="Q515" s="207"/>
      <c r="R515" s="208"/>
    </row>
    <row r="516" spans="1:18">
      <c r="A516" s="277">
        <v>456</v>
      </c>
      <c r="B516" s="278">
        <v>46134</v>
      </c>
      <c r="C516" s="208" t="s">
        <v>294</v>
      </c>
      <c r="D516" s="208"/>
      <c r="E516" s="208" t="s">
        <v>291</v>
      </c>
      <c r="F516" s="208">
        <v>2026</v>
      </c>
      <c r="G516" s="208">
        <v>3</v>
      </c>
      <c r="H516" s="208" t="s">
        <v>61</v>
      </c>
      <c r="I516" s="208" t="s">
        <v>62</v>
      </c>
      <c r="J516" s="208" t="s">
        <v>360</v>
      </c>
      <c r="K516" s="208" t="s">
        <v>38</v>
      </c>
      <c r="L516" s="208" t="s">
        <v>630</v>
      </c>
      <c r="M516" s="208"/>
      <c r="N516" s="208"/>
      <c r="O516" s="208" t="s">
        <v>127</v>
      </c>
      <c r="P516" s="208"/>
      <c r="Q516" s="207"/>
      <c r="R516" s="208"/>
    </row>
    <row r="517" spans="1:18">
      <c r="A517" s="277"/>
      <c r="B517" s="278">
        <v>46135</v>
      </c>
      <c r="C517" s="208" t="s">
        <v>298</v>
      </c>
      <c r="D517" s="208" t="s">
        <v>631</v>
      </c>
      <c r="E517" s="208" t="s">
        <v>291</v>
      </c>
      <c r="F517" s="208">
        <v>2026</v>
      </c>
      <c r="G517" s="208">
        <v>1</v>
      </c>
      <c r="H517" s="208" t="s">
        <v>461</v>
      </c>
      <c r="I517" s="208" t="s">
        <v>142</v>
      </c>
      <c r="J517" s="208" t="s">
        <v>462</v>
      </c>
      <c r="K517" s="208" t="s">
        <v>10</v>
      </c>
      <c r="L517" s="208" t="s">
        <v>632</v>
      </c>
      <c r="M517" s="208">
        <v>3</v>
      </c>
      <c r="N517" s="208"/>
      <c r="O517" s="208"/>
      <c r="P517" s="208"/>
      <c r="Q517" s="207"/>
      <c r="R517" s="208"/>
    </row>
    <row r="518" spans="1:18">
      <c r="A518" s="277"/>
      <c r="B518" s="278">
        <v>46135</v>
      </c>
      <c r="C518" s="208" t="s">
        <v>298</v>
      </c>
      <c r="D518" s="208" t="s">
        <v>477</v>
      </c>
      <c r="E518" s="208" t="s">
        <v>291</v>
      </c>
      <c r="F518" s="208">
        <v>2026</v>
      </c>
      <c r="G518" s="208">
        <v>3</v>
      </c>
      <c r="H518" s="208" t="s">
        <v>461</v>
      </c>
      <c r="I518" s="208" t="s">
        <v>142</v>
      </c>
      <c r="J518" s="208" t="s">
        <v>462</v>
      </c>
      <c r="K518" s="208" t="s">
        <v>101</v>
      </c>
      <c r="L518" s="208" t="s">
        <v>632</v>
      </c>
      <c r="M518" s="208">
        <v>3</v>
      </c>
      <c r="N518" s="208"/>
      <c r="O518" s="208"/>
      <c r="P518" s="208"/>
      <c r="Q518" s="207"/>
      <c r="R518" s="208"/>
    </row>
    <row r="519" spans="1:18">
      <c r="A519" s="277">
        <v>457</v>
      </c>
      <c r="B519" s="278">
        <v>46135</v>
      </c>
      <c r="C519" s="208" t="s">
        <v>298</v>
      </c>
      <c r="D519" s="208" t="s">
        <v>491</v>
      </c>
      <c r="E519" s="208" t="s">
        <v>291</v>
      </c>
      <c r="F519" s="208">
        <v>2026</v>
      </c>
      <c r="G519" s="208"/>
      <c r="H519" s="208" t="s">
        <v>99</v>
      </c>
      <c r="I519" s="208" t="s">
        <v>108</v>
      </c>
      <c r="J519" s="208" t="s">
        <v>366</v>
      </c>
      <c r="K519" s="208" t="s">
        <v>104</v>
      </c>
      <c r="L519" s="208" t="s">
        <v>391</v>
      </c>
      <c r="M519" s="208"/>
      <c r="N519" s="208"/>
      <c r="O519" s="208" t="s">
        <v>109</v>
      </c>
      <c r="P519" s="208"/>
      <c r="Q519" s="207"/>
      <c r="R519" s="208"/>
    </row>
    <row r="520" spans="1:18">
      <c r="A520" s="277">
        <v>458</v>
      </c>
      <c r="B520" s="278">
        <v>46135</v>
      </c>
      <c r="C520" s="208" t="s">
        <v>298</v>
      </c>
      <c r="D520" s="208"/>
      <c r="E520" s="208" t="s">
        <v>291</v>
      </c>
      <c r="F520" s="208">
        <v>2026</v>
      </c>
      <c r="G520" s="208"/>
      <c r="H520" s="208" t="s">
        <v>99</v>
      </c>
      <c r="I520" s="208" t="s">
        <v>100</v>
      </c>
      <c r="J520" s="208" t="s">
        <v>373</v>
      </c>
      <c r="K520" s="208" t="s">
        <v>101</v>
      </c>
      <c r="L520" s="208" t="s">
        <v>427</v>
      </c>
      <c r="M520" s="208"/>
      <c r="N520" s="208"/>
      <c r="O520" s="208" t="s">
        <v>102</v>
      </c>
      <c r="P520" s="208"/>
      <c r="Q520" s="207"/>
      <c r="R520" s="208"/>
    </row>
    <row r="521" spans="1:18" ht="45.75">
      <c r="A521" s="277">
        <v>459</v>
      </c>
      <c r="B521" s="278">
        <v>46135</v>
      </c>
      <c r="C521" s="208" t="s">
        <v>298</v>
      </c>
      <c r="D521" s="208" t="s">
        <v>532</v>
      </c>
      <c r="E521" s="208" t="s">
        <v>291</v>
      </c>
      <c r="F521" s="208">
        <v>2026</v>
      </c>
      <c r="G521" s="208">
        <v>2.5</v>
      </c>
      <c r="H521" s="208" t="s">
        <v>99</v>
      </c>
      <c r="I521" s="208" t="s">
        <v>100</v>
      </c>
      <c r="J521" s="208" t="s">
        <v>373</v>
      </c>
      <c r="K521" s="208" t="s">
        <v>10</v>
      </c>
      <c r="L521" s="279" t="s">
        <v>547</v>
      </c>
      <c r="M521" s="208">
        <v>2.5</v>
      </c>
      <c r="N521" s="208"/>
      <c r="O521" s="208" t="s">
        <v>29</v>
      </c>
      <c r="P521" s="208"/>
      <c r="Q521" s="207"/>
      <c r="R521" s="208"/>
    </row>
    <row r="522" spans="1:18">
      <c r="A522" s="277"/>
      <c r="B522" s="278">
        <v>46135</v>
      </c>
      <c r="C522" s="208" t="s">
        <v>298</v>
      </c>
      <c r="D522" s="208"/>
      <c r="E522" s="208" t="s">
        <v>291</v>
      </c>
      <c r="F522" s="208">
        <v>2026</v>
      </c>
      <c r="G522" s="208"/>
      <c r="H522" s="208" t="s">
        <v>99</v>
      </c>
      <c r="I522" s="208" t="s">
        <v>100</v>
      </c>
      <c r="J522" s="208" t="s">
        <v>373</v>
      </c>
      <c r="K522" s="208" t="s">
        <v>106</v>
      </c>
      <c r="L522" s="208" t="s">
        <v>427</v>
      </c>
      <c r="M522" s="208"/>
      <c r="N522" s="208"/>
      <c r="O522" s="208"/>
      <c r="P522" s="208"/>
      <c r="Q522" s="207"/>
      <c r="R522" s="208"/>
    </row>
    <row r="523" spans="1:18" ht="45.75">
      <c r="A523" s="277">
        <v>460</v>
      </c>
      <c r="B523" s="278">
        <v>46135</v>
      </c>
      <c r="C523" s="208" t="s">
        <v>298</v>
      </c>
      <c r="D523" s="208" t="s">
        <v>599</v>
      </c>
      <c r="E523" s="208" t="s">
        <v>291</v>
      </c>
      <c r="F523" s="208">
        <v>2026</v>
      </c>
      <c r="G523" s="208">
        <v>5</v>
      </c>
      <c r="H523" s="208" t="s">
        <v>80</v>
      </c>
      <c r="I523" s="208" t="s">
        <v>81</v>
      </c>
      <c r="J523" s="208" t="s">
        <v>366</v>
      </c>
      <c r="K523" s="208"/>
      <c r="L523" s="279" t="s">
        <v>633</v>
      </c>
      <c r="M523" s="208" t="s">
        <v>634</v>
      </c>
      <c r="N523" s="208"/>
      <c r="O523" s="208" t="s">
        <v>12</v>
      </c>
      <c r="P523" s="208"/>
      <c r="Q523" s="207"/>
      <c r="R523" s="208"/>
    </row>
    <row r="524" spans="1:18">
      <c r="A524" s="277">
        <v>461</v>
      </c>
      <c r="B524" s="278">
        <v>46135</v>
      </c>
      <c r="C524" s="208" t="s">
        <v>298</v>
      </c>
      <c r="D524" s="208" t="s">
        <v>451</v>
      </c>
      <c r="E524" s="208" t="s">
        <v>291</v>
      </c>
      <c r="F524" s="208">
        <v>2026</v>
      </c>
      <c r="G524" s="208">
        <v>3</v>
      </c>
      <c r="H524" s="208" t="s">
        <v>61</v>
      </c>
      <c r="I524" s="208" t="s">
        <v>62</v>
      </c>
      <c r="J524" s="208" t="s">
        <v>360</v>
      </c>
      <c r="K524" s="208" t="s">
        <v>37</v>
      </c>
      <c r="L524" s="208" t="s">
        <v>476</v>
      </c>
      <c r="M524" s="208">
        <v>3</v>
      </c>
      <c r="N524" s="208"/>
      <c r="O524" s="208" t="s">
        <v>112</v>
      </c>
      <c r="P524" s="208"/>
      <c r="Q524" s="207"/>
      <c r="R524" s="208"/>
    </row>
    <row r="525" spans="1:18">
      <c r="A525" s="277">
        <v>462</v>
      </c>
      <c r="B525" s="278">
        <v>46135</v>
      </c>
      <c r="C525" s="208" t="s">
        <v>298</v>
      </c>
      <c r="D525" s="208" t="s">
        <v>452</v>
      </c>
      <c r="E525" s="208" t="s">
        <v>291</v>
      </c>
      <c r="F525" s="208">
        <v>2026</v>
      </c>
      <c r="G525" s="208">
        <v>3</v>
      </c>
      <c r="H525" s="208" t="s">
        <v>61</v>
      </c>
      <c r="I525" s="208" t="s">
        <v>62</v>
      </c>
      <c r="J525" s="208" t="s">
        <v>360</v>
      </c>
      <c r="K525" s="208" t="s">
        <v>38</v>
      </c>
      <c r="L525" s="208" t="s">
        <v>502</v>
      </c>
      <c r="M525" s="208">
        <v>3</v>
      </c>
      <c r="N525" s="208"/>
      <c r="O525" s="208" t="s">
        <v>127</v>
      </c>
      <c r="P525" s="208"/>
      <c r="Q525" s="207"/>
      <c r="R525" s="208"/>
    </row>
    <row r="526" spans="1:18">
      <c r="A526" s="277">
        <v>463</v>
      </c>
      <c r="B526" s="278">
        <v>46136</v>
      </c>
      <c r="C526" s="208" t="s">
        <v>301</v>
      </c>
      <c r="D526" s="208" t="s">
        <v>480</v>
      </c>
      <c r="E526" s="208" t="s">
        <v>291</v>
      </c>
      <c r="F526" s="208">
        <v>2026</v>
      </c>
      <c r="G526" s="208">
        <v>3</v>
      </c>
      <c r="H526" s="208" t="s">
        <v>132</v>
      </c>
      <c r="I526" s="208" t="s">
        <v>133</v>
      </c>
      <c r="J526" s="208" t="s">
        <v>360</v>
      </c>
      <c r="K526" s="208" t="s">
        <v>106</v>
      </c>
      <c r="L526" s="208" t="s">
        <v>635</v>
      </c>
      <c r="M526" s="208">
        <v>3</v>
      </c>
      <c r="N526" s="208"/>
      <c r="O526" s="208" t="s">
        <v>127</v>
      </c>
      <c r="P526" s="208"/>
      <c r="Q526" s="207"/>
      <c r="R526" s="208"/>
    </row>
    <row r="527" spans="1:18">
      <c r="A527" s="277">
        <v>464</v>
      </c>
      <c r="B527" s="278">
        <v>46136</v>
      </c>
      <c r="C527" s="208" t="s">
        <v>301</v>
      </c>
      <c r="D527" s="208" t="s">
        <v>482</v>
      </c>
      <c r="E527" s="208" t="s">
        <v>291</v>
      </c>
      <c r="F527" s="208">
        <v>2026</v>
      </c>
      <c r="G527" s="208">
        <v>2</v>
      </c>
      <c r="H527" s="208" t="s">
        <v>132</v>
      </c>
      <c r="I527" s="208" t="s">
        <v>133</v>
      </c>
      <c r="J527" s="208" t="s">
        <v>360</v>
      </c>
      <c r="K527" s="208" t="s">
        <v>135</v>
      </c>
      <c r="L527" s="208" t="s">
        <v>636</v>
      </c>
      <c r="M527" s="208">
        <v>2</v>
      </c>
      <c r="N527" s="208"/>
      <c r="O527" s="208" t="s">
        <v>63</v>
      </c>
      <c r="P527" s="208"/>
      <c r="Q527" s="207"/>
      <c r="R527" s="208"/>
    </row>
    <row r="528" spans="1:18">
      <c r="A528" s="277">
        <v>465</v>
      </c>
      <c r="B528" s="278">
        <v>46136</v>
      </c>
      <c r="C528" s="208" t="s">
        <v>301</v>
      </c>
      <c r="D528" s="208" t="s">
        <v>524</v>
      </c>
      <c r="E528" s="208" t="s">
        <v>291</v>
      </c>
      <c r="F528" s="208">
        <v>2026</v>
      </c>
      <c r="G528" s="208">
        <v>2.5</v>
      </c>
      <c r="H528" s="208" t="s">
        <v>115</v>
      </c>
      <c r="I528" s="208" t="s">
        <v>437</v>
      </c>
      <c r="J528" s="208" t="s">
        <v>438</v>
      </c>
      <c r="K528" s="208" t="s">
        <v>101</v>
      </c>
      <c r="L528" s="208" t="s">
        <v>637</v>
      </c>
      <c r="M528" s="208">
        <v>2.5</v>
      </c>
      <c r="N528" s="208"/>
      <c r="O528" s="208" t="s">
        <v>164</v>
      </c>
      <c r="P528" s="208"/>
      <c r="Q528" s="207"/>
      <c r="R528" s="208"/>
    </row>
    <row r="529" spans="1:18">
      <c r="A529" s="277"/>
      <c r="B529" s="278">
        <v>46136</v>
      </c>
      <c r="C529" s="208" t="s">
        <v>301</v>
      </c>
      <c r="D529" s="208"/>
      <c r="E529" s="208" t="s">
        <v>359</v>
      </c>
      <c r="F529" s="208">
        <v>2026</v>
      </c>
      <c r="G529" s="208"/>
      <c r="H529" s="208" t="s">
        <v>363</v>
      </c>
      <c r="I529" s="208"/>
      <c r="J529" s="208" t="s">
        <v>311</v>
      </c>
      <c r="K529" s="208" t="s">
        <v>101</v>
      </c>
      <c r="L529" s="208"/>
      <c r="M529" s="208"/>
      <c r="N529" s="208"/>
      <c r="O529" s="208"/>
      <c r="P529" s="208"/>
      <c r="Q529" s="207"/>
      <c r="R529" s="208"/>
    </row>
    <row r="530" spans="1:18" ht="45.75">
      <c r="A530" s="277">
        <v>466</v>
      </c>
      <c r="B530" s="278">
        <v>46136</v>
      </c>
      <c r="C530" s="208" t="s">
        <v>301</v>
      </c>
      <c r="D530" s="208" t="s">
        <v>599</v>
      </c>
      <c r="E530" s="208" t="s">
        <v>291</v>
      </c>
      <c r="F530" s="208">
        <v>2026</v>
      </c>
      <c r="G530" s="208">
        <v>5</v>
      </c>
      <c r="H530" s="208" t="s">
        <v>80</v>
      </c>
      <c r="I530" s="208" t="s">
        <v>81</v>
      </c>
      <c r="J530" s="208" t="s">
        <v>366</v>
      </c>
      <c r="K530" s="208"/>
      <c r="L530" s="279" t="s">
        <v>633</v>
      </c>
      <c r="M530" s="208" t="s">
        <v>634</v>
      </c>
      <c r="N530" s="208"/>
      <c r="O530" s="208" t="s">
        <v>12</v>
      </c>
      <c r="P530" s="208"/>
      <c r="Q530" s="207"/>
      <c r="R530" s="208"/>
    </row>
    <row r="531" spans="1:18">
      <c r="A531" s="277"/>
      <c r="B531" s="278">
        <v>46136</v>
      </c>
      <c r="C531" s="208" t="s">
        <v>301</v>
      </c>
      <c r="D531" s="208" t="s">
        <v>372</v>
      </c>
      <c r="E531" s="208" t="s">
        <v>291</v>
      </c>
      <c r="F531" s="208">
        <v>2026</v>
      </c>
      <c r="G531" s="208"/>
      <c r="H531" s="208" t="s">
        <v>57</v>
      </c>
      <c r="I531" s="208" t="s">
        <v>58</v>
      </c>
      <c r="J531" s="208" t="s">
        <v>373</v>
      </c>
      <c r="K531" s="208"/>
      <c r="L531" s="208" t="s">
        <v>427</v>
      </c>
      <c r="M531" s="208"/>
      <c r="N531" s="208"/>
      <c r="O531" s="208"/>
      <c r="P531" s="208"/>
      <c r="Q531" s="207"/>
      <c r="R531" s="208"/>
    </row>
    <row r="532" spans="1:18">
      <c r="A532" s="277">
        <v>467</v>
      </c>
      <c r="B532" s="278">
        <v>46136</v>
      </c>
      <c r="C532" s="208" t="s">
        <v>301</v>
      </c>
      <c r="D532" s="208" t="s">
        <v>451</v>
      </c>
      <c r="E532" s="208" t="s">
        <v>291</v>
      </c>
      <c r="F532" s="208">
        <v>2026</v>
      </c>
      <c r="G532" s="208">
        <v>3</v>
      </c>
      <c r="H532" s="208" t="s">
        <v>61</v>
      </c>
      <c r="I532" s="208" t="s">
        <v>62</v>
      </c>
      <c r="J532" s="208" t="s">
        <v>360</v>
      </c>
      <c r="K532" s="208" t="s">
        <v>37</v>
      </c>
      <c r="L532" s="208" t="s">
        <v>476</v>
      </c>
      <c r="M532" s="208">
        <v>3</v>
      </c>
      <c r="N532" s="208"/>
      <c r="O532" s="208" t="s">
        <v>112</v>
      </c>
      <c r="P532" s="208"/>
      <c r="Q532" s="207"/>
      <c r="R532" s="208"/>
    </row>
    <row r="533" spans="1:18">
      <c r="A533" s="277">
        <v>468</v>
      </c>
      <c r="B533" s="278">
        <v>46136</v>
      </c>
      <c r="C533" s="208" t="s">
        <v>301</v>
      </c>
      <c r="D533" s="208" t="s">
        <v>452</v>
      </c>
      <c r="E533" s="208" t="s">
        <v>291</v>
      </c>
      <c r="F533" s="208">
        <v>2026</v>
      </c>
      <c r="G533" s="208">
        <v>3</v>
      </c>
      <c r="H533" s="208" t="s">
        <v>61</v>
      </c>
      <c r="I533" s="208" t="s">
        <v>62</v>
      </c>
      <c r="J533" s="208" t="s">
        <v>360</v>
      </c>
      <c r="K533" s="208" t="s">
        <v>38</v>
      </c>
      <c r="L533" s="208" t="s">
        <v>506</v>
      </c>
      <c r="M533" s="208">
        <v>3</v>
      </c>
      <c r="N533" s="208"/>
      <c r="O533" s="208" t="s">
        <v>127</v>
      </c>
      <c r="P533" s="208"/>
      <c r="Q533" s="207"/>
      <c r="R533" s="208"/>
    </row>
    <row r="534" spans="1:18">
      <c r="A534" s="277">
        <v>469</v>
      </c>
      <c r="B534" s="278">
        <v>46139</v>
      </c>
      <c r="C534" s="208" t="s">
        <v>302</v>
      </c>
      <c r="D534" s="208" t="s">
        <v>638</v>
      </c>
      <c r="E534" s="208" t="s">
        <v>291</v>
      </c>
      <c r="F534" s="208">
        <v>2026</v>
      </c>
      <c r="G534" s="208">
        <v>2.5</v>
      </c>
      <c r="H534" s="208" t="s">
        <v>132</v>
      </c>
      <c r="I534" s="208" t="s">
        <v>183</v>
      </c>
      <c r="J534" s="208" t="s">
        <v>623</v>
      </c>
      <c r="K534" s="208" t="s">
        <v>101</v>
      </c>
      <c r="L534" s="208" t="s">
        <v>639</v>
      </c>
      <c r="M534" s="208">
        <v>2.5</v>
      </c>
      <c r="N534" s="208"/>
      <c r="O534" s="208" t="s">
        <v>164</v>
      </c>
      <c r="P534" s="208"/>
      <c r="Q534" s="207"/>
      <c r="R534" s="208"/>
    </row>
    <row r="535" spans="1:18">
      <c r="A535" s="277">
        <v>470</v>
      </c>
      <c r="B535" s="278">
        <v>46139</v>
      </c>
      <c r="C535" s="208" t="s">
        <v>302</v>
      </c>
      <c r="D535" s="208" t="s">
        <v>520</v>
      </c>
      <c r="E535" s="208" t="s">
        <v>291</v>
      </c>
      <c r="F535" s="208">
        <v>2026</v>
      </c>
      <c r="G535" s="208">
        <v>3</v>
      </c>
      <c r="H535" s="208" t="s">
        <v>57</v>
      </c>
      <c r="I535" s="208" t="s">
        <v>89</v>
      </c>
      <c r="J535" s="208" t="s">
        <v>311</v>
      </c>
      <c r="K535" s="208" t="s">
        <v>90</v>
      </c>
      <c r="L535" s="208" t="s">
        <v>640</v>
      </c>
      <c r="M535" s="208">
        <v>3</v>
      </c>
      <c r="N535" s="208"/>
      <c r="O535" s="208" t="s">
        <v>91</v>
      </c>
      <c r="P535" s="208"/>
      <c r="Q535" s="207"/>
      <c r="R535" s="208"/>
    </row>
    <row r="536" spans="1:18">
      <c r="A536" s="277">
        <v>471</v>
      </c>
      <c r="B536" s="278">
        <v>46139</v>
      </c>
      <c r="C536" s="208" t="s">
        <v>302</v>
      </c>
      <c r="D536" s="208" t="s">
        <v>477</v>
      </c>
      <c r="E536" s="208" t="s">
        <v>291</v>
      </c>
      <c r="F536" s="208">
        <v>2026</v>
      </c>
      <c r="G536" s="208">
        <v>3</v>
      </c>
      <c r="H536" s="208" t="s">
        <v>461</v>
      </c>
      <c r="I536" s="208" t="s">
        <v>136</v>
      </c>
      <c r="J536" s="208" t="s">
        <v>462</v>
      </c>
      <c r="K536" s="208" t="s">
        <v>101</v>
      </c>
      <c r="L536" s="208" t="s">
        <v>641</v>
      </c>
      <c r="M536" s="208">
        <v>3</v>
      </c>
      <c r="N536" s="208"/>
      <c r="O536" s="208" t="s">
        <v>140</v>
      </c>
      <c r="P536" s="208"/>
      <c r="Q536" s="207"/>
      <c r="R536" s="208"/>
    </row>
    <row r="537" spans="1:18">
      <c r="A537" s="277">
        <v>472</v>
      </c>
      <c r="B537" s="278">
        <v>46139</v>
      </c>
      <c r="C537" s="208" t="s">
        <v>302</v>
      </c>
      <c r="D537" s="208" t="s">
        <v>479</v>
      </c>
      <c r="E537" s="208" t="s">
        <v>291</v>
      </c>
      <c r="F537" s="208">
        <v>2026</v>
      </c>
      <c r="G537" s="208">
        <v>3</v>
      </c>
      <c r="H537" s="208" t="s">
        <v>461</v>
      </c>
      <c r="I537" s="208" t="s">
        <v>136</v>
      </c>
      <c r="J537" s="208" t="s">
        <v>462</v>
      </c>
      <c r="K537" s="208" t="s">
        <v>10</v>
      </c>
      <c r="L537" s="208" t="s">
        <v>641</v>
      </c>
      <c r="M537" s="208">
        <v>3</v>
      </c>
      <c r="N537" s="208"/>
      <c r="O537" s="208" t="s">
        <v>140</v>
      </c>
      <c r="P537" s="208"/>
      <c r="Q537" s="207"/>
      <c r="R537" s="208"/>
    </row>
    <row r="538" spans="1:18">
      <c r="A538" s="277">
        <v>473</v>
      </c>
      <c r="B538" s="278">
        <v>46139</v>
      </c>
      <c r="C538" s="208" t="s">
        <v>302</v>
      </c>
      <c r="D538" s="208" t="s">
        <v>592</v>
      </c>
      <c r="E538" s="208" t="s">
        <v>291</v>
      </c>
      <c r="F538" s="208">
        <v>2026</v>
      </c>
      <c r="G538" s="208">
        <v>2</v>
      </c>
      <c r="H538" s="208" t="s">
        <v>132</v>
      </c>
      <c r="I538" s="208" t="s">
        <v>133</v>
      </c>
      <c r="J538" s="208" t="s">
        <v>360</v>
      </c>
      <c r="K538" s="208" t="s">
        <v>106</v>
      </c>
      <c r="L538" s="208" t="s">
        <v>642</v>
      </c>
      <c r="M538" s="208">
        <v>2</v>
      </c>
      <c r="N538" s="208"/>
      <c r="O538" s="208" t="s">
        <v>127</v>
      </c>
      <c r="P538" s="208"/>
      <c r="Q538" s="207"/>
      <c r="R538" s="208"/>
    </row>
    <row r="539" spans="1:18">
      <c r="A539" s="277">
        <v>474</v>
      </c>
      <c r="B539" s="278">
        <v>46139</v>
      </c>
      <c r="C539" s="208" t="s">
        <v>302</v>
      </c>
      <c r="D539" s="208" t="s">
        <v>482</v>
      </c>
      <c r="E539" s="208" t="s">
        <v>291</v>
      </c>
      <c r="F539" s="208">
        <v>2026</v>
      </c>
      <c r="G539" s="208">
        <v>2</v>
      </c>
      <c r="H539" s="208" t="s">
        <v>132</v>
      </c>
      <c r="I539" s="208" t="s">
        <v>133</v>
      </c>
      <c r="J539" s="208" t="s">
        <v>360</v>
      </c>
      <c r="K539" s="208" t="s">
        <v>135</v>
      </c>
      <c r="L539" s="208" t="s">
        <v>593</v>
      </c>
      <c r="M539" s="208">
        <v>2</v>
      </c>
      <c r="N539" s="208"/>
      <c r="O539" s="208" t="s">
        <v>63</v>
      </c>
      <c r="P539" s="208"/>
      <c r="Q539" s="207"/>
      <c r="R539" s="208"/>
    </row>
    <row r="540" spans="1:18">
      <c r="A540" s="277">
        <v>475</v>
      </c>
      <c r="B540" s="278">
        <v>46139</v>
      </c>
      <c r="C540" s="208" t="s">
        <v>302</v>
      </c>
      <c r="D540" s="208" t="s">
        <v>451</v>
      </c>
      <c r="E540" s="208" t="s">
        <v>291</v>
      </c>
      <c r="F540" s="208">
        <v>2026</v>
      </c>
      <c r="G540" s="208">
        <v>3</v>
      </c>
      <c r="H540" s="208" t="s">
        <v>61</v>
      </c>
      <c r="I540" s="208" t="s">
        <v>62</v>
      </c>
      <c r="J540" s="208" t="s">
        <v>360</v>
      </c>
      <c r="K540" s="208" t="s">
        <v>37</v>
      </c>
      <c r="L540" s="208" t="s">
        <v>502</v>
      </c>
      <c r="M540" s="208">
        <v>3</v>
      </c>
      <c r="N540" s="208"/>
      <c r="O540" s="208" t="s">
        <v>112</v>
      </c>
      <c r="P540" s="208"/>
      <c r="Q540" s="207"/>
      <c r="R540" s="208"/>
    </row>
    <row r="541" spans="1:18">
      <c r="A541" s="277">
        <v>476</v>
      </c>
      <c r="B541" s="278">
        <v>46139</v>
      </c>
      <c r="C541" s="208" t="s">
        <v>302</v>
      </c>
      <c r="D541" s="208" t="s">
        <v>452</v>
      </c>
      <c r="E541" s="208" t="s">
        <v>291</v>
      </c>
      <c r="F541" s="208">
        <v>2026</v>
      </c>
      <c r="G541" s="208">
        <v>3</v>
      </c>
      <c r="H541" s="208" t="s">
        <v>61</v>
      </c>
      <c r="I541" s="208" t="s">
        <v>62</v>
      </c>
      <c r="J541" s="208" t="s">
        <v>360</v>
      </c>
      <c r="K541" s="208" t="s">
        <v>38</v>
      </c>
      <c r="L541" s="208" t="s">
        <v>507</v>
      </c>
      <c r="M541" s="208">
        <v>3</v>
      </c>
      <c r="N541" s="208"/>
      <c r="O541" s="208" t="s">
        <v>127</v>
      </c>
      <c r="P541" s="208"/>
      <c r="Q541" s="207"/>
      <c r="R541" s="208"/>
    </row>
    <row r="542" spans="1:18">
      <c r="A542" s="277">
        <v>477</v>
      </c>
      <c r="B542" s="278">
        <v>46140</v>
      </c>
      <c r="C542" s="208" t="s">
        <v>289</v>
      </c>
      <c r="D542" s="208" t="s">
        <v>643</v>
      </c>
      <c r="E542" s="208" t="s">
        <v>291</v>
      </c>
      <c r="F542" s="208">
        <v>2026</v>
      </c>
      <c r="G542" s="208">
        <v>2.5</v>
      </c>
      <c r="H542" s="208" t="s">
        <v>161</v>
      </c>
      <c r="I542" s="208" t="s">
        <v>644</v>
      </c>
      <c r="J542" s="208" t="s">
        <v>438</v>
      </c>
      <c r="K542" s="208" t="s">
        <v>101</v>
      </c>
      <c r="L542" s="208" t="s">
        <v>645</v>
      </c>
      <c r="M542" s="208">
        <v>2.5</v>
      </c>
      <c r="N542" s="208"/>
      <c r="O542" s="208" t="s">
        <v>163</v>
      </c>
      <c r="P542" s="208"/>
      <c r="Q542" s="207"/>
      <c r="R542" s="208"/>
    </row>
    <row r="543" spans="1:18">
      <c r="A543" s="277">
        <v>478</v>
      </c>
      <c r="B543" s="278">
        <v>46140</v>
      </c>
      <c r="C543" s="208" t="s">
        <v>289</v>
      </c>
      <c r="D543" s="208" t="s">
        <v>646</v>
      </c>
      <c r="E543" s="208" t="s">
        <v>291</v>
      </c>
      <c r="F543" s="208">
        <v>2026</v>
      </c>
      <c r="G543" s="208">
        <v>0.5</v>
      </c>
      <c r="H543" s="208" t="s">
        <v>132</v>
      </c>
      <c r="I543" s="208" t="s">
        <v>184</v>
      </c>
      <c r="J543" s="208" t="s">
        <v>360</v>
      </c>
      <c r="K543" s="208" t="s">
        <v>101</v>
      </c>
      <c r="L543" s="208" t="s">
        <v>647</v>
      </c>
      <c r="M543" s="208">
        <v>0.5</v>
      </c>
      <c r="N543" s="208"/>
      <c r="O543" s="208" t="s">
        <v>185</v>
      </c>
      <c r="P543" s="208"/>
      <c r="Q543" s="207"/>
      <c r="R543" s="208"/>
    </row>
    <row r="544" spans="1:18">
      <c r="A544" s="277">
        <v>479</v>
      </c>
      <c r="B544" s="278">
        <v>46140</v>
      </c>
      <c r="C544" s="208" t="s">
        <v>289</v>
      </c>
      <c r="D544" s="208" t="s">
        <v>479</v>
      </c>
      <c r="E544" s="208" t="s">
        <v>291</v>
      </c>
      <c r="F544" s="208">
        <v>2026</v>
      </c>
      <c r="G544" s="208">
        <v>3</v>
      </c>
      <c r="H544" s="208" t="s">
        <v>461</v>
      </c>
      <c r="I544" s="208" t="s">
        <v>142</v>
      </c>
      <c r="J544" s="208" t="s">
        <v>462</v>
      </c>
      <c r="K544" s="208" t="s">
        <v>10</v>
      </c>
      <c r="L544" s="208" t="s">
        <v>648</v>
      </c>
      <c r="M544" s="208">
        <v>3</v>
      </c>
      <c r="N544" s="208"/>
      <c r="O544" s="208" t="s">
        <v>102</v>
      </c>
      <c r="P544" s="208"/>
      <c r="Q544" s="207"/>
      <c r="R544" s="208"/>
    </row>
    <row r="545" spans="1:18">
      <c r="A545" s="277">
        <v>480</v>
      </c>
      <c r="B545" s="278">
        <v>46140</v>
      </c>
      <c r="C545" s="208" t="s">
        <v>289</v>
      </c>
      <c r="D545" s="208" t="s">
        <v>477</v>
      </c>
      <c r="E545" s="208" t="s">
        <v>291</v>
      </c>
      <c r="F545" s="208">
        <v>2026</v>
      </c>
      <c r="G545" s="208">
        <v>3</v>
      </c>
      <c r="H545" s="208" t="s">
        <v>461</v>
      </c>
      <c r="I545" s="208" t="s">
        <v>142</v>
      </c>
      <c r="J545" s="208" t="s">
        <v>462</v>
      </c>
      <c r="K545" s="208" t="s">
        <v>101</v>
      </c>
      <c r="L545" s="208" t="s">
        <v>648</v>
      </c>
      <c r="M545" s="208">
        <v>3</v>
      </c>
      <c r="N545" s="208"/>
      <c r="O545" s="208" t="s">
        <v>138</v>
      </c>
      <c r="P545" s="208"/>
      <c r="Q545" s="207"/>
      <c r="R545" s="208"/>
    </row>
    <row r="546" spans="1:18">
      <c r="A546" s="277">
        <v>481</v>
      </c>
      <c r="B546" s="278">
        <v>46140</v>
      </c>
      <c r="C546" s="208" t="s">
        <v>289</v>
      </c>
      <c r="D546" s="208" t="s">
        <v>497</v>
      </c>
      <c r="E546" s="208" t="s">
        <v>291</v>
      </c>
      <c r="F546" s="208">
        <v>2026</v>
      </c>
      <c r="G546" s="208" t="s">
        <v>498</v>
      </c>
      <c r="H546" s="208" t="s">
        <v>57</v>
      </c>
      <c r="I546" s="208" t="s">
        <v>454</v>
      </c>
      <c r="J546" s="208" t="s">
        <v>311</v>
      </c>
      <c r="K546" s="208"/>
      <c r="L546" s="208" t="s">
        <v>612</v>
      </c>
      <c r="M546" s="208" t="s">
        <v>498</v>
      </c>
      <c r="N546" s="208"/>
      <c r="O546" s="208" t="s">
        <v>559</v>
      </c>
      <c r="P546" s="208"/>
      <c r="Q546" s="207"/>
      <c r="R546" s="208"/>
    </row>
    <row r="547" spans="1:18" ht="45.75">
      <c r="A547" s="277"/>
      <c r="B547" s="278">
        <v>46140</v>
      </c>
      <c r="C547" s="208" t="s">
        <v>289</v>
      </c>
      <c r="D547" s="208"/>
      <c r="E547" s="208" t="s">
        <v>291</v>
      </c>
      <c r="F547" s="208">
        <v>2026</v>
      </c>
      <c r="G547" s="208"/>
      <c r="H547" s="208" t="s">
        <v>99</v>
      </c>
      <c r="I547" s="208" t="s">
        <v>108</v>
      </c>
      <c r="J547" s="208" t="s">
        <v>366</v>
      </c>
      <c r="K547" s="208" t="s">
        <v>101</v>
      </c>
      <c r="L547" s="279" t="s">
        <v>649</v>
      </c>
      <c r="M547" s="208"/>
      <c r="N547" s="208"/>
      <c r="O547" s="208"/>
      <c r="P547" s="208"/>
      <c r="Q547" s="207"/>
      <c r="R547" s="208"/>
    </row>
    <row r="548" spans="1:18" ht="45.75">
      <c r="A548" s="277"/>
      <c r="B548" s="278">
        <v>46140</v>
      </c>
      <c r="C548" s="208" t="s">
        <v>289</v>
      </c>
      <c r="D548" s="208"/>
      <c r="E548" s="208" t="s">
        <v>291</v>
      </c>
      <c r="F548" s="208">
        <v>2026</v>
      </c>
      <c r="G548" s="208"/>
      <c r="H548" s="208" t="s">
        <v>99</v>
      </c>
      <c r="I548" s="208" t="s">
        <v>108</v>
      </c>
      <c r="J548" s="208" t="s">
        <v>366</v>
      </c>
      <c r="K548" s="208" t="s">
        <v>10</v>
      </c>
      <c r="L548" s="279" t="s">
        <v>649</v>
      </c>
      <c r="M548" s="208"/>
      <c r="N548" s="208"/>
      <c r="O548" s="208"/>
      <c r="P548" s="208"/>
      <c r="Q548" s="207"/>
      <c r="R548" s="208"/>
    </row>
    <row r="549" spans="1:18" ht="45.75">
      <c r="A549" s="277"/>
      <c r="B549" s="278">
        <v>46140</v>
      </c>
      <c r="C549" s="208" t="s">
        <v>289</v>
      </c>
      <c r="D549" s="208"/>
      <c r="E549" s="208" t="s">
        <v>291</v>
      </c>
      <c r="F549" s="208">
        <v>2026</v>
      </c>
      <c r="G549" s="208"/>
      <c r="H549" s="208" t="s">
        <v>99</v>
      </c>
      <c r="I549" s="208" t="s">
        <v>108</v>
      </c>
      <c r="J549" s="208" t="s">
        <v>366</v>
      </c>
      <c r="K549" s="208" t="s">
        <v>104</v>
      </c>
      <c r="L549" s="279" t="s">
        <v>649</v>
      </c>
      <c r="M549" s="208"/>
      <c r="N549" s="208"/>
      <c r="O549" s="208"/>
      <c r="P549" s="208"/>
      <c r="Q549" s="207"/>
      <c r="R549" s="208"/>
    </row>
    <row r="550" spans="1:18" ht="45.75">
      <c r="A550" s="277"/>
      <c r="B550" s="278">
        <v>46140</v>
      </c>
      <c r="C550" s="208" t="s">
        <v>289</v>
      </c>
      <c r="D550" s="208"/>
      <c r="E550" s="208" t="s">
        <v>291</v>
      </c>
      <c r="F550" s="208">
        <v>2026</v>
      </c>
      <c r="G550" s="208"/>
      <c r="H550" s="208" t="s">
        <v>99</v>
      </c>
      <c r="I550" s="208" t="s">
        <v>108</v>
      </c>
      <c r="J550" s="208" t="s">
        <v>366</v>
      </c>
      <c r="K550" s="208" t="s">
        <v>106</v>
      </c>
      <c r="L550" s="279" t="s">
        <v>649</v>
      </c>
      <c r="M550" s="208"/>
      <c r="N550" s="208"/>
      <c r="O550" s="208"/>
      <c r="P550" s="208"/>
      <c r="Q550" s="207"/>
      <c r="R550" s="208"/>
    </row>
    <row r="551" spans="1:18">
      <c r="A551" s="277">
        <v>482</v>
      </c>
      <c r="B551" s="278">
        <v>46140</v>
      </c>
      <c r="C551" s="208" t="s">
        <v>289</v>
      </c>
      <c r="D551" s="208" t="s">
        <v>456</v>
      </c>
      <c r="E551" s="208" t="s">
        <v>291</v>
      </c>
      <c r="F551" s="208">
        <v>2026</v>
      </c>
      <c r="G551" s="208">
        <v>2.5</v>
      </c>
      <c r="H551" s="208" t="s">
        <v>99</v>
      </c>
      <c r="I551" s="208" t="s">
        <v>100</v>
      </c>
      <c r="J551" s="208" t="s">
        <v>373</v>
      </c>
      <c r="K551" s="208" t="s">
        <v>101</v>
      </c>
      <c r="L551" s="208" t="s">
        <v>621</v>
      </c>
      <c r="M551" s="208">
        <v>2.5</v>
      </c>
      <c r="N551" s="208"/>
      <c r="O551" s="208" t="s">
        <v>102</v>
      </c>
      <c r="P551" s="208"/>
      <c r="Q551" s="207"/>
      <c r="R551" s="208"/>
    </row>
    <row r="552" spans="1:18" ht="30.75">
      <c r="A552" s="277">
        <v>483</v>
      </c>
      <c r="B552" s="278">
        <v>46140</v>
      </c>
      <c r="C552" s="208" t="s">
        <v>289</v>
      </c>
      <c r="D552" s="208" t="s">
        <v>532</v>
      </c>
      <c r="E552" s="208" t="s">
        <v>291</v>
      </c>
      <c r="F552" s="208">
        <v>2026</v>
      </c>
      <c r="G552" s="208">
        <v>2.5</v>
      </c>
      <c r="H552" s="208" t="s">
        <v>99</v>
      </c>
      <c r="I552" s="208" t="s">
        <v>100</v>
      </c>
      <c r="J552" s="208" t="s">
        <v>373</v>
      </c>
      <c r="K552" s="208" t="s">
        <v>10</v>
      </c>
      <c r="L552" s="279" t="s">
        <v>548</v>
      </c>
      <c r="M552" s="208">
        <v>2.5</v>
      </c>
      <c r="N552" s="208"/>
      <c r="O552" s="208" t="s">
        <v>29</v>
      </c>
      <c r="P552" s="208"/>
      <c r="Q552" s="207"/>
      <c r="R552" s="208"/>
    </row>
    <row r="553" spans="1:18">
      <c r="A553" s="277">
        <v>484</v>
      </c>
      <c r="B553" s="278">
        <v>46140</v>
      </c>
      <c r="C553" s="208" t="s">
        <v>289</v>
      </c>
      <c r="D553" s="208" t="s">
        <v>467</v>
      </c>
      <c r="E553" s="208" t="s">
        <v>291</v>
      </c>
      <c r="F553" s="208">
        <v>2026</v>
      </c>
      <c r="G553" s="208">
        <v>2.5</v>
      </c>
      <c r="H553" s="208" t="s">
        <v>99</v>
      </c>
      <c r="I553" s="208" t="s">
        <v>100</v>
      </c>
      <c r="J553" s="208" t="s">
        <v>373</v>
      </c>
      <c r="K553" s="208" t="s">
        <v>104</v>
      </c>
      <c r="L553" s="208" t="s">
        <v>606</v>
      </c>
      <c r="M553" s="208">
        <v>2.5</v>
      </c>
      <c r="N553" s="208"/>
      <c r="O553" s="208" t="s">
        <v>70</v>
      </c>
      <c r="P553" s="208"/>
      <c r="Q553" s="207"/>
      <c r="R553" s="208"/>
    </row>
    <row r="554" spans="1:18">
      <c r="A554" s="277">
        <v>485</v>
      </c>
      <c r="B554" s="278">
        <v>46140</v>
      </c>
      <c r="C554" s="208" t="s">
        <v>289</v>
      </c>
      <c r="D554" s="208" t="s">
        <v>430</v>
      </c>
      <c r="E554" s="208" t="s">
        <v>291</v>
      </c>
      <c r="F554" s="208">
        <v>2026</v>
      </c>
      <c r="G554" s="208">
        <v>2.5</v>
      </c>
      <c r="H554" s="208" t="s">
        <v>99</v>
      </c>
      <c r="I554" s="208" t="s">
        <v>100</v>
      </c>
      <c r="J554" s="208" t="s">
        <v>373</v>
      </c>
      <c r="K554" s="208" t="s">
        <v>106</v>
      </c>
      <c r="L554" s="208" t="s">
        <v>650</v>
      </c>
      <c r="M554" s="208">
        <v>2.5</v>
      </c>
      <c r="N554" s="208"/>
      <c r="O554" s="208" t="s">
        <v>432</v>
      </c>
      <c r="P554" s="208"/>
      <c r="Q554" s="207"/>
      <c r="R554" s="208"/>
    </row>
    <row r="555" spans="1:18">
      <c r="A555" s="277">
        <v>486</v>
      </c>
      <c r="B555" s="278">
        <v>46140</v>
      </c>
      <c r="C555" s="208" t="s">
        <v>289</v>
      </c>
      <c r="D555" s="208" t="s">
        <v>451</v>
      </c>
      <c r="E555" s="208" t="s">
        <v>291</v>
      </c>
      <c r="F555" s="208">
        <v>2026</v>
      </c>
      <c r="G555" s="208">
        <v>3</v>
      </c>
      <c r="H555" s="208" t="s">
        <v>61</v>
      </c>
      <c r="I555" s="208" t="s">
        <v>62</v>
      </c>
      <c r="J555" s="208" t="s">
        <v>360</v>
      </c>
      <c r="K555" s="208" t="s">
        <v>37</v>
      </c>
      <c r="L555" s="208" t="s">
        <v>506</v>
      </c>
      <c r="M555" s="208">
        <v>3</v>
      </c>
      <c r="N555" s="208"/>
      <c r="O555" s="208" t="s">
        <v>112</v>
      </c>
      <c r="P555" s="208"/>
      <c r="Q555" s="207"/>
      <c r="R555" s="208"/>
    </row>
    <row r="556" spans="1:18">
      <c r="A556" s="277">
        <v>487</v>
      </c>
      <c r="B556" s="278">
        <v>46140</v>
      </c>
      <c r="C556" s="208" t="s">
        <v>289</v>
      </c>
      <c r="D556" s="208" t="s">
        <v>452</v>
      </c>
      <c r="E556" s="208" t="s">
        <v>291</v>
      </c>
      <c r="F556" s="208">
        <v>2026</v>
      </c>
      <c r="G556" s="208">
        <v>3</v>
      </c>
      <c r="H556" s="208" t="s">
        <v>61</v>
      </c>
      <c r="I556" s="208" t="s">
        <v>62</v>
      </c>
      <c r="J556" s="208" t="s">
        <v>360</v>
      </c>
      <c r="K556" s="208" t="s">
        <v>38</v>
      </c>
      <c r="L556" s="208" t="s">
        <v>513</v>
      </c>
      <c r="M556" s="208">
        <v>3</v>
      </c>
      <c r="N556" s="208"/>
      <c r="O556" s="208" t="s">
        <v>127</v>
      </c>
      <c r="P556" s="208"/>
      <c r="Q556" s="207"/>
      <c r="R556" s="208"/>
    </row>
    <row r="557" spans="1:18">
      <c r="A557" s="277">
        <v>488</v>
      </c>
      <c r="B557" s="278">
        <v>46141</v>
      </c>
      <c r="C557" s="208" t="s">
        <v>294</v>
      </c>
      <c r="D557" s="208"/>
      <c r="E557" s="208" t="s">
        <v>291</v>
      </c>
      <c r="F557" s="208">
        <v>2026</v>
      </c>
      <c r="G557" s="208">
        <v>8</v>
      </c>
      <c r="H557" s="208" t="s">
        <v>76</v>
      </c>
      <c r="I557" s="208" t="s">
        <v>158</v>
      </c>
      <c r="J557" s="208" t="s">
        <v>366</v>
      </c>
      <c r="K557" s="208" t="s">
        <v>101</v>
      </c>
      <c r="L557" s="208" t="s">
        <v>601</v>
      </c>
      <c r="M557" s="208">
        <v>8</v>
      </c>
      <c r="N557" s="208"/>
      <c r="O557" s="208" t="s">
        <v>159</v>
      </c>
      <c r="P557" s="208"/>
      <c r="Q557" s="207"/>
      <c r="R557" s="208"/>
    </row>
    <row r="558" spans="1:18">
      <c r="A558" s="277">
        <v>489</v>
      </c>
      <c r="B558" s="278">
        <v>46141</v>
      </c>
      <c r="C558" s="208" t="s">
        <v>294</v>
      </c>
      <c r="D558" s="208" t="s">
        <v>520</v>
      </c>
      <c r="E558" s="208" t="s">
        <v>291</v>
      </c>
      <c r="F558" s="208">
        <v>2026</v>
      </c>
      <c r="G558" s="208">
        <v>3</v>
      </c>
      <c r="H558" s="208" t="s">
        <v>57</v>
      </c>
      <c r="I558" s="208" t="s">
        <v>89</v>
      </c>
      <c r="J558" s="208" t="s">
        <v>311</v>
      </c>
      <c r="K558" s="208" t="s">
        <v>90</v>
      </c>
      <c r="L558" s="208" t="s">
        <v>651</v>
      </c>
      <c r="M558" s="208">
        <v>3</v>
      </c>
      <c r="N558" s="208"/>
      <c r="O558" s="208" t="s">
        <v>91</v>
      </c>
      <c r="P558" s="208"/>
      <c r="Q558" s="207"/>
      <c r="R558" s="208"/>
    </row>
    <row r="559" spans="1:18">
      <c r="A559" s="277">
        <v>490</v>
      </c>
      <c r="B559" s="278">
        <v>46141</v>
      </c>
      <c r="C559" s="208" t="s">
        <v>294</v>
      </c>
      <c r="D559" s="208" t="s">
        <v>477</v>
      </c>
      <c r="E559" s="208" t="s">
        <v>291</v>
      </c>
      <c r="F559" s="208">
        <v>2026</v>
      </c>
      <c r="G559" s="208">
        <v>3</v>
      </c>
      <c r="H559" s="208" t="s">
        <v>461</v>
      </c>
      <c r="I559" s="208" t="s">
        <v>136</v>
      </c>
      <c r="J559" s="208" t="s">
        <v>462</v>
      </c>
      <c r="K559" s="208" t="s">
        <v>101</v>
      </c>
      <c r="L559" s="208" t="s">
        <v>652</v>
      </c>
      <c r="M559" s="208">
        <v>3</v>
      </c>
      <c r="N559" s="208"/>
      <c r="O559" s="208" t="s">
        <v>82</v>
      </c>
      <c r="P559" s="208"/>
      <c r="Q559" s="207"/>
      <c r="R559" s="208"/>
    </row>
    <row r="560" spans="1:18">
      <c r="A560" s="277">
        <v>491</v>
      </c>
      <c r="B560" s="278">
        <v>46141</v>
      </c>
      <c r="C560" s="208" t="s">
        <v>294</v>
      </c>
      <c r="D560" s="208" t="s">
        <v>479</v>
      </c>
      <c r="E560" s="208" t="s">
        <v>291</v>
      </c>
      <c r="F560" s="208">
        <v>2026</v>
      </c>
      <c r="G560" s="208">
        <v>3</v>
      </c>
      <c r="H560" s="208" t="s">
        <v>461</v>
      </c>
      <c r="I560" s="208" t="s">
        <v>136</v>
      </c>
      <c r="J560" s="208" t="s">
        <v>462</v>
      </c>
      <c r="K560" s="208" t="s">
        <v>10</v>
      </c>
      <c r="L560" s="208" t="s">
        <v>652</v>
      </c>
      <c r="M560" s="208">
        <v>3</v>
      </c>
      <c r="N560" s="208"/>
      <c r="O560" s="208" t="s">
        <v>138</v>
      </c>
      <c r="P560" s="208"/>
      <c r="Q560" s="207"/>
      <c r="R560" s="208"/>
    </row>
    <row r="561" spans="1:18">
      <c r="A561" s="277">
        <v>492</v>
      </c>
      <c r="B561" s="278">
        <v>46141</v>
      </c>
      <c r="C561" s="208" t="s">
        <v>294</v>
      </c>
      <c r="D561" s="208"/>
      <c r="E561" s="208" t="s">
        <v>291</v>
      </c>
      <c r="F561" s="208">
        <v>2026</v>
      </c>
      <c r="G561" s="208"/>
      <c r="H561" s="208" t="s">
        <v>132</v>
      </c>
      <c r="I561" s="208" t="s">
        <v>133</v>
      </c>
      <c r="J561" s="208" t="s">
        <v>360</v>
      </c>
      <c r="K561" s="208" t="s">
        <v>106</v>
      </c>
      <c r="L561" s="208" t="s">
        <v>473</v>
      </c>
      <c r="M561" s="208"/>
      <c r="N561" s="208"/>
      <c r="O561" s="208" t="s">
        <v>127</v>
      </c>
      <c r="P561" s="208"/>
      <c r="Q561" s="207"/>
      <c r="R561" s="208"/>
    </row>
    <row r="562" spans="1:18">
      <c r="A562" s="277">
        <v>493</v>
      </c>
      <c r="B562" s="278">
        <v>46141</v>
      </c>
      <c r="C562" s="208" t="s">
        <v>294</v>
      </c>
      <c r="D562" s="208" t="s">
        <v>451</v>
      </c>
      <c r="E562" s="208" t="s">
        <v>291</v>
      </c>
      <c r="F562" s="208">
        <v>2026</v>
      </c>
      <c r="G562" s="208">
        <v>3</v>
      </c>
      <c r="H562" s="208" t="s">
        <v>61</v>
      </c>
      <c r="I562" s="208" t="s">
        <v>62</v>
      </c>
      <c r="J562" s="208" t="s">
        <v>360</v>
      </c>
      <c r="K562" s="208" t="s">
        <v>37</v>
      </c>
      <c r="L562" s="208" t="s">
        <v>507</v>
      </c>
      <c r="M562" s="208">
        <v>3</v>
      </c>
      <c r="N562" s="208"/>
      <c r="O562" s="208" t="s">
        <v>112</v>
      </c>
      <c r="P562" s="208"/>
      <c r="Q562" s="207"/>
      <c r="R562" s="208"/>
    </row>
    <row r="563" spans="1:18">
      <c r="A563" s="277">
        <v>494</v>
      </c>
      <c r="B563" s="278">
        <v>46141</v>
      </c>
      <c r="C563" s="208" t="s">
        <v>294</v>
      </c>
      <c r="D563" s="208" t="s">
        <v>452</v>
      </c>
      <c r="E563" s="208" t="s">
        <v>291</v>
      </c>
      <c r="F563" s="208">
        <v>2026</v>
      </c>
      <c r="G563" s="208">
        <v>3</v>
      </c>
      <c r="H563" s="208" t="s">
        <v>61</v>
      </c>
      <c r="I563" s="208" t="s">
        <v>62</v>
      </c>
      <c r="J563" s="208" t="s">
        <v>360</v>
      </c>
      <c r="K563" s="208" t="s">
        <v>38</v>
      </c>
      <c r="L563" s="208" t="s">
        <v>519</v>
      </c>
      <c r="M563" s="208">
        <v>3</v>
      </c>
      <c r="N563" s="208"/>
      <c r="O563" s="208" t="s">
        <v>127</v>
      </c>
      <c r="P563" s="208"/>
      <c r="Q563" s="207"/>
      <c r="R563" s="208"/>
    </row>
    <row r="564" spans="1:18">
      <c r="A564" s="277">
        <v>495</v>
      </c>
      <c r="B564" s="278">
        <v>46142</v>
      </c>
      <c r="C564" s="208" t="s">
        <v>298</v>
      </c>
      <c r="D564" s="208" t="s">
        <v>479</v>
      </c>
      <c r="E564" s="208" t="s">
        <v>291</v>
      </c>
      <c r="F564" s="208">
        <v>2026</v>
      </c>
      <c r="G564" s="208">
        <v>3</v>
      </c>
      <c r="H564" s="208" t="s">
        <v>461</v>
      </c>
      <c r="I564" s="208" t="s">
        <v>142</v>
      </c>
      <c r="J564" s="208" t="s">
        <v>462</v>
      </c>
      <c r="K564" s="208" t="s">
        <v>10</v>
      </c>
      <c r="L564" s="208" t="s">
        <v>653</v>
      </c>
      <c r="M564" s="208">
        <v>3</v>
      </c>
      <c r="N564" s="208"/>
      <c r="O564" s="208" t="s">
        <v>102</v>
      </c>
      <c r="P564" s="208"/>
      <c r="Q564" s="207"/>
      <c r="R564" s="208"/>
    </row>
    <row r="565" spans="1:18">
      <c r="A565" s="277">
        <v>496</v>
      </c>
      <c r="B565" s="278">
        <v>46142</v>
      </c>
      <c r="C565" s="208" t="s">
        <v>298</v>
      </c>
      <c r="D565" s="208" t="s">
        <v>477</v>
      </c>
      <c r="E565" s="208" t="s">
        <v>291</v>
      </c>
      <c r="F565" s="208">
        <v>2026</v>
      </c>
      <c r="G565" s="208">
        <v>3</v>
      </c>
      <c r="H565" s="208" t="s">
        <v>461</v>
      </c>
      <c r="I565" s="208" t="s">
        <v>142</v>
      </c>
      <c r="J565" s="208" t="s">
        <v>462</v>
      </c>
      <c r="K565" s="208" t="s">
        <v>101</v>
      </c>
      <c r="L565" s="208" t="s">
        <v>653</v>
      </c>
      <c r="M565" s="208">
        <v>3</v>
      </c>
      <c r="N565" s="208"/>
      <c r="O565" s="208" t="s">
        <v>138</v>
      </c>
      <c r="P565" s="208"/>
      <c r="Q565" s="207"/>
      <c r="R565" s="208"/>
    </row>
    <row r="566" spans="1:18">
      <c r="A566" s="277">
        <v>497</v>
      </c>
      <c r="B566" s="278">
        <v>46142</v>
      </c>
      <c r="C566" s="208" t="s">
        <v>298</v>
      </c>
      <c r="D566" s="208" t="s">
        <v>497</v>
      </c>
      <c r="E566" s="208" t="s">
        <v>291</v>
      </c>
      <c r="F566" s="208">
        <v>2026</v>
      </c>
      <c r="G566" s="208" t="s">
        <v>498</v>
      </c>
      <c r="H566" s="208" t="s">
        <v>57</v>
      </c>
      <c r="I566" s="208" t="s">
        <v>454</v>
      </c>
      <c r="J566" s="208" t="s">
        <v>311</v>
      </c>
      <c r="K566" s="208"/>
      <c r="L566" s="208" t="s">
        <v>654</v>
      </c>
      <c r="M566" s="208" t="s">
        <v>498</v>
      </c>
      <c r="N566" s="208"/>
      <c r="O566" s="208" t="s">
        <v>516</v>
      </c>
      <c r="P566" s="208"/>
      <c r="Q566" s="207"/>
      <c r="R566" s="208"/>
    </row>
    <row r="567" spans="1:18">
      <c r="A567" s="277">
        <v>498</v>
      </c>
      <c r="B567" s="278">
        <v>46142</v>
      </c>
      <c r="C567" s="208" t="s">
        <v>298</v>
      </c>
      <c r="D567" s="208" t="s">
        <v>655</v>
      </c>
      <c r="E567" s="208" t="s">
        <v>291</v>
      </c>
      <c r="F567" s="208">
        <v>2026</v>
      </c>
      <c r="G567" s="208">
        <v>1.5</v>
      </c>
      <c r="H567" s="208" t="s">
        <v>115</v>
      </c>
      <c r="I567" s="208" t="s">
        <v>437</v>
      </c>
      <c r="J567" s="208" t="s">
        <v>438</v>
      </c>
      <c r="K567" s="208" t="s">
        <v>101</v>
      </c>
      <c r="L567" s="208" t="s">
        <v>656</v>
      </c>
      <c r="M567" s="208">
        <v>1.5</v>
      </c>
      <c r="N567" s="208"/>
      <c r="O567" s="208" t="s">
        <v>164</v>
      </c>
      <c r="P567" s="208"/>
      <c r="Q567" s="207"/>
      <c r="R567" s="208"/>
    </row>
    <row r="568" spans="1:18">
      <c r="A568" s="277">
        <v>499</v>
      </c>
      <c r="B568" s="278">
        <v>46142</v>
      </c>
      <c r="C568" s="208" t="s">
        <v>298</v>
      </c>
      <c r="D568" s="208" t="s">
        <v>456</v>
      </c>
      <c r="E568" s="208" t="s">
        <v>291</v>
      </c>
      <c r="F568" s="208">
        <v>2026</v>
      </c>
      <c r="G568" s="208">
        <v>2.5</v>
      </c>
      <c r="H568" s="208" t="s">
        <v>99</v>
      </c>
      <c r="I568" s="208" t="s">
        <v>100</v>
      </c>
      <c r="J568" s="208" t="s">
        <v>373</v>
      </c>
      <c r="K568" s="208" t="s">
        <v>101</v>
      </c>
      <c r="L568" s="208" t="s">
        <v>650</v>
      </c>
      <c r="M568" s="208">
        <v>2.5</v>
      </c>
      <c r="N568" s="208"/>
      <c r="O568" s="208" t="s">
        <v>102</v>
      </c>
      <c r="P568" s="208"/>
      <c r="Q568" s="207"/>
      <c r="R568" s="208"/>
    </row>
    <row r="569" spans="1:18" ht="30.75">
      <c r="A569" s="277">
        <v>500</v>
      </c>
      <c r="B569" s="278">
        <v>46142</v>
      </c>
      <c r="C569" s="208" t="s">
        <v>298</v>
      </c>
      <c r="D569" s="208" t="s">
        <v>532</v>
      </c>
      <c r="E569" s="208" t="s">
        <v>291</v>
      </c>
      <c r="F569" s="208">
        <v>2026</v>
      </c>
      <c r="G569" s="208">
        <v>2.5</v>
      </c>
      <c r="H569" s="208" t="s">
        <v>99</v>
      </c>
      <c r="I569" s="208" t="s">
        <v>100</v>
      </c>
      <c r="J569" s="208" t="s">
        <v>373</v>
      </c>
      <c r="K569" s="208" t="s">
        <v>10</v>
      </c>
      <c r="L569" s="279" t="s">
        <v>572</v>
      </c>
      <c r="M569" s="208">
        <v>2.5</v>
      </c>
      <c r="N569" s="208"/>
      <c r="O569" s="208" t="s">
        <v>29</v>
      </c>
      <c r="P569" s="208"/>
      <c r="Q569" s="207"/>
      <c r="R569" s="208"/>
    </row>
    <row r="570" spans="1:18">
      <c r="A570" s="277">
        <v>501</v>
      </c>
      <c r="B570" s="278">
        <v>46142</v>
      </c>
      <c r="C570" s="208" t="s">
        <v>298</v>
      </c>
      <c r="D570" s="208" t="s">
        <v>451</v>
      </c>
      <c r="E570" s="208" t="s">
        <v>291</v>
      </c>
      <c r="F570" s="208">
        <v>2026</v>
      </c>
      <c r="G570" s="208">
        <v>3</v>
      </c>
      <c r="H570" s="208" t="s">
        <v>61</v>
      </c>
      <c r="I570" s="208" t="s">
        <v>62</v>
      </c>
      <c r="J570" s="208" t="s">
        <v>360</v>
      </c>
      <c r="K570" s="208" t="s">
        <v>37</v>
      </c>
      <c r="L570" s="208" t="s">
        <v>513</v>
      </c>
      <c r="M570" s="208"/>
      <c r="N570" s="208"/>
      <c r="O570" s="208" t="s">
        <v>112</v>
      </c>
      <c r="P570" s="208"/>
      <c r="Q570" s="207"/>
      <c r="R570" s="208"/>
    </row>
    <row r="571" spans="1:18">
      <c r="A571" s="277">
        <v>502</v>
      </c>
      <c r="B571" s="278">
        <v>46142</v>
      </c>
      <c r="C571" s="208" t="s">
        <v>298</v>
      </c>
      <c r="D571" s="208" t="s">
        <v>452</v>
      </c>
      <c r="E571" s="208" t="s">
        <v>291</v>
      </c>
      <c r="F571" s="208">
        <v>2026</v>
      </c>
      <c r="G571" s="208">
        <v>3</v>
      </c>
      <c r="H571" s="208" t="s">
        <v>61</v>
      </c>
      <c r="I571" s="208" t="s">
        <v>62</v>
      </c>
      <c r="J571" s="208" t="s">
        <v>360</v>
      </c>
      <c r="K571" s="208" t="s">
        <v>38</v>
      </c>
      <c r="L571" s="208" t="s">
        <v>529</v>
      </c>
      <c r="M571" s="208">
        <v>3</v>
      </c>
      <c r="N571" s="208"/>
      <c r="O571" s="208" t="s">
        <v>127</v>
      </c>
      <c r="P571" s="208"/>
      <c r="Q571" s="207"/>
      <c r="R571" s="208"/>
    </row>
    <row r="572" spans="1:18">
      <c r="A572" s="277">
        <v>503</v>
      </c>
      <c r="B572" s="278">
        <v>46146</v>
      </c>
      <c r="C572" s="208" t="s">
        <v>302</v>
      </c>
      <c r="D572" s="208" t="s">
        <v>520</v>
      </c>
      <c r="E572" s="208" t="s">
        <v>318</v>
      </c>
      <c r="F572" s="208">
        <v>2026</v>
      </c>
      <c r="G572" s="208">
        <v>3</v>
      </c>
      <c r="H572" s="208" t="s">
        <v>57</v>
      </c>
      <c r="I572" s="208" t="s">
        <v>89</v>
      </c>
      <c r="J572" s="208" t="s">
        <v>311</v>
      </c>
      <c r="K572" s="208" t="s">
        <v>90</v>
      </c>
      <c r="L572" s="208" t="s">
        <v>657</v>
      </c>
      <c r="M572" s="208">
        <v>3</v>
      </c>
      <c r="N572" s="208"/>
      <c r="O572" s="208" t="s">
        <v>91</v>
      </c>
      <c r="P572" s="208"/>
      <c r="Q572" s="207"/>
      <c r="R572" s="208"/>
    </row>
    <row r="573" spans="1:18">
      <c r="A573" s="277">
        <v>504</v>
      </c>
      <c r="B573" s="278">
        <v>46146</v>
      </c>
      <c r="C573" s="208" t="s">
        <v>302</v>
      </c>
      <c r="D573" s="208"/>
      <c r="E573" s="208" t="s">
        <v>318</v>
      </c>
      <c r="F573" s="208">
        <v>2026</v>
      </c>
      <c r="G573" s="208"/>
      <c r="H573" s="208" t="s">
        <v>132</v>
      </c>
      <c r="I573" s="208" t="s">
        <v>133</v>
      </c>
      <c r="J573" s="208" t="s">
        <v>360</v>
      </c>
      <c r="K573" s="208" t="s">
        <v>106</v>
      </c>
      <c r="L573" s="208" t="s">
        <v>658</v>
      </c>
      <c r="M573" s="208"/>
      <c r="N573" s="208"/>
      <c r="O573" s="208" t="s">
        <v>127</v>
      </c>
      <c r="P573" s="208"/>
      <c r="Q573" s="207"/>
      <c r="R573" s="208"/>
    </row>
    <row r="574" spans="1:18">
      <c r="A574" s="277">
        <v>505</v>
      </c>
      <c r="B574" s="278">
        <v>46146</v>
      </c>
      <c r="C574" s="208" t="s">
        <v>302</v>
      </c>
      <c r="D574" s="208" t="s">
        <v>482</v>
      </c>
      <c r="E574" s="208" t="s">
        <v>318</v>
      </c>
      <c r="F574" s="208">
        <v>2026</v>
      </c>
      <c r="G574" s="208">
        <v>2</v>
      </c>
      <c r="H574" s="208" t="s">
        <v>132</v>
      </c>
      <c r="I574" s="208" t="s">
        <v>133</v>
      </c>
      <c r="J574" s="208" t="s">
        <v>360</v>
      </c>
      <c r="K574" s="208" t="s">
        <v>135</v>
      </c>
      <c r="L574" s="208" t="s">
        <v>604</v>
      </c>
      <c r="M574" s="208">
        <v>2</v>
      </c>
      <c r="N574" s="208"/>
      <c r="O574" s="208" t="s">
        <v>63</v>
      </c>
      <c r="P574" s="208"/>
      <c r="Q574" s="207"/>
      <c r="R574" s="208"/>
    </row>
    <row r="575" spans="1:18">
      <c r="A575" s="277">
        <v>506</v>
      </c>
      <c r="B575" s="278">
        <v>46146</v>
      </c>
      <c r="C575" s="208" t="s">
        <v>302</v>
      </c>
      <c r="D575" s="208" t="s">
        <v>372</v>
      </c>
      <c r="E575" s="208" t="s">
        <v>318</v>
      </c>
      <c r="F575" s="208">
        <v>2026</v>
      </c>
      <c r="G575" s="208">
        <v>5</v>
      </c>
      <c r="H575" s="208" t="s">
        <v>57</v>
      </c>
      <c r="I575" s="208" t="s">
        <v>58</v>
      </c>
      <c r="J575" s="208" t="s">
        <v>373</v>
      </c>
      <c r="K575" s="208"/>
      <c r="L575" s="208" t="s">
        <v>659</v>
      </c>
      <c r="M575" s="208">
        <v>5</v>
      </c>
      <c r="N575" s="208"/>
      <c r="O575" s="208" t="s">
        <v>70</v>
      </c>
      <c r="P575" s="208"/>
      <c r="Q575" s="207"/>
      <c r="R575" s="208"/>
    </row>
    <row r="576" spans="1:18">
      <c r="A576" s="277">
        <v>507</v>
      </c>
      <c r="B576" s="278">
        <v>46146</v>
      </c>
      <c r="C576" s="208" t="s">
        <v>302</v>
      </c>
      <c r="D576" s="208"/>
      <c r="E576" s="208" t="s">
        <v>318</v>
      </c>
      <c r="F576" s="208">
        <v>2026</v>
      </c>
      <c r="G576" s="208">
        <v>3</v>
      </c>
      <c r="H576" s="208" t="s">
        <v>61</v>
      </c>
      <c r="I576" s="208" t="s">
        <v>62</v>
      </c>
      <c r="J576" s="208" t="s">
        <v>360</v>
      </c>
      <c r="K576" s="208" t="s">
        <v>37</v>
      </c>
      <c r="L576" s="208" t="s">
        <v>519</v>
      </c>
      <c r="M576" s="208">
        <v>3</v>
      </c>
      <c r="N576" s="208"/>
      <c r="O576" s="208" t="s">
        <v>112</v>
      </c>
      <c r="P576" s="208"/>
      <c r="Q576" s="207"/>
      <c r="R576" s="208"/>
    </row>
    <row r="577" spans="1:18">
      <c r="A577" s="277">
        <v>508</v>
      </c>
      <c r="B577" s="278">
        <v>46146</v>
      </c>
      <c r="C577" s="208" t="s">
        <v>302</v>
      </c>
      <c r="D577" s="208" t="s">
        <v>452</v>
      </c>
      <c r="E577" s="208" t="s">
        <v>318</v>
      </c>
      <c r="F577" s="208">
        <v>2026</v>
      </c>
      <c r="G577" s="208">
        <v>3</v>
      </c>
      <c r="H577" s="208" t="s">
        <v>61</v>
      </c>
      <c r="I577" s="208" t="s">
        <v>62</v>
      </c>
      <c r="J577" s="208" t="s">
        <v>360</v>
      </c>
      <c r="K577" s="208" t="s">
        <v>38</v>
      </c>
      <c r="L577" s="208" t="s">
        <v>660</v>
      </c>
      <c r="M577" s="208"/>
      <c r="N577" s="208"/>
      <c r="O577" s="208" t="s">
        <v>127</v>
      </c>
      <c r="P577" s="208"/>
      <c r="Q577" s="207"/>
      <c r="R577" s="208"/>
    </row>
    <row r="578" spans="1:18">
      <c r="A578" s="277">
        <v>509</v>
      </c>
      <c r="B578" s="278">
        <v>46147</v>
      </c>
      <c r="C578" s="208" t="s">
        <v>289</v>
      </c>
      <c r="D578" s="208" t="s">
        <v>661</v>
      </c>
      <c r="E578" s="208" t="s">
        <v>318</v>
      </c>
      <c r="F578" s="208">
        <v>2026</v>
      </c>
      <c r="G578" s="208">
        <v>2.5</v>
      </c>
      <c r="H578" s="208" t="s">
        <v>132</v>
      </c>
      <c r="I578" s="208" t="s">
        <v>184</v>
      </c>
      <c r="J578" s="208" t="s">
        <v>360</v>
      </c>
      <c r="K578" s="208" t="s">
        <v>101</v>
      </c>
      <c r="L578" s="208" t="s">
        <v>662</v>
      </c>
      <c r="M578" s="208">
        <v>2.5</v>
      </c>
      <c r="N578" s="208"/>
      <c r="O578" s="208" t="s">
        <v>63</v>
      </c>
      <c r="P578" s="208"/>
      <c r="Q578" s="207"/>
      <c r="R578" s="208"/>
    </row>
    <row r="579" spans="1:18">
      <c r="A579" s="277">
        <v>510</v>
      </c>
      <c r="B579" s="278">
        <v>46147</v>
      </c>
      <c r="C579" s="208" t="s">
        <v>289</v>
      </c>
      <c r="D579" s="208" t="s">
        <v>479</v>
      </c>
      <c r="E579" s="208" t="s">
        <v>318</v>
      </c>
      <c r="F579" s="208">
        <v>2026</v>
      </c>
      <c r="G579" s="208">
        <v>3</v>
      </c>
      <c r="H579" s="208" t="s">
        <v>461</v>
      </c>
      <c r="I579" s="208" t="s">
        <v>142</v>
      </c>
      <c r="J579" s="208" t="s">
        <v>462</v>
      </c>
      <c r="K579" s="208" t="s">
        <v>10</v>
      </c>
      <c r="L579" s="208" t="s">
        <v>663</v>
      </c>
      <c r="M579" s="208">
        <v>3</v>
      </c>
      <c r="N579" s="208"/>
      <c r="O579" s="208" t="s">
        <v>138</v>
      </c>
      <c r="P579" s="208"/>
      <c r="Q579" s="207"/>
      <c r="R579" s="208"/>
    </row>
    <row r="580" spans="1:18">
      <c r="A580" s="277">
        <v>511</v>
      </c>
      <c r="B580" s="278">
        <v>46147</v>
      </c>
      <c r="C580" s="208" t="s">
        <v>289</v>
      </c>
      <c r="D580" s="208" t="s">
        <v>477</v>
      </c>
      <c r="E580" s="208" t="s">
        <v>318</v>
      </c>
      <c r="F580" s="208">
        <v>2026</v>
      </c>
      <c r="G580" s="208">
        <v>3</v>
      </c>
      <c r="H580" s="208" t="s">
        <v>461</v>
      </c>
      <c r="I580" s="208" t="s">
        <v>142</v>
      </c>
      <c r="J580" s="208" t="s">
        <v>462</v>
      </c>
      <c r="K580" s="208" t="s">
        <v>101</v>
      </c>
      <c r="L580" s="208" t="s">
        <v>663</v>
      </c>
      <c r="M580" s="208">
        <v>3</v>
      </c>
      <c r="N580" s="208"/>
      <c r="O580" s="208" t="s">
        <v>179</v>
      </c>
      <c r="P580" s="208"/>
      <c r="Q580" s="207"/>
      <c r="R580" s="208"/>
    </row>
    <row r="581" spans="1:18">
      <c r="A581" s="277">
        <v>512</v>
      </c>
      <c r="B581" s="278">
        <v>46147</v>
      </c>
      <c r="C581" s="208" t="s">
        <v>289</v>
      </c>
      <c r="D581" s="208" t="s">
        <v>497</v>
      </c>
      <c r="E581" s="208" t="s">
        <v>318</v>
      </c>
      <c r="F581" s="208">
        <v>2026</v>
      </c>
      <c r="G581" s="208" t="s">
        <v>498</v>
      </c>
      <c r="H581" s="208" t="s">
        <v>57</v>
      </c>
      <c r="I581" s="208" t="s">
        <v>454</v>
      </c>
      <c r="J581" s="208" t="s">
        <v>311</v>
      </c>
      <c r="K581" s="208"/>
      <c r="L581" s="208" t="s">
        <v>664</v>
      </c>
      <c r="M581" s="208" t="s">
        <v>498</v>
      </c>
      <c r="N581" s="208"/>
      <c r="O581" s="208" t="s">
        <v>559</v>
      </c>
      <c r="P581" s="208"/>
      <c r="Q581" s="207"/>
      <c r="R581" s="208"/>
    </row>
    <row r="582" spans="1:18">
      <c r="A582" s="277">
        <v>513</v>
      </c>
      <c r="B582" s="278">
        <v>46147</v>
      </c>
      <c r="C582" s="208" t="s">
        <v>289</v>
      </c>
      <c r="D582" s="208" t="s">
        <v>655</v>
      </c>
      <c r="E582" s="208" t="s">
        <v>318</v>
      </c>
      <c r="F582" s="208">
        <v>2026</v>
      </c>
      <c r="G582" s="208">
        <v>1.5</v>
      </c>
      <c r="H582" s="208" t="s">
        <v>115</v>
      </c>
      <c r="I582" s="208" t="s">
        <v>437</v>
      </c>
      <c r="J582" s="208" t="s">
        <v>438</v>
      </c>
      <c r="K582" s="208" t="s">
        <v>101</v>
      </c>
      <c r="L582" s="208" t="s">
        <v>656</v>
      </c>
      <c r="M582" s="208">
        <v>1.5</v>
      </c>
      <c r="N582" s="208"/>
      <c r="O582" s="208" t="s">
        <v>164</v>
      </c>
      <c r="P582" s="208"/>
      <c r="Q582" s="207"/>
      <c r="R582" s="208"/>
    </row>
    <row r="583" spans="1:18">
      <c r="A583" s="277">
        <v>514</v>
      </c>
      <c r="B583" s="278">
        <v>46147</v>
      </c>
      <c r="C583" s="208" t="s">
        <v>289</v>
      </c>
      <c r="D583" s="208" t="s">
        <v>665</v>
      </c>
      <c r="E583" s="208" t="s">
        <v>318</v>
      </c>
      <c r="F583" s="208">
        <v>2026</v>
      </c>
      <c r="G583" s="208">
        <v>4</v>
      </c>
      <c r="H583" s="208" t="s">
        <v>99</v>
      </c>
      <c r="I583" s="208" t="s">
        <v>108</v>
      </c>
      <c r="J583" s="208" t="s">
        <v>366</v>
      </c>
      <c r="K583" s="208" t="s">
        <v>101</v>
      </c>
      <c r="L583" s="208" t="s">
        <v>666</v>
      </c>
      <c r="M583" s="208">
        <v>4</v>
      </c>
      <c r="N583" s="208"/>
      <c r="O583" s="208" t="s">
        <v>112</v>
      </c>
      <c r="P583" s="208"/>
      <c r="Q583" s="207"/>
      <c r="R583" s="208"/>
    </row>
    <row r="584" spans="1:18">
      <c r="A584" s="277">
        <v>515</v>
      </c>
      <c r="B584" s="278">
        <v>46147</v>
      </c>
      <c r="C584" s="208" t="s">
        <v>289</v>
      </c>
      <c r="D584" s="208" t="s">
        <v>667</v>
      </c>
      <c r="E584" s="208" t="s">
        <v>318</v>
      </c>
      <c r="F584" s="208">
        <v>2026</v>
      </c>
      <c r="G584" s="208">
        <v>4</v>
      </c>
      <c r="H584" s="208" t="s">
        <v>99</v>
      </c>
      <c r="I584" s="208" t="s">
        <v>108</v>
      </c>
      <c r="J584" s="208" t="s">
        <v>366</v>
      </c>
      <c r="K584" s="208" t="s">
        <v>104</v>
      </c>
      <c r="L584" s="208" t="s">
        <v>666</v>
      </c>
      <c r="M584" s="208">
        <v>4</v>
      </c>
      <c r="N584" s="208"/>
      <c r="O584" s="208" t="s">
        <v>109</v>
      </c>
      <c r="P584" s="208"/>
      <c r="Q584" s="207"/>
      <c r="R584" s="208"/>
    </row>
    <row r="585" spans="1:18">
      <c r="A585" s="277">
        <v>516</v>
      </c>
      <c r="B585" s="278">
        <v>46147</v>
      </c>
      <c r="C585" s="208" t="s">
        <v>289</v>
      </c>
      <c r="D585" s="208" t="s">
        <v>456</v>
      </c>
      <c r="E585" s="208" t="s">
        <v>318</v>
      </c>
      <c r="F585" s="208">
        <v>2026</v>
      </c>
      <c r="G585" s="208">
        <v>2.5</v>
      </c>
      <c r="H585" s="208" t="s">
        <v>99</v>
      </c>
      <c r="I585" s="208" t="s">
        <v>100</v>
      </c>
      <c r="J585" s="208" t="s">
        <v>373</v>
      </c>
      <c r="K585" s="208" t="s">
        <v>101</v>
      </c>
      <c r="L585" s="208" t="s">
        <v>668</v>
      </c>
      <c r="M585" s="208"/>
      <c r="N585" s="208"/>
      <c r="O585" s="208" t="s">
        <v>102</v>
      </c>
      <c r="P585" s="208"/>
      <c r="Q585" s="207"/>
      <c r="R585" s="208"/>
    </row>
    <row r="586" spans="1:18">
      <c r="A586" s="277">
        <v>517</v>
      </c>
      <c r="B586" s="278">
        <v>46147</v>
      </c>
      <c r="C586" s="208" t="s">
        <v>289</v>
      </c>
      <c r="D586" s="208" t="s">
        <v>532</v>
      </c>
      <c r="E586" s="208" t="s">
        <v>318</v>
      </c>
      <c r="F586" s="208">
        <v>2026</v>
      </c>
      <c r="G586" s="208">
        <v>2.5</v>
      </c>
      <c r="H586" s="208" t="s">
        <v>99</v>
      </c>
      <c r="I586" s="208" t="s">
        <v>100</v>
      </c>
      <c r="J586" s="208" t="s">
        <v>373</v>
      </c>
      <c r="K586" s="208" t="s">
        <v>10</v>
      </c>
      <c r="L586" s="208" t="s">
        <v>606</v>
      </c>
      <c r="M586" s="208">
        <v>2.5</v>
      </c>
      <c r="N586" s="208"/>
      <c r="O586" s="208" t="s">
        <v>29</v>
      </c>
      <c r="P586" s="208"/>
      <c r="Q586" s="207"/>
      <c r="R586" s="208"/>
    </row>
    <row r="587" spans="1:18">
      <c r="A587" s="277">
        <v>518</v>
      </c>
      <c r="B587" s="278">
        <v>46147</v>
      </c>
      <c r="C587" s="208" t="s">
        <v>289</v>
      </c>
      <c r="D587" s="208" t="s">
        <v>467</v>
      </c>
      <c r="E587" s="208" t="s">
        <v>318</v>
      </c>
      <c r="F587" s="208">
        <v>2026</v>
      </c>
      <c r="G587" s="208">
        <v>2.5</v>
      </c>
      <c r="H587" s="208" t="s">
        <v>99</v>
      </c>
      <c r="I587" s="208" t="s">
        <v>100</v>
      </c>
      <c r="J587" s="208" t="s">
        <v>373</v>
      </c>
      <c r="K587" s="208" t="s">
        <v>104</v>
      </c>
      <c r="L587" s="208" t="s">
        <v>621</v>
      </c>
      <c r="M587" s="208"/>
      <c r="N587" s="208"/>
      <c r="O587" s="208" t="s">
        <v>70</v>
      </c>
      <c r="P587" s="208"/>
      <c r="Q587" s="207"/>
      <c r="R587" s="208"/>
    </row>
    <row r="588" spans="1:18">
      <c r="A588" s="277">
        <v>519</v>
      </c>
      <c r="B588" s="278">
        <v>46147</v>
      </c>
      <c r="C588" s="208" t="s">
        <v>289</v>
      </c>
      <c r="D588" s="208" t="s">
        <v>430</v>
      </c>
      <c r="E588" s="208" t="s">
        <v>318</v>
      </c>
      <c r="F588" s="208">
        <v>2026</v>
      </c>
      <c r="G588" s="208">
        <v>2.5</v>
      </c>
      <c r="H588" s="208" t="s">
        <v>99</v>
      </c>
      <c r="I588" s="208" t="s">
        <v>100</v>
      </c>
      <c r="J588" s="208" t="s">
        <v>373</v>
      </c>
      <c r="K588" s="208" t="s">
        <v>106</v>
      </c>
      <c r="L588" s="208" t="s">
        <v>668</v>
      </c>
      <c r="M588" s="208"/>
      <c r="N588" s="208"/>
      <c r="O588" s="208" t="s">
        <v>432</v>
      </c>
      <c r="P588" s="208"/>
      <c r="Q588" s="207"/>
      <c r="R588" s="208"/>
    </row>
    <row r="589" spans="1:18">
      <c r="A589" s="277">
        <v>520</v>
      </c>
      <c r="B589" s="278">
        <v>46147</v>
      </c>
      <c r="C589" s="208" t="s">
        <v>289</v>
      </c>
      <c r="D589" s="208" t="s">
        <v>568</v>
      </c>
      <c r="E589" s="208" t="s">
        <v>318</v>
      </c>
      <c r="F589" s="208"/>
      <c r="G589" s="208">
        <v>3</v>
      </c>
      <c r="H589" s="208"/>
      <c r="I589" s="208"/>
      <c r="J589" s="208"/>
      <c r="K589" s="208"/>
      <c r="L589" s="208" t="s">
        <v>529</v>
      </c>
      <c r="M589" s="208"/>
      <c r="N589" s="208"/>
      <c r="O589" s="208" t="s">
        <v>112</v>
      </c>
      <c r="P589" s="208"/>
      <c r="Q589" s="207"/>
      <c r="R589" s="208"/>
    </row>
    <row r="590" spans="1:18">
      <c r="A590" s="277">
        <v>521</v>
      </c>
      <c r="B590" s="278">
        <v>46148</v>
      </c>
      <c r="C590" s="208" t="s">
        <v>294</v>
      </c>
      <c r="D590" s="208" t="s">
        <v>661</v>
      </c>
      <c r="E590" s="208" t="s">
        <v>318</v>
      </c>
      <c r="F590" s="208">
        <v>2026</v>
      </c>
      <c r="G590" s="208">
        <v>2.5</v>
      </c>
      <c r="H590" s="208" t="s">
        <v>132</v>
      </c>
      <c r="I590" s="208" t="s">
        <v>184</v>
      </c>
      <c r="J590" s="208" t="s">
        <v>360</v>
      </c>
      <c r="K590" s="208" t="s">
        <v>101</v>
      </c>
      <c r="L590" s="208" t="s">
        <v>669</v>
      </c>
      <c r="M590" s="208">
        <v>2.5</v>
      </c>
      <c r="N590" s="208"/>
      <c r="O590" s="208" t="s">
        <v>63</v>
      </c>
      <c r="P590" s="208"/>
      <c r="Q590" s="207"/>
      <c r="R590" s="208"/>
    </row>
    <row r="591" spans="1:18">
      <c r="A591" s="277">
        <v>522</v>
      </c>
      <c r="B591" s="278">
        <v>46148</v>
      </c>
      <c r="C591" s="208" t="s">
        <v>294</v>
      </c>
      <c r="D591" s="208" t="s">
        <v>520</v>
      </c>
      <c r="E591" s="208" t="s">
        <v>318</v>
      </c>
      <c r="F591" s="208">
        <v>2026</v>
      </c>
      <c r="G591" s="208">
        <v>3</v>
      </c>
      <c r="H591" s="208" t="s">
        <v>57</v>
      </c>
      <c r="I591" s="208" t="s">
        <v>89</v>
      </c>
      <c r="J591" s="208" t="s">
        <v>311</v>
      </c>
      <c r="K591" s="208" t="s">
        <v>90</v>
      </c>
      <c r="L591" s="208" t="s">
        <v>670</v>
      </c>
      <c r="M591" s="208">
        <v>3</v>
      </c>
      <c r="N591" s="208"/>
      <c r="O591" s="208" t="s">
        <v>91</v>
      </c>
      <c r="P591" s="208"/>
      <c r="Q591" s="207"/>
      <c r="R591" s="208"/>
    </row>
    <row r="592" spans="1:18">
      <c r="A592" s="277">
        <v>523</v>
      </c>
      <c r="B592" s="278">
        <v>46148</v>
      </c>
      <c r="C592" s="208" t="s">
        <v>294</v>
      </c>
      <c r="D592" s="208" t="s">
        <v>477</v>
      </c>
      <c r="E592" s="208" t="s">
        <v>318</v>
      </c>
      <c r="F592" s="208">
        <v>2026</v>
      </c>
      <c r="G592" s="208">
        <v>3</v>
      </c>
      <c r="H592" s="208" t="s">
        <v>461</v>
      </c>
      <c r="I592" s="208" t="s">
        <v>136</v>
      </c>
      <c r="J592" s="208" t="s">
        <v>462</v>
      </c>
      <c r="K592" s="208" t="s">
        <v>101</v>
      </c>
      <c r="L592" s="208" t="s">
        <v>671</v>
      </c>
      <c r="M592" s="208">
        <v>3</v>
      </c>
      <c r="N592" s="208"/>
      <c r="O592" s="208" t="s">
        <v>140</v>
      </c>
      <c r="P592" s="208"/>
      <c r="Q592" s="207"/>
      <c r="R592" s="208"/>
    </row>
    <row r="593" spans="1:18">
      <c r="A593" s="277">
        <v>524</v>
      </c>
      <c r="B593" s="278">
        <v>46148</v>
      </c>
      <c r="C593" s="208" t="s">
        <v>294</v>
      </c>
      <c r="D593" s="208" t="s">
        <v>479</v>
      </c>
      <c r="E593" s="208" t="s">
        <v>318</v>
      </c>
      <c r="F593" s="208">
        <v>2026</v>
      </c>
      <c r="G593" s="208">
        <v>3</v>
      </c>
      <c r="H593" s="208" t="s">
        <v>461</v>
      </c>
      <c r="I593" s="208" t="s">
        <v>136</v>
      </c>
      <c r="J593" s="208" t="s">
        <v>462</v>
      </c>
      <c r="K593" s="208" t="s">
        <v>10</v>
      </c>
      <c r="L593" s="208" t="s">
        <v>671</v>
      </c>
      <c r="M593" s="208">
        <v>3</v>
      </c>
      <c r="N593" s="208"/>
      <c r="O593" s="208" t="s">
        <v>138</v>
      </c>
      <c r="P593" s="208"/>
      <c r="Q593" s="207"/>
      <c r="R593" s="208"/>
    </row>
    <row r="594" spans="1:18">
      <c r="A594" s="277">
        <v>525</v>
      </c>
      <c r="B594" s="278">
        <v>46148</v>
      </c>
      <c r="C594" s="208" t="s">
        <v>294</v>
      </c>
      <c r="D594" s="208" t="s">
        <v>482</v>
      </c>
      <c r="E594" s="208" t="s">
        <v>318</v>
      </c>
      <c r="F594" s="208">
        <v>2026</v>
      </c>
      <c r="G594" s="208">
        <v>2</v>
      </c>
      <c r="H594" s="208" t="s">
        <v>132</v>
      </c>
      <c r="I594" s="208" t="s">
        <v>133</v>
      </c>
      <c r="J594" s="208" t="s">
        <v>360</v>
      </c>
      <c r="K594" s="208" t="s">
        <v>135</v>
      </c>
      <c r="L594" s="208" t="s">
        <v>609</v>
      </c>
      <c r="M594" s="208">
        <v>2</v>
      </c>
      <c r="N594" s="208"/>
      <c r="O594" s="208" t="s">
        <v>127</v>
      </c>
      <c r="P594" s="208"/>
      <c r="Q594" s="207"/>
      <c r="R594" s="208"/>
    </row>
    <row r="595" spans="1:18">
      <c r="A595" s="277">
        <v>526</v>
      </c>
      <c r="B595" s="278">
        <v>46148</v>
      </c>
      <c r="C595" s="208" t="s">
        <v>294</v>
      </c>
      <c r="D595" s="208" t="s">
        <v>372</v>
      </c>
      <c r="E595" s="208" t="s">
        <v>318</v>
      </c>
      <c r="F595" s="208">
        <v>2026</v>
      </c>
      <c r="G595" s="208"/>
      <c r="H595" s="208" t="s">
        <v>57</v>
      </c>
      <c r="I595" s="208" t="s">
        <v>58</v>
      </c>
      <c r="J595" s="208" t="s">
        <v>373</v>
      </c>
      <c r="K595" s="208"/>
      <c r="L595" s="208" t="s">
        <v>659</v>
      </c>
      <c r="M595" s="208">
        <v>5</v>
      </c>
      <c r="N595" s="208"/>
      <c r="O595" s="208" t="s">
        <v>70</v>
      </c>
      <c r="P595" s="208"/>
      <c r="Q595" s="207"/>
      <c r="R595" s="208"/>
    </row>
    <row r="596" spans="1:18">
      <c r="A596" s="277">
        <v>527</v>
      </c>
      <c r="B596" s="278">
        <v>46149</v>
      </c>
      <c r="C596" s="208" t="s">
        <v>298</v>
      </c>
      <c r="D596" s="208" t="s">
        <v>643</v>
      </c>
      <c r="E596" s="208" t="s">
        <v>318</v>
      </c>
      <c r="F596" s="208">
        <v>2026</v>
      </c>
      <c r="G596" s="208">
        <v>2.5</v>
      </c>
      <c r="H596" s="208" t="s">
        <v>161</v>
      </c>
      <c r="I596" s="208" t="s">
        <v>644</v>
      </c>
      <c r="J596" s="208" t="s">
        <v>438</v>
      </c>
      <c r="K596" s="208" t="s">
        <v>101</v>
      </c>
      <c r="L596" s="208" t="s">
        <v>645</v>
      </c>
      <c r="M596" s="208">
        <v>2.5</v>
      </c>
      <c r="N596" s="208"/>
      <c r="O596" s="208" t="s">
        <v>163</v>
      </c>
      <c r="P596" s="208"/>
      <c r="Q596" s="207"/>
      <c r="R596" s="208"/>
    </row>
    <row r="597" spans="1:18">
      <c r="A597" s="277">
        <v>528</v>
      </c>
      <c r="B597" s="278">
        <v>46149</v>
      </c>
      <c r="C597" s="208" t="s">
        <v>298</v>
      </c>
      <c r="D597" s="208" t="s">
        <v>672</v>
      </c>
      <c r="E597" s="208" t="s">
        <v>318</v>
      </c>
      <c r="F597" s="208">
        <v>2026</v>
      </c>
      <c r="G597" s="208">
        <v>1.5</v>
      </c>
      <c r="H597" s="208" t="s">
        <v>161</v>
      </c>
      <c r="I597" s="208" t="s">
        <v>644</v>
      </c>
      <c r="J597" s="208" t="s">
        <v>438</v>
      </c>
      <c r="K597" s="208" t="s">
        <v>101</v>
      </c>
      <c r="L597" s="208" t="s">
        <v>673</v>
      </c>
      <c r="M597" s="208">
        <v>1.5</v>
      </c>
      <c r="N597" s="208"/>
      <c r="O597" s="208" t="s">
        <v>163</v>
      </c>
      <c r="P597" s="208"/>
      <c r="Q597" s="207"/>
      <c r="R597" s="208"/>
    </row>
    <row r="598" spans="1:18">
      <c r="A598" s="277">
        <v>529</v>
      </c>
      <c r="B598" s="278">
        <v>46149</v>
      </c>
      <c r="C598" s="208" t="s">
        <v>298</v>
      </c>
      <c r="D598" s="208" t="s">
        <v>661</v>
      </c>
      <c r="E598" s="208" t="s">
        <v>318</v>
      </c>
      <c r="F598" s="208">
        <v>2026</v>
      </c>
      <c r="G598" s="208">
        <v>2.5</v>
      </c>
      <c r="H598" s="208" t="s">
        <v>132</v>
      </c>
      <c r="I598" s="208" t="s">
        <v>184</v>
      </c>
      <c r="J598" s="208" t="s">
        <v>360</v>
      </c>
      <c r="K598" s="208" t="s">
        <v>101</v>
      </c>
      <c r="L598" s="208" t="s">
        <v>674</v>
      </c>
      <c r="M598" s="208">
        <v>2.5</v>
      </c>
      <c r="N598" s="208"/>
      <c r="O598" s="208" t="s">
        <v>63</v>
      </c>
      <c r="P598" s="208"/>
      <c r="Q598" s="207"/>
      <c r="R598" s="208"/>
    </row>
    <row r="599" spans="1:18">
      <c r="A599" s="277">
        <v>530</v>
      </c>
      <c r="B599" s="278">
        <v>46149</v>
      </c>
      <c r="C599" s="208" t="s">
        <v>298</v>
      </c>
      <c r="D599" s="208" t="s">
        <v>479</v>
      </c>
      <c r="E599" s="208" t="s">
        <v>318</v>
      </c>
      <c r="F599" s="208">
        <v>2026</v>
      </c>
      <c r="G599" s="208">
        <v>3</v>
      </c>
      <c r="H599" s="208" t="s">
        <v>461</v>
      </c>
      <c r="I599" s="208" t="s">
        <v>142</v>
      </c>
      <c r="J599" s="208" t="s">
        <v>462</v>
      </c>
      <c r="K599" s="208" t="s">
        <v>10</v>
      </c>
      <c r="L599" s="208" t="s">
        <v>675</v>
      </c>
      <c r="M599" s="208">
        <v>3</v>
      </c>
      <c r="N599" s="208"/>
      <c r="O599" s="208" t="s">
        <v>138</v>
      </c>
      <c r="P599" s="208"/>
      <c r="Q599" s="207"/>
      <c r="R599" s="208"/>
    </row>
    <row r="600" spans="1:18">
      <c r="A600" s="277">
        <v>531</v>
      </c>
      <c r="B600" s="278">
        <v>46149</v>
      </c>
      <c r="C600" s="208" t="s">
        <v>298</v>
      </c>
      <c r="D600" s="208" t="s">
        <v>477</v>
      </c>
      <c r="E600" s="208" t="s">
        <v>318</v>
      </c>
      <c r="F600" s="208">
        <v>2026</v>
      </c>
      <c r="G600" s="208">
        <v>3</v>
      </c>
      <c r="H600" s="208" t="s">
        <v>461</v>
      </c>
      <c r="I600" s="208" t="s">
        <v>142</v>
      </c>
      <c r="J600" s="208" t="s">
        <v>462</v>
      </c>
      <c r="K600" s="208" t="s">
        <v>101</v>
      </c>
      <c r="L600" s="208" t="s">
        <v>675</v>
      </c>
      <c r="M600" s="208">
        <v>3</v>
      </c>
      <c r="N600" s="208"/>
      <c r="O600" s="208" t="s">
        <v>140</v>
      </c>
      <c r="P600" s="208"/>
      <c r="Q600" s="207"/>
      <c r="R600" s="208"/>
    </row>
    <row r="601" spans="1:18">
      <c r="A601" s="277"/>
      <c r="B601" s="278">
        <v>46149</v>
      </c>
      <c r="C601" s="208" t="s">
        <v>298</v>
      </c>
      <c r="D601" s="208"/>
      <c r="E601" s="208" t="s">
        <v>318</v>
      </c>
      <c r="F601" s="208">
        <v>2026</v>
      </c>
      <c r="G601" s="208"/>
      <c r="H601" s="208" t="s">
        <v>132</v>
      </c>
      <c r="I601" s="208" t="s">
        <v>133</v>
      </c>
      <c r="J601" s="208" t="s">
        <v>360</v>
      </c>
      <c r="K601" s="208" t="s">
        <v>135</v>
      </c>
      <c r="L601" s="208" t="s">
        <v>616</v>
      </c>
      <c r="M601" s="208"/>
      <c r="N601" s="208"/>
      <c r="O601" s="208"/>
      <c r="P601" s="208"/>
      <c r="Q601" s="207"/>
      <c r="R601" s="208"/>
    </row>
    <row r="602" spans="1:18">
      <c r="A602" s="277">
        <v>532</v>
      </c>
      <c r="B602" s="278">
        <v>46149</v>
      </c>
      <c r="C602" s="208" t="s">
        <v>298</v>
      </c>
      <c r="D602" s="208" t="s">
        <v>655</v>
      </c>
      <c r="E602" s="208" t="s">
        <v>318</v>
      </c>
      <c r="F602" s="208">
        <v>2026</v>
      </c>
      <c r="G602" s="208">
        <v>1.5</v>
      </c>
      <c r="H602" s="208" t="s">
        <v>115</v>
      </c>
      <c r="I602" s="208" t="s">
        <v>437</v>
      </c>
      <c r="J602" s="208" t="s">
        <v>438</v>
      </c>
      <c r="K602" s="208" t="s">
        <v>101</v>
      </c>
      <c r="L602" s="208" t="s">
        <v>676</v>
      </c>
      <c r="M602" s="208">
        <v>1.5</v>
      </c>
      <c r="N602" s="208"/>
      <c r="O602" s="208" t="s">
        <v>164</v>
      </c>
      <c r="P602" s="208"/>
      <c r="Q602" s="207"/>
      <c r="R602" s="208"/>
    </row>
    <row r="603" spans="1:18">
      <c r="A603" s="277">
        <v>533</v>
      </c>
      <c r="B603" s="278">
        <v>46149</v>
      </c>
      <c r="C603" s="208" t="s">
        <v>298</v>
      </c>
      <c r="D603" s="208" t="s">
        <v>677</v>
      </c>
      <c r="E603" s="208" t="s">
        <v>318</v>
      </c>
      <c r="F603" s="208">
        <v>2026</v>
      </c>
      <c r="G603" s="208">
        <v>4</v>
      </c>
      <c r="H603" s="208" t="s">
        <v>99</v>
      </c>
      <c r="I603" s="208" t="s">
        <v>108</v>
      </c>
      <c r="J603" s="208" t="s">
        <v>366</v>
      </c>
      <c r="K603" s="208" t="s">
        <v>10</v>
      </c>
      <c r="L603" s="208" t="s">
        <v>666</v>
      </c>
      <c r="M603" s="208">
        <v>4</v>
      </c>
      <c r="N603" s="208"/>
      <c r="O603" s="208" t="s">
        <v>63</v>
      </c>
      <c r="P603" s="208"/>
      <c r="Q603" s="207"/>
      <c r="R603" s="208"/>
    </row>
    <row r="604" spans="1:18">
      <c r="A604" s="277">
        <v>534</v>
      </c>
      <c r="B604" s="278">
        <v>46149</v>
      </c>
      <c r="C604" s="208" t="s">
        <v>298</v>
      </c>
      <c r="D604" s="208" t="s">
        <v>667</v>
      </c>
      <c r="E604" s="208" t="s">
        <v>318</v>
      </c>
      <c r="F604" s="208">
        <v>2026</v>
      </c>
      <c r="G604" s="208">
        <v>4</v>
      </c>
      <c r="H604" s="208" t="s">
        <v>99</v>
      </c>
      <c r="I604" s="208" t="s">
        <v>108</v>
      </c>
      <c r="J604" s="208" t="s">
        <v>366</v>
      </c>
      <c r="K604" s="208" t="s">
        <v>106</v>
      </c>
      <c r="L604" s="208" t="s">
        <v>666</v>
      </c>
      <c r="M604" s="208">
        <v>4</v>
      </c>
      <c r="N604" s="208"/>
      <c r="O604" s="208" t="s">
        <v>91</v>
      </c>
      <c r="P604" s="208"/>
      <c r="Q604" s="207"/>
      <c r="R604" s="208"/>
    </row>
    <row r="605" spans="1:18">
      <c r="A605" s="277">
        <v>535</v>
      </c>
      <c r="B605" s="278">
        <v>46149</v>
      </c>
      <c r="C605" s="208" t="s">
        <v>298</v>
      </c>
      <c r="D605" s="208" t="s">
        <v>456</v>
      </c>
      <c r="E605" s="208" t="s">
        <v>318</v>
      </c>
      <c r="F605" s="208">
        <v>2026</v>
      </c>
      <c r="G605" s="208">
        <v>2.5</v>
      </c>
      <c r="H605" s="208" t="s">
        <v>99</v>
      </c>
      <c r="I605" s="208" t="s">
        <v>100</v>
      </c>
      <c r="J605" s="208" t="s">
        <v>373</v>
      </c>
      <c r="K605" s="208" t="s">
        <v>101</v>
      </c>
      <c r="L605" s="208" t="s">
        <v>678</v>
      </c>
      <c r="M605" s="208"/>
      <c r="N605" s="208"/>
      <c r="O605" s="208" t="s">
        <v>102</v>
      </c>
      <c r="P605" s="208"/>
      <c r="Q605" s="207"/>
      <c r="R605" s="208"/>
    </row>
    <row r="606" spans="1:18">
      <c r="A606" s="277">
        <v>536</v>
      </c>
      <c r="B606" s="278">
        <v>46149</v>
      </c>
      <c r="C606" s="208" t="s">
        <v>298</v>
      </c>
      <c r="D606" s="208" t="s">
        <v>532</v>
      </c>
      <c r="E606" s="208" t="s">
        <v>318</v>
      </c>
      <c r="F606" s="208">
        <v>2026</v>
      </c>
      <c r="G606" s="208">
        <v>2.5</v>
      </c>
      <c r="H606" s="208" t="s">
        <v>99</v>
      </c>
      <c r="I606" s="208" t="s">
        <v>100</v>
      </c>
      <c r="J606" s="208" t="s">
        <v>373</v>
      </c>
      <c r="K606" s="208" t="s">
        <v>10</v>
      </c>
      <c r="L606" s="208" t="s">
        <v>621</v>
      </c>
      <c r="M606" s="208"/>
      <c r="N606" s="208"/>
      <c r="O606" s="208" t="s">
        <v>29</v>
      </c>
      <c r="P606" s="208"/>
      <c r="Q606" s="207"/>
      <c r="R606" s="208"/>
    </row>
    <row r="607" spans="1:18">
      <c r="A607" s="277">
        <v>537</v>
      </c>
      <c r="B607" s="278">
        <v>46149</v>
      </c>
      <c r="C607" s="208" t="s">
        <v>298</v>
      </c>
      <c r="D607" s="208" t="s">
        <v>467</v>
      </c>
      <c r="E607" s="208" t="s">
        <v>318</v>
      </c>
      <c r="F607" s="208">
        <v>2026</v>
      </c>
      <c r="G607" s="208">
        <v>2.5</v>
      </c>
      <c r="H607" s="208" t="s">
        <v>99</v>
      </c>
      <c r="I607" s="208" t="s">
        <v>100</v>
      </c>
      <c r="J607" s="208" t="s">
        <v>373</v>
      </c>
      <c r="K607" s="208" t="s">
        <v>104</v>
      </c>
      <c r="L607" s="208" t="s">
        <v>650</v>
      </c>
      <c r="M607" s="208">
        <v>2.5</v>
      </c>
      <c r="N607" s="208"/>
      <c r="O607" s="208" t="s">
        <v>70</v>
      </c>
      <c r="P607" s="208"/>
      <c r="Q607" s="207"/>
      <c r="R607" s="208"/>
    </row>
    <row r="608" spans="1:18">
      <c r="A608" s="277">
        <v>538</v>
      </c>
      <c r="B608" s="278">
        <v>46149</v>
      </c>
      <c r="C608" s="208" t="s">
        <v>298</v>
      </c>
      <c r="D608" s="208" t="s">
        <v>430</v>
      </c>
      <c r="E608" s="208" t="s">
        <v>318</v>
      </c>
      <c r="F608" s="208">
        <v>2026</v>
      </c>
      <c r="G608" s="208">
        <v>2.5</v>
      </c>
      <c r="H608" s="208" t="s">
        <v>99</v>
      </c>
      <c r="I608" s="208" t="s">
        <v>100</v>
      </c>
      <c r="J608" s="208" t="s">
        <v>373</v>
      </c>
      <c r="K608" s="208" t="s">
        <v>106</v>
      </c>
      <c r="L608" s="208" t="s">
        <v>678</v>
      </c>
      <c r="M608" s="208"/>
      <c r="N608" s="208"/>
      <c r="O608" s="208" t="s">
        <v>432</v>
      </c>
      <c r="P608" s="208"/>
      <c r="Q608" s="207"/>
      <c r="R608" s="208"/>
    </row>
    <row r="609" spans="1:18">
      <c r="A609" s="277"/>
      <c r="B609" s="278">
        <v>46150</v>
      </c>
      <c r="C609" s="208" t="s">
        <v>301</v>
      </c>
      <c r="D609" s="208" t="s">
        <v>679</v>
      </c>
      <c r="E609" s="208" t="s">
        <v>318</v>
      </c>
      <c r="F609" s="208">
        <v>2026</v>
      </c>
      <c r="G609" s="208">
        <v>0.75</v>
      </c>
      <c r="H609" s="208" t="s">
        <v>204</v>
      </c>
      <c r="I609" s="208" t="s">
        <v>205</v>
      </c>
      <c r="J609" s="208" t="s">
        <v>680</v>
      </c>
      <c r="K609" s="208"/>
      <c r="L609" s="208" t="s">
        <v>681</v>
      </c>
      <c r="M609" s="208">
        <v>0.75</v>
      </c>
      <c r="N609" s="208"/>
      <c r="O609" s="208"/>
      <c r="P609" s="208"/>
      <c r="Q609" s="207"/>
      <c r="R609" s="208"/>
    </row>
    <row r="610" spans="1:18">
      <c r="A610" s="277">
        <v>539</v>
      </c>
      <c r="B610" s="278">
        <v>46150</v>
      </c>
      <c r="C610" s="208" t="s">
        <v>301</v>
      </c>
      <c r="D610" s="208" t="s">
        <v>482</v>
      </c>
      <c r="E610" s="208" t="s">
        <v>318</v>
      </c>
      <c r="F610" s="208">
        <v>2026</v>
      </c>
      <c r="G610" s="208">
        <v>2</v>
      </c>
      <c r="H610" s="208" t="s">
        <v>132</v>
      </c>
      <c r="I610" s="208" t="s">
        <v>133</v>
      </c>
      <c r="J610" s="208" t="s">
        <v>360</v>
      </c>
      <c r="K610" s="208" t="s">
        <v>135</v>
      </c>
      <c r="L610" s="208" t="s">
        <v>626</v>
      </c>
      <c r="M610" s="208">
        <v>2</v>
      </c>
      <c r="N610" s="208"/>
      <c r="O610" s="208" t="s">
        <v>127</v>
      </c>
      <c r="P610" s="208"/>
      <c r="Q610" s="207"/>
      <c r="R610" s="208"/>
    </row>
    <row r="611" spans="1:18">
      <c r="A611" s="277">
        <v>540</v>
      </c>
      <c r="B611" s="278">
        <v>46150</v>
      </c>
      <c r="C611" s="208" t="s">
        <v>301</v>
      </c>
      <c r="D611" s="208" t="s">
        <v>497</v>
      </c>
      <c r="E611" s="208" t="s">
        <v>318</v>
      </c>
      <c r="F611" s="208">
        <v>2026</v>
      </c>
      <c r="G611" s="208" t="s">
        <v>498</v>
      </c>
      <c r="H611" s="208" t="s">
        <v>57</v>
      </c>
      <c r="I611" s="208" t="s">
        <v>454</v>
      </c>
      <c r="J611" s="208" t="s">
        <v>311</v>
      </c>
      <c r="K611" s="208"/>
      <c r="L611" s="208" t="s">
        <v>682</v>
      </c>
      <c r="M611" s="208" t="s">
        <v>498</v>
      </c>
      <c r="N611" s="208"/>
      <c r="O611" s="208" t="s">
        <v>12</v>
      </c>
      <c r="P611" s="208"/>
      <c r="Q611" s="207"/>
      <c r="R611" s="208"/>
    </row>
    <row r="612" spans="1:18">
      <c r="A612" s="277">
        <v>541</v>
      </c>
      <c r="B612" s="278">
        <v>46150</v>
      </c>
      <c r="C612" s="208" t="s">
        <v>301</v>
      </c>
      <c r="D612" s="208" t="s">
        <v>655</v>
      </c>
      <c r="E612" s="208" t="s">
        <v>318</v>
      </c>
      <c r="F612" s="208">
        <v>2026</v>
      </c>
      <c r="G612" s="208">
        <v>1.5</v>
      </c>
      <c r="H612" s="208" t="s">
        <v>115</v>
      </c>
      <c r="I612" s="208" t="s">
        <v>437</v>
      </c>
      <c r="J612" s="208" t="s">
        <v>438</v>
      </c>
      <c r="K612" s="208" t="s">
        <v>101</v>
      </c>
      <c r="L612" s="208" t="s">
        <v>676</v>
      </c>
      <c r="M612" s="208">
        <v>1.5</v>
      </c>
      <c r="N612" s="208"/>
      <c r="O612" s="208" t="s">
        <v>164</v>
      </c>
      <c r="P612" s="208"/>
      <c r="Q612" s="207"/>
      <c r="R612" s="208"/>
    </row>
    <row r="613" spans="1:18">
      <c r="A613" s="277">
        <v>542</v>
      </c>
      <c r="B613" s="278">
        <v>46150</v>
      </c>
      <c r="C613" s="208" t="s">
        <v>301</v>
      </c>
      <c r="D613" s="208" t="s">
        <v>372</v>
      </c>
      <c r="E613" s="208" t="s">
        <v>318</v>
      </c>
      <c r="F613" s="208">
        <v>2026</v>
      </c>
      <c r="G613" s="208"/>
      <c r="H613" s="208" t="s">
        <v>57</v>
      </c>
      <c r="I613" s="208" t="s">
        <v>58</v>
      </c>
      <c r="J613" s="208" t="s">
        <v>373</v>
      </c>
      <c r="K613" s="208"/>
      <c r="L613" s="208" t="s">
        <v>659</v>
      </c>
      <c r="M613" s="208">
        <v>5</v>
      </c>
      <c r="N613" s="208"/>
      <c r="O613" s="208" t="s">
        <v>70</v>
      </c>
      <c r="P613" s="208"/>
      <c r="Q613" s="207"/>
      <c r="R613" s="208"/>
    </row>
    <row r="614" spans="1:18">
      <c r="A614" s="277">
        <v>543</v>
      </c>
      <c r="B614" s="278">
        <v>46153</v>
      </c>
      <c r="C614" s="208" t="s">
        <v>302</v>
      </c>
      <c r="D614" s="208" t="s">
        <v>683</v>
      </c>
      <c r="E614" s="208" t="s">
        <v>318</v>
      </c>
      <c r="F614" s="208">
        <v>2026</v>
      </c>
      <c r="G614" s="208">
        <v>4</v>
      </c>
      <c r="H614" s="208" t="s">
        <v>215</v>
      </c>
      <c r="I614" s="208" t="s">
        <v>218</v>
      </c>
      <c r="J614" s="208" t="s">
        <v>366</v>
      </c>
      <c r="K614" s="208" t="s">
        <v>106</v>
      </c>
      <c r="L614" s="208" t="s">
        <v>376</v>
      </c>
      <c r="M614" s="208">
        <v>4</v>
      </c>
      <c r="N614" s="208"/>
      <c r="O614" s="208" t="s">
        <v>432</v>
      </c>
      <c r="P614" s="208"/>
      <c r="Q614" s="207"/>
      <c r="R614" s="208"/>
    </row>
    <row r="615" spans="1:18">
      <c r="A615" s="277">
        <v>544</v>
      </c>
      <c r="B615" s="278">
        <v>46153</v>
      </c>
      <c r="C615" s="208" t="s">
        <v>302</v>
      </c>
      <c r="D615" s="208" t="s">
        <v>520</v>
      </c>
      <c r="E615" s="208" t="s">
        <v>318</v>
      </c>
      <c r="F615" s="208">
        <v>2026</v>
      </c>
      <c r="G615" s="208">
        <v>3</v>
      </c>
      <c r="H615" s="208" t="s">
        <v>57</v>
      </c>
      <c r="I615" s="208" t="s">
        <v>89</v>
      </c>
      <c r="J615" s="208" t="s">
        <v>311</v>
      </c>
      <c r="K615" s="208" t="s">
        <v>90</v>
      </c>
      <c r="L615" s="208" t="s">
        <v>684</v>
      </c>
      <c r="M615" s="208">
        <v>3</v>
      </c>
      <c r="N615" s="208"/>
      <c r="O615" s="208" t="s">
        <v>91</v>
      </c>
      <c r="P615" s="208"/>
      <c r="Q615" s="207"/>
      <c r="R615" s="208"/>
    </row>
    <row r="616" spans="1:18">
      <c r="A616" s="277">
        <v>545</v>
      </c>
      <c r="B616" s="278">
        <v>46153</v>
      </c>
      <c r="C616" s="208" t="s">
        <v>302</v>
      </c>
      <c r="D616" s="208" t="s">
        <v>477</v>
      </c>
      <c r="E616" s="208" t="s">
        <v>318</v>
      </c>
      <c r="F616" s="208">
        <v>2026</v>
      </c>
      <c r="G616" s="208">
        <v>3</v>
      </c>
      <c r="H616" s="208" t="s">
        <v>461</v>
      </c>
      <c r="I616" s="208" t="s">
        <v>136</v>
      </c>
      <c r="J616" s="208" t="s">
        <v>462</v>
      </c>
      <c r="K616" s="208" t="s">
        <v>101</v>
      </c>
      <c r="L616" s="208" t="s">
        <v>685</v>
      </c>
      <c r="M616" s="208">
        <v>3</v>
      </c>
      <c r="N616" s="208"/>
      <c r="O616" s="208" t="s">
        <v>138</v>
      </c>
      <c r="P616" s="208"/>
      <c r="Q616" s="207"/>
      <c r="R616" s="208"/>
    </row>
    <row r="617" spans="1:18">
      <c r="A617" s="277">
        <v>546</v>
      </c>
      <c r="B617" s="278">
        <v>46153</v>
      </c>
      <c r="C617" s="208" t="s">
        <v>302</v>
      </c>
      <c r="D617" s="208" t="s">
        <v>479</v>
      </c>
      <c r="E617" s="208" t="s">
        <v>318</v>
      </c>
      <c r="F617" s="208">
        <v>2026</v>
      </c>
      <c r="G617" s="208">
        <v>3</v>
      </c>
      <c r="H617" s="208" t="s">
        <v>461</v>
      </c>
      <c r="I617" s="208" t="s">
        <v>136</v>
      </c>
      <c r="J617" s="208" t="s">
        <v>462</v>
      </c>
      <c r="K617" s="208" t="s">
        <v>10</v>
      </c>
      <c r="L617" s="208" t="s">
        <v>685</v>
      </c>
      <c r="M617" s="208">
        <v>3</v>
      </c>
      <c r="N617" s="208"/>
      <c r="O617" s="208" t="s">
        <v>138</v>
      </c>
      <c r="P617" s="208"/>
      <c r="Q617" s="207"/>
      <c r="R617" s="208"/>
    </row>
    <row r="618" spans="1:18">
      <c r="A618" s="277">
        <v>547</v>
      </c>
      <c r="B618" s="278">
        <v>46153</v>
      </c>
      <c r="C618" s="208" t="s">
        <v>302</v>
      </c>
      <c r="D618" s="208" t="s">
        <v>482</v>
      </c>
      <c r="E618" s="208" t="s">
        <v>318</v>
      </c>
      <c r="F618" s="208">
        <v>2026</v>
      </c>
      <c r="G618" s="208">
        <v>2</v>
      </c>
      <c r="H618" s="208" t="s">
        <v>132</v>
      </c>
      <c r="I618" s="208" t="s">
        <v>133</v>
      </c>
      <c r="J618" s="208" t="s">
        <v>360</v>
      </c>
      <c r="K618" s="208" t="s">
        <v>135</v>
      </c>
      <c r="L618" s="208" t="s">
        <v>635</v>
      </c>
      <c r="M618" s="208">
        <v>2</v>
      </c>
      <c r="N618" s="208"/>
      <c r="O618" s="208" t="s">
        <v>127</v>
      </c>
      <c r="P618" s="208"/>
      <c r="Q618" s="207"/>
      <c r="R618" s="208"/>
    </row>
    <row r="619" spans="1:18">
      <c r="A619" s="277">
        <v>548</v>
      </c>
      <c r="B619" s="278">
        <v>46153</v>
      </c>
      <c r="C619" s="208" t="s">
        <v>302</v>
      </c>
      <c r="D619" s="208"/>
      <c r="E619" s="208" t="s">
        <v>318</v>
      </c>
      <c r="F619" s="208">
        <v>2026</v>
      </c>
      <c r="G619" s="208">
        <v>3</v>
      </c>
      <c r="H619" s="208" t="s">
        <v>61</v>
      </c>
      <c r="I619" s="208" t="s">
        <v>62</v>
      </c>
      <c r="J619" s="208" t="s">
        <v>360</v>
      </c>
      <c r="K619" s="208" t="s">
        <v>38</v>
      </c>
      <c r="L619" s="208" t="s">
        <v>569</v>
      </c>
      <c r="M619" s="208"/>
      <c r="N619" s="208"/>
      <c r="O619" s="208" t="s">
        <v>169</v>
      </c>
      <c r="P619" s="208"/>
      <c r="Q619" s="207"/>
      <c r="R619" s="208"/>
    </row>
    <row r="620" spans="1:18">
      <c r="A620" s="277">
        <v>549</v>
      </c>
      <c r="B620" s="278">
        <v>46154</v>
      </c>
      <c r="C620" s="208" t="s">
        <v>289</v>
      </c>
      <c r="D620" s="208" t="s">
        <v>683</v>
      </c>
      <c r="E620" s="208" t="s">
        <v>318</v>
      </c>
      <c r="F620" s="208">
        <v>2026</v>
      </c>
      <c r="G620" s="208">
        <v>4</v>
      </c>
      <c r="H620" s="208" t="s">
        <v>215</v>
      </c>
      <c r="I620" s="208" t="s">
        <v>218</v>
      </c>
      <c r="J620" s="208" t="s">
        <v>366</v>
      </c>
      <c r="K620" s="208" t="s">
        <v>106</v>
      </c>
      <c r="L620" s="208" t="s">
        <v>379</v>
      </c>
      <c r="M620" s="208">
        <v>4</v>
      </c>
      <c r="N620" s="208"/>
      <c r="O620" s="208" t="s">
        <v>432</v>
      </c>
      <c r="P620" s="208"/>
      <c r="Q620" s="207"/>
      <c r="R620" s="208"/>
    </row>
    <row r="621" spans="1:18">
      <c r="A621" s="277">
        <v>550</v>
      </c>
      <c r="B621" s="278">
        <v>46154</v>
      </c>
      <c r="C621" s="208" t="s">
        <v>289</v>
      </c>
      <c r="D621" s="208" t="s">
        <v>686</v>
      </c>
      <c r="E621" s="208" t="s">
        <v>318</v>
      </c>
      <c r="F621" s="208">
        <v>2026</v>
      </c>
      <c r="G621" s="208">
        <v>1</v>
      </c>
      <c r="H621" s="208" t="s">
        <v>196</v>
      </c>
      <c r="I621" s="208" t="s">
        <v>197</v>
      </c>
      <c r="J621" s="208" t="s">
        <v>687</v>
      </c>
      <c r="K621" s="208" t="s">
        <v>101</v>
      </c>
      <c r="L621" s="208" t="s">
        <v>688</v>
      </c>
      <c r="M621" s="208">
        <v>1</v>
      </c>
      <c r="N621" s="208"/>
      <c r="O621" s="208" t="s">
        <v>689</v>
      </c>
      <c r="P621" s="208"/>
      <c r="Q621" s="207"/>
      <c r="R621" s="208"/>
    </row>
    <row r="622" spans="1:18">
      <c r="A622" s="277">
        <v>551</v>
      </c>
      <c r="B622" s="278">
        <v>46154</v>
      </c>
      <c r="C622" s="208" t="s">
        <v>289</v>
      </c>
      <c r="D622" s="208" t="s">
        <v>661</v>
      </c>
      <c r="E622" s="208" t="s">
        <v>318</v>
      </c>
      <c r="F622" s="208">
        <v>2026</v>
      </c>
      <c r="G622" s="208">
        <v>2.5</v>
      </c>
      <c r="H622" s="208" t="s">
        <v>132</v>
      </c>
      <c r="I622" s="208" t="s">
        <v>184</v>
      </c>
      <c r="J622" s="208" t="s">
        <v>360</v>
      </c>
      <c r="K622" s="208" t="s">
        <v>101</v>
      </c>
      <c r="L622" s="208" t="s">
        <v>690</v>
      </c>
      <c r="M622" s="208">
        <v>2.5</v>
      </c>
      <c r="N622" s="208"/>
      <c r="O622" s="208" t="s">
        <v>63</v>
      </c>
      <c r="P622" s="208"/>
      <c r="Q622" s="207"/>
      <c r="R622" s="208"/>
    </row>
    <row r="623" spans="1:18">
      <c r="A623" s="277">
        <v>552</v>
      </c>
      <c r="B623" s="278">
        <v>46154</v>
      </c>
      <c r="C623" s="208" t="s">
        <v>289</v>
      </c>
      <c r="D623" s="208" t="s">
        <v>479</v>
      </c>
      <c r="E623" s="208" t="s">
        <v>318</v>
      </c>
      <c r="F623" s="208">
        <v>2026</v>
      </c>
      <c r="G623" s="208">
        <v>3</v>
      </c>
      <c r="H623" s="208" t="s">
        <v>461</v>
      </c>
      <c r="I623" s="208" t="s">
        <v>142</v>
      </c>
      <c r="J623" s="208" t="s">
        <v>462</v>
      </c>
      <c r="K623" s="208" t="s">
        <v>10</v>
      </c>
      <c r="L623" s="208" t="s">
        <v>691</v>
      </c>
      <c r="M623" s="208">
        <v>3</v>
      </c>
      <c r="N623" s="208"/>
      <c r="O623" s="208" t="s">
        <v>138</v>
      </c>
      <c r="P623" s="208"/>
      <c r="Q623" s="207"/>
      <c r="R623" s="208"/>
    </row>
    <row r="624" spans="1:18">
      <c r="A624" s="277">
        <v>553</v>
      </c>
      <c r="B624" s="278">
        <v>46154</v>
      </c>
      <c r="C624" s="208" t="s">
        <v>289</v>
      </c>
      <c r="D624" s="208" t="s">
        <v>477</v>
      </c>
      <c r="E624" s="208" t="s">
        <v>318</v>
      </c>
      <c r="F624" s="208">
        <v>2026</v>
      </c>
      <c r="G624" s="208">
        <v>3</v>
      </c>
      <c r="H624" s="208" t="s">
        <v>461</v>
      </c>
      <c r="I624" s="208" t="s">
        <v>142</v>
      </c>
      <c r="J624" s="208" t="s">
        <v>462</v>
      </c>
      <c r="K624" s="208" t="s">
        <v>101</v>
      </c>
      <c r="L624" s="208" t="s">
        <v>691</v>
      </c>
      <c r="M624" s="208">
        <v>3</v>
      </c>
      <c r="N624" s="208"/>
      <c r="O624" s="208" t="s">
        <v>82</v>
      </c>
      <c r="P624" s="208"/>
      <c r="Q624" s="207"/>
      <c r="R624" s="208"/>
    </row>
    <row r="625" spans="1:18">
      <c r="A625" s="277">
        <v>554</v>
      </c>
      <c r="B625" s="278">
        <v>46154</v>
      </c>
      <c r="C625" s="208" t="s">
        <v>289</v>
      </c>
      <c r="D625" s="208" t="s">
        <v>497</v>
      </c>
      <c r="E625" s="208" t="s">
        <v>318</v>
      </c>
      <c r="F625" s="208">
        <v>2026</v>
      </c>
      <c r="G625" s="208" t="s">
        <v>498</v>
      </c>
      <c r="H625" s="208" t="s">
        <v>57</v>
      </c>
      <c r="I625" s="208" t="s">
        <v>454</v>
      </c>
      <c r="J625" s="208" t="s">
        <v>311</v>
      </c>
      <c r="K625" s="208"/>
      <c r="L625" s="208" t="s">
        <v>692</v>
      </c>
      <c r="M625" s="208" t="s">
        <v>498</v>
      </c>
      <c r="N625" s="208"/>
      <c r="O625" s="208" t="s">
        <v>693</v>
      </c>
      <c r="P625" s="208"/>
      <c r="Q625" s="207"/>
      <c r="R625" s="208"/>
    </row>
    <row r="626" spans="1:18">
      <c r="A626" s="277">
        <v>555</v>
      </c>
      <c r="B626" s="278">
        <v>46154</v>
      </c>
      <c r="C626" s="208" t="s">
        <v>289</v>
      </c>
      <c r="D626" s="208" t="s">
        <v>655</v>
      </c>
      <c r="E626" s="208" t="s">
        <v>318</v>
      </c>
      <c r="F626" s="208">
        <v>2026</v>
      </c>
      <c r="G626" s="208">
        <v>1.5</v>
      </c>
      <c r="H626" s="208" t="s">
        <v>115</v>
      </c>
      <c r="I626" s="208" t="s">
        <v>437</v>
      </c>
      <c r="J626" s="208" t="s">
        <v>438</v>
      </c>
      <c r="K626" s="208" t="s">
        <v>101</v>
      </c>
      <c r="L626" s="208" t="s">
        <v>694</v>
      </c>
      <c r="M626" s="208">
        <v>1.5</v>
      </c>
      <c r="N626" s="208"/>
      <c r="O626" s="208" t="s">
        <v>117</v>
      </c>
      <c r="P626" s="208"/>
      <c r="Q626" s="207"/>
      <c r="R626" s="208"/>
    </row>
    <row r="627" spans="1:18">
      <c r="A627" s="277">
        <v>556</v>
      </c>
      <c r="B627" s="278">
        <v>46154</v>
      </c>
      <c r="C627" s="208" t="s">
        <v>289</v>
      </c>
      <c r="D627" s="208" t="s">
        <v>665</v>
      </c>
      <c r="E627" s="208" t="s">
        <v>318</v>
      </c>
      <c r="F627" s="208">
        <v>2026</v>
      </c>
      <c r="G627" s="208">
        <v>4</v>
      </c>
      <c r="H627" s="208" t="s">
        <v>99</v>
      </c>
      <c r="I627" s="208" t="s">
        <v>108</v>
      </c>
      <c r="J627" s="208" t="s">
        <v>366</v>
      </c>
      <c r="K627" s="208" t="s">
        <v>101</v>
      </c>
      <c r="L627" s="208" t="s">
        <v>695</v>
      </c>
      <c r="M627" s="208">
        <v>4</v>
      </c>
      <c r="N627" s="208"/>
      <c r="O627" s="208" t="s">
        <v>112</v>
      </c>
      <c r="P627" s="208"/>
      <c r="Q627" s="207"/>
      <c r="R627" s="208"/>
    </row>
    <row r="628" spans="1:18">
      <c r="A628" s="277">
        <v>557</v>
      </c>
      <c r="B628" s="278">
        <v>46154</v>
      </c>
      <c r="C628" s="208" t="s">
        <v>289</v>
      </c>
      <c r="D628" s="208" t="s">
        <v>667</v>
      </c>
      <c r="E628" s="208" t="s">
        <v>318</v>
      </c>
      <c r="F628" s="208">
        <v>2026</v>
      </c>
      <c r="G628" s="208">
        <v>4</v>
      </c>
      <c r="H628" s="208" t="s">
        <v>99</v>
      </c>
      <c r="I628" s="208" t="s">
        <v>108</v>
      </c>
      <c r="J628" s="208" t="s">
        <v>366</v>
      </c>
      <c r="K628" s="208" t="s">
        <v>104</v>
      </c>
      <c r="L628" s="208" t="s">
        <v>695</v>
      </c>
      <c r="M628" s="208">
        <v>4</v>
      </c>
      <c r="N628" s="208"/>
      <c r="O628" s="208" t="s">
        <v>109</v>
      </c>
      <c r="P628" s="208"/>
      <c r="Q628" s="207"/>
      <c r="R628" s="208"/>
    </row>
    <row r="629" spans="1:18">
      <c r="A629" s="277">
        <v>558</v>
      </c>
      <c r="B629" s="278">
        <v>46154</v>
      </c>
      <c r="C629" s="208" t="s">
        <v>289</v>
      </c>
      <c r="D629" s="208" t="s">
        <v>456</v>
      </c>
      <c r="E629" s="208" t="s">
        <v>318</v>
      </c>
      <c r="F629" s="208">
        <v>2026</v>
      </c>
      <c r="G629" s="208">
        <v>2.5</v>
      </c>
      <c r="H629" s="208" t="s">
        <v>99</v>
      </c>
      <c r="I629" s="208" t="s">
        <v>100</v>
      </c>
      <c r="J629" s="208" t="s">
        <v>373</v>
      </c>
      <c r="K629" s="208" t="s">
        <v>101</v>
      </c>
      <c r="L629" s="208" t="s">
        <v>696</v>
      </c>
      <c r="M629" s="208">
        <v>2.5</v>
      </c>
      <c r="N629" s="208"/>
      <c r="O629" s="208" t="s">
        <v>102</v>
      </c>
      <c r="P629" s="208"/>
      <c r="Q629" s="207"/>
      <c r="R629" s="208"/>
    </row>
    <row r="630" spans="1:18">
      <c r="A630" s="277">
        <v>559</v>
      </c>
      <c r="B630" s="278">
        <v>46154</v>
      </c>
      <c r="C630" s="208" t="s">
        <v>289</v>
      </c>
      <c r="D630" s="208"/>
      <c r="E630" s="208" t="s">
        <v>318</v>
      </c>
      <c r="F630" s="208">
        <v>2026</v>
      </c>
      <c r="G630" s="208"/>
      <c r="H630" s="208" t="s">
        <v>99</v>
      </c>
      <c r="I630" s="208" t="s">
        <v>100</v>
      </c>
      <c r="J630" s="208" t="s">
        <v>373</v>
      </c>
      <c r="K630" s="208" t="s">
        <v>10</v>
      </c>
      <c r="L630" s="208" t="s">
        <v>427</v>
      </c>
      <c r="M630" s="208">
        <v>2.5</v>
      </c>
      <c r="N630" s="208"/>
      <c r="O630" s="208" t="s">
        <v>29</v>
      </c>
      <c r="P630" s="208"/>
      <c r="Q630" s="207"/>
      <c r="R630" s="208"/>
    </row>
    <row r="631" spans="1:18">
      <c r="A631" s="277">
        <v>560</v>
      </c>
      <c r="B631" s="278">
        <v>46154</v>
      </c>
      <c r="C631" s="208" t="s">
        <v>289</v>
      </c>
      <c r="D631" s="208" t="s">
        <v>430</v>
      </c>
      <c r="E631" s="208" t="s">
        <v>318</v>
      </c>
      <c r="F631" s="208">
        <v>2026</v>
      </c>
      <c r="G631" s="208">
        <v>2.5</v>
      </c>
      <c r="H631" s="208" t="s">
        <v>99</v>
      </c>
      <c r="I631" s="208" t="s">
        <v>100</v>
      </c>
      <c r="J631" s="208" t="s">
        <v>373</v>
      </c>
      <c r="K631" s="208" t="s">
        <v>106</v>
      </c>
      <c r="L631" s="208" t="s">
        <v>696</v>
      </c>
      <c r="M631" s="208">
        <v>2.5</v>
      </c>
      <c r="N631" s="208"/>
      <c r="O631" s="208" t="s">
        <v>432</v>
      </c>
      <c r="P631" s="208"/>
      <c r="Q631" s="207"/>
      <c r="R631" s="208"/>
    </row>
    <row r="632" spans="1:18">
      <c r="A632" s="277">
        <v>561</v>
      </c>
      <c r="B632" s="278">
        <v>46154</v>
      </c>
      <c r="C632" s="208" t="s">
        <v>289</v>
      </c>
      <c r="D632" s="208" t="s">
        <v>568</v>
      </c>
      <c r="E632" s="208" t="s">
        <v>318</v>
      </c>
      <c r="F632" s="208">
        <v>2026</v>
      </c>
      <c r="G632" s="208">
        <v>3</v>
      </c>
      <c r="H632" s="208" t="s">
        <v>61</v>
      </c>
      <c r="I632" s="208" t="s">
        <v>62</v>
      </c>
      <c r="J632" s="208" t="s">
        <v>360</v>
      </c>
      <c r="K632" s="208" t="s">
        <v>38</v>
      </c>
      <c r="L632" s="208" t="s">
        <v>569</v>
      </c>
      <c r="M632" s="208">
        <v>3</v>
      </c>
      <c r="N632" s="208"/>
      <c r="O632" s="208" t="s">
        <v>169</v>
      </c>
      <c r="P632" s="208"/>
      <c r="Q632" s="207"/>
      <c r="R632" s="208"/>
    </row>
    <row r="633" spans="1:18">
      <c r="A633" s="277">
        <v>562</v>
      </c>
      <c r="B633" s="278">
        <v>46154</v>
      </c>
      <c r="C633" s="208" t="s">
        <v>289</v>
      </c>
      <c r="D633" s="208" t="s">
        <v>568</v>
      </c>
      <c r="E633" s="208" t="s">
        <v>318</v>
      </c>
      <c r="F633" s="208">
        <v>2026</v>
      </c>
      <c r="G633" s="208">
        <v>3</v>
      </c>
      <c r="H633" s="208" t="s">
        <v>61</v>
      </c>
      <c r="I633" s="208" t="s">
        <v>62</v>
      </c>
      <c r="J633" s="208" t="s">
        <v>360</v>
      </c>
      <c r="K633" s="208" t="s">
        <v>38</v>
      </c>
      <c r="L633" s="208" t="s">
        <v>569</v>
      </c>
      <c r="M633" s="208">
        <v>3</v>
      </c>
      <c r="N633" s="208"/>
      <c r="O633" s="208" t="s">
        <v>169</v>
      </c>
      <c r="P633" s="208"/>
      <c r="Q633" s="207"/>
      <c r="R633" s="208"/>
    </row>
    <row r="634" spans="1:18">
      <c r="A634" s="277">
        <v>563</v>
      </c>
      <c r="B634" s="278">
        <v>46155</v>
      </c>
      <c r="C634" s="208" t="s">
        <v>294</v>
      </c>
      <c r="D634" s="208" t="s">
        <v>697</v>
      </c>
      <c r="E634" s="208" t="s">
        <v>318</v>
      </c>
      <c r="F634" s="208">
        <v>2026</v>
      </c>
      <c r="G634" s="208">
        <v>5</v>
      </c>
      <c r="H634" s="208" t="s">
        <v>204</v>
      </c>
      <c r="I634" s="208" t="s">
        <v>205</v>
      </c>
      <c r="J634" s="208" t="s">
        <v>680</v>
      </c>
      <c r="K634" s="208"/>
      <c r="L634" s="208" t="s">
        <v>698</v>
      </c>
      <c r="M634" s="208">
        <v>5</v>
      </c>
      <c r="N634" s="208"/>
      <c r="O634" s="208" t="s">
        <v>699</v>
      </c>
      <c r="P634" s="208"/>
      <c r="Q634" s="207"/>
      <c r="R634" s="208"/>
    </row>
    <row r="635" spans="1:18">
      <c r="A635" s="277">
        <v>564</v>
      </c>
      <c r="B635" s="278">
        <v>46155</v>
      </c>
      <c r="C635" s="208" t="s">
        <v>294</v>
      </c>
      <c r="D635" s="208" t="s">
        <v>661</v>
      </c>
      <c r="E635" s="208" t="s">
        <v>318</v>
      </c>
      <c r="F635" s="208">
        <v>2026</v>
      </c>
      <c r="G635" s="208">
        <v>2.5</v>
      </c>
      <c r="H635" s="208" t="s">
        <v>132</v>
      </c>
      <c r="I635" s="208" t="s">
        <v>184</v>
      </c>
      <c r="J635" s="208" t="s">
        <v>360</v>
      </c>
      <c r="K635" s="208" t="s">
        <v>101</v>
      </c>
      <c r="L635" s="208" t="s">
        <v>700</v>
      </c>
      <c r="M635" s="208">
        <v>2.5</v>
      </c>
      <c r="N635" s="208"/>
      <c r="O635" s="208" t="s">
        <v>63</v>
      </c>
      <c r="P635" s="208"/>
      <c r="Q635" s="207"/>
      <c r="R635" s="208"/>
    </row>
    <row r="636" spans="1:18">
      <c r="A636" s="277">
        <v>565</v>
      </c>
      <c r="B636" s="278">
        <v>46155</v>
      </c>
      <c r="C636" s="208" t="s">
        <v>294</v>
      </c>
      <c r="D636" s="208" t="s">
        <v>520</v>
      </c>
      <c r="E636" s="208" t="s">
        <v>318</v>
      </c>
      <c r="F636" s="208">
        <v>2026</v>
      </c>
      <c r="G636" s="208">
        <v>3</v>
      </c>
      <c r="H636" s="208" t="s">
        <v>57</v>
      </c>
      <c r="I636" s="208" t="s">
        <v>89</v>
      </c>
      <c r="J636" s="208" t="s">
        <v>311</v>
      </c>
      <c r="K636" s="208" t="s">
        <v>90</v>
      </c>
      <c r="L636" s="208" t="s">
        <v>701</v>
      </c>
      <c r="M636" s="208">
        <v>3</v>
      </c>
      <c r="N636" s="208"/>
      <c r="O636" s="208" t="s">
        <v>91</v>
      </c>
      <c r="P636" s="208"/>
      <c r="Q636" s="207"/>
      <c r="R636" s="208"/>
    </row>
    <row r="637" spans="1:18">
      <c r="A637" s="277">
        <v>566</v>
      </c>
      <c r="B637" s="278">
        <v>46155</v>
      </c>
      <c r="C637" s="208" t="s">
        <v>294</v>
      </c>
      <c r="D637" s="208" t="s">
        <v>477</v>
      </c>
      <c r="E637" s="208" t="s">
        <v>318</v>
      </c>
      <c r="F637" s="208">
        <v>2026</v>
      </c>
      <c r="G637" s="208">
        <v>3</v>
      </c>
      <c r="H637" s="208" t="s">
        <v>461</v>
      </c>
      <c r="I637" s="208" t="s">
        <v>136</v>
      </c>
      <c r="J637" s="208" t="s">
        <v>462</v>
      </c>
      <c r="K637" s="208" t="s">
        <v>101</v>
      </c>
      <c r="L637" s="208" t="s">
        <v>702</v>
      </c>
      <c r="M637" s="208">
        <v>3</v>
      </c>
      <c r="N637" s="208"/>
      <c r="O637" s="208" t="s">
        <v>138</v>
      </c>
      <c r="P637" s="208"/>
      <c r="Q637" s="207"/>
      <c r="R637" s="208"/>
    </row>
    <row r="638" spans="1:18">
      <c r="A638" s="277">
        <v>567</v>
      </c>
      <c r="B638" s="278">
        <v>46155</v>
      </c>
      <c r="C638" s="208" t="s">
        <v>294</v>
      </c>
      <c r="D638" s="208" t="s">
        <v>479</v>
      </c>
      <c r="E638" s="208" t="s">
        <v>318</v>
      </c>
      <c r="F638" s="208">
        <v>2026</v>
      </c>
      <c r="G638" s="208">
        <v>3</v>
      </c>
      <c r="H638" s="208" t="s">
        <v>461</v>
      </c>
      <c r="I638" s="208" t="s">
        <v>136</v>
      </c>
      <c r="J638" s="208" t="s">
        <v>462</v>
      </c>
      <c r="K638" s="208" t="s">
        <v>10</v>
      </c>
      <c r="L638" s="208" t="s">
        <v>702</v>
      </c>
      <c r="M638" s="208">
        <v>3</v>
      </c>
      <c r="N638" s="208"/>
      <c r="O638" s="208" t="s">
        <v>138</v>
      </c>
      <c r="P638" s="208"/>
      <c r="Q638" s="207"/>
      <c r="R638" s="208"/>
    </row>
    <row r="639" spans="1:18">
      <c r="A639" s="277">
        <v>568</v>
      </c>
      <c r="B639" s="278">
        <v>46155</v>
      </c>
      <c r="C639" s="208" t="s">
        <v>294</v>
      </c>
      <c r="D639" s="208" t="s">
        <v>482</v>
      </c>
      <c r="E639" s="208" t="s">
        <v>318</v>
      </c>
      <c r="F639" s="208">
        <v>2026</v>
      </c>
      <c r="G639" s="208">
        <v>2</v>
      </c>
      <c r="H639" s="208" t="s">
        <v>132</v>
      </c>
      <c r="I639" s="208" t="s">
        <v>133</v>
      </c>
      <c r="J639" s="208" t="s">
        <v>360</v>
      </c>
      <c r="K639" s="208" t="s">
        <v>135</v>
      </c>
      <c r="L639" s="208" t="s">
        <v>703</v>
      </c>
      <c r="M639" s="208">
        <v>2</v>
      </c>
      <c r="N639" s="208"/>
      <c r="O639" s="208" t="s">
        <v>127</v>
      </c>
      <c r="P639" s="208"/>
      <c r="Q639" s="207"/>
      <c r="R639" s="208"/>
    </row>
    <row r="640" spans="1:18">
      <c r="A640" s="277">
        <v>569</v>
      </c>
      <c r="B640" s="278">
        <v>46156</v>
      </c>
      <c r="C640" s="208" t="s">
        <v>298</v>
      </c>
      <c r="D640" s="208" t="s">
        <v>697</v>
      </c>
      <c r="E640" s="208" t="s">
        <v>318</v>
      </c>
      <c r="F640" s="208">
        <v>2026</v>
      </c>
      <c r="G640" s="208">
        <v>5</v>
      </c>
      <c r="H640" s="208" t="s">
        <v>204</v>
      </c>
      <c r="I640" s="208" t="s">
        <v>205</v>
      </c>
      <c r="J640" s="208" t="s">
        <v>680</v>
      </c>
      <c r="K640" s="208"/>
      <c r="L640" s="208" t="s">
        <v>704</v>
      </c>
      <c r="M640" s="208">
        <v>5</v>
      </c>
      <c r="N640" s="208"/>
      <c r="O640" s="208" t="s">
        <v>699</v>
      </c>
      <c r="P640" s="208"/>
      <c r="Q640" s="207"/>
      <c r="R640" s="208"/>
    </row>
    <row r="641" spans="1:18">
      <c r="A641" s="277">
        <v>570</v>
      </c>
      <c r="B641" s="278">
        <v>46156</v>
      </c>
      <c r="C641" s="208" t="s">
        <v>298</v>
      </c>
      <c r="D641" s="208" t="s">
        <v>683</v>
      </c>
      <c r="E641" s="208" t="s">
        <v>318</v>
      </c>
      <c r="F641" s="208">
        <v>2026</v>
      </c>
      <c r="G641" s="208">
        <v>4</v>
      </c>
      <c r="H641" s="208" t="s">
        <v>215</v>
      </c>
      <c r="I641" s="208" t="s">
        <v>218</v>
      </c>
      <c r="J641" s="208" t="s">
        <v>366</v>
      </c>
      <c r="K641" s="208" t="s">
        <v>106</v>
      </c>
      <c r="L641" s="208" t="s">
        <v>705</v>
      </c>
      <c r="M641" s="208">
        <v>4</v>
      </c>
      <c r="N641" s="208"/>
      <c r="O641" s="208" t="s">
        <v>432</v>
      </c>
      <c r="P641" s="208"/>
      <c r="Q641" s="207"/>
      <c r="R641" s="208"/>
    </row>
    <row r="642" spans="1:18">
      <c r="A642" s="277">
        <v>571</v>
      </c>
      <c r="B642" s="278">
        <v>46156</v>
      </c>
      <c r="C642" s="208" t="s">
        <v>298</v>
      </c>
      <c r="D642" s="208" t="s">
        <v>661</v>
      </c>
      <c r="E642" s="208" t="s">
        <v>318</v>
      </c>
      <c r="F642" s="208">
        <v>2026</v>
      </c>
      <c r="G642" s="208">
        <v>2.5</v>
      </c>
      <c r="H642" s="208" t="s">
        <v>132</v>
      </c>
      <c r="I642" s="208" t="s">
        <v>184</v>
      </c>
      <c r="J642" s="208" t="s">
        <v>360</v>
      </c>
      <c r="K642" s="208" t="s">
        <v>101</v>
      </c>
      <c r="L642" s="208" t="s">
        <v>706</v>
      </c>
      <c r="M642" s="208">
        <v>2.5</v>
      </c>
      <c r="N642" s="208"/>
      <c r="O642" s="208" t="s">
        <v>63</v>
      </c>
      <c r="P642" s="208"/>
      <c r="Q642" s="207"/>
      <c r="R642" s="208"/>
    </row>
    <row r="643" spans="1:18">
      <c r="A643" s="277"/>
      <c r="B643" s="278">
        <v>46156</v>
      </c>
      <c r="C643" s="208" t="s">
        <v>298</v>
      </c>
      <c r="D643" s="208" t="s">
        <v>631</v>
      </c>
      <c r="E643" s="208" t="s">
        <v>318</v>
      </c>
      <c r="F643" s="208">
        <v>2026</v>
      </c>
      <c r="G643" s="208">
        <v>1</v>
      </c>
      <c r="H643" s="208" t="s">
        <v>461</v>
      </c>
      <c r="I643" s="208" t="s">
        <v>142</v>
      </c>
      <c r="J643" s="208" t="s">
        <v>462</v>
      </c>
      <c r="K643" s="208" t="s">
        <v>10</v>
      </c>
      <c r="L643" s="208" t="s">
        <v>595</v>
      </c>
      <c r="M643" s="208">
        <v>3</v>
      </c>
      <c r="N643" s="208"/>
      <c r="O643" s="208"/>
      <c r="P643" s="208"/>
      <c r="Q643" s="207"/>
      <c r="R643" s="208"/>
    </row>
    <row r="644" spans="1:18">
      <c r="A644" s="277"/>
      <c r="B644" s="278">
        <v>46156</v>
      </c>
      <c r="C644" s="208" t="s">
        <v>298</v>
      </c>
      <c r="D644" s="208" t="s">
        <v>477</v>
      </c>
      <c r="E644" s="208" t="s">
        <v>318</v>
      </c>
      <c r="F644" s="208">
        <v>2026</v>
      </c>
      <c r="G644" s="208">
        <v>3</v>
      </c>
      <c r="H644" s="208" t="s">
        <v>461</v>
      </c>
      <c r="I644" s="208" t="s">
        <v>142</v>
      </c>
      <c r="J644" s="208" t="s">
        <v>462</v>
      </c>
      <c r="K644" s="208" t="s">
        <v>101</v>
      </c>
      <c r="L644" s="208" t="s">
        <v>595</v>
      </c>
      <c r="M644" s="208">
        <v>3</v>
      </c>
      <c r="N644" s="208"/>
      <c r="O644" s="208"/>
      <c r="P644" s="208"/>
      <c r="Q644" s="207"/>
      <c r="R644" s="208"/>
    </row>
    <row r="645" spans="1:18">
      <c r="A645" s="277">
        <v>572</v>
      </c>
      <c r="B645" s="278">
        <v>46156</v>
      </c>
      <c r="C645" s="208" t="s">
        <v>298</v>
      </c>
      <c r="D645" s="208" t="s">
        <v>655</v>
      </c>
      <c r="E645" s="208" t="s">
        <v>318</v>
      </c>
      <c r="F645" s="208">
        <v>2026</v>
      </c>
      <c r="G645" s="208">
        <v>1.5</v>
      </c>
      <c r="H645" s="208" t="s">
        <v>115</v>
      </c>
      <c r="I645" s="208" t="s">
        <v>437</v>
      </c>
      <c r="J645" s="208" t="s">
        <v>438</v>
      </c>
      <c r="K645" s="208" t="s">
        <v>101</v>
      </c>
      <c r="L645" s="208" t="s">
        <v>676</v>
      </c>
      <c r="M645" s="208">
        <v>1.5</v>
      </c>
      <c r="N645" s="208"/>
      <c r="O645" s="208" t="s">
        <v>164</v>
      </c>
      <c r="P645" s="208"/>
      <c r="Q645" s="207"/>
      <c r="R645" s="208"/>
    </row>
    <row r="646" spans="1:18">
      <c r="A646" s="277">
        <v>573</v>
      </c>
      <c r="B646" s="278">
        <v>46156</v>
      </c>
      <c r="C646" s="208" t="s">
        <v>298</v>
      </c>
      <c r="D646" s="208"/>
      <c r="E646" s="208" t="s">
        <v>318</v>
      </c>
      <c r="F646" s="208">
        <v>2026</v>
      </c>
      <c r="G646" s="208"/>
      <c r="H646" s="208" t="s">
        <v>99</v>
      </c>
      <c r="I646" s="208" t="s">
        <v>100</v>
      </c>
      <c r="J646" s="208" t="s">
        <v>373</v>
      </c>
      <c r="K646" s="208" t="s">
        <v>101</v>
      </c>
      <c r="L646" s="208" t="s">
        <v>427</v>
      </c>
      <c r="M646" s="208"/>
      <c r="N646" s="208"/>
      <c r="O646" s="208" t="s">
        <v>102</v>
      </c>
      <c r="P646" s="208"/>
      <c r="Q646" s="207"/>
      <c r="R646" s="208"/>
    </row>
    <row r="647" spans="1:18">
      <c r="A647" s="277">
        <v>574</v>
      </c>
      <c r="B647" s="278">
        <v>46156</v>
      </c>
      <c r="C647" s="208" t="s">
        <v>298</v>
      </c>
      <c r="D647" s="208" t="s">
        <v>532</v>
      </c>
      <c r="E647" s="208" t="s">
        <v>318</v>
      </c>
      <c r="F647" s="208">
        <v>2026</v>
      </c>
      <c r="G647" s="208">
        <v>2.5</v>
      </c>
      <c r="H647" s="208" t="s">
        <v>99</v>
      </c>
      <c r="I647" s="208" t="s">
        <v>100</v>
      </c>
      <c r="J647" s="208" t="s">
        <v>373</v>
      </c>
      <c r="K647" s="208" t="s">
        <v>10</v>
      </c>
      <c r="L647" s="208" t="s">
        <v>650</v>
      </c>
      <c r="M647" s="208"/>
      <c r="N647" s="208"/>
      <c r="O647" s="208" t="s">
        <v>29</v>
      </c>
      <c r="P647" s="208"/>
      <c r="Q647" s="207"/>
      <c r="R647" s="208"/>
    </row>
    <row r="648" spans="1:18">
      <c r="A648" s="277">
        <v>575</v>
      </c>
      <c r="B648" s="278">
        <v>46156</v>
      </c>
      <c r="C648" s="208" t="s">
        <v>298</v>
      </c>
      <c r="D648" s="208" t="s">
        <v>467</v>
      </c>
      <c r="E648" s="208" t="s">
        <v>318</v>
      </c>
      <c r="F648" s="208">
        <v>2026</v>
      </c>
      <c r="G648" s="208">
        <v>2.5</v>
      </c>
      <c r="H648" s="208" t="s">
        <v>99</v>
      </c>
      <c r="I648" s="208" t="s">
        <v>100</v>
      </c>
      <c r="J648" s="208" t="s">
        <v>373</v>
      </c>
      <c r="K648" s="208" t="s">
        <v>104</v>
      </c>
      <c r="L648" s="208" t="s">
        <v>668</v>
      </c>
      <c r="M648" s="208"/>
      <c r="N648" s="208"/>
      <c r="O648" s="208" t="s">
        <v>70</v>
      </c>
      <c r="P648" s="208"/>
      <c r="Q648" s="207"/>
      <c r="R648" s="208"/>
    </row>
    <row r="649" spans="1:18">
      <c r="A649" s="277">
        <v>576</v>
      </c>
      <c r="B649" s="278">
        <v>46156</v>
      </c>
      <c r="C649" s="208" t="s">
        <v>298</v>
      </c>
      <c r="D649" s="208"/>
      <c r="E649" s="208" t="s">
        <v>318</v>
      </c>
      <c r="F649" s="208"/>
      <c r="G649" s="208">
        <v>3</v>
      </c>
      <c r="H649" s="208"/>
      <c r="I649" s="208"/>
      <c r="J649" s="208"/>
      <c r="K649" s="208"/>
      <c r="L649" s="208" t="s">
        <v>569</v>
      </c>
      <c r="M649" s="208"/>
      <c r="N649" s="208"/>
      <c r="O649" s="208" t="s">
        <v>169</v>
      </c>
      <c r="P649" s="208"/>
      <c r="Q649" s="207"/>
      <c r="R649" s="208"/>
    </row>
    <row r="650" spans="1:18">
      <c r="A650" s="277">
        <v>577</v>
      </c>
      <c r="B650" s="278">
        <v>46157</v>
      </c>
      <c r="C650" s="208" t="s">
        <v>301</v>
      </c>
      <c r="D650" s="208" t="s">
        <v>697</v>
      </c>
      <c r="E650" s="208" t="s">
        <v>318</v>
      </c>
      <c r="F650" s="208">
        <v>2026</v>
      </c>
      <c r="G650" s="208">
        <v>5</v>
      </c>
      <c r="H650" s="208" t="s">
        <v>204</v>
      </c>
      <c r="I650" s="208" t="s">
        <v>205</v>
      </c>
      <c r="J650" s="208" t="s">
        <v>680</v>
      </c>
      <c r="K650" s="208"/>
      <c r="L650" s="208" t="s">
        <v>707</v>
      </c>
      <c r="M650" s="208">
        <v>5</v>
      </c>
      <c r="N650" s="208"/>
      <c r="O650" s="208" t="s">
        <v>699</v>
      </c>
      <c r="P650" s="208"/>
      <c r="Q650" s="207"/>
      <c r="R650" s="208"/>
    </row>
    <row r="651" spans="1:18">
      <c r="A651" s="277">
        <v>578</v>
      </c>
      <c r="B651" s="278">
        <v>46157</v>
      </c>
      <c r="C651" s="208" t="s">
        <v>301</v>
      </c>
      <c r="D651" s="208" t="s">
        <v>683</v>
      </c>
      <c r="E651" s="208" t="s">
        <v>318</v>
      </c>
      <c r="F651" s="208">
        <v>2026</v>
      </c>
      <c r="G651" s="208">
        <v>4</v>
      </c>
      <c r="H651" s="208" t="s">
        <v>215</v>
      </c>
      <c r="I651" s="208" t="s">
        <v>218</v>
      </c>
      <c r="J651" s="208" t="s">
        <v>366</v>
      </c>
      <c r="K651" s="208" t="s">
        <v>106</v>
      </c>
      <c r="L651" s="208" t="s">
        <v>708</v>
      </c>
      <c r="M651" s="208">
        <v>4</v>
      </c>
      <c r="N651" s="208"/>
      <c r="O651" s="208" t="s">
        <v>432</v>
      </c>
      <c r="P651" s="208"/>
      <c r="Q651" s="207"/>
      <c r="R651" s="208"/>
    </row>
    <row r="652" spans="1:18">
      <c r="A652" s="277">
        <v>579</v>
      </c>
      <c r="B652" s="278">
        <v>46157</v>
      </c>
      <c r="C652" s="208" t="s">
        <v>301</v>
      </c>
      <c r="D652" s="208" t="s">
        <v>482</v>
      </c>
      <c r="E652" s="208" t="s">
        <v>318</v>
      </c>
      <c r="F652" s="208">
        <v>2026</v>
      </c>
      <c r="G652" s="208">
        <v>2</v>
      </c>
      <c r="H652" s="208" t="s">
        <v>132</v>
      </c>
      <c r="I652" s="208" t="s">
        <v>133</v>
      </c>
      <c r="J652" s="208" t="s">
        <v>360</v>
      </c>
      <c r="K652" s="208" t="s">
        <v>135</v>
      </c>
      <c r="L652" s="208" t="s">
        <v>642</v>
      </c>
      <c r="M652" s="208">
        <v>2</v>
      </c>
      <c r="N652" s="208"/>
      <c r="O652" s="208" t="s">
        <v>127</v>
      </c>
      <c r="P652" s="208"/>
      <c r="Q652" s="207"/>
      <c r="R652" s="208"/>
    </row>
    <row r="653" spans="1:18">
      <c r="A653" s="277">
        <v>580</v>
      </c>
      <c r="B653" s="278">
        <v>46157</v>
      </c>
      <c r="C653" s="208" t="s">
        <v>301</v>
      </c>
      <c r="D653" s="208" t="s">
        <v>497</v>
      </c>
      <c r="E653" s="208" t="s">
        <v>318</v>
      </c>
      <c r="F653" s="208">
        <v>2026</v>
      </c>
      <c r="G653" s="208" t="s">
        <v>498</v>
      </c>
      <c r="H653" s="208" t="s">
        <v>57</v>
      </c>
      <c r="I653" s="208" t="s">
        <v>454</v>
      </c>
      <c r="J653" s="208" t="s">
        <v>311</v>
      </c>
      <c r="K653" s="208"/>
      <c r="L653" s="208" t="s">
        <v>709</v>
      </c>
      <c r="M653" s="208" t="s">
        <v>498</v>
      </c>
      <c r="N653" s="208"/>
      <c r="O653" s="208" t="s">
        <v>693</v>
      </c>
      <c r="P653" s="208" t="s">
        <v>60</v>
      </c>
      <c r="Q653" s="207"/>
      <c r="R653" s="208"/>
    </row>
    <row r="654" spans="1:18">
      <c r="A654" s="277">
        <v>581</v>
      </c>
      <c r="B654" s="278">
        <v>46157</v>
      </c>
      <c r="C654" s="208" t="s">
        <v>301</v>
      </c>
      <c r="D654" s="208" t="s">
        <v>655</v>
      </c>
      <c r="E654" s="208" t="s">
        <v>318</v>
      </c>
      <c r="F654" s="208">
        <v>2026</v>
      </c>
      <c r="G654" s="208">
        <v>1.5</v>
      </c>
      <c r="H654" s="208" t="s">
        <v>115</v>
      </c>
      <c r="I654" s="208" t="s">
        <v>437</v>
      </c>
      <c r="J654" s="208" t="s">
        <v>438</v>
      </c>
      <c r="K654" s="208" t="s">
        <v>101</v>
      </c>
      <c r="L654" s="208" t="s">
        <v>710</v>
      </c>
      <c r="M654" s="208">
        <v>1.5</v>
      </c>
      <c r="N654" s="208"/>
      <c r="O654" s="208" t="s">
        <v>164</v>
      </c>
      <c r="P654" s="208"/>
      <c r="Q654" s="207"/>
      <c r="R654" s="208"/>
    </row>
    <row r="655" spans="1:18">
      <c r="A655" s="277">
        <v>582</v>
      </c>
      <c r="B655" s="278">
        <v>46157</v>
      </c>
      <c r="C655" s="208" t="s">
        <v>301</v>
      </c>
      <c r="D655" s="208" t="s">
        <v>677</v>
      </c>
      <c r="E655" s="208" t="s">
        <v>318</v>
      </c>
      <c r="F655" s="208">
        <v>2026</v>
      </c>
      <c r="G655" s="208">
        <v>4</v>
      </c>
      <c r="H655" s="208" t="s">
        <v>99</v>
      </c>
      <c r="I655" s="208" t="s">
        <v>108</v>
      </c>
      <c r="J655" s="208" t="s">
        <v>366</v>
      </c>
      <c r="K655" s="208" t="s">
        <v>10</v>
      </c>
      <c r="L655" s="208" t="s">
        <v>695</v>
      </c>
      <c r="M655" s="208">
        <v>4</v>
      </c>
      <c r="N655" s="208"/>
      <c r="O655" s="208" t="s">
        <v>63</v>
      </c>
      <c r="P655" s="208"/>
      <c r="Q655" s="207"/>
      <c r="R655" s="208"/>
    </row>
    <row r="656" spans="1:18">
      <c r="A656" s="277">
        <v>583</v>
      </c>
      <c r="B656" s="278">
        <v>46157</v>
      </c>
      <c r="C656" s="208" t="s">
        <v>301</v>
      </c>
      <c r="D656" s="208" t="s">
        <v>667</v>
      </c>
      <c r="E656" s="208" t="s">
        <v>318</v>
      </c>
      <c r="F656" s="208">
        <v>2026</v>
      </c>
      <c r="G656" s="208">
        <v>4</v>
      </c>
      <c r="H656" s="208" t="s">
        <v>99</v>
      </c>
      <c r="I656" s="208" t="s">
        <v>108</v>
      </c>
      <c r="J656" s="208" t="s">
        <v>366</v>
      </c>
      <c r="K656" s="208" t="s">
        <v>106</v>
      </c>
      <c r="L656" s="208" t="s">
        <v>695</v>
      </c>
      <c r="M656" s="208">
        <v>4</v>
      </c>
      <c r="N656" s="208"/>
      <c r="O656" s="208" t="s">
        <v>91</v>
      </c>
      <c r="P656" s="208"/>
      <c r="Q656" s="207"/>
      <c r="R656" s="208"/>
    </row>
    <row r="657" spans="1:18">
      <c r="A657" s="277">
        <v>584</v>
      </c>
      <c r="B657" s="278">
        <v>46157</v>
      </c>
      <c r="C657" s="208" t="s">
        <v>301</v>
      </c>
      <c r="D657" s="208"/>
      <c r="E657" s="208" t="s">
        <v>318</v>
      </c>
      <c r="F657" s="208"/>
      <c r="G657" s="208">
        <v>3</v>
      </c>
      <c r="H657" s="208"/>
      <c r="I657" s="208"/>
      <c r="J657" s="208"/>
      <c r="K657" s="208"/>
      <c r="L657" s="208" t="s">
        <v>569</v>
      </c>
      <c r="M657" s="208"/>
      <c r="N657" s="208"/>
      <c r="O657" s="208" t="s">
        <v>169</v>
      </c>
      <c r="P657" s="208"/>
      <c r="Q657" s="207"/>
      <c r="R657" s="208"/>
    </row>
    <row r="658" spans="1:18">
      <c r="A658" s="277">
        <v>585</v>
      </c>
      <c r="B658" s="278">
        <v>46160</v>
      </c>
      <c r="C658" s="208" t="s">
        <v>302</v>
      </c>
      <c r="D658" s="208" t="s">
        <v>697</v>
      </c>
      <c r="E658" s="208" t="s">
        <v>318</v>
      </c>
      <c r="F658" s="208">
        <v>2026</v>
      </c>
      <c r="G658" s="208">
        <v>5</v>
      </c>
      <c r="H658" s="208" t="s">
        <v>204</v>
      </c>
      <c r="I658" s="208" t="s">
        <v>205</v>
      </c>
      <c r="J658" s="208" t="s">
        <v>680</v>
      </c>
      <c r="K658" s="208"/>
      <c r="L658" s="208" t="s">
        <v>711</v>
      </c>
      <c r="M658" s="208">
        <v>5</v>
      </c>
      <c r="N658" s="208"/>
      <c r="O658" s="208" t="s">
        <v>699</v>
      </c>
      <c r="P658" s="208"/>
      <c r="Q658" s="207"/>
      <c r="R658" s="208"/>
    </row>
    <row r="659" spans="1:18">
      <c r="A659" s="277">
        <v>586</v>
      </c>
      <c r="B659" s="278">
        <v>46160</v>
      </c>
      <c r="C659" s="208" t="s">
        <v>302</v>
      </c>
      <c r="D659" s="208" t="s">
        <v>683</v>
      </c>
      <c r="E659" s="208" t="s">
        <v>318</v>
      </c>
      <c r="F659" s="208">
        <v>2026</v>
      </c>
      <c r="G659" s="208">
        <v>4</v>
      </c>
      <c r="H659" s="208" t="s">
        <v>215</v>
      </c>
      <c r="I659" s="208" t="s">
        <v>218</v>
      </c>
      <c r="J659" s="208" t="s">
        <v>366</v>
      </c>
      <c r="K659" s="208" t="s">
        <v>106</v>
      </c>
      <c r="L659" s="208" t="s">
        <v>712</v>
      </c>
      <c r="M659" s="208">
        <v>4</v>
      </c>
      <c r="N659" s="208"/>
      <c r="O659" s="208" t="s">
        <v>432</v>
      </c>
      <c r="P659" s="208"/>
      <c r="Q659" s="207"/>
      <c r="R659" s="208"/>
    </row>
    <row r="660" spans="1:18">
      <c r="A660" s="277">
        <v>587</v>
      </c>
      <c r="B660" s="278">
        <v>46160</v>
      </c>
      <c r="C660" s="208" t="s">
        <v>302</v>
      </c>
      <c r="D660" s="208" t="s">
        <v>713</v>
      </c>
      <c r="E660" s="208" t="s">
        <v>318</v>
      </c>
      <c r="F660" s="208">
        <v>2026</v>
      </c>
      <c r="G660" s="208">
        <v>4</v>
      </c>
      <c r="H660" s="208" t="s">
        <v>215</v>
      </c>
      <c r="I660" s="208" t="s">
        <v>714</v>
      </c>
      <c r="J660" s="208" t="s">
        <v>366</v>
      </c>
      <c r="K660" s="208" t="s">
        <v>106</v>
      </c>
      <c r="L660" s="208" t="s">
        <v>376</v>
      </c>
      <c r="M660" s="208">
        <v>4</v>
      </c>
      <c r="N660" s="208"/>
      <c r="O660" s="208" t="s">
        <v>432</v>
      </c>
      <c r="P660" s="208"/>
      <c r="Q660" s="207"/>
      <c r="R660" s="208"/>
    </row>
    <row r="661" spans="1:18">
      <c r="A661" s="277">
        <v>588</v>
      </c>
      <c r="B661" s="278">
        <v>46160</v>
      </c>
      <c r="C661" s="208" t="s">
        <v>302</v>
      </c>
      <c r="D661" s="208" t="s">
        <v>715</v>
      </c>
      <c r="E661" s="208" t="s">
        <v>318</v>
      </c>
      <c r="F661" s="208">
        <v>2026</v>
      </c>
      <c r="G661" s="208">
        <v>2</v>
      </c>
      <c r="H661" s="208" t="s">
        <v>196</v>
      </c>
      <c r="I661" s="208" t="s">
        <v>197</v>
      </c>
      <c r="J661" s="208" t="s">
        <v>687</v>
      </c>
      <c r="K661" s="208" t="s">
        <v>101</v>
      </c>
      <c r="L661" s="208" t="s">
        <v>716</v>
      </c>
      <c r="M661" s="208">
        <v>2</v>
      </c>
      <c r="N661" s="208"/>
      <c r="O661" s="208" t="s">
        <v>78</v>
      </c>
      <c r="P661" s="208"/>
      <c r="Q661" s="207"/>
      <c r="R661" s="208"/>
    </row>
    <row r="662" spans="1:18">
      <c r="A662" s="277">
        <v>589</v>
      </c>
      <c r="B662" s="278">
        <v>46160</v>
      </c>
      <c r="C662" s="208" t="s">
        <v>302</v>
      </c>
      <c r="D662" s="208" t="s">
        <v>520</v>
      </c>
      <c r="E662" s="208" t="s">
        <v>318</v>
      </c>
      <c r="F662" s="208">
        <v>2026</v>
      </c>
      <c r="G662" s="208">
        <v>3</v>
      </c>
      <c r="H662" s="208" t="s">
        <v>57</v>
      </c>
      <c r="I662" s="208" t="s">
        <v>89</v>
      </c>
      <c r="J662" s="208" t="s">
        <v>311</v>
      </c>
      <c r="K662" s="208" t="s">
        <v>90</v>
      </c>
      <c r="L662" s="208" t="s">
        <v>717</v>
      </c>
      <c r="M662" s="208">
        <v>3</v>
      </c>
      <c r="N662" s="208"/>
      <c r="O662" s="208" t="s">
        <v>91</v>
      </c>
      <c r="P662" s="208"/>
      <c r="Q662" s="207"/>
      <c r="R662" s="208"/>
    </row>
    <row r="663" spans="1:18">
      <c r="A663" s="277">
        <v>590</v>
      </c>
      <c r="B663" s="278">
        <v>46160</v>
      </c>
      <c r="C663" s="208" t="s">
        <v>302</v>
      </c>
      <c r="D663" s="208" t="s">
        <v>477</v>
      </c>
      <c r="E663" s="208" t="s">
        <v>318</v>
      </c>
      <c r="F663" s="208">
        <v>2026</v>
      </c>
      <c r="G663" s="208">
        <v>3</v>
      </c>
      <c r="H663" s="208" t="s">
        <v>461</v>
      </c>
      <c r="I663" s="208" t="s">
        <v>136</v>
      </c>
      <c r="J663" s="208" t="s">
        <v>462</v>
      </c>
      <c r="K663" s="208" t="s">
        <v>101</v>
      </c>
      <c r="L663" s="208" t="s">
        <v>718</v>
      </c>
      <c r="M663" s="208">
        <v>3</v>
      </c>
      <c r="N663" s="208"/>
      <c r="O663" s="208" t="s">
        <v>138</v>
      </c>
      <c r="P663" s="208"/>
      <c r="Q663" s="207"/>
      <c r="R663" s="208"/>
    </row>
    <row r="664" spans="1:18">
      <c r="A664" s="277">
        <v>591</v>
      </c>
      <c r="B664" s="278">
        <v>46160</v>
      </c>
      <c r="C664" s="208" t="s">
        <v>302</v>
      </c>
      <c r="D664" s="208" t="s">
        <v>479</v>
      </c>
      <c r="E664" s="208" t="s">
        <v>318</v>
      </c>
      <c r="F664" s="208">
        <v>2026</v>
      </c>
      <c r="G664" s="208">
        <v>3</v>
      </c>
      <c r="H664" s="208" t="s">
        <v>461</v>
      </c>
      <c r="I664" s="208" t="s">
        <v>136</v>
      </c>
      <c r="J664" s="208" t="s">
        <v>462</v>
      </c>
      <c r="K664" s="208" t="s">
        <v>10</v>
      </c>
      <c r="L664" s="208" t="s">
        <v>718</v>
      </c>
      <c r="M664" s="208">
        <v>3</v>
      </c>
      <c r="N664" s="208"/>
      <c r="O664" s="208" t="s">
        <v>138</v>
      </c>
      <c r="P664" s="208"/>
      <c r="Q664" s="207"/>
      <c r="R664" s="208"/>
    </row>
    <row r="665" spans="1:18">
      <c r="A665" s="277">
        <v>592</v>
      </c>
      <c r="B665" s="278">
        <v>46160</v>
      </c>
      <c r="C665" s="208" t="s">
        <v>302</v>
      </c>
      <c r="D665" s="208"/>
      <c r="E665" s="208" t="s">
        <v>318</v>
      </c>
      <c r="F665" s="208">
        <v>2026</v>
      </c>
      <c r="G665" s="208">
        <v>2</v>
      </c>
      <c r="H665" s="208" t="s">
        <v>132</v>
      </c>
      <c r="I665" s="208" t="s">
        <v>133</v>
      </c>
      <c r="J665" s="208" t="s">
        <v>360</v>
      </c>
      <c r="K665" s="208" t="s">
        <v>135</v>
      </c>
      <c r="L665" s="208" t="s">
        <v>473</v>
      </c>
      <c r="M665" s="208">
        <v>2</v>
      </c>
      <c r="N665" s="208"/>
      <c r="O665" s="208" t="s">
        <v>127</v>
      </c>
      <c r="P665" s="208"/>
      <c r="Q665" s="207"/>
      <c r="R665" s="208"/>
    </row>
    <row r="666" spans="1:18">
      <c r="A666" s="277">
        <v>593</v>
      </c>
      <c r="B666" s="278">
        <v>46161</v>
      </c>
      <c r="C666" s="208" t="s">
        <v>289</v>
      </c>
      <c r="D666" s="208" t="s">
        <v>697</v>
      </c>
      <c r="E666" s="208" t="s">
        <v>318</v>
      </c>
      <c r="F666" s="208">
        <v>2026</v>
      </c>
      <c r="G666" s="208">
        <v>5</v>
      </c>
      <c r="H666" s="208" t="s">
        <v>204</v>
      </c>
      <c r="I666" s="208" t="s">
        <v>205</v>
      </c>
      <c r="J666" s="208" t="s">
        <v>680</v>
      </c>
      <c r="K666" s="208"/>
      <c r="L666" s="208" t="s">
        <v>719</v>
      </c>
      <c r="M666" s="208">
        <v>5</v>
      </c>
      <c r="N666" s="208"/>
      <c r="O666" s="208" t="s">
        <v>699</v>
      </c>
      <c r="P666" s="208"/>
      <c r="Q666" s="207"/>
      <c r="R666" s="208"/>
    </row>
    <row r="667" spans="1:18">
      <c r="A667" s="277">
        <v>594</v>
      </c>
      <c r="B667" s="278">
        <v>46161</v>
      </c>
      <c r="C667" s="208" t="s">
        <v>289</v>
      </c>
      <c r="D667" s="208" t="s">
        <v>683</v>
      </c>
      <c r="E667" s="208" t="s">
        <v>318</v>
      </c>
      <c r="F667" s="208">
        <v>2026</v>
      </c>
      <c r="G667" s="208">
        <v>4</v>
      </c>
      <c r="H667" s="208" t="s">
        <v>215</v>
      </c>
      <c r="I667" s="208" t="s">
        <v>218</v>
      </c>
      <c r="J667" s="208" t="s">
        <v>366</v>
      </c>
      <c r="K667" s="208" t="s">
        <v>106</v>
      </c>
      <c r="L667" s="208" t="s">
        <v>720</v>
      </c>
      <c r="M667" s="208">
        <v>4</v>
      </c>
      <c r="N667" s="208"/>
      <c r="O667" s="208" t="s">
        <v>432</v>
      </c>
      <c r="P667" s="208"/>
      <c r="Q667" s="207"/>
      <c r="R667" s="208"/>
    </row>
    <row r="668" spans="1:18">
      <c r="A668" s="277">
        <v>595</v>
      </c>
      <c r="B668" s="278">
        <v>46161</v>
      </c>
      <c r="C668" s="208" t="s">
        <v>289</v>
      </c>
      <c r="D668" s="208" t="s">
        <v>713</v>
      </c>
      <c r="E668" s="208" t="s">
        <v>318</v>
      </c>
      <c r="F668" s="208">
        <v>2026</v>
      </c>
      <c r="G668" s="208">
        <v>4</v>
      </c>
      <c r="H668" s="208" t="s">
        <v>215</v>
      </c>
      <c r="I668" s="208" t="s">
        <v>714</v>
      </c>
      <c r="J668" s="208" t="s">
        <v>366</v>
      </c>
      <c r="K668" s="208" t="s">
        <v>106</v>
      </c>
      <c r="L668" s="208" t="s">
        <v>379</v>
      </c>
      <c r="M668" s="208">
        <v>4</v>
      </c>
      <c r="N668" s="208"/>
      <c r="O668" s="208" t="s">
        <v>432</v>
      </c>
      <c r="P668" s="208"/>
      <c r="Q668" s="207"/>
      <c r="R668" s="208"/>
    </row>
    <row r="669" spans="1:18">
      <c r="A669" s="277">
        <v>596</v>
      </c>
      <c r="B669" s="278">
        <v>46161</v>
      </c>
      <c r="C669" s="208" t="s">
        <v>289</v>
      </c>
      <c r="D669" s="208" t="s">
        <v>715</v>
      </c>
      <c r="E669" s="208" t="s">
        <v>318</v>
      </c>
      <c r="F669" s="208">
        <v>2026</v>
      </c>
      <c r="G669" s="208">
        <v>2</v>
      </c>
      <c r="H669" s="208" t="s">
        <v>196</v>
      </c>
      <c r="I669" s="208" t="s">
        <v>197</v>
      </c>
      <c r="J669" s="208" t="s">
        <v>687</v>
      </c>
      <c r="K669" s="208" t="s">
        <v>101</v>
      </c>
      <c r="L669" s="208" t="s">
        <v>721</v>
      </c>
      <c r="M669" s="208">
        <v>2</v>
      </c>
      <c r="N669" s="208"/>
      <c r="O669" s="208" t="s">
        <v>78</v>
      </c>
      <c r="P669" s="208"/>
      <c r="Q669" s="207"/>
      <c r="R669" s="208"/>
    </row>
    <row r="670" spans="1:18">
      <c r="A670" s="277">
        <v>597</v>
      </c>
      <c r="B670" s="278">
        <v>46161</v>
      </c>
      <c r="C670" s="208" t="s">
        <v>289</v>
      </c>
      <c r="D670" s="208" t="s">
        <v>479</v>
      </c>
      <c r="E670" s="208" t="s">
        <v>318</v>
      </c>
      <c r="F670" s="208">
        <v>2026</v>
      </c>
      <c r="G670" s="208">
        <v>3</v>
      </c>
      <c r="H670" s="208" t="s">
        <v>461</v>
      </c>
      <c r="I670" s="208" t="s">
        <v>142</v>
      </c>
      <c r="J670" s="208" t="s">
        <v>462</v>
      </c>
      <c r="K670" s="208" t="s">
        <v>10</v>
      </c>
      <c r="L670" s="208" t="s">
        <v>722</v>
      </c>
      <c r="M670" s="208">
        <v>3</v>
      </c>
      <c r="N670" s="208"/>
      <c r="O670" s="208" t="s">
        <v>102</v>
      </c>
      <c r="P670" s="208"/>
      <c r="Q670" s="207"/>
      <c r="R670" s="208"/>
    </row>
    <row r="671" spans="1:18">
      <c r="A671" s="277">
        <v>598</v>
      </c>
      <c r="B671" s="278">
        <v>46161</v>
      </c>
      <c r="C671" s="208" t="s">
        <v>289</v>
      </c>
      <c r="D671" s="208" t="s">
        <v>477</v>
      </c>
      <c r="E671" s="208" t="s">
        <v>318</v>
      </c>
      <c r="F671" s="208">
        <v>2026</v>
      </c>
      <c r="G671" s="208">
        <v>3</v>
      </c>
      <c r="H671" s="208" t="s">
        <v>461</v>
      </c>
      <c r="I671" s="208" t="s">
        <v>142</v>
      </c>
      <c r="J671" s="208" t="s">
        <v>462</v>
      </c>
      <c r="K671" s="208" t="s">
        <v>101</v>
      </c>
      <c r="L671" s="208" t="s">
        <v>722</v>
      </c>
      <c r="M671" s="208">
        <v>3</v>
      </c>
      <c r="N671" s="208"/>
      <c r="O671" s="208" t="s">
        <v>138</v>
      </c>
      <c r="P671" s="208"/>
      <c r="Q671" s="207"/>
      <c r="R671" s="208"/>
    </row>
    <row r="672" spans="1:18" ht="30.75">
      <c r="A672" s="277">
        <v>599</v>
      </c>
      <c r="B672" s="278">
        <v>46161</v>
      </c>
      <c r="C672" s="208" t="s">
        <v>289</v>
      </c>
      <c r="D672" s="208" t="s">
        <v>497</v>
      </c>
      <c r="E672" s="208" t="s">
        <v>318</v>
      </c>
      <c r="F672" s="208">
        <v>2026</v>
      </c>
      <c r="G672" s="208" t="s">
        <v>498</v>
      </c>
      <c r="H672" s="208" t="s">
        <v>57</v>
      </c>
      <c r="I672" s="208" t="s">
        <v>454</v>
      </c>
      <c r="J672" s="208" t="s">
        <v>311</v>
      </c>
      <c r="K672" s="208"/>
      <c r="L672" s="279" t="s">
        <v>723</v>
      </c>
      <c r="M672" s="208" t="s">
        <v>498</v>
      </c>
      <c r="N672" s="208"/>
      <c r="O672" s="208" t="s">
        <v>693</v>
      </c>
      <c r="P672" s="208"/>
      <c r="Q672" s="207"/>
      <c r="R672" s="208"/>
    </row>
    <row r="673" spans="1:18">
      <c r="A673" s="277">
        <v>600</v>
      </c>
      <c r="B673" s="278">
        <v>46161</v>
      </c>
      <c r="C673" s="208" t="s">
        <v>289</v>
      </c>
      <c r="D673" s="208" t="s">
        <v>655</v>
      </c>
      <c r="E673" s="208" t="s">
        <v>318</v>
      </c>
      <c r="F673" s="208">
        <v>2026</v>
      </c>
      <c r="G673" s="208">
        <v>1.5</v>
      </c>
      <c r="H673" s="208" t="s">
        <v>115</v>
      </c>
      <c r="I673" s="208" t="s">
        <v>437</v>
      </c>
      <c r="J673" s="208" t="s">
        <v>438</v>
      </c>
      <c r="K673" s="208" t="s">
        <v>101</v>
      </c>
      <c r="L673" s="208" t="s">
        <v>724</v>
      </c>
      <c r="M673" s="208">
        <v>1.5</v>
      </c>
      <c r="N673" s="208"/>
      <c r="O673" s="208" t="s">
        <v>164</v>
      </c>
      <c r="P673" s="208"/>
      <c r="Q673" s="207"/>
      <c r="R673" s="208"/>
    </row>
    <row r="674" spans="1:18">
      <c r="A674" s="277">
        <v>601</v>
      </c>
      <c r="B674" s="278">
        <v>46161</v>
      </c>
      <c r="C674" s="208" t="s">
        <v>289</v>
      </c>
      <c r="D674" s="208" t="s">
        <v>665</v>
      </c>
      <c r="E674" s="208" t="s">
        <v>318</v>
      </c>
      <c r="F674" s="208">
        <v>2026</v>
      </c>
      <c r="G674" s="208">
        <v>4</v>
      </c>
      <c r="H674" s="208" t="s">
        <v>99</v>
      </c>
      <c r="I674" s="208" t="s">
        <v>108</v>
      </c>
      <c r="J674" s="208" t="s">
        <v>366</v>
      </c>
      <c r="K674" s="208" t="s">
        <v>101</v>
      </c>
      <c r="L674" s="208" t="s">
        <v>725</v>
      </c>
      <c r="M674" s="208">
        <v>4</v>
      </c>
      <c r="N674" s="208"/>
      <c r="O674" s="208" t="s">
        <v>112</v>
      </c>
      <c r="P674" s="208"/>
      <c r="Q674" s="207"/>
      <c r="R674" s="208"/>
    </row>
    <row r="675" spans="1:18">
      <c r="A675" s="277">
        <v>602</v>
      </c>
      <c r="B675" s="278">
        <v>46161</v>
      </c>
      <c r="C675" s="208" t="s">
        <v>289</v>
      </c>
      <c r="D675" s="208" t="s">
        <v>667</v>
      </c>
      <c r="E675" s="208" t="s">
        <v>318</v>
      </c>
      <c r="F675" s="208">
        <v>2026</v>
      </c>
      <c r="G675" s="208">
        <v>4</v>
      </c>
      <c r="H675" s="208" t="s">
        <v>99</v>
      </c>
      <c r="I675" s="208" t="s">
        <v>108</v>
      </c>
      <c r="J675" s="208" t="s">
        <v>366</v>
      </c>
      <c r="K675" s="208" t="s">
        <v>104</v>
      </c>
      <c r="L675" s="208" t="s">
        <v>725</v>
      </c>
      <c r="M675" s="208">
        <v>4</v>
      </c>
      <c r="N675" s="208"/>
      <c r="O675" s="208" t="s">
        <v>109</v>
      </c>
      <c r="P675" s="208"/>
      <c r="Q675" s="207"/>
      <c r="R675" s="208"/>
    </row>
    <row r="676" spans="1:18">
      <c r="A676" s="277">
        <v>603</v>
      </c>
      <c r="B676" s="278">
        <v>46161</v>
      </c>
      <c r="C676" s="208" t="s">
        <v>289</v>
      </c>
      <c r="D676" s="208" t="s">
        <v>456</v>
      </c>
      <c r="E676" s="208" t="s">
        <v>318</v>
      </c>
      <c r="F676" s="208">
        <v>2026</v>
      </c>
      <c r="G676" s="208">
        <v>2.5</v>
      </c>
      <c r="H676" s="208" t="s">
        <v>99</v>
      </c>
      <c r="I676" s="208" t="s">
        <v>100</v>
      </c>
      <c r="J676" s="208" t="s">
        <v>373</v>
      </c>
      <c r="K676" s="208" t="s">
        <v>101</v>
      </c>
      <c r="L676" s="208" t="s">
        <v>726</v>
      </c>
      <c r="M676" s="208">
        <v>2.5</v>
      </c>
      <c r="N676" s="208"/>
      <c r="O676" s="208" t="s">
        <v>102</v>
      </c>
      <c r="P676" s="208"/>
      <c r="Q676" s="207"/>
      <c r="R676" s="208"/>
    </row>
    <row r="677" spans="1:18">
      <c r="A677" s="277">
        <v>604</v>
      </c>
      <c r="B677" s="278">
        <v>46161</v>
      </c>
      <c r="C677" s="208" t="s">
        <v>289</v>
      </c>
      <c r="D677" s="208" t="s">
        <v>532</v>
      </c>
      <c r="E677" s="208" t="s">
        <v>318</v>
      </c>
      <c r="F677" s="208">
        <v>2026</v>
      </c>
      <c r="G677" s="208"/>
      <c r="H677" s="208" t="s">
        <v>99</v>
      </c>
      <c r="I677" s="208" t="s">
        <v>100</v>
      </c>
      <c r="J677" s="208" t="s">
        <v>373</v>
      </c>
      <c r="K677" s="208" t="s">
        <v>10</v>
      </c>
      <c r="L677" s="208" t="s">
        <v>668</v>
      </c>
      <c r="M677" s="208"/>
      <c r="N677" s="208"/>
      <c r="O677" s="208" t="s">
        <v>29</v>
      </c>
      <c r="P677" s="208"/>
      <c r="Q677" s="207"/>
      <c r="R677" s="208"/>
    </row>
    <row r="678" spans="1:18">
      <c r="A678" s="277">
        <v>605</v>
      </c>
      <c r="B678" s="278">
        <v>46161</v>
      </c>
      <c r="C678" s="208" t="s">
        <v>289</v>
      </c>
      <c r="D678" s="208" t="s">
        <v>467</v>
      </c>
      <c r="E678" s="208" t="s">
        <v>318</v>
      </c>
      <c r="F678" s="208">
        <v>2026</v>
      </c>
      <c r="G678" s="208">
        <v>2.5</v>
      </c>
      <c r="H678" s="208" t="s">
        <v>99</v>
      </c>
      <c r="I678" s="208" t="s">
        <v>100</v>
      </c>
      <c r="J678" s="208" t="s">
        <v>373</v>
      </c>
      <c r="K678" s="208" t="s">
        <v>104</v>
      </c>
      <c r="L678" s="208" t="s">
        <v>678</v>
      </c>
      <c r="M678" s="208"/>
      <c r="N678" s="208"/>
      <c r="O678" s="208" t="s">
        <v>70</v>
      </c>
      <c r="P678" s="208"/>
      <c r="Q678" s="207"/>
      <c r="R678" s="208"/>
    </row>
    <row r="679" spans="1:18">
      <c r="A679" s="277">
        <v>606</v>
      </c>
      <c r="B679" s="278">
        <v>46161</v>
      </c>
      <c r="C679" s="208" t="s">
        <v>289</v>
      </c>
      <c r="D679" s="208" t="s">
        <v>430</v>
      </c>
      <c r="E679" s="208" t="s">
        <v>318</v>
      </c>
      <c r="F679" s="208">
        <v>2026</v>
      </c>
      <c r="G679" s="208">
        <v>2.5</v>
      </c>
      <c r="H679" s="208" t="s">
        <v>99</v>
      </c>
      <c r="I679" s="208" t="s">
        <v>100</v>
      </c>
      <c r="J679" s="208" t="s">
        <v>373</v>
      </c>
      <c r="K679" s="208" t="s">
        <v>106</v>
      </c>
      <c r="L679" s="208" t="s">
        <v>726</v>
      </c>
      <c r="M679" s="208">
        <v>2.5</v>
      </c>
      <c r="N679" s="208"/>
      <c r="O679" s="208" t="s">
        <v>432</v>
      </c>
      <c r="P679" s="208"/>
      <c r="Q679" s="207"/>
      <c r="R679" s="208"/>
    </row>
    <row r="680" spans="1:18">
      <c r="A680" s="277">
        <v>607</v>
      </c>
      <c r="B680" s="278">
        <v>46162</v>
      </c>
      <c r="C680" s="208" t="s">
        <v>294</v>
      </c>
      <c r="D680" s="208" t="s">
        <v>643</v>
      </c>
      <c r="E680" s="208" t="s">
        <v>318</v>
      </c>
      <c r="F680" s="208">
        <v>2026</v>
      </c>
      <c r="G680" s="208">
        <v>2.5</v>
      </c>
      <c r="H680" s="208" t="s">
        <v>161</v>
      </c>
      <c r="I680" s="208" t="s">
        <v>644</v>
      </c>
      <c r="J680" s="208" t="s">
        <v>438</v>
      </c>
      <c r="K680" s="208" t="s">
        <v>101</v>
      </c>
      <c r="L680" s="208" t="s">
        <v>645</v>
      </c>
      <c r="M680" s="208">
        <v>2.5</v>
      </c>
      <c r="N680" s="208"/>
      <c r="O680" s="208" t="s">
        <v>163</v>
      </c>
      <c r="P680" s="208"/>
      <c r="Q680" s="207"/>
      <c r="R680" s="208"/>
    </row>
    <row r="681" spans="1:18">
      <c r="A681" s="277">
        <v>608</v>
      </c>
      <c r="B681" s="278">
        <v>46162</v>
      </c>
      <c r="C681" s="208" t="s">
        <v>294</v>
      </c>
      <c r="D681" s="208" t="s">
        <v>672</v>
      </c>
      <c r="E681" s="208" t="s">
        <v>318</v>
      </c>
      <c r="F681" s="208">
        <v>2026</v>
      </c>
      <c r="G681" s="208">
        <v>1.5</v>
      </c>
      <c r="H681" s="208" t="s">
        <v>161</v>
      </c>
      <c r="I681" s="208" t="s">
        <v>644</v>
      </c>
      <c r="J681" s="208" t="s">
        <v>438</v>
      </c>
      <c r="K681" s="208" t="s">
        <v>101</v>
      </c>
      <c r="L681" s="208" t="s">
        <v>673</v>
      </c>
      <c r="M681" s="208">
        <v>1.5</v>
      </c>
      <c r="N681" s="208"/>
      <c r="O681" s="208" t="s">
        <v>163</v>
      </c>
      <c r="P681" s="208"/>
      <c r="Q681" s="207"/>
      <c r="R681" s="208"/>
    </row>
    <row r="682" spans="1:18">
      <c r="A682" s="277">
        <v>609</v>
      </c>
      <c r="B682" s="278">
        <v>46162</v>
      </c>
      <c r="C682" s="208" t="s">
        <v>294</v>
      </c>
      <c r="D682" s="208" t="s">
        <v>697</v>
      </c>
      <c r="E682" s="208" t="s">
        <v>318</v>
      </c>
      <c r="F682" s="208">
        <v>2026</v>
      </c>
      <c r="G682" s="208">
        <v>5</v>
      </c>
      <c r="H682" s="208" t="s">
        <v>204</v>
      </c>
      <c r="I682" s="208" t="s">
        <v>205</v>
      </c>
      <c r="J682" s="208" t="s">
        <v>680</v>
      </c>
      <c r="K682" s="208"/>
      <c r="L682" s="208" t="s">
        <v>727</v>
      </c>
      <c r="M682" s="208">
        <v>5</v>
      </c>
      <c r="N682" s="208"/>
      <c r="O682" s="208" t="s">
        <v>699</v>
      </c>
      <c r="P682" s="208"/>
      <c r="Q682" s="207"/>
      <c r="R682" s="208"/>
    </row>
    <row r="683" spans="1:18">
      <c r="A683" s="277">
        <v>610</v>
      </c>
      <c r="B683" s="278">
        <v>46162</v>
      </c>
      <c r="C683" s="208" t="s">
        <v>294</v>
      </c>
      <c r="D683" s="208" t="s">
        <v>713</v>
      </c>
      <c r="E683" s="208" t="s">
        <v>318</v>
      </c>
      <c r="F683" s="208">
        <v>2026</v>
      </c>
      <c r="G683" s="208">
        <v>4</v>
      </c>
      <c r="H683" s="208" t="s">
        <v>215</v>
      </c>
      <c r="I683" s="208" t="s">
        <v>714</v>
      </c>
      <c r="J683" s="208" t="s">
        <v>366</v>
      </c>
      <c r="K683" s="208" t="s">
        <v>106</v>
      </c>
      <c r="L683" s="208" t="s">
        <v>705</v>
      </c>
      <c r="M683" s="208">
        <v>4</v>
      </c>
      <c r="N683" s="208"/>
      <c r="O683" s="208" t="s">
        <v>432</v>
      </c>
      <c r="P683" s="208"/>
      <c r="Q683" s="207"/>
      <c r="R683" s="208"/>
    </row>
    <row r="684" spans="1:18">
      <c r="A684" s="277">
        <v>611</v>
      </c>
      <c r="B684" s="278">
        <v>46162</v>
      </c>
      <c r="C684" s="208" t="s">
        <v>294</v>
      </c>
      <c r="D684" s="208" t="s">
        <v>728</v>
      </c>
      <c r="E684" s="208" t="s">
        <v>318</v>
      </c>
      <c r="F684" s="208">
        <v>2026</v>
      </c>
      <c r="G684" s="208">
        <v>3</v>
      </c>
      <c r="H684" s="208" t="s">
        <v>132</v>
      </c>
      <c r="I684" s="208" t="s">
        <v>184</v>
      </c>
      <c r="J684" s="208" t="s">
        <v>360</v>
      </c>
      <c r="K684" s="208" t="s">
        <v>101</v>
      </c>
      <c r="L684" s="208" t="s">
        <v>729</v>
      </c>
      <c r="M684" s="208">
        <v>3</v>
      </c>
      <c r="N684" s="208"/>
      <c r="O684" s="208" t="s">
        <v>63</v>
      </c>
      <c r="P684" s="208"/>
      <c r="Q684" s="207"/>
      <c r="R684" s="208"/>
    </row>
    <row r="685" spans="1:18">
      <c r="A685" s="277">
        <v>612</v>
      </c>
      <c r="B685" s="278">
        <v>46162</v>
      </c>
      <c r="C685" s="208" t="s">
        <v>294</v>
      </c>
      <c r="D685" s="208" t="s">
        <v>638</v>
      </c>
      <c r="E685" s="208" t="s">
        <v>318</v>
      </c>
      <c r="F685" s="208">
        <v>2026</v>
      </c>
      <c r="G685" s="208">
        <v>2.5</v>
      </c>
      <c r="H685" s="208" t="s">
        <v>132</v>
      </c>
      <c r="I685" s="208" t="s">
        <v>183</v>
      </c>
      <c r="J685" s="208" t="s">
        <v>623</v>
      </c>
      <c r="K685" s="208" t="s">
        <v>101</v>
      </c>
      <c r="L685" s="208" t="s">
        <v>730</v>
      </c>
      <c r="M685" s="208">
        <v>2.5</v>
      </c>
      <c r="N685" s="208"/>
      <c r="O685" s="208" t="s">
        <v>164</v>
      </c>
      <c r="P685" s="208"/>
      <c r="Q685" s="207"/>
      <c r="R685" s="208"/>
    </row>
    <row r="686" spans="1:18">
      <c r="A686" s="277">
        <v>613</v>
      </c>
      <c r="B686" s="278">
        <v>46162</v>
      </c>
      <c r="C686" s="208" t="s">
        <v>294</v>
      </c>
      <c r="D686" s="208" t="s">
        <v>520</v>
      </c>
      <c r="E686" s="208" t="s">
        <v>318</v>
      </c>
      <c r="F686" s="208">
        <v>2026</v>
      </c>
      <c r="G686" s="208">
        <v>3</v>
      </c>
      <c r="H686" s="208" t="s">
        <v>57</v>
      </c>
      <c r="I686" s="208" t="s">
        <v>89</v>
      </c>
      <c r="J686" s="208" t="s">
        <v>311</v>
      </c>
      <c r="K686" s="208" t="s">
        <v>90</v>
      </c>
      <c r="L686" s="208" t="s">
        <v>731</v>
      </c>
      <c r="M686" s="208">
        <v>3</v>
      </c>
      <c r="N686" s="208"/>
      <c r="O686" s="208" t="s">
        <v>91</v>
      </c>
      <c r="P686" s="208"/>
      <c r="Q686" s="207"/>
      <c r="R686" s="208"/>
    </row>
    <row r="687" spans="1:18">
      <c r="A687" s="277">
        <v>614</v>
      </c>
      <c r="B687" s="278">
        <v>46162</v>
      </c>
      <c r="C687" s="208" t="s">
        <v>294</v>
      </c>
      <c r="D687" s="208" t="s">
        <v>477</v>
      </c>
      <c r="E687" s="208" t="s">
        <v>318</v>
      </c>
      <c r="F687" s="208">
        <v>2026</v>
      </c>
      <c r="G687" s="208">
        <v>3</v>
      </c>
      <c r="H687" s="208" t="s">
        <v>461</v>
      </c>
      <c r="I687" s="208" t="s">
        <v>136</v>
      </c>
      <c r="J687" s="208" t="s">
        <v>462</v>
      </c>
      <c r="K687" s="208" t="s">
        <v>101</v>
      </c>
      <c r="L687" s="208" t="s">
        <v>732</v>
      </c>
      <c r="M687" s="208">
        <v>3</v>
      </c>
      <c r="N687" s="208"/>
      <c r="O687" s="208" t="s">
        <v>138</v>
      </c>
      <c r="P687" s="208"/>
      <c r="Q687" s="207"/>
      <c r="R687" s="208"/>
    </row>
    <row r="688" spans="1:18">
      <c r="A688" s="277">
        <v>615</v>
      </c>
      <c r="B688" s="278">
        <v>46162</v>
      </c>
      <c r="C688" s="208" t="s">
        <v>294</v>
      </c>
      <c r="D688" s="208" t="s">
        <v>479</v>
      </c>
      <c r="E688" s="208" t="s">
        <v>318</v>
      </c>
      <c r="F688" s="208">
        <v>2026</v>
      </c>
      <c r="G688" s="208">
        <v>3</v>
      </c>
      <c r="H688" s="208" t="s">
        <v>461</v>
      </c>
      <c r="I688" s="208" t="s">
        <v>136</v>
      </c>
      <c r="J688" s="208" t="s">
        <v>462</v>
      </c>
      <c r="K688" s="208" t="s">
        <v>10</v>
      </c>
      <c r="L688" s="208" t="s">
        <v>732</v>
      </c>
      <c r="M688" s="208">
        <v>3</v>
      </c>
      <c r="N688" s="208"/>
      <c r="O688" s="208" t="s">
        <v>138</v>
      </c>
      <c r="P688" s="208"/>
      <c r="Q688" s="207"/>
      <c r="R688" s="208"/>
    </row>
    <row r="689" spans="1:18">
      <c r="A689" s="277">
        <v>616</v>
      </c>
      <c r="B689" s="278">
        <v>46162</v>
      </c>
      <c r="C689" s="208" t="s">
        <v>294</v>
      </c>
      <c r="D689" s="208"/>
      <c r="E689" s="208" t="s">
        <v>318</v>
      </c>
      <c r="F689" s="208">
        <v>2026</v>
      </c>
      <c r="G689" s="208">
        <v>2</v>
      </c>
      <c r="H689" s="208" t="s">
        <v>132</v>
      </c>
      <c r="I689" s="208" t="s">
        <v>133</v>
      </c>
      <c r="J689" s="208" t="s">
        <v>360</v>
      </c>
      <c r="K689" s="208" t="s">
        <v>135</v>
      </c>
      <c r="L689" s="208" t="s">
        <v>733</v>
      </c>
      <c r="M689" s="208" t="s">
        <v>615</v>
      </c>
      <c r="N689" s="208"/>
      <c r="O689" s="208" t="s">
        <v>127</v>
      </c>
      <c r="P689" s="208"/>
      <c r="Q689" s="207"/>
      <c r="R689" s="208"/>
    </row>
    <row r="690" spans="1:18">
      <c r="A690" s="277">
        <v>617</v>
      </c>
      <c r="B690" s="278">
        <v>46163</v>
      </c>
      <c r="C690" s="208" t="s">
        <v>298</v>
      </c>
      <c r="D690" s="208" t="s">
        <v>697</v>
      </c>
      <c r="E690" s="208" t="s">
        <v>318</v>
      </c>
      <c r="F690" s="208">
        <v>2026</v>
      </c>
      <c r="G690" s="208">
        <v>5</v>
      </c>
      <c r="H690" s="208" t="s">
        <v>204</v>
      </c>
      <c r="I690" s="208" t="s">
        <v>205</v>
      </c>
      <c r="J690" s="208" t="s">
        <v>680</v>
      </c>
      <c r="K690" s="208"/>
      <c r="L690" s="208" t="s">
        <v>734</v>
      </c>
      <c r="M690" s="208">
        <v>5</v>
      </c>
      <c r="N690" s="208"/>
      <c r="O690" s="208" t="s">
        <v>699</v>
      </c>
      <c r="P690" s="208"/>
      <c r="Q690" s="207"/>
      <c r="R690" s="208"/>
    </row>
    <row r="691" spans="1:18">
      <c r="A691" s="277">
        <v>618</v>
      </c>
      <c r="B691" s="278">
        <v>46163</v>
      </c>
      <c r="C691" s="208" t="s">
        <v>298</v>
      </c>
      <c r="D691" s="208" t="s">
        <v>683</v>
      </c>
      <c r="E691" s="208" t="s">
        <v>318</v>
      </c>
      <c r="F691" s="208">
        <v>2026</v>
      </c>
      <c r="G691" s="208">
        <v>4</v>
      </c>
      <c r="H691" s="208" t="s">
        <v>215</v>
      </c>
      <c r="I691" s="208" t="s">
        <v>218</v>
      </c>
      <c r="J691" s="208" t="s">
        <v>366</v>
      </c>
      <c r="K691" s="208" t="s">
        <v>106</v>
      </c>
      <c r="L691" s="208" t="s">
        <v>735</v>
      </c>
      <c r="M691" s="208">
        <v>4</v>
      </c>
      <c r="N691" s="208"/>
      <c r="O691" s="208" t="s">
        <v>432</v>
      </c>
      <c r="P691" s="208"/>
      <c r="Q691" s="207"/>
      <c r="R691" s="208"/>
    </row>
    <row r="692" spans="1:18">
      <c r="A692" s="277">
        <v>619</v>
      </c>
      <c r="B692" s="278">
        <v>46163</v>
      </c>
      <c r="C692" s="208" t="s">
        <v>298</v>
      </c>
      <c r="D692" s="208" t="s">
        <v>713</v>
      </c>
      <c r="E692" s="208" t="s">
        <v>318</v>
      </c>
      <c r="F692" s="208">
        <v>2026</v>
      </c>
      <c r="G692" s="208">
        <v>4</v>
      </c>
      <c r="H692" s="208" t="s">
        <v>215</v>
      </c>
      <c r="I692" s="208" t="s">
        <v>714</v>
      </c>
      <c r="J692" s="208" t="s">
        <v>366</v>
      </c>
      <c r="K692" s="208" t="s">
        <v>106</v>
      </c>
      <c r="L692" s="208" t="s">
        <v>708</v>
      </c>
      <c r="M692" s="208">
        <v>4</v>
      </c>
      <c r="N692" s="208"/>
      <c r="O692" s="208" t="s">
        <v>432</v>
      </c>
      <c r="P692" s="208"/>
      <c r="Q692" s="207"/>
      <c r="R692" s="208"/>
    </row>
    <row r="693" spans="1:18">
      <c r="A693" s="277">
        <v>620</v>
      </c>
      <c r="B693" s="278">
        <v>46163</v>
      </c>
      <c r="C693" s="208" t="s">
        <v>298</v>
      </c>
      <c r="D693" s="208" t="s">
        <v>479</v>
      </c>
      <c r="E693" s="208" t="s">
        <v>318</v>
      </c>
      <c r="F693" s="208">
        <v>2026</v>
      </c>
      <c r="G693" s="208">
        <v>3</v>
      </c>
      <c r="H693" s="208" t="s">
        <v>461</v>
      </c>
      <c r="I693" s="208" t="s">
        <v>142</v>
      </c>
      <c r="J693" s="208" t="s">
        <v>462</v>
      </c>
      <c r="K693" s="208" t="s">
        <v>10</v>
      </c>
      <c r="L693" s="208" t="s">
        <v>736</v>
      </c>
      <c r="M693" s="208">
        <v>3</v>
      </c>
      <c r="N693" s="208"/>
      <c r="O693" s="208" t="s">
        <v>102</v>
      </c>
      <c r="P693" s="208"/>
      <c r="Q693" s="207"/>
      <c r="R693" s="208"/>
    </row>
    <row r="694" spans="1:18">
      <c r="A694" s="277">
        <v>621</v>
      </c>
      <c r="B694" s="278">
        <v>46163</v>
      </c>
      <c r="C694" s="208" t="s">
        <v>298</v>
      </c>
      <c r="D694" s="208" t="s">
        <v>477</v>
      </c>
      <c r="E694" s="208" t="s">
        <v>318</v>
      </c>
      <c r="F694" s="208">
        <v>2026</v>
      </c>
      <c r="G694" s="208">
        <v>3</v>
      </c>
      <c r="H694" s="208" t="s">
        <v>461</v>
      </c>
      <c r="I694" s="208" t="s">
        <v>142</v>
      </c>
      <c r="J694" s="208" t="s">
        <v>462</v>
      </c>
      <c r="K694" s="208" t="s">
        <v>101</v>
      </c>
      <c r="L694" s="208" t="s">
        <v>736</v>
      </c>
      <c r="M694" s="208">
        <v>3</v>
      </c>
      <c r="N694" s="208"/>
      <c r="O694" s="208" t="s">
        <v>179</v>
      </c>
      <c r="P694" s="208"/>
      <c r="Q694" s="207"/>
      <c r="R694" s="208"/>
    </row>
    <row r="695" spans="1:18">
      <c r="A695" s="277">
        <v>622</v>
      </c>
      <c r="B695" s="278">
        <v>46163</v>
      </c>
      <c r="C695" s="208" t="s">
        <v>298</v>
      </c>
      <c r="D695" s="208"/>
      <c r="E695" s="208" t="s">
        <v>318</v>
      </c>
      <c r="F695" s="208">
        <v>2026</v>
      </c>
      <c r="G695" s="208">
        <v>2</v>
      </c>
      <c r="H695" s="208" t="s">
        <v>132</v>
      </c>
      <c r="I695" s="208" t="s">
        <v>133</v>
      </c>
      <c r="J695" s="208" t="s">
        <v>360</v>
      </c>
      <c r="K695" s="208" t="s">
        <v>135</v>
      </c>
      <c r="L695" s="208" t="s">
        <v>737</v>
      </c>
      <c r="M695" s="208"/>
      <c r="N695" s="208"/>
      <c r="O695" s="208" t="s">
        <v>127</v>
      </c>
      <c r="P695" s="208"/>
      <c r="Q695" s="207"/>
      <c r="R695" s="208"/>
    </row>
    <row r="696" spans="1:18">
      <c r="A696" s="277">
        <v>623</v>
      </c>
      <c r="B696" s="278">
        <v>46163</v>
      </c>
      <c r="C696" s="208" t="s">
        <v>298</v>
      </c>
      <c r="D696" s="208" t="s">
        <v>655</v>
      </c>
      <c r="E696" s="208" t="s">
        <v>318</v>
      </c>
      <c r="F696" s="208">
        <v>2026</v>
      </c>
      <c r="G696" s="208">
        <v>1.5</v>
      </c>
      <c r="H696" s="208" t="s">
        <v>115</v>
      </c>
      <c r="I696" s="208" t="s">
        <v>437</v>
      </c>
      <c r="J696" s="208" t="s">
        <v>438</v>
      </c>
      <c r="K696" s="208" t="s">
        <v>101</v>
      </c>
      <c r="L696" s="208" t="s">
        <v>738</v>
      </c>
      <c r="M696" s="208">
        <v>1.5</v>
      </c>
      <c r="N696" s="208"/>
      <c r="O696" s="208" t="s">
        <v>164</v>
      </c>
      <c r="P696" s="208"/>
      <c r="Q696" s="207"/>
      <c r="R696" s="208"/>
    </row>
    <row r="697" spans="1:18">
      <c r="A697" s="277">
        <v>624</v>
      </c>
      <c r="B697" s="278">
        <v>46163</v>
      </c>
      <c r="C697" s="208" t="s">
        <v>298</v>
      </c>
      <c r="D697" s="208" t="s">
        <v>456</v>
      </c>
      <c r="E697" s="208" t="s">
        <v>318</v>
      </c>
      <c r="F697" s="208">
        <v>2026</v>
      </c>
      <c r="G697" s="208">
        <v>2.5</v>
      </c>
      <c r="H697" s="208" t="s">
        <v>99</v>
      </c>
      <c r="I697" s="208" t="s">
        <v>100</v>
      </c>
      <c r="J697" s="208" t="s">
        <v>373</v>
      </c>
      <c r="K697" s="208" t="s">
        <v>101</v>
      </c>
      <c r="L697" s="208" t="s">
        <v>739</v>
      </c>
      <c r="M697" s="208">
        <v>2.5</v>
      </c>
      <c r="N697" s="208"/>
      <c r="O697" s="208" t="s">
        <v>102</v>
      </c>
      <c r="P697" s="208"/>
      <c r="Q697" s="207"/>
      <c r="R697" s="208"/>
    </row>
    <row r="698" spans="1:18">
      <c r="A698" s="277">
        <v>625</v>
      </c>
      <c r="B698" s="278">
        <v>46163</v>
      </c>
      <c r="C698" s="208" t="s">
        <v>298</v>
      </c>
      <c r="D698" s="208" t="s">
        <v>532</v>
      </c>
      <c r="E698" s="208" t="s">
        <v>318</v>
      </c>
      <c r="F698" s="208">
        <v>2026</v>
      </c>
      <c r="G698" s="208">
        <v>2.5</v>
      </c>
      <c r="H698" s="208" t="s">
        <v>99</v>
      </c>
      <c r="I698" s="208" t="s">
        <v>100</v>
      </c>
      <c r="J698" s="208" t="s">
        <v>373</v>
      </c>
      <c r="K698" s="208" t="s">
        <v>10</v>
      </c>
      <c r="L698" s="208" t="s">
        <v>678</v>
      </c>
      <c r="M698" s="208">
        <v>2.5</v>
      </c>
      <c r="N698" s="208"/>
      <c r="O698" s="208" t="s">
        <v>29</v>
      </c>
      <c r="P698" s="208"/>
      <c r="Q698" s="207"/>
      <c r="R698" s="208"/>
    </row>
    <row r="699" spans="1:18">
      <c r="A699" s="277">
        <v>626</v>
      </c>
      <c r="B699" s="278">
        <v>46163</v>
      </c>
      <c r="C699" s="208" t="s">
        <v>298</v>
      </c>
      <c r="D699" s="208" t="s">
        <v>467</v>
      </c>
      <c r="E699" s="208" t="s">
        <v>318</v>
      </c>
      <c r="F699" s="208">
        <v>2026</v>
      </c>
      <c r="G699" s="208">
        <v>2.5</v>
      </c>
      <c r="H699" s="208" t="s">
        <v>99</v>
      </c>
      <c r="I699" s="208" t="s">
        <v>100</v>
      </c>
      <c r="J699" s="208" t="s">
        <v>373</v>
      </c>
      <c r="K699" s="208" t="s">
        <v>104</v>
      </c>
      <c r="L699" s="208" t="s">
        <v>696</v>
      </c>
      <c r="M699" s="208">
        <v>2.5</v>
      </c>
      <c r="N699" s="208"/>
      <c r="O699" s="208" t="s">
        <v>70</v>
      </c>
      <c r="P699" s="208"/>
      <c r="Q699" s="207"/>
      <c r="R699" s="208"/>
    </row>
    <row r="700" spans="1:18">
      <c r="A700" s="277">
        <v>627</v>
      </c>
      <c r="B700" s="278">
        <v>46163</v>
      </c>
      <c r="C700" s="208" t="s">
        <v>298</v>
      </c>
      <c r="D700" s="208" t="s">
        <v>430</v>
      </c>
      <c r="E700" s="208" t="s">
        <v>318</v>
      </c>
      <c r="F700" s="208">
        <v>2026</v>
      </c>
      <c r="G700" s="208">
        <v>2.5</v>
      </c>
      <c r="H700" s="208" t="s">
        <v>99</v>
      </c>
      <c r="I700" s="208" t="s">
        <v>100</v>
      </c>
      <c r="J700" s="208" t="s">
        <v>373</v>
      </c>
      <c r="K700" s="208" t="s">
        <v>106</v>
      </c>
      <c r="L700" s="208" t="s">
        <v>739</v>
      </c>
      <c r="M700" s="208">
        <v>2.5</v>
      </c>
      <c r="N700" s="208"/>
      <c r="O700" s="208" t="s">
        <v>432</v>
      </c>
      <c r="P700" s="208"/>
      <c r="Q700" s="207"/>
      <c r="R700" s="208"/>
    </row>
    <row r="701" spans="1:18">
      <c r="A701" s="277">
        <v>628</v>
      </c>
      <c r="B701" s="278">
        <v>46164</v>
      </c>
      <c r="C701" s="208" t="s">
        <v>301</v>
      </c>
      <c r="D701" s="208" t="s">
        <v>740</v>
      </c>
      <c r="E701" s="208" t="s">
        <v>318</v>
      </c>
      <c r="F701" s="208">
        <v>2026</v>
      </c>
      <c r="G701" s="208">
        <v>8</v>
      </c>
      <c r="H701" s="208" t="s">
        <v>161</v>
      </c>
      <c r="I701" s="208" t="s">
        <v>644</v>
      </c>
      <c r="J701" s="208" t="s">
        <v>438</v>
      </c>
      <c r="K701" s="208" t="s">
        <v>101</v>
      </c>
      <c r="L701" s="208" t="s">
        <v>741</v>
      </c>
      <c r="M701" s="208">
        <v>8</v>
      </c>
      <c r="N701" s="208"/>
      <c r="O701" s="208" t="s">
        <v>163</v>
      </c>
      <c r="P701" s="208"/>
      <c r="Q701" s="207"/>
      <c r="R701" s="208"/>
    </row>
    <row r="702" spans="1:18">
      <c r="A702" s="277">
        <v>629</v>
      </c>
      <c r="B702" s="278">
        <v>46164</v>
      </c>
      <c r="C702" s="208" t="s">
        <v>301</v>
      </c>
      <c r="D702" s="208" t="s">
        <v>697</v>
      </c>
      <c r="E702" s="208" t="s">
        <v>318</v>
      </c>
      <c r="F702" s="208">
        <v>2026</v>
      </c>
      <c r="G702" s="208">
        <v>5</v>
      </c>
      <c r="H702" s="208" t="s">
        <v>204</v>
      </c>
      <c r="I702" s="208" t="s">
        <v>205</v>
      </c>
      <c r="J702" s="208" t="s">
        <v>680</v>
      </c>
      <c r="K702" s="208"/>
      <c r="L702" s="208" t="s">
        <v>742</v>
      </c>
      <c r="M702" s="208">
        <v>5</v>
      </c>
      <c r="N702" s="208"/>
      <c r="O702" s="208" t="s">
        <v>699</v>
      </c>
      <c r="P702" s="208"/>
      <c r="Q702" s="207"/>
      <c r="R702" s="208"/>
    </row>
    <row r="703" spans="1:18">
      <c r="A703" s="277">
        <v>630</v>
      </c>
      <c r="B703" s="278">
        <v>46164</v>
      </c>
      <c r="C703" s="208" t="s">
        <v>301</v>
      </c>
      <c r="D703" s="208" t="s">
        <v>683</v>
      </c>
      <c r="E703" s="208" t="s">
        <v>318</v>
      </c>
      <c r="F703" s="208">
        <v>2026</v>
      </c>
      <c r="G703" s="208">
        <v>4</v>
      </c>
      <c r="H703" s="208" t="s">
        <v>215</v>
      </c>
      <c r="I703" s="208" t="s">
        <v>218</v>
      </c>
      <c r="J703" s="208" t="s">
        <v>366</v>
      </c>
      <c r="K703" s="208" t="s">
        <v>106</v>
      </c>
      <c r="L703" s="208" t="s">
        <v>743</v>
      </c>
      <c r="M703" s="208">
        <v>4</v>
      </c>
      <c r="N703" s="208"/>
      <c r="O703" s="208" t="s">
        <v>432</v>
      </c>
      <c r="P703" s="208"/>
      <c r="Q703" s="207"/>
      <c r="R703" s="208"/>
    </row>
    <row r="704" spans="1:18">
      <c r="A704" s="277">
        <v>631</v>
      </c>
      <c r="B704" s="278">
        <v>46164</v>
      </c>
      <c r="C704" s="208" t="s">
        <v>301</v>
      </c>
      <c r="D704" s="208" t="s">
        <v>713</v>
      </c>
      <c r="E704" s="208" t="s">
        <v>318</v>
      </c>
      <c r="F704" s="208">
        <v>2026</v>
      </c>
      <c r="G704" s="208">
        <v>4</v>
      </c>
      <c r="H704" s="208" t="s">
        <v>215</v>
      </c>
      <c r="I704" s="208" t="s">
        <v>714</v>
      </c>
      <c r="J704" s="208" t="s">
        <v>366</v>
      </c>
      <c r="K704" s="208" t="s">
        <v>106</v>
      </c>
      <c r="L704" s="208" t="s">
        <v>712</v>
      </c>
      <c r="M704" s="208">
        <v>4</v>
      </c>
      <c r="N704" s="208"/>
      <c r="O704" s="208" t="s">
        <v>432</v>
      </c>
      <c r="P704" s="208"/>
      <c r="Q704" s="207"/>
      <c r="R704" s="208"/>
    </row>
    <row r="705" spans="1:18">
      <c r="A705" s="277"/>
      <c r="B705" s="278">
        <v>46164</v>
      </c>
      <c r="C705" s="208" t="s">
        <v>301</v>
      </c>
      <c r="D705" s="208" t="s">
        <v>744</v>
      </c>
      <c r="E705" s="208" t="s">
        <v>318</v>
      </c>
      <c r="F705" s="208">
        <v>2026</v>
      </c>
      <c r="G705" s="208">
        <v>1</v>
      </c>
      <c r="H705" s="208" t="s">
        <v>132</v>
      </c>
      <c r="I705" s="208" t="s">
        <v>158</v>
      </c>
      <c r="J705" s="208" t="s">
        <v>360</v>
      </c>
      <c r="K705" s="208" t="s">
        <v>101</v>
      </c>
      <c r="L705" s="208" t="s">
        <v>745</v>
      </c>
      <c r="M705" s="208">
        <v>1</v>
      </c>
      <c r="N705" s="208"/>
      <c r="O705" s="208"/>
      <c r="P705" s="208"/>
      <c r="Q705" s="207"/>
      <c r="R705" s="208"/>
    </row>
    <row r="706" spans="1:18">
      <c r="A706" s="277"/>
      <c r="B706" s="278">
        <v>46164</v>
      </c>
      <c r="C706" s="208" t="s">
        <v>301</v>
      </c>
      <c r="D706" s="208" t="s">
        <v>715</v>
      </c>
      <c r="E706" s="208" t="s">
        <v>318</v>
      </c>
      <c r="F706" s="208">
        <v>2026</v>
      </c>
      <c r="G706" s="208">
        <v>2</v>
      </c>
      <c r="H706" s="208" t="s">
        <v>196</v>
      </c>
      <c r="I706" s="208" t="s">
        <v>197</v>
      </c>
      <c r="J706" s="208" t="s">
        <v>687</v>
      </c>
      <c r="K706" s="208" t="s">
        <v>101</v>
      </c>
      <c r="L706" s="208" t="s">
        <v>746</v>
      </c>
      <c r="M706" s="208">
        <v>2</v>
      </c>
      <c r="N706" s="208"/>
      <c r="O706" s="208"/>
      <c r="P706" s="208"/>
      <c r="Q706" s="207"/>
      <c r="R706" s="208"/>
    </row>
    <row r="707" spans="1:18">
      <c r="A707" s="277">
        <v>632</v>
      </c>
      <c r="B707" s="278">
        <v>46164</v>
      </c>
      <c r="C707" s="208" t="s">
        <v>301</v>
      </c>
      <c r="D707" s="208"/>
      <c r="E707" s="208" t="s">
        <v>318</v>
      </c>
      <c r="F707" s="208">
        <v>2026</v>
      </c>
      <c r="G707" s="208">
        <v>2</v>
      </c>
      <c r="H707" s="208" t="s">
        <v>132</v>
      </c>
      <c r="I707" s="208" t="s">
        <v>133</v>
      </c>
      <c r="J707" s="208" t="s">
        <v>360</v>
      </c>
      <c r="K707" s="208" t="s">
        <v>135</v>
      </c>
      <c r="L707" s="208" t="s">
        <v>747</v>
      </c>
      <c r="M707" s="208"/>
      <c r="N707" s="208"/>
      <c r="O707" s="208" t="s">
        <v>127</v>
      </c>
      <c r="P707" s="208"/>
      <c r="Q707" s="207"/>
      <c r="R707" s="208"/>
    </row>
    <row r="708" spans="1:18" ht="30.75">
      <c r="A708" s="277">
        <v>633</v>
      </c>
      <c r="B708" s="278">
        <v>46164</v>
      </c>
      <c r="C708" s="208" t="s">
        <v>301</v>
      </c>
      <c r="D708" s="208" t="s">
        <v>497</v>
      </c>
      <c r="E708" s="208" t="s">
        <v>318</v>
      </c>
      <c r="F708" s="208">
        <v>2026</v>
      </c>
      <c r="G708" s="208" t="s">
        <v>498</v>
      </c>
      <c r="H708" s="208" t="s">
        <v>57</v>
      </c>
      <c r="I708" s="208" t="s">
        <v>454</v>
      </c>
      <c r="J708" s="208" t="s">
        <v>311</v>
      </c>
      <c r="K708" s="208"/>
      <c r="L708" s="279" t="s">
        <v>748</v>
      </c>
      <c r="M708" s="208" t="s">
        <v>498</v>
      </c>
      <c r="N708" s="208"/>
      <c r="O708" s="208" t="s">
        <v>693</v>
      </c>
      <c r="P708" s="208"/>
      <c r="Q708" s="207"/>
      <c r="R708" s="208"/>
    </row>
    <row r="709" spans="1:18">
      <c r="A709" s="277">
        <v>634</v>
      </c>
      <c r="B709" s="278">
        <v>46164</v>
      </c>
      <c r="C709" s="208" t="s">
        <v>301</v>
      </c>
      <c r="D709" s="208" t="s">
        <v>655</v>
      </c>
      <c r="E709" s="208" t="s">
        <v>318</v>
      </c>
      <c r="F709" s="208">
        <v>2026</v>
      </c>
      <c r="G709" s="208">
        <v>1.5</v>
      </c>
      <c r="H709" s="208" t="s">
        <v>115</v>
      </c>
      <c r="I709" s="208" t="s">
        <v>437</v>
      </c>
      <c r="J709" s="208" t="s">
        <v>438</v>
      </c>
      <c r="K709" s="208" t="s">
        <v>101</v>
      </c>
      <c r="L709" s="208" t="s">
        <v>749</v>
      </c>
      <c r="M709" s="208">
        <v>1.5</v>
      </c>
      <c r="N709" s="208"/>
      <c r="O709" s="208" t="s">
        <v>164</v>
      </c>
      <c r="P709" s="208"/>
      <c r="Q709" s="207"/>
      <c r="R709" s="208"/>
    </row>
    <row r="710" spans="1:18">
      <c r="A710" s="277">
        <v>635</v>
      </c>
      <c r="B710" s="278">
        <v>46164</v>
      </c>
      <c r="C710" s="208" t="s">
        <v>301</v>
      </c>
      <c r="D710" s="208" t="s">
        <v>677</v>
      </c>
      <c r="E710" s="208" t="s">
        <v>318</v>
      </c>
      <c r="F710" s="208">
        <v>2026</v>
      </c>
      <c r="G710" s="208">
        <v>4</v>
      </c>
      <c r="H710" s="208" t="s">
        <v>99</v>
      </c>
      <c r="I710" s="208" t="s">
        <v>108</v>
      </c>
      <c r="J710" s="208" t="s">
        <v>366</v>
      </c>
      <c r="K710" s="208" t="s">
        <v>10</v>
      </c>
      <c r="L710" s="208" t="s">
        <v>725</v>
      </c>
      <c r="M710" s="208">
        <v>4</v>
      </c>
      <c r="N710" s="208"/>
      <c r="O710" s="208" t="s">
        <v>63</v>
      </c>
      <c r="P710" s="208"/>
      <c r="Q710" s="207"/>
      <c r="R710" s="208"/>
    </row>
    <row r="711" spans="1:18">
      <c r="A711" s="277">
        <v>636</v>
      </c>
      <c r="B711" s="278">
        <v>46164</v>
      </c>
      <c r="C711" s="208" t="s">
        <v>301</v>
      </c>
      <c r="D711" s="208" t="s">
        <v>667</v>
      </c>
      <c r="E711" s="208" t="s">
        <v>318</v>
      </c>
      <c r="F711" s="208">
        <v>2026</v>
      </c>
      <c r="G711" s="208">
        <v>4</v>
      </c>
      <c r="H711" s="208" t="s">
        <v>99</v>
      </c>
      <c r="I711" s="208" t="s">
        <v>108</v>
      </c>
      <c r="J711" s="208" t="s">
        <v>366</v>
      </c>
      <c r="K711" s="208" t="s">
        <v>106</v>
      </c>
      <c r="L711" s="208" t="s">
        <v>725</v>
      </c>
      <c r="M711" s="208">
        <v>4</v>
      </c>
      <c r="N711" s="208"/>
      <c r="O711" s="208" t="s">
        <v>91</v>
      </c>
      <c r="P711" s="208"/>
      <c r="Q711" s="207"/>
      <c r="R711" s="208"/>
    </row>
    <row r="712" spans="1:18">
      <c r="A712" s="277">
        <v>637</v>
      </c>
      <c r="B712" s="278">
        <v>46167</v>
      </c>
      <c r="C712" s="208" t="s">
        <v>302</v>
      </c>
      <c r="D712" s="208" t="s">
        <v>697</v>
      </c>
      <c r="E712" s="208" t="s">
        <v>318</v>
      </c>
      <c r="F712" s="208">
        <v>2026</v>
      </c>
      <c r="G712" s="208">
        <v>5</v>
      </c>
      <c r="H712" s="208" t="s">
        <v>204</v>
      </c>
      <c r="I712" s="208" t="s">
        <v>205</v>
      </c>
      <c r="J712" s="208" t="s">
        <v>680</v>
      </c>
      <c r="K712" s="208"/>
      <c r="L712" s="208" t="s">
        <v>750</v>
      </c>
      <c r="M712" s="208">
        <v>5</v>
      </c>
      <c r="N712" s="208"/>
      <c r="O712" s="208" t="s">
        <v>699</v>
      </c>
      <c r="P712" s="208"/>
      <c r="Q712" s="207"/>
      <c r="R712" s="208"/>
    </row>
    <row r="713" spans="1:18">
      <c r="A713" s="277">
        <v>638</v>
      </c>
      <c r="B713" s="278">
        <v>46167</v>
      </c>
      <c r="C713" s="208" t="s">
        <v>302</v>
      </c>
      <c r="D713" s="208" t="s">
        <v>713</v>
      </c>
      <c r="E713" s="208" t="s">
        <v>318</v>
      </c>
      <c r="F713" s="208">
        <v>2026</v>
      </c>
      <c r="G713" s="208">
        <v>4</v>
      </c>
      <c r="H713" s="208" t="s">
        <v>215</v>
      </c>
      <c r="I713" s="208" t="s">
        <v>714</v>
      </c>
      <c r="J713" s="208" t="s">
        <v>366</v>
      </c>
      <c r="K713" s="208" t="s">
        <v>106</v>
      </c>
      <c r="L713" s="208" t="s">
        <v>720</v>
      </c>
      <c r="M713" s="208">
        <v>4</v>
      </c>
      <c r="N713" s="208"/>
      <c r="O713" s="208" t="s">
        <v>432</v>
      </c>
      <c r="P713" s="208"/>
      <c r="Q713" s="207"/>
      <c r="R713" s="208"/>
    </row>
    <row r="714" spans="1:18">
      <c r="A714" s="277">
        <v>639</v>
      </c>
      <c r="B714" s="278">
        <v>46167</v>
      </c>
      <c r="C714" s="208" t="s">
        <v>302</v>
      </c>
      <c r="D714" s="208"/>
      <c r="E714" s="208" t="s">
        <v>318</v>
      </c>
      <c r="F714" s="208">
        <v>2026</v>
      </c>
      <c r="G714" s="208">
        <v>2</v>
      </c>
      <c r="H714" s="208" t="s">
        <v>132</v>
      </c>
      <c r="I714" s="208" t="s">
        <v>133</v>
      </c>
      <c r="J714" s="208" t="s">
        <v>360</v>
      </c>
      <c r="K714" s="208" t="s">
        <v>135</v>
      </c>
      <c r="L714" s="208" t="s">
        <v>751</v>
      </c>
      <c r="M714" s="208"/>
      <c r="N714" s="208"/>
      <c r="O714" s="208" t="s">
        <v>127</v>
      </c>
      <c r="P714" s="208"/>
      <c r="Q714" s="207"/>
      <c r="R714" s="208"/>
    </row>
    <row r="715" spans="1:18">
      <c r="A715" s="277">
        <v>640</v>
      </c>
      <c r="B715" s="278">
        <v>46168</v>
      </c>
      <c r="C715" s="208" t="s">
        <v>289</v>
      </c>
      <c r="D715" s="208" t="s">
        <v>697</v>
      </c>
      <c r="E715" s="208" t="s">
        <v>318</v>
      </c>
      <c r="F715" s="208">
        <v>2026</v>
      </c>
      <c r="G715" s="208">
        <v>5</v>
      </c>
      <c r="H715" s="208" t="s">
        <v>204</v>
      </c>
      <c r="I715" s="208" t="s">
        <v>205</v>
      </c>
      <c r="J715" s="208" t="s">
        <v>680</v>
      </c>
      <c r="K715" s="208"/>
      <c r="L715" s="208" t="s">
        <v>752</v>
      </c>
      <c r="M715" s="208">
        <v>5</v>
      </c>
      <c r="N715" s="208"/>
      <c r="O715" s="208" t="s">
        <v>699</v>
      </c>
      <c r="P715" s="208"/>
      <c r="Q715" s="207"/>
      <c r="R715" s="208"/>
    </row>
    <row r="716" spans="1:18">
      <c r="A716" s="277">
        <v>641</v>
      </c>
      <c r="B716" s="278">
        <v>46168</v>
      </c>
      <c r="C716" s="208" t="s">
        <v>289</v>
      </c>
      <c r="D716" s="208" t="s">
        <v>713</v>
      </c>
      <c r="E716" s="208" t="s">
        <v>318</v>
      </c>
      <c r="F716" s="208">
        <v>2026</v>
      </c>
      <c r="G716" s="208">
        <v>4</v>
      </c>
      <c r="H716" s="208" t="s">
        <v>215</v>
      </c>
      <c r="I716" s="208" t="s">
        <v>714</v>
      </c>
      <c r="J716" s="208" t="s">
        <v>366</v>
      </c>
      <c r="K716" s="208" t="s">
        <v>106</v>
      </c>
      <c r="L716" s="208" t="s">
        <v>735</v>
      </c>
      <c r="M716" s="208">
        <v>4</v>
      </c>
      <c r="N716" s="208"/>
      <c r="O716" s="208" t="s">
        <v>432</v>
      </c>
      <c r="P716" s="208"/>
      <c r="Q716" s="207"/>
      <c r="R716" s="208"/>
    </row>
    <row r="717" spans="1:18">
      <c r="A717" s="277">
        <v>642</v>
      </c>
      <c r="B717" s="278">
        <v>46168</v>
      </c>
      <c r="C717" s="208" t="s">
        <v>289</v>
      </c>
      <c r="D717" s="208" t="s">
        <v>479</v>
      </c>
      <c r="E717" s="208" t="s">
        <v>318</v>
      </c>
      <c r="F717" s="208">
        <v>2026</v>
      </c>
      <c r="G717" s="208">
        <v>3</v>
      </c>
      <c r="H717" s="208" t="s">
        <v>461</v>
      </c>
      <c r="I717" s="208" t="s">
        <v>142</v>
      </c>
      <c r="J717" s="208" t="s">
        <v>462</v>
      </c>
      <c r="K717" s="208" t="s">
        <v>10</v>
      </c>
      <c r="L717" s="208" t="s">
        <v>753</v>
      </c>
      <c r="M717" s="208">
        <v>3</v>
      </c>
      <c r="N717" s="208"/>
      <c r="O717" s="208" t="s">
        <v>102</v>
      </c>
      <c r="P717" s="208"/>
      <c r="Q717" s="207"/>
      <c r="R717" s="208"/>
    </row>
    <row r="718" spans="1:18">
      <c r="A718" s="277">
        <v>643</v>
      </c>
      <c r="B718" s="278">
        <v>46168</v>
      </c>
      <c r="C718" s="208" t="s">
        <v>289</v>
      </c>
      <c r="D718" s="208" t="s">
        <v>477</v>
      </c>
      <c r="E718" s="208" t="s">
        <v>318</v>
      </c>
      <c r="F718" s="208">
        <v>2026</v>
      </c>
      <c r="G718" s="208">
        <v>3</v>
      </c>
      <c r="H718" s="208" t="s">
        <v>461</v>
      </c>
      <c r="I718" s="208" t="s">
        <v>142</v>
      </c>
      <c r="J718" s="208" t="s">
        <v>462</v>
      </c>
      <c r="K718" s="208" t="s">
        <v>101</v>
      </c>
      <c r="L718" s="208" t="s">
        <v>753</v>
      </c>
      <c r="M718" s="208">
        <v>3</v>
      </c>
      <c r="N718" s="208"/>
      <c r="O718" s="208" t="s">
        <v>179</v>
      </c>
      <c r="P718" s="208"/>
      <c r="Q718" s="207"/>
      <c r="R718" s="208"/>
    </row>
    <row r="719" spans="1:18">
      <c r="A719" s="277">
        <v>644</v>
      </c>
      <c r="B719" s="278">
        <v>46168</v>
      </c>
      <c r="C719" s="208" t="s">
        <v>289</v>
      </c>
      <c r="D719" s="208" t="s">
        <v>655</v>
      </c>
      <c r="E719" s="208" t="s">
        <v>318</v>
      </c>
      <c r="F719" s="208">
        <v>2026</v>
      </c>
      <c r="G719" s="208">
        <v>1.5</v>
      </c>
      <c r="H719" s="208" t="s">
        <v>115</v>
      </c>
      <c r="I719" s="208" t="s">
        <v>437</v>
      </c>
      <c r="J719" s="208" t="s">
        <v>438</v>
      </c>
      <c r="K719" s="208" t="s">
        <v>101</v>
      </c>
      <c r="L719" s="208" t="s">
        <v>754</v>
      </c>
      <c r="M719" s="208">
        <v>1.5</v>
      </c>
      <c r="N719" s="208"/>
      <c r="O719" s="208" t="s">
        <v>164</v>
      </c>
      <c r="P719" s="208"/>
      <c r="Q719" s="207"/>
      <c r="R719" s="208"/>
    </row>
    <row r="720" spans="1:18">
      <c r="A720" s="277">
        <v>645</v>
      </c>
      <c r="B720" s="278">
        <v>46168</v>
      </c>
      <c r="C720" s="208" t="s">
        <v>289</v>
      </c>
      <c r="D720" s="208" t="s">
        <v>456</v>
      </c>
      <c r="E720" s="208" t="s">
        <v>318</v>
      </c>
      <c r="F720" s="208">
        <v>2026</v>
      </c>
      <c r="G720" s="208">
        <v>2.5</v>
      </c>
      <c r="H720" s="208" t="s">
        <v>99</v>
      </c>
      <c r="I720" s="208" t="s">
        <v>100</v>
      </c>
      <c r="J720" s="208" t="s">
        <v>373</v>
      </c>
      <c r="K720" s="208" t="s">
        <v>101</v>
      </c>
      <c r="L720" s="208" t="s">
        <v>755</v>
      </c>
      <c r="M720" s="208">
        <v>2.5</v>
      </c>
      <c r="N720" s="208"/>
      <c r="O720" s="208" t="s">
        <v>102</v>
      </c>
      <c r="P720" s="208"/>
      <c r="Q720" s="207"/>
      <c r="R720" s="208"/>
    </row>
    <row r="721" spans="1:18">
      <c r="A721" s="277">
        <v>646</v>
      </c>
      <c r="B721" s="278">
        <v>46168</v>
      </c>
      <c r="C721" s="208" t="s">
        <v>289</v>
      </c>
      <c r="D721" s="208" t="s">
        <v>532</v>
      </c>
      <c r="E721" s="208" t="s">
        <v>318</v>
      </c>
      <c r="F721" s="208">
        <v>2026</v>
      </c>
      <c r="G721" s="208">
        <v>2.5</v>
      </c>
      <c r="H721" s="208" t="s">
        <v>99</v>
      </c>
      <c r="I721" s="208" t="s">
        <v>100</v>
      </c>
      <c r="J721" s="208" t="s">
        <v>373</v>
      </c>
      <c r="K721" s="208" t="s">
        <v>10</v>
      </c>
      <c r="L721" s="208" t="s">
        <v>696</v>
      </c>
      <c r="M721" s="208">
        <v>2.5</v>
      </c>
      <c r="N721" s="208"/>
      <c r="O721" s="208" t="s">
        <v>29</v>
      </c>
      <c r="P721" s="208"/>
      <c r="Q721" s="207"/>
      <c r="R721" s="208"/>
    </row>
    <row r="722" spans="1:18">
      <c r="A722" s="277"/>
      <c r="B722" s="278">
        <v>46168</v>
      </c>
      <c r="C722" s="208" t="s">
        <v>289</v>
      </c>
      <c r="D722" s="208"/>
      <c r="E722" s="208" t="s">
        <v>318</v>
      </c>
      <c r="F722" s="208">
        <v>2026</v>
      </c>
      <c r="G722" s="208"/>
      <c r="H722" s="208" t="s">
        <v>99</v>
      </c>
      <c r="I722" s="208" t="s">
        <v>100</v>
      </c>
      <c r="J722" s="208" t="s">
        <v>373</v>
      </c>
      <c r="K722" s="208" t="s">
        <v>106</v>
      </c>
      <c r="L722" s="208" t="s">
        <v>427</v>
      </c>
      <c r="M722" s="208"/>
      <c r="N722" s="208"/>
      <c r="O722" s="208"/>
      <c r="P722" s="208"/>
      <c r="Q722" s="207"/>
      <c r="R722" s="208"/>
    </row>
    <row r="723" spans="1:18">
      <c r="A723" s="277">
        <v>647</v>
      </c>
      <c r="B723" s="278">
        <v>46169</v>
      </c>
      <c r="C723" s="208" t="s">
        <v>294</v>
      </c>
      <c r="D723" s="208"/>
      <c r="E723" s="208" t="s">
        <v>318</v>
      </c>
      <c r="F723" s="208">
        <v>2026</v>
      </c>
      <c r="G723" s="208">
        <v>0.5</v>
      </c>
      <c r="H723" s="208" t="s">
        <v>201</v>
      </c>
      <c r="I723" s="208" t="s">
        <v>202</v>
      </c>
      <c r="J723" s="208" t="s">
        <v>373</v>
      </c>
      <c r="K723" s="208" t="s">
        <v>101</v>
      </c>
      <c r="L723" s="208" t="s">
        <v>756</v>
      </c>
      <c r="M723" s="208">
        <v>0.5</v>
      </c>
      <c r="N723" s="208"/>
      <c r="O723" s="208" t="s">
        <v>203</v>
      </c>
      <c r="P723" s="208"/>
      <c r="Q723" s="207"/>
      <c r="R723" s="208"/>
    </row>
    <row r="724" spans="1:18">
      <c r="A724" s="277"/>
      <c r="B724" s="278">
        <v>46169</v>
      </c>
      <c r="C724" s="208" t="s">
        <v>294</v>
      </c>
      <c r="D724" s="208" t="s">
        <v>715</v>
      </c>
      <c r="E724" s="208" t="s">
        <v>318</v>
      </c>
      <c r="F724" s="208">
        <v>2026</v>
      </c>
      <c r="G724" s="208">
        <v>2</v>
      </c>
      <c r="H724" s="208" t="s">
        <v>196</v>
      </c>
      <c r="I724" s="208" t="s">
        <v>197</v>
      </c>
      <c r="J724" s="208" t="s">
        <v>687</v>
      </c>
      <c r="K724" s="208" t="s">
        <v>101</v>
      </c>
      <c r="L724" s="208" t="s">
        <v>746</v>
      </c>
      <c r="M724" s="208">
        <v>2</v>
      </c>
      <c r="N724" s="208"/>
      <c r="O724" s="208"/>
      <c r="P724" s="208"/>
      <c r="Q724" s="207"/>
      <c r="R724" s="208"/>
    </row>
    <row r="725" spans="1:18">
      <c r="A725" s="277">
        <v>648</v>
      </c>
      <c r="B725" s="278">
        <v>46170</v>
      </c>
      <c r="C725" s="208" t="s">
        <v>298</v>
      </c>
      <c r="D725" s="208" t="s">
        <v>479</v>
      </c>
      <c r="E725" s="208" t="s">
        <v>318</v>
      </c>
      <c r="F725" s="208">
        <v>2026</v>
      </c>
      <c r="G725" s="208">
        <v>3</v>
      </c>
      <c r="H725" s="208" t="s">
        <v>461</v>
      </c>
      <c r="I725" s="208" t="s">
        <v>142</v>
      </c>
      <c r="J725" s="208" t="s">
        <v>462</v>
      </c>
      <c r="K725" s="208" t="s">
        <v>10</v>
      </c>
      <c r="L725" s="208" t="s">
        <v>757</v>
      </c>
      <c r="M725" s="208">
        <v>3</v>
      </c>
      <c r="N725" s="208"/>
      <c r="O725" s="208" t="s">
        <v>102</v>
      </c>
      <c r="P725" s="208"/>
      <c r="Q725" s="207"/>
      <c r="R725" s="208"/>
    </row>
    <row r="726" spans="1:18">
      <c r="A726" s="277">
        <v>649</v>
      </c>
      <c r="B726" s="278">
        <v>46170</v>
      </c>
      <c r="C726" s="208" t="s">
        <v>298</v>
      </c>
      <c r="D726" s="208" t="s">
        <v>477</v>
      </c>
      <c r="E726" s="208" t="s">
        <v>318</v>
      </c>
      <c r="F726" s="208">
        <v>2026</v>
      </c>
      <c r="G726" s="208">
        <v>3</v>
      </c>
      <c r="H726" s="208" t="s">
        <v>461</v>
      </c>
      <c r="I726" s="208" t="s">
        <v>142</v>
      </c>
      <c r="J726" s="208" t="s">
        <v>462</v>
      </c>
      <c r="K726" s="208" t="s">
        <v>101</v>
      </c>
      <c r="L726" s="208" t="s">
        <v>757</v>
      </c>
      <c r="M726" s="208">
        <v>3</v>
      </c>
      <c r="N726" s="208"/>
      <c r="O726" s="208" t="s">
        <v>179</v>
      </c>
      <c r="P726" s="208"/>
      <c r="Q726" s="207"/>
      <c r="R726" s="208"/>
    </row>
    <row r="727" spans="1:18">
      <c r="A727" s="277">
        <v>650</v>
      </c>
      <c r="B727" s="278">
        <v>46170</v>
      </c>
      <c r="C727" s="208" t="s">
        <v>298</v>
      </c>
      <c r="D727" s="208" t="s">
        <v>456</v>
      </c>
      <c r="E727" s="208" t="s">
        <v>318</v>
      </c>
      <c r="F727" s="208">
        <v>2026</v>
      </c>
      <c r="G727" s="208">
        <v>2.5</v>
      </c>
      <c r="H727" s="208" t="s">
        <v>99</v>
      </c>
      <c r="I727" s="208" t="s">
        <v>100</v>
      </c>
      <c r="J727" s="208" t="s">
        <v>373</v>
      </c>
      <c r="K727" s="208" t="s">
        <v>101</v>
      </c>
      <c r="L727" s="208" t="s">
        <v>758</v>
      </c>
      <c r="M727" s="208">
        <v>2.5</v>
      </c>
      <c r="N727" s="208"/>
      <c r="O727" s="208" t="s">
        <v>102</v>
      </c>
      <c r="P727" s="208"/>
      <c r="Q727" s="207"/>
      <c r="R727" s="208"/>
    </row>
    <row r="728" spans="1:18">
      <c r="A728" s="277">
        <v>651</v>
      </c>
      <c r="B728" s="278">
        <v>46170</v>
      </c>
      <c r="C728" s="208" t="s">
        <v>298</v>
      </c>
      <c r="D728" s="208" t="s">
        <v>532</v>
      </c>
      <c r="E728" s="208" t="s">
        <v>318</v>
      </c>
      <c r="F728" s="208">
        <v>2026</v>
      </c>
      <c r="G728" s="208">
        <v>2.5</v>
      </c>
      <c r="H728" s="208" t="s">
        <v>99</v>
      </c>
      <c r="I728" s="208" t="s">
        <v>100</v>
      </c>
      <c r="J728" s="208" t="s">
        <v>373</v>
      </c>
      <c r="K728" s="208" t="s">
        <v>10</v>
      </c>
      <c r="L728" s="208" t="s">
        <v>726</v>
      </c>
      <c r="M728" s="208">
        <v>2.5</v>
      </c>
      <c r="N728" s="208"/>
      <c r="O728" s="208" t="s">
        <v>29</v>
      </c>
      <c r="P728" s="208"/>
      <c r="Q728" s="207"/>
      <c r="R728" s="208"/>
    </row>
    <row r="729" spans="1:18">
      <c r="A729" s="277">
        <v>652</v>
      </c>
      <c r="B729" s="278">
        <v>46170</v>
      </c>
      <c r="C729" s="208" t="s">
        <v>298</v>
      </c>
      <c r="D729" s="208" t="s">
        <v>467</v>
      </c>
      <c r="E729" s="208" t="s">
        <v>318</v>
      </c>
      <c r="F729" s="208">
        <v>2026</v>
      </c>
      <c r="G729" s="208">
        <v>2.5</v>
      </c>
      <c r="H729" s="208" t="s">
        <v>99</v>
      </c>
      <c r="I729" s="208" t="s">
        <v>100</v>
      </c>
      <c r="J729" s="208" t="s">
        <v>373</v>
      </c>
      <c r="K729" s="208" t="s">
        <v>104</v>
      </c>
      <c r="L729" s="208" t="s">
        <v>726</v>
      </c>
      <c r="M729" s="208">
        <v>2.5</v>
      </c>
      <c r="N729" s="208"/>
      <c r="O729" s="208" t="s">
        <v>70</v>
      </c>
      <c r="P729" s="208"/>
      <c r="Q729" s="207"/>
      <c r="R729" s="208"/>
    </row>
    <row r="730" spans="1:18">
      <c r="A730" s="277">
        <v>653</v>
      </c>
      <c r="B730" s="278">
        <v>46171</v>
      </c>
      <c r="C730" s="208" t="s">
        <v>301</v>
      </c>
      <c r="D730" s="208" t="s">
        <v>713</v>
      </c>
      <c r="E730" s="208" t="s">
        <v>318</v>
      </c>
      <c r="F730" s="208">
        <v>2026</v>
      </c>
      <c r="G730" s="208">
        <v>4</v>
      </c>
      <c r="H730" s="208" t="s">
        <v>215</v>
      </c>
      <c r="I730" s="208" t="s">
        <v>714</v>
      </c>
      <c r="J730" s="208" t="s">
        <v>366</v>
      </c>
      <c r="K730" s="208" t="s">
        <v>106</v>
      </c>
      <c r="L730" s="208" t="s">
        <v>743</v>
      </c>
      <c r="M730" s="208">
        <v>4</v>
      </c>
      <c r="N730" s="208"/>
      <c r="O730" s="208" t="s">
        <v>432</v>
      </c>
      <c r="P730" s="208"/>
      <c r="Q730" s="207"/>
      <c r="R730" s="208"/>
    </row>
    <row r="731" spans="1:18">
      <c r="A731" s="277">
        <v>654</v>
      </c>
      <c r="B731" s="278">
        <v>46171</v>
      </c>
      <c r="C731" s="208" t="s">
        <v>301</v>
      </c>
      <c r="D731" s="208" t="s">
        <v>655</v>
      </c>
      <c r="E731" s="208" t="s">
        <v>318</v>
      </c>
      <c r="F731" s="208">
        <v>2026</v>
      </c>
      <c r="G731" s="208">
        <v>1.5</v>
      </c>
      <c r="H731" s="208" t="s">
        <v>115</v>
      </c>
      <c r="I731" s="208" t="s">
        <v>437</v>
      </c>
      <c r="J731" s="208" t="s">
        <v>438</v>
      </c>
      <c r="K731" s="208" t="s">
        <v>101</v>
      </c>
      <c r="L731" s="208" t="s">
        <v>759</v>
      </c>
      <c r="M731" s="208">
        <v>1.5</v>
      </c>
      <c r="N731" s="208"/>
      <c r="O731" s="208" t="s">
        <v>164</v>
      </c>
      <c r="P731" s="208"/>
      <c r="Q731" s="207"/>
      <c r="R731" s="208"/>
    </row>
    <row r="732" spans="1:18">
      <c r="A732" s="277">
        <v>655</v>
      </c>
      <c r="B732" s="278">
        <v>46174</v>
      </c>
      <c r="C732" s="208" t="s">
        <v>302</v>
      </c>
      <c r="D732" s="208" t="s">
        <v>715</v>
      </c>
      <c r="E732" s="208" t="s">
        <v>337</v>
      </c>
      <c r="F732" s="208">
        <v>2026</v>
      </c>
      <c r="G732" s="208">
        <v>2</v>
      </c>
      <c r="H732" s="208" t="s">
        <v>196</v>
      </c>
      <c r="I732" s="208" t="s">
        <v>197</v>
      </c>
      <c r="J732" s="208" t="s">
        <v>687</v>
      </c>
      <c r="K732" s="208" t="s">
        <v>101</v>
      </c>
      <c r="L732" s="208" t="s">
        <v>760</v>
      </c>
      <c r="M732" s="208">
        <v>2</v>
      </c>
      <c r="N732" s="208"/>
      <c r="O732" s="208" t="s">
        <v>230</v>
      </c>
      <c r="P732" s="208"/>
      <c r="Q732" s="207"/>
      <c r="R732" s="208"/>
    </row>
    <row r="733" spans="1:18">
      <c r="A733" s="277">
        <v>656</v>
      </c>
      <c r="B733" s="278">
        <v>46174</v>
      </c>
      <c r="C733" s="208" t="s">
        <v>302</v>
      </c>
      <c r="D733" s="208" t="s">
        <v>638</v>
      </c>
      <c r="E733" s="208" t="s">
        <v>337</v>
      </c>
      <c r="F733" s="208">
        <v>2026</v>
      </c>
      <c r="G733" s="208">
        <v>2.5</v>
      </c>
      <c r="H733" s="208" t="s">
        <v>132</v>
      </c>
      <c r="I733" s="208" t="s">
        <v>183</v>
      </c>
      <c r="J733" s="208" t="s">
        <v>623</v>
      </c>
      <c r="K733" s="208" t="s">
        <v>101</v>
      </c>
      <c r="L733" s="208" t="s">
        <v>730</v>
      </c>
      <c r="M733" s="208">
        <v>2.5</v>
      </c>
      <c r="N733" s="208"/>
      <c r="O733" s="208" t="s">
        <v>164</v>
      </c>
      <c r="P733" s="208"/>
      <c r="Q733" s="207"/>
      <c r="R733" s="208"/>
    </row>
    <row r="734" spans="1:18">
      <c r="A734" s="277">
        <v>657</v>
      </c>
      <c r="B734" s="278">
        <v>46174</v>
      </c>
      <c r="C734" s="208" t="s">
        <v>302</v>
      </c>
      <c r="D734" s="208" t="s">
        <v>477</v>
      </c>
      <c r="E734" s="208" t="s">
        <v>337</v>
      </c>
      <c r="F734" s="208">
        <v>2026</v>
      </c>
      <c r="G734" s="208">
        <v>3</v>
      </c>
      <c r="H734" s="208" t="s">
        <v>461</v>
      </c>
      <c r="I734" s="208" t="s">
        <v>136</v>
      </c>
      <c r="J734" s="208" t="s">
        <v>462</v>
      </c>
      <c r="K734" s="208" t="s">
        <v>101</v>
      </c>
      <c r="L734" s="208" t="s">
        <v>761</v>
      </c>
      <c r="M734" s="208">
        <v>3</v>
      </c>
      <c r="N734" s="208"/>
      <c r="O734" s="208" t="s">
        <v>140</v>
      </c>
      <c r="P734" s="208"/>
      <c r="Q734" s="207"/>
      <c r="R734" s="208"/>
    </row>
    <row r="735" spans="1:18">
      <c r="A735" s="277">
        <v>658</v>
      </c>
      <c r="B735" s="278">
        <v>46174</v>
      </c>
      <c r="C735" s="208" t="s">
        <v>302</v>
      </c>
      <c r="D735" s="208" t="s">
        <v>479</v>
      </c>
      <c r="E735" s="208" t="s">
        <v>337</v>
      </c>
      <c r="F735" s="208">
        <v>2026</v>
      </c>
      <c r="G735" s="208">
        <v>3</v>
      </c>
      <c r="H735" s="208" t="s">
        <v>461</v>
      </c>
      <c r="I735" s="208" t="s">
        <v>136</v>
      </c>
      <c r="J735" s="208" t="s">
        <v>462</v>
      </c>
      <c r="K735" s="208" t="s">
        <v>10</v>
      </c>
      <c r="L735" s="208" t="s">
        <v>761</v>
      </c>
      <c r="M735" s="208">
        <v>3</v>
      </c>
      <c r="N735" s="208"/>
      <c r="O735" s="208" t="s">
        <v>140</v>
      </c>
      <c r="P735" s="208"/>
      <c r="Q735" s="207"/>
      <c r="R735" s="208"/>
    </row>
    <row r="736" spans="1:18">
      <c r="A736" s="277">
        <v>659</v>
      </c>
      <c r="B736" s="278">
        <v>46175</v>
      </c>
      <c r="C736" s="208" t="s">
        <v>289</v>
      </c>
      <c r="D736" s="208" t="s">
        <v>762</v>
      </c>
      <c r="E736" s="208" t="s">
        <v>337</v>
      </c>
      <c r="F736" s="208">
        <v>2026</v>
      </c>
      <c r="G736" s="208">
        <v>1.5</v>
      </c>
      <c r="H736" s="208" t="s">
        <v>204</v>
      </c>
      <c r="I736" s="208" t="s">
        <v>205</v>
      </c>
      <c r="J736" s="208" t="s">
        <v>680</v>
      </c>
      <c r="K736" s="208"/>
      <c r="L736" s="208" t="s">
        <v>763</v>
      </c>
      <c r="M736" s="208">
        <v>1.5</v>
      </c>
      <c r="N736" s="208"/>
      <c r="O736" s="208" t="s">
        <v>699</v>
      </c>
      <c r="P736" s="208"/>
      <c r="Q736" s="207"/>
      <c r="R736" s="208"/>
    </row>
    <row r="737" spans="1:18">
      <c r="A737" s="277">
        <v>660</v>
      </c>
      <c r="B737" s="278">
        <v>46175</v>
      </c>
      <c r="C737" s="208" t="s">
        <v>289</v>
      </c>
      <c r="D737" s="208" t="s">
        <v>661</v>
      </c>
      <c r="E737" s="208" t="s">
        <v>337</v>
      </c>
      <c r="F737" s="208">
        <v>2026</v>
      </c>
      <c r="G737" s="208">
        <v>2.5</v>
      </c>
      <c r="H737" s="208" t="s">
        <v>132</v>
      </c>
      <c r="I737" s="208" t="s">
        <v>158</v>
      </c>
      <c r="J737" s="208" t="s">
        <v>360</v>
      </c>
      <c r="K737" s="208" t="s">
        <v>101</v>
      </c>
      <c r="L737" s="208" t="s">
        <v>764</v>
      </c>
      <c r="M737" s="208">
        <v>2.5</v>
      </c>
      <c r="N737" s="208"/>
      <c r="O737" s="208" t="s">
        <v>63</v>
      </c>
      <c r="P737" s="208"/>
      <c r="Q737" s="207"/>
      <c r="R737" s="208"/>
    </row>
    <row r="738" spans="1:18">
      <c r="A738" s="277"/>
      <c r="B738" s="278">
        <v>46175</v>
      </c>
      <c r="C738" s="208" t="s">
        <v>289</v>
      </c>
      <c r="D738" s="208" t="s">
        <v>524</v>
      </c>
      <c r="E738" s="208" t="s">
        <v>337</v>
      </c>
      <c r="F738" s="208">
        <v>2026</v>
      </c>
      <c r="G738" s="208">
        <v>1.5</v>
      </c>
      <c r="H738" s="208" t="s">
        <v>115</v>
      </c>
      <c r="I738" s="208" t="s">
        <v>437</v>
      </c>
      <c r="J738" s="208" t="s">
        <v>438</v>
      </c>
      <c r="K738" s="208" t="s">
        <v>101</v>
      </c>
      <c r="L738" s="208" t="s">
        <v>759</v>
      </c>
      <c r="M738" s="208">
        <v>1.5</v>
      </c>
      <c r="N738" s="208"/>
      <c r="O738" s="208"/>
      <c r="P738" s="208"/>
      <c r="Q738" s="207"/>
      <c r="R738" s="208"/>
    </row>
    <row r="739" spans="1:18">
      <c r="A739" s="277">
        <v>661</v>
      </c>
      <c r="B739" s="278">
        <v>46175</v>
      </c>
      <c r="C739" s="208" t="s">
        <v>289</v>
      </c>
      <c r="D739" s="208" t="s">
        <v>665</v>
      </c>
      <c r="E739" s="208" t="s">
        <v>337</v>
      </c>
      <c r="F739" s="208">
        <v>2026</v>
      </c>
      <c r="G739" s="208">
        <v>4</v>
      </c>
      <c r="H739" s="208" t="s">
        <v>99</v>
      </c>
      <c r="I739" s="208" t="s">
        <v>108</v>
      </c>
      <c r="J739" s="208" t="s">
        <v>366</v>
      </c>
      <c r="K739" s="208" t="s">
        <v>101</v>
      </c>
      <c r="L739" s="208" t="s">
        <v>765</v>
      </c>
      <c r="M739" s="208">
        <v>4</v>
      </c>
      <c r="N739" s="208"/>
      <c r="O739" s="208" t="s">
        <v>112</v>
      </c>
      <c r="P739" s="208"/>
      <c r="Q739" s="207"/>
      <c r="R739" s="208"/>
    </row>
    <row r="740" spans="1:18">
      <c r="A740" s="277">
        <v>662</v>
      </c>
      <c r="B740" s="278">
        <v>46175</v>
      </c>
      <c r="C740" s="208" t="s">
        <v>289</v>
      </c>
      <c r="D740" s="208" t="s">
        <v>667</v>
      </c>
      <c r="E740" s="208" t="s">
        <v>337</v>
      </c>
      <c r="F740" s="208">
        <v>2026</v>
      </c>
      <c r="G740" s="208">
        <v>4</v>
      </c>
      <c r="H740" s="208" t="s">
        <v>99</v>
      </c>
      <c r="I740" s="208" t="s">
        <v>108</v>
      </c>
      <c r="J740" s="208" t="s">
        <v>366</v>
      </c>
      <c r="K740" s="208" t="s">
        <v>104</v>
      </c>
      <c r="L740" s="208" t="s">
        <v>765</v>
      </c>
      <c r="M740" s="208">
        <v>4</v>
      </c>
      <c r="N740" s="208"/>
      <c r="O740" s="208" t="s">
        <v>109</v>
      </c>
      <c r="P740" s="208"/>
      <c r="Q740" s="207"/>
      <c r="R740" s="208"/>
    </row>
    <row r="741" spans="1:18">
      <c r="A741" s="277">
        <v>663</v>
      </c>
      <c r="B741" s="278">
        <v>46175</v>
      </c>
      <c r="C741" s="208" t="s">
        <v>289</v>
      </c>
      <c r="D741" s="208" t="s">
        <v>456</v>
      </c>
      <c r="E741" s="208" t="s">
        <v>337</v>
      </c>
      <c r="F741" s="208">
        <v>2026</v>
      </c>
      <c r="G741" s="208">
        <v>2.5</v>
      </c>
      <c r="H741" s="208" t="s">
        <v>99</v>
      </c>
      <c r="I741" s="208" t="s">
        <v>100</v>
      </c>
      <c r="J741" s="208" t="s">
        <v>373</v>
      </c>
      <c r="K741" s="208" t="s">
        <v>101</v>
      </c>
      <c r="L741" s="208" t="s">
        <v>766</v>
      </c>
      <c r="M741" s="208">
        <v>2.5</v>
      </c>
      <c r="N741" s="208"/>
      <c r="O741" s="208" t="s">
        <v>102</v>
      </c>
      <c r="P741" s="208"/>
      <c r="Q741" s="207"/>
      <c r="R741" s="208"/>
    </row>
    <row r="742" spans="1:18">
      <c r="A742" s="277">
        <v>664</v>
      </c>
      <c r="B742" s="278">
        <v>46175</v>
      </c>
      <c r="C742" s="208" t="s">
        <v>289</v>
      </c>
      <c r="D742" s="208" t="s">
        <v>532</v>
      </c>
      <c r="E742" s="208" t="s">
        <v>337</v>
      </c>
      <c r="F742" s="208">
        <v>2026</v>
      </c>
      <c r="G742" s="208">
        <v>2.5</v>
      </c>
      <c r="H742" s="208" t="s">
        <v>99</v>
      </c>
      <c r="I742" s="208" t="s">
        <v>100</v>
      </c>
      <c r="J742" s="208" t="s">
        <v>373</v>
      </c>
      <c r="K742" s="208" t="s">
        <v>10</v>
      </c>
      <c r="L742" s="208" t="s">
        <v>739</v>
      </c>
      <c r="M742" s="208"/>
      <c r="N742" s="208"/>
      <c r="O742" s="208" t="s">
        <v>29</v>
      </c>
      <c r="P742" s="208"/>
      <c r="Q742" s="207"/>
      <c r="R742" s="208"/>
    </row>
    <row r="743" spans="1:18">
      <c r="A743" s="277">
        <v>665</v>
      </c>
      <c r="B743" s="278">
        <v>46175</v>
      </c>
      <c r="C743" s="208" t="s">
        <v>289</v>
      </c>
      <c r="D743" s="208" t="s">
        <v>467</v>
      </c>
      <c r="E743" s="208" t="s">
        <v>337</v>
      </c>
      <c r="F743" s="208">
        <v>2026</v>
      </c>
      <c r="G743" s="208">
        <v>2.5</v>
      </c>
      <c r="H743" s="208" t="s">
        <v>99</v>
      </c>
      <c r="I743" s="208" t="s">
        <v>100</v>
      </c>
      <c r="J743" s="208" t="s">
        <v>373</v>
      </c>
      <c r="K743" s="208" t="s">
        <v>104</v>
      </c>
      <c r="L743" s="208" t="s">
        <v>739</v>
      </c>
      <c r="M743" s="208">
        <v>2.5</v>
      </c>
      <c r="N743" s="208"/>
      <c r="O743" s="208" t="s">
        <v>70</v>
      </c>
      <c r="P743" s="208"/>
      <c r="Q743" s="207"/>
      <c r="R743" s="208"/>
    </row>
    <row r="744" spans="1:18">
      <c r="A744" s="277">
        <v>666</v>
      </c>
      <c r="B744" s="278">
        <v>46175</v>
      </c>
      <c r="C744" s="208" t="s">
        <v>289</v>
      </c>
      <c r="D744" s="208" t="s">
        <v>430</v>
      </c>
      <c r="E744" s="208" t="s">
        <v>337</v>
      </c>
      <c r="F744" s="208">
        <v>2026</v>
      </c>
      <c r="G744" s="208">
        <v>2.5</v>
      </c>
      <c r="H744" s="208" t="s">
        <v>99</v>
      </c>
      <c r="I744" s="208" t="s">
        <v>100</v>
      </c>
      <c r="J744" s="208" t="s">
        <v>373</v>
      </c>
      <c r="K744" s="208" t="s">
        <v>106</v>
      </c>
      <c r="L744" s="208" t="s">
        <v>755</v>
      </c>
      <c r="M744" s="208">
        <v>2.5</v>
      </c>
      <c r="N744" s="208"/>
      <c r="O744" s="208" t="s">
        <v>432</v>
      </c>
      <c r="P744" s="208"/>
      <c r="Q744" s="207"/>
      <c r="R744" s="208"/>
    </row>
    <row r="745" spans="1:18">
      <c r="A745" s="277">
        <v>667</v>
      </c>
      <c r="B745" s="278">
        <v>46176</v>
      </c>
      <c r="C745" s="208" t="s">
        <v>294</v>
      </c>
      <c r="D745" s="208" t="s">
        <v>643</v>
      </c>
      <c r="E745" s="208" t="s">
        <v>337</v>
      </c>
      <c r="F745" s="208">
        <v>2026</v>
      </c>
      <c r="G745" s="208">
        <v>2.5</v>
      </c>
      <c r="H745" s="208" t="s">
        <v>161</v>
      </c>
      <c r="I745" s="208" t="s">
        <v>644</v>
      </c>
      <c r="J745" s="208" t="s">
        <v>438</v>
      </c>
      <c r="K745" s="208" t="s">
        <v>101</v>
      </c>
      <c r="L745" s="208" t="s">
        <v>645</v>
      </c>
      <c r="M745" s="208">
        <v>2.5</v>
      </c>
      <c r="N745" s="208"/>
      <c r="O745" s="208" t="s">
        <v>163</v>
      </c>
      <c r="P745" s="208"/>
      <c r="Q745" s="207"/>
      <c r="R745" s="208"/>
    </row>
    <row r="746" spans="1:18">
      <c r="A746" s="277">
        <v>668</v>
      </c>
      <c r="B746" s="278">
        <v>46176</v>
      </c>
      <c r="C746" s="208" t="s">
        <v>294</v>
      </c>
      <c r="D746" s="208" t="s">
        <v>767</v>
      </c>
      <c r="E746" s="208" t="s">
        <v>337</v>
      </c>
      <c r="F746" s="208">
        <v>2026</v>
      </c>
      <c r="G746" s="208">
        <v>1.5</v>
      </c>
      <c r="H746" s="208" t="s">
        <v>201</v>
      </c>
      <c r="I746" s="208" t="s">
        <v>202</v>
      </c>
      <c r="J746" s="208" t="s">
        <v>373</v>
      </c>
      <c r="K746" s="208" t="s">
        <v>101</v>
      </c>
      <c r="L746" s="208" t="s">
        <v>768</v>
      </c>
      <c r="M746" s="208">
        <v>1.5</v>
      </c>
      <c r="N746" s="208"/>
      <c r="O746" s="208" t="s">
        <v>769</v>
      </c>
      <c r="P746" s="208"/>
      <c r="Q746" s="207"/>
      <c r="R746" s="208"/>
    </row>
    <row r="747" spans="1:18">
      <c r="A747" s="277">
        <v>669</v>
      </c>
      <c r="B747" s="278">
        <v>46176</v>
      </c>
      <c r="C747" s="208" t="s">
        <v>294</v>
      </c>
      <c r="D747" s="208" t="s">
        <v>661</v>
      </c>
      <c r="E747" s="208" t="s">
        <v>337</v>
      </c>
      <c r="F747" s="208">
        <v>2026</v>
      </c>
      <c r="G747" s="208">
        <v>2.5</v>
      </c>
      <c r="H747" s="208" t="s">
        <v>132</v>
      </c>
      <c r="I747" s="208" t="s">
        <v>158</v>
      </c>
      <c r="J747" s="208" t="s">
        <v>360</v>
      </c>
      <c r="K747" s="208" t="s">
        <v>101</v>
      </c>
      <c r="L747" s="208" t="s">
        <v>770</v>
      </c>
      <c r="M747" s="208">
        <v>2.5</v>
      </c>
      <c r="N747" s="208"/>
      <c r="O747" s="208" t="s">
        <v>63</v>
      </c>
      <c r="P747" s="208"/>
      <c r="Q747" s="207"/>
      <c r="R747" s="208"/>
    </row>
    <row r="748" spans="1:18">
      <c r="A748" s="277">
        <v>670</v>
      </c>
      <c r="B748" s="278">
        <v>46176</v>
      </c>
      <c r="C748" s="208" t="s">
        <v>294</v>
      </c>
      <c r="D748" s="208" t="s">
        <v>715</v>
      </c>
      <c r="E748" s="208" t="s">
        <v>337</v>
      </c>
      <c r="F748" s="208">
        <v>2026</v>
      </c>
      <c r="G748" s="208">
        <v>2</v>
      </c>
      <c r="H748" s="208" t="s">
        <v>196</v>
      </c>
      <c r="I748" s="208" t="s">
        <v>197</v>
      </c>
      <c r="J748" s="208" t="s">
        <v>687</v>
      </c>
      <c r="K748" s="208" t="s">
        <v>101</v>
      </c>
      <c r="L748" s="208" t="s">
        <v>771</v>
      </c>
      <c r="M748" s="208">
        <v>2</v>
      </c>
      <c r="N748" s="208"/>
      <c r="O748" s="208" t="s">
        <v>230</v>
      </c>
      <c r="P748" s="208"/>
      <c r="Q748" s="207"/>
      <c r="R748" s="208"/>
    </row>
    <row r="749" spans="1:18">
      <c r="A749" s="277">
        <v>671</v>
      </c>
      <c r="B749" s="278">
        <v>46176</v>
      </c>
      <c r="C749" s="208" t="s">
        <v>294</v>
      </c>
      <c r="D749" s="208" t="s">
        <v>638</v>
      </c>
      <c r="E749" s="208" t="s">
        <v>337</v>
      </c>
      <c r="F749" s="208">
        <v>2026</v>
      </c>
      <c r="G749" s="208">
        <v>2.5</v>
      </c>
      <c r="H749" s="208" t="s">
        <v>132</v>
      </c>
      <c r="I749" s="208" t="s">
        <v>183</v>
      </c>
      <c r="J749" s="208" t="s">
        <v>623</v>
      </c>
      <c r="K749" s="208" t="s">
        <v>101</v>
      </c>
      <c r="L749" s="208" t="s">
        <v>772</v>
      </c>
      <c r="M749" s="208">
        <v>2.5</v>
      </c>
      <c r="N749" s="208"/>
      <c r="O749" s="208" t="s">
        <v>164</v>
      </c>
      <c r="P749" s="208"/>
      <c r="Q749" s="207"/>
      <c r="R749" s="208"/>
    </row>
    <row r="750" spans="1:18">
      <c r="A750" s="277">
        <v>672</v>
      </c>
      <c r="B750" s="278">
        <v>46176</v>
      </c>
      <c r="C750" s="208" t="s">
        <v>294</v>
      </c>
      <c r="D750" s="208" t="s">
        <v>477</v>
      </c>
      <c r="E750" s="208" t="s">
        <v>337</v>
      </c>
      <c r="F750" s="208">
        <v>2026</v>
      </c>
      <c r="G750" s="208">
        <v>3</v>
      </c>
      <c r="H750" s="208" t="s">
        <v>461</v>
      </c>
      <c r="I750" s="208" t="s">
        <v>136</v>
      </c>
      <c r="J750" s="208" t="s">
        <v>462</v>
      </c>
      <c r="K750" s="208" t="s">
        <v>101</v>
      </c>
      <c r="L750" s="208" t="s">
        <v>773</v>
      </c>
      <c r="M750" s="208">
        <v>3</v>
      </c>
      <c r="N750" s="208"/>
      <c r="O750" s="208" t="s">
        <v>140</v>
      </c>
      <c r="P750" s="208"/>
      <c r="Q750" s="207"/>
      <c r="R750" s="208"/>
    </row>
    <row r="751" spans="1:18">
      <c r="A751" s="277">
        <v>673</v>
      </c>
      <c r="B751" s="278">
        <v>46176</v>
      </c>
      <c r="C751" s="208" t="s">
        <v>294</v>
      </c>
      <c r="D751" s="208" t="s">
        <v>479</v>
      </c>
      <c r="E751" s="208" t="s">
        <v>337</v>
      </c>
      <c r="F751" s="208">
        <v>2026</v>
      </c>
      <c r="G751" s="208">
        <v>3</v>
      </c>
      <c r="H751" s="208" t="s">
        <v>461</v>
      </c>
      <c r="I751" s="208" t="s">
        <v>136</v>
      </c>
      <c r="J751" s="208" t="s">
        <v>462</v>
      </c>
      <c r="K751" s="208" t="s">
        <v>10</v>
      </c>
      <c r="L751" s="208" t="s">
        <v>773</v>
      </c>
      <c r="M751" s="208">
        <v>3</v>
      </c>
      <c r="N751" s="208"/>
      <c r="O751" s="208" t="s">
        <v>140</v>
      </c>
      <c r="P751" s="208"/>
      <c r="Q751" s="207"/>
      <c r="R751" s="208"/>
    </row>
    <row r="752" spans="1:18">
      <c r="A752" s="277">
        <v>674</v>
      </c>
      <c r="B752" s="278">
        <v>46176</v>
      </c>
      <c r="C752" s="208" t="s">
        <v>294</v>
      </c>
      <c r="D752" s="208" t="s">
        <v>430</v>
      </c>
      <c r="E752" s="208" t="s">
        <v>337</v>
      </c>
      <c r="F752" s="208">
        <v>2026</v>
      </c>
      <c r="G752" s="208">
        <v>2.5</v>
      </c>
      <c r="H752" s="208" t="s">
        <v>99</v>
      </c>
      <c r="I752" s="208" t="s">
        <v>100</v>
      </c>
      <c r="J752" s="208" t="s">
        <v>373</v>
      </c>
      <c r="K752" s="208" t="s">
        <v>106</v>
      </c>
      <c r="L752" s="208" t="s">
        <v>758</v>
      </c>
      <c r="M752" s="208">
        <v>2.5</v>
      </c>
      <c r="N752" s="208"/>
      <c r="O752" s="208" t="s">
        <v>432</v>
      </c>
      <c r="P752" s="208"/>
      <c r="Q752" s="207"/>
      <c r="R752" s="208"/>
    </row>
    <row r="753" spans="1:18">
      <c r="A753" s="277">
        <v>675</v>
      </c>
      <c r="B753" s="278">
        <v>46177</v>
      </c>
      <c r="C753" s="208" t="s">
        <v>298</v>
      </c>
      <c r="D753" s="208" t="s">
        <v>661</v>
      </c>
      <c r="E753" s="208" t="s">
        <v>337</v>
      </c>
      <c r="F753" s="208">
        <v>2026</v>
      </c>
      <c r="G753" s="208">
        <v>2.5</v>
      </c>
      <c r="H753" s="208" t="s">
        <v>132</v>
      </c>
      <c r="I753" s="208" t="s">
        <v>158</v>
      </c>
      <c r="J753" s="208" t="s">
        <v>360</v>
      </c>
      <c r="K753" s="208" t="s">
        <v>101</v>
      </c>
      <c r="L753" s="208" t="s">
        <v>774</v>
      </c>
      <c r="M753" s="208">
        <v>2.5</v>
      </c>
      <c r="N753" s="208"/>
      <c r="O753" s="208" t="s">
        <v>63</v>
      </c>
      <c r="P753" s="208"/>
      <c r="Q753" s="207"/>
      <c r="R753" s="208"/>
    </row>
    <row r="754" spans="1:18">
      <c r="A754" s="277">
        <v>676</v>
      </c>
      <c r="B754" s="278">
        <v>46177</v>
      </c>
      <c r="C754" s="208" t="s">
        <v>298</v>
      </c>
      <c r="D754" s="208" t="s">
        <v>715</v>
      </c>
      <c r="E754" s="208" t="s">
        <v>337</v>
      </c>
      <c r="F754" s="208">
        <v>2026</v>
      </c>
      <c r="G754" s="208">
        <v>2</v>
      </c>
      <c r="H754" s="208" t="s">
        <v>196</v>
      </c>
      <c r="I754" s="208" t="s">
        <v>197</v>
      </c>
      <c r="J754" s="208" t="s">
        <v>687</v>
      </c>
      <c r="K754" s="208" t="s">
        <v>101</v>
      </c>
      <c r="L754" s="208" t="s">
        <v>775</v>
      </c>
      <c r="M754" s="208">
        <v>2</v>
      </c>
      <c r="N754" s="208"/>
      <c r="O754" s="208" t="s">
        <v>230</v>
      </c>
      <c r="P754" s="208"/>
      <c r="Q754" s="207"/>
      <c r="R754" s="208"/>
    </row>
    <row r="755" spans="1:18">
      <c r="A755" s="277">
        <v>677</v>
      </c>
      <c r="B755" s="278">
        <v>46177</v>
      </c>
      <c r="C755" s="208" t="s">
        <v>298</v>
      </c>
      <c r="D755" s="208" t="s">
        <v>479</v>
      </c>
      <c r="E755" s="208" t="s">
        <v>337</v>
      </c>
      <c r="F755" s="208">
        <v>2026</v>
      </c>
      <c r="G755" s="208">
        <v>3</v>
      </c>
      <c r="H755" s="208" t="s">
        <v>461</v>
      </c>
      <c r="I755" s="208" t="s">
        <v>142</v>
      </c>
      <c r="J755" s="208" t="s">
        <v>462</v>
      </c>
      <c r="K755" s="208" t="s">
        <v>10</v>
      </c>
      <c r="L755" s="208" t="s">
        <v>776</v>
      </c>
      <c r="M755" s="208">
        <v>3</v>
      </c>
      <c r="N755" s="208"/>
      <c r="O755" s="208" t="s">
        <v>102</v>
      </c>
      <c r="P755" s="208"/>
      <c r="Q755" s="207"/>
      <c r="R755" s="208"/>
    </row>
    <row r="756" spans="1:18">
      <c r="A756" s="277">
        <v>678</v>
      </c>
      <c r="B756" s="278">
        <v>46177</v>
      </c>
      <c r="C756" s="208" t="s">
        <v>298</v>
      </c>
      <c r="D756" s="208" t="s">
        <v>477</v>
      </c>
      <c r="E756" s="208" t="s">
        <v>337</v>
      </c>
      <c r="F756" s="208">
        <v>2026</v>
      </c>
      <c r="G756" s="208">
        <v>3</v>
      </c>
      <c r="H756" s="208" t="s">
        <v>461</v>
      </c>
      <c r="I756" s="208" t="s">
        <v>142</v>
      </c>
      <c r="J756" s="208" t="s">
        <v>462</v>
      </c>
      <c r="K756" s="208" t="s">
        <v>101</v>
      </c>
      <c r="L756" s="208" t="s">
        <v>776</v>
      </c>
      <c r="M756" s="208">
        <v>3</v>
      </c>
      <c r="N756" s="208"/>
      <c r="O756" s="208" t="s">
        <v>179</v>
      </c>
      <c r="P756" s="208"/>
      <c r="Q756" s="207"/>
      <c r="R756" s="208"/>
    </row>
    <row r="757" spans="1:18">
      <c r="A757" s="277">
        <v>679</v>
      </c>
      <c r="B757" s="278">
        <v>46177</v>
      </c>
      <c r="C757" s="208" t="s">
        <v>298</v>
      </c>
      <c r="D757" s="208" t="s">
        <v>655</v>
      </c>
      <c r="E757" s="208" t="s">
        <v>337</v>
      </c>
      <c r="F757" s="208">
        <v>2026</v>
      </c>
      <c r="G757" s="208">
        <v>2.5</v>
      </c>
      <c r="H757" s="208" t="s">
        <v>115</v>
      </c>
      <c r="I757" s="208" t="s">
        <v>437</v>
      </c>
      <c r="J757" s="208" t="s">
        <v>438</v>
      </c>
      <c r="K757" s="208" t="s">
        <v>101</v>
      </c>
      <c r="L757" s="208" t="s">
        <v>777</v>
      </c>
      <c r="M757" s="208">
        <v>2.5</v>
      </c>
      <c r="N757" s="208"/>
      <c r="O757" s="208" t="s">
        <v>164</v>
      </c>
      <c r="P757" s="208"/>
      <c r="Q757" s="207"/>
      <c r="R757" s="208"/>
    </row>
    <row r="758" spans="1:18">
      <c r="A758" s="277">
        <v>680</v>
      </c>
      <c r="B758" s="278">
        <v>46177</v>
      </c>
      <c r="C758" s="208" t="s">
        <v>298</v>
      </c>
      <c r="D758" s="208" t="s">
        <v>456</v>
      </c>
      <c r="E758" s="208" t="s">
        <v>337</v>
      </c>
      <c r="F758" s="208">
        <v>2026</v>
      </c>
      <c r="G758" s="208">
        <v>2.5</v>
      </c>
      <c r="H758" s="208" t="s">
        <v>99</v>
      </c>
      <c r="I758" s="208" t="s">
        <v>100</v>
      </c>
      <c r="J758" s="208" t="s">
        <v>373</v>
      </c>
      <c r="K758" s="208" t="s">
        <v>101</v>
      </c>
      <c r="L758" s="208" t="s">
        <v>778</v>
      </c>
      <c r="M758" s="208">
        <v>2.5</v>
      </c>
      <c r="N758" s="208"/>
      <c r="O758" s="208" t="s">
        <v>102</v>
      </c>
      <c r="P758" s="208"/>
      <c r="Q758" s="207"/>
      <c r="R758" s="208"/>
    </row>
    <row r="759" spans="1:18">
      <c r="A759" s="277">
        <v>681</v>
      </c>
      <c r="B759" s="278">
        <v>46177</v>
      </c>
      <c r="C759" s="208" t="s">
        <v>298</v>
      </c>
      <c r="D759" s="208"/>
      <c r="E759" s="208" t="s">
        <v>337</v>
      </c>
      <c r="F759" s="208">
        <v>2026</v>
      </c>
      <c r="G759" s="208"/>
      <c r="H759" s="208" t="s">
        <v>99</v>
      </c>
      <c r="I759" s="208" t="s">
        <v>100</v>
      </c>
      <c r="J759" s="208" t="s">
        <v>373</v>
      </c>
      <c r="K759" s="208" t="s">
        <v>10</v>
      </c>
      <c r="L759" s="208" t="s">
        <v>427</v>
      </c>
      <c r="M759" s="208">
        <v>2.5</v>
      </c>
      <c r="N759" s="208"/>
      <c r="O759" s="208" t="s">
        <v>29</v>
      </c>
      <c r="P759" s="208"/>
      <c r="Q759" s="207"/>
      <c r="R759" s="208"/>
    </row>
    <row r="760" spans="1:18">
      <c r="A760" s="277">
        <v>682</v>
      </c>
      <c r="B760" s="278">
        <v>46177</v>
      </c>
      <c r="C760" s="208" t="s">
        <v>298</v>
      </c>
      <c r="D760" s="208" t="s">
        <v>467</v>
      </c>
      <c r="E760" s="208" t="s">
        <v>337</v>
      </c>
      <c r="F760" s="208">
        <v>2026</v>
      </c>
      <c r="G760" s="208"/>
      <c r="H760" s="208" t="s">
        <v>99</v>
      </c>
      <c r="I760" s="208" t="s">
        <v>100</v>
      </c>
      <c r="J760" s="208" t="s">
        <v>373</v>
      </c>
      <c r="K760" s="208" t="s">
        <v>104</v>
      </c>
      <c r="L760" s="208" t="s">
        <v>755</v>
      </c>
      <c r="M760" s="208"/>
      <c r="N760" s="208"/>
      <c r="O760" s="208" t="s">
        <v>70</v>
      </c>
      <c r="P760" s="208"/>
      <c r="Q760" s="207"/>
      <c r="R760" s="208"/>
    </row>
    <row r="761" spans="1:18">
      <c r="A761" s="277">
        <v>683</v>
      </c>
      <c r="B761" s="278">
        <v>46178</v>
      </c>
      <c r="C761" s="208" t="s">
        <v>301</v>
      </c>
      <c r="D761" s="208" t="s">
        <v>767</v>
      </c>
      <c r="E761" s="208" t="s">
        <v>337</v>
      </c>
      <c r="F761" s="208">
        <v>2026</v>
      </c>
      <c r="G761" s="208">
        <v>1.5</v>
      </c>
      <c r="H761" s="208" t="s">
        <v>201</v>
      </c>
      <c r="I761" s="208" t="s">
        <v>202</v>
      </c>
      <c r="J761" s="208" t="s">
        <v>373</v>
      </c>
      <c r="K761" s="208" t="s">
        <v>101</v>
      </c>
      <c r="L761" s="208" t="s">
        <v>779</v>
      </c>
      <c r="M761" s="208">
        <v>1.5</v>
      </c>
      <c r="N761" s="208"/>
      <c r="O761" s="208" t="s">
        <v>769</v>
      </c>
      <c r="P761" s="208"/>
      <c r="Q761" s="207"/>
      <c r="R761" s="208"/>
    </row>
    <row r="762" spans="1:18">
      <c r="A762" s="277">
        <v>684</v>
      </c>
      <c r="B762" s="278">
        <v>46178</v>
      </c>
      <c r="C762" s="208" t="s">
        <v>301</v>
      </c>
      <c r="D762" s="208" t="s">
        <v>655</v>
      </c>
      <c r="E762" s="208" t="s">
        <v>337</v>
      </c>
      <c r="F762" s="208">
        <v>2026</v>
      </c>
      <c r="G762" s="208">
        <v>1.5</v>
      </c>
      <c r="H762" s="208" t="s">
        <v>115</v>
      </c>
      <c r="I762" s="208" t="s">
        <v>437</v>
      </c>
      <c r="J762" s="208" t="s">
        <v>438</v>
      </c>
      <c r="K762" s="208" t="s">
        <v>101</v>
      </c>
      <c r="L762" s="208" t="s">
        <v>780</v>
      </c>
      <c r="M762" s="208">
        <v>1.5</v>
      </c>
      <c r="N762" s="208"/>
      <c r="O762" s="208" t="s">
        <v>164</v>
      </c>
      <c r="P762" s="208"/>
      <c r="Q762" s="207"/>
      <c r="R762" s="208"/>
    </row>
    <row r="763" spans="1:18">
      <c r="A763" s="277">
        <v>685</v>
      </c>
      <c r="B763" s="278">
        <v>46178</v>
      </c>
      <c r="C763" s="208" t="s">
        <v>301</v>
      </c>
      <c r="D763" s="208" t="s">
        <v>677</v>
      </c>
      <c r="E763" s="208" t="s">
        <v>337</v>
      </c>
      <c r="F763" s="208">
        <v>2026</v>
      </c>
      <c r="G763" s="208">
        <v>4</v>
      </c>
      <c r="H763" s="208" t="s">
        <v>99</v>
      </c>
      <c r="I763" s="208" t="s">
        <v>108</v>
      </c>
      <c r="J763" s="208" t="s">
        <v>366</v>
      </c>
      <c r="K763" s="208" t="s">
        <v>10</v>
      </c>
      <c r="L763" s="208" t="s">
        <v>765</v>
      </c>
      <c r="M763" s="208">
        <v>4</v>
      </c>
      <c r="N763" s="208"/>
      <c r="O763" s="208" t="s">
        <v>63</v>
      </c>
      <c r="P763" s="208"/>
      <c r="Q763" s="207"/>
      <c r="R763" s="208"/>
    </row>
    <row r="764" spans="1:18">
      <c r="A764" s="277">
        <v>686</v>
      </c>
      <c r="B764" s="278">
        <v>46178</v>
      </c>
      <c r="C764" s="208" t="s">
        <v>301</v>
      </c>
      <c r="D764" s="208" t="s">
        <v>667</v>
      </c>
      <c r="E764" s="208" t="s">
        <v>337</v>
      </c>
      <c r="F764" s="208">
        <v>2026</v>
      </c>
      <c r="G764" s="208">
        <v>4</v>
      </c>
      <c r="H764" s="208" t="s">
        <v>99</v>
      </c>
      <c r="I764" s="208" t="s">
        <v>108</v>
      </c>
      <c r="J764" s="208" t="s">
        <v>366</v>
      </c>
      <c r="K764" s="208" t="s">
        <v>106</v>
      </c>
      <c r="L764" s="208" t="s">
        <v>765</v>
      </c>
      <c r="M764" s="208">
        <v>4</v>
      </c>
      <c r="N764" s="208"/>
      <c r="O764" s="208" t="s">
        <v>91</v>
      </c>
      <c r="P764" s="208"/>
      <c r="Q764" s="207"/>
      <c r="R764" s="208"/>
    </row>
    <row r="765" spans="1:18">
      <c r="A765" s="277">
        <v>687</v>
      </c>
      <c r="B765" s="278">
        <v>46181</v>
      </c>
      <c r="C765" s="208" t="s">
        <v>302</v>
      </c>
      <c r="D765" s="208" t="s">
        <v>767</v>
      </c>
      <c r="E765" s="208" t="s">
        <v>337</v>
      </c>
      <c r="F765" s="208">
        <v>2026</v>
      </c>
      <c r="G765" s="208">
        <v>1.5</v>
      </c>
      <c r="H765" s="208" t="s">
        <v>201</v>
      </c>
      <c r="I765" s="208" t="s">
        <v>202</v>
      </c>
      <c r="J765" s="208" t="s">
        <v>373</v>
      </c>
      <c r="K765" s="208" t="s">
        <v>101</v>
      </c>
      <c r="L765" s="208" t="s">
        <v>781</v>
      </c>
      <c r="M765" s="208">
        <v>1.5</v>
      </c>
      <c r="N765" s="208"/>
      <c r="O765" s="208" t="s">
        <v>769</v>
      </c>
      <c r="P765" s="208"/>
      <c r="Q765" s="207"/>
      <c r="R765" s="208"/>
    </row>
    <row r="766" spans="1:18">
      <c r="A766" s="277">
        <v>688</v>
      </c>
      <c r="B766" s="278">
        <v>46181</v>
      </c>
      <c r="C766" s="208" t="s">
        <v>302</v>
      </c>
      <c r="D766" s="208" t="s">
        <v>715</v>
      </c>
      <c r="E766" s="208" t="s">
        <v>337</v>
      </c>
      <c r="F766" s="208">
        <v>2026</v>
      </c>
      <c r="G766" s="208">
        <v>2</v>
      </c>
      <c r="H766" s="208" t="s">
        <v>196</v>
      </c>
      <c r="I766" s="208" t="s">
        <v>197</v>
      </c>
      <c r="J766" s="208" t="s">
        <v>687</v>
      </c>
      <c r="K766" s="208" t="s">
        <v>101</v>
      </c>
      <c r="L766" s="208" t="s">
        <v>782</v>
      </c>
      <c r="M766" s="208">
        <v>2</v>
      </c>
      <c r="N766" s="208"/>
      <c r="O766" s="208" t="s">
        <v>230</v>
      </c>
      <c r="P766" s="208"/>
      <c r="Q766" s="207"/>
      <c r="R766" s="208"/>
    </row>
    <row r="767" spans="1:18">
      <c r="A767" s="277">
        <v>689</v>
      </c>
      <c r="B767" s="278">
        <v>46181</v>
      </c>
      <c r="C767" s="208" t="s">
        <v>302</v>
      </c>
      <c r="D767" s="208" t="s">
        <v>638</v>
      </c>
      <c r="E767" s="208" t="s">
        <v>337</v>
      </c>
      <c r="F767" s="208">
        <v>2026</v>
      </c>
      <c r="G767" s="208">
        <v>2.5</v>
      </c>
      <c r="H767" s="208" t="s">
        <v>132</v>
      </c>
      <c r="I767" s="208" t="s">
        <v>183</v>
      </c>
      <c r="J767" s="208" t="s">
        <v>623</v>
      </c>
      <c r="K767" s="208" t="s">
        <v>101</v>
      </c>
      <c r="L767" s="208" t="s">
        <v>783</v>
      </c>
      <c r="M767" s="208">
        <v>2.5</v>
      </c>
      <c r="N767" s="208"/>
      <c r="O767" s="208" t="s">
        <v>164</v>
      </c>
      <c r="P767" s="208"/>
      <c r="Q767" s="207"/>
      <c r="R767" s="208"/>
    </row>
    <row r="768" spans="1:18">
      <c r="A768" s="277">
        <v>690</v>
      </c>
      <c r="B768" s="278">
        <v>46181</v>
      </c>
      <c r="C768" s="208" t="s">
        <v>302</v>
      </c>
      <c r="D768" s="208" t="s">
        <v>477</v>
      </c>
      <c r="E768" s="208" t="s">
        <v>337</v>
      </c>
      <c r="F768" s="208">
        <v>2026</v>
      </c>
      <c r="G768" s="208">
        <v>3</v>
      </c>
      <c r="H768" s="208" t="s">
        <v>461</v>
      </c>
      <c r="I768" s="208" t="s">
        <v>136</v>
      </c>
      <c r="J768" s="208" t="s">
        <v>462</v>
      </c>
      <c r="K768" s="208" t="s">
        <v>101</v>
      </c>
      <c r="L768" s="208" t="s">
        <v>784</v>
      </c>
      <c r="M768" s="208">
        <v>3</v>
      </c>
      <c r="N768" s="208"/>
      <c r="O768" s="208" t="s">
        <v>140</v>
      </c>
      <c r="P768" s="208"/>
      <c r="Q768" s="207"/>
      <c r="R768" s="208"/>
    </row>
    <row r="769" spans="1:18">
      <c r="A769" s="277">
        <v>691</v>
      </c>
      <c r="B769" s="278">
        <v>46181</v>
      </c>
      <c r="C769" s="208" t="s">
        <v>302</v>
      </c>
      <c r="D769" s="208" t="s">
        <v>479</v>
      </c>
      <c r="E769" s="208" t="s">
        <v>337</v>
      </c>
      <c r="F769" s="208">
        <v>2026</v>
      </c>
      <c r="G769" s="208">
        <v>3</v>
      </c>
      <c r="H769" s="208" t="s">
        <v>461</v>
      </c>
      <c r="I769" s="208" t="s">
        <v>136</v>
      </c>
      <c r="J769" s="208" t="s">
        <v>462</v>
      </c>
      <c r="K769" s="208" t="s">
        <v>10</v>
      </c>
      <c r="L769" s="208" t="s">
        <v>784</v>
      </c>
      <c r="M769" s="208">
        <v>3</v>
      </c>
      <c r="N769" s="208"/>
      <c r="O769" s="208" t="s">
        <v>140</v>
      </c>
      <c r="P769" s="208"/>
      <c r="Q769" s="207"/>
      <c r="R769" s="208"/>
    </row>
    <row r="770" spans="1:18">
      <c r="A770" s="277">
        <v>692</v>
      </c>
      <c r="B770" s="278">
        <v>46182</v>
      </c>
      <c r="C770" s="208" t="s">
        <v>289</v>
      </c>
      <c r="D770" s="208" t="s">
        <v>661</v>
      </c>
      <c r="E770" s="208" t="s">
        <v>337</v>
      </c>
      <c r="F770" s="208">
        <v>2026</v>
      </c>
      <c r="G770" s="208">
        <v>2.5</v>
      </c>
      <c r="H770" s="208" t="s">
        <v>132</v>
      </c>
      <c r="I770" s="208" t="s">
        <v>158</v>
      </c>
      <c r="J770" s="208" t="s">
        <v>360</v>
      </c>
      <c r="K770" s="208" t="s">
        <v>101</v>
      </c>
      <c r="L770" s="208" t="s">
        <v>785</v>
      </c>
      <c r="M770" s="208">
        <v>2.5</v>
      </c>
      <c r="N770" s="208"/>
      <c r="O770" s="208" t="s">
        <v>63</v>
      </c>
      <c r="P770" s="208"/>
      <c r="Q770" s="207"/>
      <c r="R770" s="208"/>
    </row>
    <row r="771" spans="1:18">
      <c r="A771" s="277">
        <v>693</v>
      </c>
      <c r="B771" s="278">
        <v>46182</v>
      </c>
      <c r="C771" s="208" t="s">
        <v>289</v>
      </c>
      <c r="D771" s="208" t="s">
        <v>715</v>
      </c>
      <c r="E771" s="208" t="s">
        <v>337</v>
      </c>
      <c r="F771" s="208">
        <v>2026</v>
      </c>
      <c r="G771" s="208">
        <v>2</v>
      </c>
      <c r="H771" s="208" t="s">
        <v>196</v>
      </c>
      <c r="I771" s="208" t="s">
        <v>197</v>
      </c>
      <c r="J771" s="208" t="s">
        <v>687</v>
      </c>
      <c r="K771" s="208" t="s">
        <v>101</v>
      </c>
      <c r="L771" s="208" t="s">
        <v>786</v>
      </c>
      <c r="M771" s="208">
        <v>2</v>
      </c>
      <c r="N771" s="208"/>
      <c r="O771" s="208" t="s">
        <v>230</v>
      </c>
      <c r="P771" s="208"/>
      <c r="Q771" s="207"/>
      <c r="R771" s="208"/>
    </row>
    <row r="772" spans="1:18">
      <c r="A772" s="277">
        <v>694</v>
      </c>
      <c r="B772" s="278">
        <v>46182</v>
      </c>
      <c r="C772" s="208" t="s">
        <v>289</v>
      </c>
      <c r="D772" s="208" t="s">
        <v>479</v>
      </c>
      <c r="E772" s="208" t="s">
        <v>337</v>
      </c>
      <c r="F772" s="208">
        <v>2026</v>
      </c>
      <c r="G772" s="208">
        <v>3</v>
      </c>
      <c r="H772" s="208" t="s">
        <v>461</v>
      </c>
      <c r="I772" s="208" t="s">
        <v>142</v>
      </c>
      <c r="J772" s="208" t="s">
        <v>462</v>
      </c>
      <c r="K772" s="208" t="s">
        <v>10</v>
      </c>
      <c r="L772" s="208" t="s">
        <v>787</v>
      </c>
      <c r="M772" s="208"/>
      <c r="N772" s="208"/>
      <c r="O772" s="208" t="s">
        <v>102</v>
      </c>
      <c r="P772" s="208"/>
      <c r="Q772" s="207"/>
      <c r="R772" s="208"/>
    </row>
    <row r="773" spans="1:18">
      <c r="A773" s="277">
        <v>695</v>
      </c>
      <c r="B773" s="278">
        <v>46182</v>
      </c>
      <c r="C773" s="208" t="s">
        <v>289</v>
      </c>
      <c r="D773" s="208" t="s">
        <v>477</v>
      </c>
      <c r="E773" s="208" t="s">
        <v>337</v>
      </c>
      <c r="F773" s="208">
        <v>2026</v>
      </c>
      <c r="G773" s="208">
        <v>3</v>
      </c>
      <c r="H773" s="208" t="s">
        <v>461</v>
      </c>
      <c r="I773" s="208" t="s">
        <v>142</v>
      </c>
      <c r="J773" s="208" t="s">
        <v>462</v>
      </c>
      <c r="K773" s="208" t="s">
        <v>101</v>
      </c>
      <c r="L773" s="208" t="s">
        <v>787</v>
      </c>
      <c r="M773" s="208">
        <v>3</v>
      </c>
      <c r="N773" s="208"/>
      <c r="O773" s="208" t="s">
        <v>138</v>
      </c>
      <c r="P773" s="208"/>
      <c r="Q773" s="207"/>
      <c r="R773" s="208"/>
    </row>
    <row r="774" spans="1:18">
      <c r="A774" s="277">
        <v>696</v>
      </c>
      <c r="B774" s="278">
        <v>46182</v>
      </c>
      <c r="C774" s="208" t="s">
        <v>289</v>
      </c>
      <c r="D774" s="208" t="s">
        <v>524</v>
      </c>
      <c r="E774" s="208" t="s">
        <v>337</v>
      </c>
      <c r="F774" s="208">
        <v>2026</v>
      </c>
      <c r="G774" s="208">
        <v>1.5</v>
      </c>
      <c r="H774" s="208" t="s">
        <v>115</v>
      </c>
      <c r="I774" s="208" t="s">
        <v>437</v>
      </c>
      <c r="J774" s="208" t="s">
        <v>438</v>
      </c>
      <c r="K774" s="208" t="s">
        <v>101</v>
      </c>
      <c r="L774" s="208" t="s">
        <v>788</v>
      </c>
      <c r="M774" s="208">
        <v>1.5</v>
      </c>
      <c r="N774" s="208"/>
      <c r="O774" s="208" t="s">
        <v>164</v>
      </c>
      <c r="P774" s="208"/>
      <c r="Q774" s="207"/>
      <c r="R774" s="208"/>
    </row>
    <row r="775" spans="1:18">
      <c r="A775" s="277">
        <v>697</v>
      </c>
      <c r="B775" s="278">
        <v>46182</v>
      </c>
      <c r="C775" s="208" t="s">
        <v>289</v>
      </c>
      <c r="D775" s="208" t="s">
        <v>456</v>
      </c>
      <c r="E775" s="208" t="s">
        <v>337</v>
      </c>
      <c r="F775" s="208">
        <v>2026</v>
      </c>
      <c r="G775" s="208">
        <v>2.5</v>
      </c>
      <c r="H775" s="208" t="s">
        <v>99</v>
      </c>
      <c r="I775" s="208" t="s">
        <v>100</v>
      </c>
      <c r="J775" s="208" t="s">
        <v>373</v>
      </c>
      <c r="K775" s="208" t="s">
        <v>101</v>
      </c>
      <c r="L775" s="208" t="s">
        <v>789</v>
      </c>
      <c r="M775" s="208">
        <v>2.5</v>
      </c>
      <c r="N775" s="208"/>
      <c r="O775" s="208" t="s">
        <v>102</v>
      </c>
      <c r="P775" s="208"/>
      <c r="Q775" s="207"/>
      <c r="R775" s="208"/>
    </row>
    <row r="776" spans="1:18">
      <c r="A776" s="277">
        <v>698</v>
      </c>
      <c r="B776" s="278">
        <v>46182</v>
      </c>
      <c r="C776" s="208" t="s">
        <v>289</v>
      </c>
      <c r="D776" s="208" t="s">
        <v>532</v>
      </c>
      <c r="E776" s="208" t="s">
        <v>337</v>
      </c>
      <c r="F776" s="208">
        <v>2026</v>
      </c>
      <c r="G776" s="208">
        <v>2.5</v>
      </c>
      <c r="H776" s="208" t="s">
        <v>99</v>
      </c>
      <c r="I776" s="208" t="s">
        <v>100</v>
      </c>
      <c r="J776" s="208" t="s">
        <v>373</v>
      </c>
      <c r="K776" s="208" t="s">
        <v>10</v>
      </c>
      <c r="L776" s="208" t="s">
        <v>755</v>
      </c>
      <c r="M776" s="208">
        <v>2.5</v>
      </c>
      <c r="N776" s="208"/>
      <c r="O776" s="208" t="s">
        <v>29</v>
      </c>
      <c r="P776" s="208"/>
      <c r="Q776" s="207"/>
      <c r="R776" s="208"/>
    </row>
    <row r="777" spans="1:18">
      <c r="A777" s="277">
        <v>699</v>
      </c>
      <c r="B777" s="278">
        <v>46182</v>
      </c>
      <c r="C777" s="208" t="s">
        <v>289</v>
      </c>
      <c r="D777" s="208" t="s">
        <v>467</v>
      </c>
      <c r="E777" s="208" t="s">
        <v>337</v>
      </c>
      <c r="F777" s="208">
        <v>2026</v>
      </c>
      <c r="G777" s="208">
        <v>2.5</v>
      </c>
      <c r="H777" s="208" t="s">
        <v>99</v>
      </c>
      <c r="I777" s="208" t="s">
        <v>100</v>
      </c>
      <c r="J777" s="208" t="s">
        <v>373</v>
      </c>
      <c r="K777" s="208" t="s">
        <v>104</v>
      </c>
      <c r="L777" s="208" t="s">
        <v>758</v>
      </c>
      <c r="M777" s="208">
        <v>2.5</v>
      </c>
      <c r="N777" s="208"/>
      <c r="O777" s="208" t="s">
        <v>70</v>
      </c>
      <c r="P777" s="208"/>
      <c r="Q777" s="207"/>
      <c r="R777" s="208"/>
    </row>
    <row r="778" spans="1:18">
      <c r="A778" s="277">
        <v>700</v>
      </c>
      <c r="B778" s="278">
        <v>46182</v>
      </c>
      <c r="C778" s="208" t="s">
        <v>289</v>
      </c>
      <c r="D778" s="208" t="s">
        <v>430</v>
      </c>
      <c r="E778" s="208" t="s">
        <v>337</v>
      </c>
      <c r="F778" s="208">
        <v>2026</v>
      </c>
      <c r="G778" s="208">
        <v>2.5</v>
      </c>
      <c r="H778" s="208" t="s">
        <v>99</v>
      </c>
      <c r="I778" s="208" t="s">
        <v>100</v>
      </c>
      <c r="J778" s="208" t="s">
        <v>373</v>
      </c>
      <c r="K778" s="208" t="s">
        <v>106</v>
      </c>
      <c r="L778" s="208" t="s">
        <v>766</v>
      </c>
      <c r="M778" s="208">
        <v>2.5</v>
      </c>
      <c r="N778" s="208"/>
      <c r="O778" s="208" t="s">
        <v>432</v>
      </c>
      <c r="P778" s="208"/>
      <c r="Q778" s="207"/>
      <c r="R778" s="208"/>
    </row>
    <row r="779" spans="1:18">
      <c r="A779" s="277">
        <v>701</v>
      </c>
      <c r="B779" s="278">
        <v>46183</v>
      </c>
      <c r="C779" s="208" t="s">
        <v>294</v>
      </c>
      <c r="D779" s="208" t="s">
        <v>643</v>
      </c>
      <c r="E779" s="208" t="s">
        <v>337</v>
      </c>
      <c r="F779" s="208">
        <v>2026</v>
      </c>
      <c r="G779" s="208">
        <v>2.5</v>
      </c>
      <c r="H779" s="208" t="s">
        <v>161</v>
      </c>
      <c r="I779" s="208" t="s">
        <v>644</v>
      </c>
      <c r="J779" s="208" t="s">
        <v>438</v>
      </c>
      <c r="K779" s="208" t="s">
        <v>101</v>
      </c>
      <c r="L779" s="208" t="s">
        <v>645</v>
      </c>
      <c r="M779" s="208">
        <v>2.5</v>
      </c>
      <c r="N779" s="208"/>
      <c r="O779" s="208" t="s">
        <v>163</v>
      </c>
      <c r="P779" s="208"/>
      <c r="Q779" s="207"/>
      <c r="R779" s="208"/>
    </row>
    <row r="780" spans="1:18">
      <c r="A780" s="277">
        <v>702</v>
      </c>
      <c r="B780" s="278">
        <v>46183</v>
      </c>
      <c r="C780" s="208" t="s">
        <v>294</v>
      </c>
      <c r="D780" s="208" t="s">
        <v>672</v>
      </c>
      <c r="E780" s="208" t="s">
        <v>337</v>
      </c>
      <c r="F780" s="208">
        <v>2026</v>
      </c>
      <c r="G780" s="208">
        <v>1.5</v>
      </c>
      <c r="H780" s="208" t="s">
        <v>161</v>
      </c>
      <c r="I780" s="208" t="s">
        <v>644</v>
      </c>
      <c r="J780" s="208" t="s">
        <v>438</v>
      </c>
      <c r="K780" s="208" t="s">
        <v>101</v>
      </c>
      <c r="L780" s="208" t="s">
        <v>673</v>
      </c>
      <c r="M780" s="208">
        <v>1.5</v>
      </c>
      <c r="N780" s="208"/>
      <c r="O780" s="208" t="s">
        <v>163</v>
      </c>
      <c r="P780" s="208"/>
      <c r="Q780" s="207"/>
      <c r="R780" s="208"/>
    </row>
    <row r="781" spans="1:18">
      <c r="A781" s="277">
        <v>703</v>
      </c>
      <c r="B781" s="278">
        <v>46183</v>
      </c>
      <c r="C781" s="208" t="s">
        <v>294</v>
      </c>
      <c r="D781" s="208" t="s">
        <v>767</v>
      </c>
      <c r="E781" s="208" t="s">
        <v>337</v>
      </c>
      <c r="F781" s="208">
        <v>2026</v>
      </c>
      <c r="G781" s="208">
        <v>1.5</v>
      </c>
      <c r="H781" s="208" t="s">
        <v>201</v>
      </c>
      <c r="I781" s="208" t="s">
        <v>202</v>
      </c>
      <c r="J781" s="208" t="s">
        <v>373</v>
      </c>
      <c r="K781" s="208" t="s">
        <v>101</v>
      </c>
      <c r="L781" s="208" t="s">
        <v>790</v>
      </c>
      <c r="M781" s="208">
        <v>1.5</v>
      </c>
      <c r="N781" s="208"/>
      <c r="O781" s="208" t="s">
        <v>769</v>
      </c>
      <c r="P781" s="208"/>
      <c r="Q781" s="207"/>
      <c r="R781" s="208"/>
    </row>
    <row r="782" spans="1:18">
      <c r="A782" s="277">
        <v>704</v>
      </c>
      <c r="B782" s="278">
        <v>46183</v>
      </c>
      <c r="C782" s="208" t="s">
        <v>294</v>
      </c>
      <c r="D782" s="208" t="s">
        <v>661</v>
      </c>
      <c r="E782" s="208" t="s">
        <v>337</v>
      </c>
      <c r="F782" s="208">
        <v>2026</v>
      </c>
      <c r="G782" s="208">
        <v>2.5</v>
      </c>
      <c r="H782" s="208" t="s">
        <v>132</v>
      </c>
      <c r="I782" s="208" t="s">
        <v>158</v>
      </c>
      <c r="J782" s="208" t="s">
        <v>360</v>
      </c>
      <c r="K782" s="208" t="s">
        <v>101</v>
      </c>
      <c r="L782" s="208" t="s">
        <v>791</v>
      </c>
      <c r="M782" s="208">
        <v>2.5</v>
      </c>
      <c r="N782" s="208"/>
      <c r="O782" s="208" t="s">
        <v>63</v>
      </c>
      <c r="P782" s="208"/>
      <c r="Q782" s="207"/>
      <c r="R782" s="208"/>
    </row>
    <row r="783" spans="1:18">
      <c r="A783" s="277">
        <v>705</v>
      </c>
      <c r="B783" s="278">
        <v>46183</v>
      </c>
      <c r="C783" s="208" t="s">
        <v>294</v>
      </c>
      <c r="D783" s="208" t="s">
        <v>638</v>
      </c>
      <c r="E783" s="208" t="s">
        <v>337</v>
      </c>
      <c r="F783" s="208">
        <v>2026</v>
      </c>
      <c r="G783" s="208">
        <v>2.5</v>
      </c>
      <c r="H783" s="208" t="s">
        <v>132</v>
      </c>
      <c r="I783" s="208" t="s">
        <v>183</v>
      </c>
      <c r="J783" s="208" t="s">
        <v>623</v>
      </c>
      <c r="K783" s="208" t="s">
        <v>101</v>
      </c>
      <c r="L783" s="208" t="s">
        <v>783</v>
      </c>
      <c r="M783" s="208">
        <v>2.5</v>
      </c>
      <c r="N783" s="208"/>
      <c r="O783" s="208" t="s">
        <v>164</v>
      </c>
      <c r="P783" s="208"/>
      <c r="Q783" s="207"/>
      <c r="R783" s="208"/>
    </row>
    <row r="784" spans="1:18">
      <c r="A784" s="277"/>
      <c r="B784" s="278">
        <v>46183</v>
      </c>
      <c r="C784" s="208" t="s">
        <v>294</v>
      </c>
      <c r="D784" s="208" t="s">
        <v>477</v>
      </c>
      <c r="E784" s="208" t="s">
        <v>337</v>
      </c>
      <c r="F784" s="208">
        <v>2026</v>
      </c>
      <c r="G784" s="208"/>
      <c r="H784" s="208" t="s">
        <v>461</v>
      </c>
      <c r="I784" s="208" t="s">
        <v>136</v>
      </c>
      <c r="J784" s="208" t="s">
        <v>462</v>
      </c>
      <c r="K784" s="208" t="s">
        <v>101</v>
      </c>
      <c r="L784" s="208" t="s">
        <v>391</v>
      </c>
      <c r="M784" s="208"/>
      <c r="N784" s="208"/>
      <c r="O784" s="208"/>
      <c r="P784" s="208"/>
      <c r="Q784" s="207"/>
      <c r="R784" s="208"/>
    </row>
    <row r="785" spans="1:18">
      <c r="A785" s="277"/>
      <c r="B785" s="278">
        <v>46183</v>
      </c>
      <c r="C785" s="208" t="s">
        <v>294</v>
      </c>
      <c r="D785" s="208" t="s">
        <v>479</v>
      </c>
      <c r="E785" s="208" t="s">
        <v>337</v>
      </c>
      <c r="F785" s="208">
        <v>2026</v>
      </c>
      <c r="G785" s="208"/>
      <c r="H785" s="208" t="s">
        <v>461</v>
      </c>
      <c r="I785" s="208" t="s">
        <v>136</v>
      </c>
      <c r="J785" s="208" t="s">
        <v>462</v>
      </c>
      <c r="K785" s="208" t="s">
        <v>10</v>
      </c>
      <c r="L785" s="208" t="s">
        <v>391</v>
      </c>
      <c r="M785" s="208"/>
      <c r="N785" s="208"/>
      <c r="O785" s="208"/>
      <c r="P785" s="208"/>
      <c r="Q785" s="207"/>
      <c r="R785" s="208"/>
    </row>
    <row r="786" spans="1:18">
      <c r="A786" s="277">
        <v>706</v>
      </c>
      <c r="B786" s="278">
        <v>46184</v>
      </c>
      <c r="C786" s="208" t="s">
        <v>298</v>
      </c>
      <c r="D786" s="208" t="s">
        <v>661</v>
      </c>
      <c r="E786" s="208" t="s">
        <v>337</v>
      </c>
      <c r="F786" s="208">
        <v>2026</v>
      </c>
      <c r="G786" s="208">
        <v>2.5</v>
      </c>
      <c r="H786" s="208" t="s">
        <v>132</v>
      </c>
      <c r="I786" s="208" t="s">
        <v>158</v>
      </c>
      <c r="J786" s="208" t="s">
        <v>360</v>
      </c>
      <c r="K786" s="208" t="s">
        <v>101</v>
      </c>
      <c r="L786" s="208" t="s">
        <v>792</v>
      </c>
      <c r="M786" s="208">
        <v>2.5</v>
      </c>
      <c r="N786" s="208"/>
      <c r="O786" s="208" t="s">
        <v>63</v>
      </c>
      <c r="P786" s="208"/>
      <c r="Q786" s="207"/>
      <c r="R786" s="208"/>
    </row>
    <row r="787" spans="1:18">
      <c r="A787" s="277">
        <v>707</v>
      </c>
      <c r="B787" s="278">
        <v>46184</v>
      </c>
      <c r="C787" s="208" t="s">
        <v>298</v>
      </c>
      <c r="D787" s="208" t="s">
        <v>715</v>
      </c>
      <c r="E787" s="208" t="s">
        <v>337</v>
      </c>
      <c r="F787" s="208">
        <v>2026</v>
      </c>
      <c r="G787" s="208">
        <v>2</v>
      </c>
      <c r="H787" s="208" t="s">
        <v>196</v>
      </c>
      <c r="I787" s="208" t="s">
        <v>197</v>
      </c>
      <c r="J787" s="208" t="s">
        <v>687</v>
      </c>
      <c r="K787" s="208" t="s">
        <v>101</v>
      </c>
      <c r="L787" s="208" t="s">
        <v>793</v>
      </c>
      <c r="M787" s="208">
        <v>2</v>
      </c>
      <c r="N787" s="208"/>
      <c r="O787" s="208" t="s">
        <v>230</v>
      </c>
      <c r="P787" s="208"/>
      <c r="Q787" s="207"/>
      <c r="R787" s="208"/>
    </row>
    <row r="788" spans="1:18">
      <c r="A788" s="277">
        <v>708</v>
      </c>
      <c r="B788" s="278">
        <v>46184</v>
      </c>
      <c r="C788" s="208" t="s">
        <v>298</v>
      </c>
      <c r="D788" s="208" t="s">
        <v>479</v>
      </c>
      <c r="E788" s="208" t="s">
        <v>337</v>
      </c>
      <c r="F788" s="208">
        <v>2026</v>
      </c>
      <c r="G788" s="208">
        <v>3</v>
      </c>
      <c r="H788" s="208" t="s">
        <v>461</v>
      </c>
      <c r="I788" s="208" t="s">
        <v>142</v>
      </c>
      <c r="J788" s="208" t="s">
        <v>462</v>
      </c>
      <c r="K788" s="208" t="s">
        <v>10</v>
      </c>
      <c r="L788" s="208" t="s">
        <v>794</v>
      </c>
      <c r="M788" s="208">
        <v>3</v>
      </c>
      <c r="N788" s="208"/>
      <c r="O788" s="208" t="s">
        <v>102</v>
      </c>
      <c r="P788" s="208" t="s">
        <v>82</v>
      </c>
      <c r="Q788" s="207"/>
      <c r="R788" s="208"/>
    </row>
    <row r="789" spans="1:18">
      <c r="A789" s="277">
        <v>709</v>
      </c>
      <c r="B789" s="278">
        <v>46184</v>
      </c>
      <c r="C789" s="208" t="s">
        <v>298</v>
      </c>
      <c r="D789" s="208" t="s">
        <v>477</v>
      </c>
      <c r="E789" s="208" t="s">
        <v>337</v>
      </c>
      <c r="F789" s="208">
        <v>2026</v>
      </c>
      <c r="G789" s="208">
        <v>3</v>
      </c>
      <c r="H789" s="208" t="s">
        <v>461</v>
      </c>
      <c r="I789" s="208" t="s">
        <v>142</v>
      </c>
      <c r="J789" s="208" t="s">
        <v>462</v>
      </c>
      <c r="K789" s="208" t="s">
        <v>101</v>
      </c>
      <c r="L789" s="208" t="s">
        <v>794</v>
      </c>
      <c r="M789" s="208">
        <v>3</v>
      </c>
      <c r="N789" s="208"/>
      <c r="O789" s="208" t="s">
        <v>138</v>
      </c>
      <c r="P789" s="208"/>
      <c r="Q789" s="207"/>
      <c r="R789" s="208"/>
    </row>
    <row r="790" spans="1:18">
      <c r="A790" s="277">
        <v>710</v>
      </c>
      <c r="B790" s="278">
        <v>46184</v>
      </c>
      <c r="C790" s="208" t="s">
        <v>298</v>
      </c>
      <c r="D790" s="208" t="s">
        <v>795</v>
      </c>
      <c r="E790" s="208" t="s">
        <v>337</v>
      </c>
      <c r="F790" s="208">
        <v>2026</v>
      </c>
      <c r="G790" s="208">
        <v>2.5</v>
      </c>
      <c r="H790" s="208" t="s">
        <v>115</v>
      </c>
      <c r="I790" s="208" t="s">
        <v>437</v>
      </c>
      <c r="J790" s="208" t="s">
        <v>438</v>
      </c>
      <c r="K790" s="208" t="s">
        <v>101</v>
      </c>
      <c r="L790" s="208" t="s">
        <v>796</v>
      </c>
      <c r="M790" s="208">
        <v>2.5</v>
      </c>
      <c r="N790" s="208"/>
      <c r="O790" s="208" t="s">
        <v>164</v>
      </c>
      <c r="P790" s="208"/>
      <c r="Q790" s="207"/>
      <c r="R790" s="208"/>
    </row>
    <row r="791" spans="1:18">
      <c r="A791" s="277">
        <v>711</v>
      </c>
      <c r="B791" s="278">
        <v>46184</v>
      </c>
      <c r="C791" s="208" t="s">
        <v>298</v>
      </c>
      <c r="D791" s="208" t="s">
        <v>456</v>
      </c>
      <c r="E791" s="208" t="s">
        <v>337</v>
      </c>
      <c r="F791" s="208">
        <v>2026</v>
      </c>
      <c r="G791" s="208">
        <v>2.5</v>
      </c>
      <c r="H791" s="208" t="s">
        <v>99</v>
      </c>
      <c r="I791" s="208" t="s">
        <v>100</v>
      </c>
      <c r="J791" s="208" t="s">
        <v>373</v>
      </c>
      <c r="K791" s="208" t="s">
        <v>101</v>
      </c>
      <c r="L791" s="208" t="s">
        <v>797</v>
      </c>
      <c r="M791" s="208">
        <v>2.5</v>
      </c>
      <c r="N791" s="208"/>
      <c r="O791" s="208" t="s">
        <v>102</v>
      </c>
      <c r="P791" s="208"/>
      <c r="Q791" s="207"/>
      <c r="R791" s="208"/>
    </row>
    <row r="792" spans="1:18">
      <c r="A792" s="277">
        <v>712</v>
      </c>
      <c r="B792" s="278">
        <v>46184</v>
      </c>
      <c r="C792" s="208" t="s">
        <v>298</v>
      </c>
      <c r="D792" s="208" t="s">
        <v>532</v>
      </c>
      <c r="E792" s="208" t="s">
        <v>337</v>
      </c>
      <c r="F792" s="208">
        <v>2026</v>
      </c>
      <c r="G792" s="208">
        <v>2.5</v>
      </c>
      <c r="H792" s="208" t="s">
        <v>99</v>
      </c>
      <c r="I792" s="208" t="s">
        <v>100</v>
      </c>
      <c r="J792" s="208" t="s">
        <v>373</v>
      </c>
      <c r="K792" s="208" t="s">
        <v>10</v>
      </c>
      <c r="L792" s="208" t="s">
        <v>758</v>
      </c>
      <c r="M792" s="208">
        <v>2.5</v>
      </c>
      <c r="N792" s="208"/>
      <c r="O792" s="208" t="s">
        <v>29</v>
      </c>
      <c r="P792" s="208"/>
      <c r="Q792" s="207"/>
      <c r="R792" s="208"/>
    </row>
    <row r="793" spans="1:18">
      <c r="A793" s="277">
        <v>713</v>
      </c>
      <c r="B793" s="278">
        <v>46184</v>
      </c>
      <c r="C793" s="208" t="s">
        <v>298</v>
      </c>
      <c r="D793" s="208" t="s">
        <v>467</v>
      </c>
      <c r="E793" s="208" t="s">
        <v>337</v>
      </c>
      <c r="F793" s="208">
        <v>2026</v>
      </c>
      <c r="G793" s="208">
        <v>2.5</v>
      </c>
      <c r="H793" s="208" t="s">
        <v>99</v>
      </c>
      <c r="I793" s="208" t="s">
        <v>100</v>
      </c>
      <c r="J793" s="208" t="s">
        <v>373</v>
      </c>
      <c r="K793" s="208" t="s">
        <v>104</v>
      </c>
      <c r="L793" s="208" t="s">
        <v>766</v>
      </c>
      <c r="M793" s="208">
        <v>2.5</v>
      </c>
      <c r="N793" s="208"/>
      <c r="O793" s="208" t="s">
        <v>70</v>
      </c>
      <c r="P793" s="208"/>
      <c r="Q793" s="207"/>
      <c r="R793" s="208"/>
    </row>
    <row r="794" spans="1:18">
      <c r="A794" s="277">
        <v>714</v>
      </c>
      <c r="B794" s="278">
        <v>46184</v>
      </c>
      <c r="C794" s="208" t="s">
        <v>298</v>
      </c>
      <c r="D794" s="208" t="s">
        <v>430</v>
      </c>
      <c r="E794" s="208" t="s">
        <v>337</v>
      </c>
      <c r="F794" s="208">
        <v>2026</v>
      </c>
      <c r="G794" s="208">
        <v>2.5</v>
      </c>
      <c r="H794" s="208" t="s">
        <v>99</v>
      </c>
      <c r="I794" s="208" t="s">
        <v>100</v>
      </c>
      <c r="J794" s="208" t="s">
        <v>373</v>
      </c>
      <c r="K794" s="208" t="s">
        <v>106</v>
      </c>
      <c r="L794" s="208" t="s">
        <v>778</v>
      </c>
      <c r="M794" s="208">
        <v>2.5</v>
      </c>
      <c r="N794" s="208"/>
      <c r="O794" s="208" t="s">
        <v>432</v>
      </c>
      <c r="P794" s="208"/>
      <c r="Q794" s="207"/>
      <c r="R794" s="208"/>
    </row>
    <row r="795" spans="1:18">
      <c r="A795" s="277">
        <v>715</v>
      </c>
      <c r="B795" s="278">
        <v>46185</v>
      </c>
      <c r="C795" s="208" t="s">
        <v>301</v>
      </c>
      <c r="D795" s="208" t="s">
        <v>767</v>
      </c>
      <c r="E795" s="208" t="s">
        <v>337</v>
      </c>
      <c r="F795" s="208">
        <v>2026</v>
      </c>
      <c r="G795" s="208">
        <v>1.5</v>
      </c>
      <c r="H795" s="208" t="s">
        <v>201</v>
      </c>
      <c r="I795" s="208" t="s">
        <v>202</v>
      </c>
      <c r="J795" s="208" t="s">
        <v>373</v>
      </c>
      <c r="K795" s="208" t="s">
        <v>101</v>
      </c>
      <c r="L795" s="208" t="s">
        <v>798</v>
      </c>
      <c r="M795" s="208">
        <v>1.5</v>
      </c>
      <c r="N795" s="208"/>
      <c r="O795" s="208" t="s">
        <v>769</v>
      </c>
      <c r="P795" s="208"/>
      <c r="Q795" s="207"/>
      <c r="R795" s="208"/>
    </row>
    <row r="796" spans="1:18">
      <c r="A796" s="277">
        <v>716</v>
      </c>
      <c r="B796" s="278">
        <v>46185</v>
      </c>
      <c r="C796" s="208" t="s">
        <v>301</v>
      </c>
      <c r="D796" s="208" t="s">
        <v>655</v>
      </c>
      <c r="E796" s="208" t="s">
        <v>337</v>
      </c>
      <c r="F796" s="208">
        <v>2026</v>
      </c>
      <c r="G796" s="208">
        <v>2</v>
      </c>
      <c r="H796" s="208" t="s">
        <v>115</v>
      </c>
      <c r="I796" s="208" t="s">
        <v>437</v>
      </c>
      <c r="J796" s="208" t="s">
        <v>438</v>
      </c>
      <c r="K796" s="208" t="s">
        <v>101</v>
      </c>
      <c r="L796" s="208" t="s">
        <v>799</v>
      </c>
      <c r="M796" s="208">
        <v>2</v>
      </c>
      <c r="N796" s="208"/>
      <c r="O796" s="208" t="s">
        <v>164</v>
      </c>
      <c r="P796" s="208"/>
      <c r="Q796" s="207"/>
      <c r="R796" s="208"/>
    </row>
    <row r="797" spans="1:18">
      <c r="A797" s="277"/>
      <c r="B797" s="278">
        <v>46185</v>
      </c>
      <c r="C797" s="208" t="s">
        <v>301</v>
      </c>
      <c r="D797" s="208"/>
      <c r="E797" s="208" t="s">
        <v>337</v>
      </c>
      <c r="F797" s="208">
        <v>2026</v>
      </c>
      <c r="G797" s="208"/>
      <c r="H797" s="208" t="s">
        <v>99</v>
      </c>
      <c r="I797" s="208" t="s">
        <v>108</v>
      </c>
      <c r="J797" s="208" t="s">
        <v>366</v>
      </c>
      <c r="K797" s="208" t="s">
        <v>104</v>
      </c>
      <c r="L797" s="208" t="s">
        <v>800</v>
      </c>
      <c r="M797" s="208"/>
      <c r="N797" s="208"/>
      <c r="O797" s="208"/>
      <c r="P797" s="208"/>
      <c r="Q797" s="207"/>
      <c r="R797" s="208"/>
    </row>
    <row r="798" spans="1:18">
      <c r="A798" s="277"/>
      <c r="B798" s="278">
        <v>46185</v>
      </c>
      <c r="C798" s="208" t="s">
        <v>301</v>
      </c>
      <c r="D798" s="208"/>
      <c r="E798" s="208" t="s">
        <v>337</v>
      </c>
      <c r="F798" s="208">
        <v>2026</v>
      </c>
      <c r="G798" s="208"/>
      <c r="H798" s="208" t="s">
        <v>99</v>
      </c>
      <c r="I798" s="208" t="s">
        <v>108</v>
      </c>
      <c r="J798" s="208" t="s">
        <v>366</v>
      </c>
      <c r="K798" s="208" t="s">
        <v>106</v>
      </c>
      <c r="L798" s="208" t="s">
        <v>800</v>
      </c>
      <c r="M798" s="208"/>
      <c r="N798" s="208"/>
      <c r="O798" s="208"/>
      <c r="P798" s="208"/>
      <c r="Q798" s="207"/>
      <c r="R798" s="208"/>
    </row>
    <row r="799" spans="1:18">
      <c r="A799" s="277"/>
      <c r="B799" s="278">
        <v>46188</v>
      </c>
      <c r="C799" s="208" t="s">
        <v>302</v>
      </c>
      <c r="D799" s="208" t="s">
        <v>767</v>
      </c>
      <c r="E799" s="208" t="s">
        <v>337</v>
      </c>
      <c r="F799" s="208">
        <v>2026</v>
      </c>
      <c r="G799" s="208"/>
      <c r="H799" s="208" t="s">
        <v>201</v>
      </c>
      <c r="I799" s="208" t="s">
        <v>202</v>
      </c>
      <c r="J799" s="208" t="s">
        <v>373</v>
      </c>
      <c r="K799" s="208" t="s">
        <v>101</v>
      </c>
      <c r="L799" s="208" t="s">
        <v>391</v>
      </c>
      <c r="M799" s="208"/>
      <c r="N799" s="208"/>
      <c r="O799" s="208"/>
      <c r="P799" s="208"/>
      <c r="Q799" s="207"/>
      <c r="R799" s="208"/>
    </row>
    <row r="800" spans="1:18">
      <c r="A800" s="277">
        <v>717</v>
      </c>
      <c r="B800" s="278">
        <v>46188</v>
      </c>
      <c r="C800" s="208" t="s">
        <v>302</v>
      </c>
      <c r="D800" s="208" t="s">
        <v>715</v>
      </c>
      <c r="E800" s="208" t="s">
        <v>337</v>
      </c>
      <c r="F800" s="208">
        <v>2026</v>
      </c>
      <c r="G800" s="208">
        <v>2</v>
      </c>
      <c r="H800" s="208" t="s">
        <v>196</v>
      </c>
      <c r="I800" s="208" t="s">
        <v>197</v>
      </c>
      <c r="J800" s="208" t="s">
        <v>687</v>
      </c>
      <c r="K800" s="208" t="s">
        <v>101</v>
      </c>
      <c r="L800" s="208" t="s">
        <v>801</v>
      </c>
      <c r="M800" s="208">
        <v>2</v>
      </c>
      <c r="N800" s="208"/>
      <c r="O800" s="208" t="s">
        <v>91</v>
      </c>
      <c r="P800" s="208"/>
      <c r="Q800" s="207"/>
      <c r="R800" s="208"/>
    </row>
    <row r="801" spans="1:18">
      <c r="A801" s="277">
        <v>718</v>
      </c>
      <c r="B801" s="278">
        <v>46188</v>
      </c>
      <c r="C801" s="208" t="s">
        <v>302</v>
      </c>
      <c r="D801" s="208" t="s">
        <v>638</v>
      </c>
      <c r="E801" s="208" t="s">
        <v>337</v>
      </c>
      <c r="F801" s="208">
        <v>2026</v>
      </c>
      <c r="G801" s="208">
        <v>2.5</v>
      </c>
      <c r="H801" s="208" t="s">
        <v>132</v>
      </c>
      <c r="I801" s="208" t="s">
        <v>183</v>
      </c>
      <c r="J801" s="208" t="s">
        <v>623</v>
      </c>
      <c r="K801" s="208" t="s">
        <v>101</v>
      </c>
      <c r="L801" s="208" t="s">
        <v>802</v>
      </c>
      <c r="M801" s="208">
        <v>2.5</v>
      </c>
      <c r="N801" s="208"/>
      <c r="O801" s="208" t="s">
        <v>164</v>
      </c>
      <c r="P801" s="208"/>
      <c r="Q801" s="207"/>
      <c r="R801" s="208"/>
    </row>
    <row r="802" spans="1:18">
      <c r="A802" s="277"/>
      <c r="B802" s="278">
        <v>46188</v>
      </c>
      <c r="C802" s="208" t="s">
        <v>302</v>
      </c>
      <c r="D802" s="208"/>
      <c r="E802" s="208" t="s">
        <v>337</v>
      </c>
      <c r="F802" s="208">
        <v>2026</v>
      </c>
      <c r="G802" s="208">
        <v>3</v>
      </c>
      <c r="H802" s="208" t="s">
        <v>461</v>
      </c>
      <c r="I802" s="208" t="s">
        <v>136</v>
      </c>
      <c r="J802" s="208" t="s">
        <v>462</v>
      </c>
      <c r="K802" s="208" t="s">
        <v>101</v>
      </c>
      <c r="L802" s="208" t="s">
        <v>803</v>
      </c>
      <c r="M802" s="208">
        <v>3</v>
      </c>
      <c r="N802" s="208"/>
      <c r="O802" s="208"/>
      <c r="P802" s="208"/>
      <c r="Q802" s="207"/>
      <c r="R802" s="208"/>
    </row>
    <row r="803" spans="1:18">
      <c r="A803" s="277"/>
      <c r="B803" s="278">
        <v>46188</v>
      </c>
      <c r="C803" s="208" t="s">
        <v>302</v>
      </c>
      <c r="D803" s="208"/>
      <c r="E803" s="208" t="s">
        <v>337</v>
      </c>
      <c r="F803" s="208">
        <v>2026</v>
      </c>
      <c r="G803" s="208"/>
      <c r="H803" s="208" t="s">
        <v>461</v>
      </c>
      <c r="I803" s="208" t="s">
        <v>136</v>
      </c>
      <c r="J803" s="208" t="s">
        <v>462</v>
      </c>
      <c r="K803" s="208" t="s">
        <v>10</v>
      </c>
      <c r="L803" s="208" t="s">
        <v>803</v>
      </c>
      <c r="M803" s="208">
        <v>3</v>
      </c>
      <c r="N803" s="208"/>
      <c r="O803" s="208"/>
      <c r="P803" s="208"/>
      <c r="Q803" s="207"/>
      <c r="R803" s="208"/>
    </row>
    <row r="804" spans="1:18">
      <c r="A804" s="277"/>
      <c r="B804" s="278">
        <v>46188</v>
      </c>
      <c r="C804" s="208" t="s">
        <v>302</v>
      </c>
      <c r="D804" s="208"/>
      <c r="E804" s="208" t="s">
        <v>337</v>
      </c>
      <c r="F804" s="208">
        <v>2026</v>
      </c>
      <c r="G804" s="208"/>
      <c r="H804" s="208" t="s">
        <v>99</v>
      </c>
      <c r="I804" s="208" t="s">
        <v>108</v>
      </c>
      <c r="J804" s="208" t="s">
        <v>366</v>
      </c>
      <c r="K804" s="208" t="s">
        <v>101</v>
      </c>
      <c r="L804" s="208" t="s">
        <v>800</v>
      </c>
      <c r="M804" s="208"/>
      <c r="N804" s="208"/>
      <c r="O804" s="208"/>
      <c r="P804" s="208"/>
      <c r="Q804" s="207"/>
      <c r="R804" s="208"/>
    </row>
    <row r="805" spans="1:18">
      <c r="A805" s="277"/>
      <c r="B805" s="278">
        <v>46188</v>
      </c>
      <c r="C805" s="208" t="s">
        <v>302</v>
      </c>
      <c r="D805" s="208"/>
      <c r="E805" s="208" t="s">
        <v>337</v>
      </c>
      <c r="F805" s="208">
        <v>2026</v>
      </c>
      <c r="G805" s="208"/>
      <c r="H805" s="208" t="s">
        <v>99</v>
      </c>
      <c r="I805" s="208" t="s">
        <v>108</v>
      </c>
      <c r="J805" s="208" t="s">
        <v>366</v>
      </c>
      <c r="K805" s="208" t="s">
        <v>10</v>
      </c>
      <c r="L805" s="208" t="s">
        <v>800</v>
      </c>
      <c r="M805" s="208"/>
      <c r="N805" s="208"/>
      <c r="O805" s="208"/>
      <c r="P805" s="208"/>
      <c r="Q805" s="207"/>
      <c r="R805" s="208"/>
    </row>
    <row r="806" spans="1:18">
      <c r="A806" s="277">
        <v>719</v>
      </c>
      <c r="B806" s="278">
        <v>46189</v>
      </c>
      <c r="C806" s="208" t="s">
        <v>289</v>
      </c>
      <c r="D806" s="208" t="s">
        <v>661</v>
      </c>
      <c r="E806" s="208" t="s">
        <v>337</v>
      </c>
      <c r="F806" s="208">
        <v>2026</v>
      </c>
      <c r="G806" s="208">
        <v>2.5</v>
      </c>
      <c r="H806" s="208" t="s">
        <v>132</v>
      </c>
      <c r="I806" s="208" t="s">
        <v>158</v>
      </c>
      <c r="J806" s="208" t="s">
        <v>360</v>
      </c>
      <c r="K806" s="208" t="s">
        <v>101</v>
      </c>
      <c r="L806" s="208" t="s">
        <v>804</v>
      </c>
      <c r="M806" s="208">
        <v>2.5</v>
      </c>
      <c r="N806" s="208"/>
      <c r="O806" s="208" t="s">
        <v>242</v>
      </c>
      <c r="P806" s="208"/>
      <c r="Q806" s="207"/>
      <c r="R806" s="208"/>
    </row>
    <row r="807" spans="1:18">
      <c r="A807" s="277">
        <v>720</v>
      </c>
      <c r="B807" s="278">
        <v>46189</v>
      </c>
      <c r="C807" s="208" t="s">
        <v>289</v>
      </c>
      <c r="D807" s="208" t="s">
        <v>715</v>
      </c>
      <c r="E807" s="208" t="s">
        <v>337</v>
      </c>
      <c r="F807" s="208">
        <v>2026</v>
      </c>
      <c r="G807" s="208">
        <v>2</v>
      </c>
      <c r="H807" s="208" t="s">
        <v>196</v>
      </c>
      <c r="I807" s="208" t="s">
        <v>197</v>
      </c>
      <c r="J807" s="208" t="s">
        <v>687</v>
      </c>
      <c r="K807" s="208" t="s">
        <v>101</v>
      </c>
      <c r="L807" s="208" t="s">
        <v>805</v>
      </c>
      <c r="M807" s="208">
        <v>2</v>
      </c>
      <c r="N807" s="208"/>
      <c r="O807" s="208" t="s">
        <v>91</v>
      </c>
      <c r="P807" s="208"/>
      <c r="Q807" s="207"/>
      <c r="R807" s="208"/>
    </row>
    <row r="808" spans="1:18">
      <c r="A808" s="277">
        <v>721</v>
      </c>
      <c r="B808" s="278">
        <v>46189</v>
      </c>
      <c r="C808" s="208" t="s">
        <v>289</v>
      </c>
      <c r="D808" s="208" t="s">
        <v>479</v>
      </c>
      <c r="E808" s="208" t="s">
        <v>337</v>
      </c>
      <c r="F808" s="208">
        <v>2026</v>
      </c>
      <c r="G808" s="208">
        <v>3</v>
      </c>
      <c r="H808" s="208" t="s">
        <v>461</v>
      </c>
      <c r="I808" s="208" t="s">
        <v>142</v>
      </c>
      <c r="J808" s="208" t="s">
        <v>462</v>
      </c>
      <c r="K808" s="208" t="s">
        <v>10</v>
      </c>
      <c r="L808" s="208" t="s">
        <v>806</v>
      </c>
      <c r="M808" s="208"/>
      <c r="N808" s="208"/>
      <c r="O808" s="208" t="s">
        <v>102</v>
      </c>
      <c r="P808" s="208" t="s">
        <v>138</v>
      </c>
      <c r="Q808" s="207"/>
      <c r="R808" s="208"/>
    </row>
    <row r="809" spans="1:18">
      <c r="A809" s="277">
        <v>722</v>
      </c>
      <c r="B809" s="278">
        <v>46189</v>
      </c>
      <c r="C809" s="208" t="s">
        <v>289</v>
      </c>
      <c r="D809" s="208" t="s">
        <v>477</v>
      </c>
      <c r="E809" s="208" t="s">
        <v>337</v>
      </c>
      <c r="F809" s="208">
        <v>2026</v>
      </c>
      <c r="G809" s="208">
        <v>3</v>
      </c>
      <c r="H809" s="208" t="s">
        <v>461</v>
      </c>
      <c r="I809" s="208" t="s">
        <v>142</v>
      </c>
      <c r="J809" s="208" t="s">
        <v>462</v>
      </c>
      <c r="K809" s="208" t="s">
        <v>101</v>
      </c>
      <c r="L809" s="208" t="s">
        <v>806</v>
      </c>
      <c r="M809" s="208">
        <v>3</v>
      </c>
      <c r="N809" s="208"/>
      <c r="O809" s="208" t="s">
        <v>179</v>
      </c>
      <c r="P809" s="208"/>
      <c r="Q809" s="207"/>
      <c r="R809" s="208"/>
    </row>
    <row r="810" spans="1:18">
      <c r="A810" s="277">
        <v>723</v>
      </c>
      <c r="B810" s="278">
        <v>46189</v>
      </c>
      <c r="C810" s="208" t="s">
        <v>289</v>
      </c>
      <c r="D810" s="208" t="s">
        <v>655</v>
      </c>
      <c r="E810" s="208" t="s">
        <v>337</v>
      </c>
      <c r="F810" s="208">
        <v>2026</v>
      </c>
      <c r="G810" s="208">
        <v>1.5</v>
      </c>
      <c r="H810" s="208" t="s">
        <v>115</v>
      </c>
      <c r="I810" s="208" t="s">
        <v>437</v>
      </c>
      <c r="J810" s="208" t="s">
        <v>438</v>
      </c>
      <c r="K810" s="208" t="s">
        <v>101</v>
      </c>
      <c r="L810" s="208" t="s">
        <v>807</v>
      </c>
      <c r="M810" s="208">
        <v>1.5</v>
      </c>
      <c r="N810" s="208"/>
      <c r="O810" s="208" t="s">
        <v>164</v>
      </c>
      <c r="P810" s="208"/>
      <c r="Q810" s="207"/>
      <c r="R810" s="208"/>
    </row>
    <row r="811" spans="1:18">
      <c r="A811" s="277">
        <v>724</v>
      </c>
      <c r="B811" s="278">
        <v>46189</v>
      </c>
      <c r="C811" s="208" t="s">
        <v>289</v>
      </c>
      <c r="D811" s="208" t="s">
        <v>456</v>
      </c>
      <c r="E811" s="208" t="s">
        <v>337</v>
      </c>
      <c r="F811" s="208">
        <v>2026</v>
      </c>
      <c r="G811" s="208">
        <v>2.5</v>
      </c>
      <c r="H811" s="208" t="s">
        <v>99</v>
      </c>
      <c r="I811" s="208" t="s">
        <v>100</v>
      </c>
      <c r="J811" s="208" t="s">
        <v>373</v>
      </c>
      <c r="K811" s="208" t="s">
        <v>101</v>
      </c>
      <c r="L811" s="208" t="s">
        <v>808</v>
      </c>
      <c r="M811" s="208">
        <v>2.5</v>
      </c>
      <c r="N811" s="208"/>
      <c r="O811" s="208" t="s">
        <v>102</v>
      </c>
      <c r="P811" s="208"/>
      <c r="Q811" s="207"/>
      <c r="R811" s="208"/>
    </row>
    <row r="812" spans="1:18">
      <c r="A812" s="277">
        <v>725</v>
      </c>
      <c r="B812" s="278">
        <v>46189</v>
      </c>
      <c r="C812" s="208" t="s">
        <v>289</v>
      </c>
      <c r="D812" s="208" t="s">
        <v>532</v>
      </c>
      <c r="E812" s="208" t="s">
        <v>337</v>
      </c>
      <c r="F812" s="208">
        <v>2026</v>
      </c>
      <c r="G812" s="208">
        <v>2.5</v>
      </c>
      <c r="H812" s="208" t="s">
        <v>99</v>
      </c>
      <c r="I812" s="208" t="s">
        <v>100</v>
      </c>
      <c r="J812" s="208" t="s">
        <v>373</v>
      </c>
      <c r="K812" s="208" t="s">
        <v>10</v>
      </c>
      <c r="L812" s="208" t="s">
        <v>766</v>
      </c>
      <c r="M812" s="208">
        <v>2.5</v>
      </c>
      <c r="N812" s="208"/>
      <c r="O812" s="208" t="s">
        <v>29</v>
      </c>
      <c r="P812" s="208"/>
      <c r="Q812" s="207"/>
      <c r="R812" s="208"/>
    </row>
    <row r="813" spans="1:18">
      <c r="A813" s="277">
        <v>726</v>
      </c>
      <c r="B813" s="278">
        <v>46189</v>
      </c>
      <c r="C813" s="208" t="s">
        <v>289</v>
      </c>
      <c r="D813" s="208" t="s">
        <v>467</v>
      </c>
      <c r="E813" s="208" t="s">
        <v>337</v>
      </c>
      <c r="F813" s="208">
        <v>2026</v>
      </c>
      <c r="G813" s="208">
        <v>2.5</v>
      </c>
      <c r="H813" s="208" t="s">
        <v>99</v>
      </c>
      <c r="I813" s="208" t="s">
        <v>100</v>
      </c>
      <c r="J813" s="208" t="s">
        <v>373</v>
      </c>
      <c r="K813" s="208" t="s">
        <v>104</v>
      </c>
      <c r="L813" s="208" t="s">
        <v>778</v>
      </c>
      <c r="M813" s="208">
        <v>2.5</v>
      </c>
      <c r="N813" s="208"/>
      <c r="O813" s="208" t="s">
        <v>432</v>
      </c>
      <c r="P813" s="208"/>
      <c r="Q813" s="207"/>
      <c r="R813" s="208"/>
    </row>
    <row r="814" spans="1:18">
      <c r="A814" s="277">
        <v>727</v>
      </c>
      <c r="B814" s="278">
        <v>46189</v>
      </c>
      <c r="C814" s="208" t="s">
        <v>289</v>
      </c>
      <c r="D814" s="208" t="s">
        <v>430</v>
      </c>
      <c r="E814" s="208" t="s">
        <v>337</v>
      </c>
      <c r="F814" s="208">
        <v>2026</v>
      </c>
      <c r="G814" s="208">
        <v>2.5</v>
      </c>
      <c r="H814" s="208" t="s">
        <v>99</v>
      </c>
      <c r="I814" s="208" t="s">
        <v>100</v>
      </c>
      <c r="J814" s="208" t="s">
        <v>373</v>
      </c>
      <c r="K814" s="208" t="s">
        <v>106</v>
      </c>
      <c r="L814" s="208" t="s">
        <v>789</v>
      </c>
      <c r="M814" s="208">
        <v>2.5</v>
      </c>
      <c r="N814" s="208"/>
      <c r="O814" s="208" t="s">
        <v>432</v>
      </c>
      <c r="P814" s="208"/>
      <c r="Q814" s="207"/>
      <c r="R814" s="208"/>
    </row>
    <row r="815" spans="1:18">
      <c r="A815" s="277">
        <v>728</v>
      </c>
      <c r="B815" s="278">
        <v>46190</v>
      </c>
      <c r="C815" s="208" t="s">
        <v>294</v>
      </c>
      <c r="D815" s="208" t="s">
        <v>643</v>
      </c>
      <c r="E815" s="208" t="s">
        <v>337</v>
      </c>
      <c r="F815" s="208">
        <v>2026</v>
      </c>
      <c r="G815" s="208">
        <v>2.5</v>
      </c>
      <c r="H815" s="208" t="s">
        <v>161</v>
      </c>
      <c r="I815" s="208" t="s">
        <v>644</v>
      </c>
      <c r="J815" s="208" t="s">
        <v>438</v>
      </c>
      <c r="K815" s="208" t="s">
        <v>101</v>
      </c>
      <c r="L815" s="208" t="s">
        <v>645</v>
      </c>
      <c r="M815" s="208">
        <v>2.5</v>
      </c>
      <c r="N815" s="208"/>
      <c r="O815" s="208" t="s">
        <v>163</v>
      </c>
      <c r="P815" s="208"/>
      <c r="Q815" s="207"/>
      <c r="R815" s="208"/>
    </row>
    <row r="816" spans="1:18">
      <c r="A816" s="277">
        <v>729</v>
      </c>
      <c r="B816" s="278">
        <v>46190</v>
      </c>
      <c r="C816" s="208" t="s">
        <v>294</v>
      </c>
      <c r="D816" s="208" t="s">
        <v>672</v>
      </c>
      <c r="E816" s="208" t="s">
        <v>337</v>
      </c>
      <c r="F816" s="208">
        <v>2026</v>
      </c>
      <c r="G816" s="208">
        <v>1.5</v>
      </c>
      <c r="H816" s="208" t="s">
        <v>161</v>
      </c>
      <c r="I816" s="208" t="s">
        <v>644</v>
      </c>
      <c r="J816" s="208" t="s">
        <v>438</v>
      </c>
      <c r="K816" s="208" t="s">
        <v>101</v>
      </c>
      <c r="L816" s="208" t="s">
        <v>673</v>
      </c>
      <c r="M816" s="208">
        <v>1.5</v>
      </c>
      <c r="N816" s="208"/>
      <c r="O816" s="208" t="s">
        <v>163</v>
      </c>
      <c r="P816" s="208"/>
      <c r="Q816" s="207"/>
      <c r="R816" s="208"/>
    </row>
    <row r="817" spans="1:18">
      <c r="A817" s="277">
        <v>730</v>
      </c>
      <c r="B817" s="278">
        <v>46190</v>
      </c>
      <c r="C817" s="208" t="s">
        <v>294</v>
      </c>
      <c r="D817" s="208" t="s">
        <v>767</v>
      </c>
      <c r="E817" s="208" t="s">
        <v>337</v>
      </c>
      <c r="F817" s="208">
        <v>2026</v>
      </c>
      <c r="G817" s="208">
        <v>1.5</v>
      </c>
      <c r="H817" s="208" t="s">
        <v>201</v>
      </c>
      <c r="I817" s="208" t="s">
        <v>202</v>
      </c>
      <c r="J817" s="208" t="s">
        <v>373</v>
      </c>
      <c r="K817" s="208" t="s">
        <v>101</v>
      </c>
      <c r="L817" s="208" t="s">
        <v>809</v>
      </c>
      <c r="M817" s="208">
        <v>1.5</v>
      </c>
      <c r="N817" s="208"/>
      <c r="O817" s="208" t="s">
        <v>769</v>
      </c>
      <c r="P817" s="208" t="s">
        <v>234</v>
      </c>
      <c r="Q817" s="207"/>
      <c r="R817" s="208"/>
    </row>
    <row r="818" spans="1:18">
      <c r="A818" s="277">
        <v>731</v>
      </c>
      <c r="B818" s="278">
        <v>46190</v>
      </c>
      <c r="C818" s="208" t="s">
        <v>294</v>
      </c>
      <c r="D818" s="208" t="s">
        <v>661</v>
      </c>
      <c r="E818" s="208" t="s">
        <v>337</v>
      </c>
      <c r="F818" s="208">
        <v>2026</v>
      </c>
      <c r="G818" s="208">
        <v>2.5</v>
      </c>
      <c r="H818" s="208" t="s">
        <v>132</v>
      </c>
      <c r="I818" s="208" t="s">
        <v>158</v>
      </c>
      <c r="J818" s="208" t="s">
        <v>360</v>
      </c>
      <c r="K818" s="208" t="s">
        <v>101</v>
      </c>
      <c r="L818" s="208" t="s">
        <v>810</v>
      </c>
      <c r="M818" s="208">
        <v>2.5</v>
      </c>
      <c r="N818" s="208"/>
      <c r="O818" s="208" t="s">
        <v>811</v>
      </c>
      <c r="P818" s="208"/>
      <c r="Q818" s="207"/>
      <c r="R818" s="208"/>
    </row>
    <row r="819" spans="1:18">
      <c r="A819" s="277">
        <v>732</v>
      </c>
      <c r="B819" s="278">
        <v>46190</v>
      </c>
      <c r="C819" s="208" t="s">
        <v>294</v>
      </c>
      <c r="D819" s="208" t="s">
        <v>638</v>
      </c>
      <c r="E819" s="208" t="s">
        <v>337</v>
      </c>
      <c r="F819" s="208">
        <v>2026</v>
      </c>
      <c r="G819" s="208">
        <v>2.5</v>
      </c>
      <c r="H819" s="208" t="s">
        <v>132</v>
      </c>
      <c r="I819" s="208" t="s">
        <v>183</v>
      </c>
      <c r="J819" s="208" t="s">
        <v>623</v>
      </c>
      <c r="K819" s="208" t="s">
        <v>101</v>
      </c>
      <c r="L819" s="208" t="s">
        <v>812</v>
      </c>
      <c r="M819" s="208">
        <v>2.5</v>
      </c>
      <c r="N819" s="208"/>
      <c r="O819" s="208" t="s">
        <v>164</v>
      </c>
      <c r="P819" s="208"/>
      <c r="Q819" s="207"/>
      <c r="R819" s="208"/>
    </row>
    <row r="820" spans="1:18">
      <c r="A820" s="277">
        <v>733</v>
      </c>
      <c r="B820" s="278">
        <v>46190</v>
      </c>
      <c r="C820" s="208" t="s">
        <v>294</v>
      </c>
      <c r="D820" s="208" t="s">
        <v>491</v>
      </c>
      <c r="E820" s="208" t="s">
        <v>337</v>
      </c>
      <c r="F820" s="208">
        <v>2026</v>
      </c>
      <c r="G820" s="208">
        <v>2</v>
      </c>
      <c r="H820" s="208" t="s">
        <v>99</v>
      </c>
      <c r="I820" s="208" t="s">
        <v>108</v>
      </c>
      <c r="J820" s="208" t="s">
        <v>366</v>
      </c>
      <c r="K820" s="208" t="s">
        <v>106</v>
      </c>
      <c r="L820" s="208" t="s">
        <v>813</v>
      </c>
      <c r="M820" s="208">
        <v>2</v>
      </c>
      <c r="N820" s="208"/>
      <c r="O820" s="208" t="s">
        <v>91</v>
      </c>
      <c r="P820" s="208"/>
      <c r="Q820" s="207"/>
      <c r="R820" s="208"/>
    </row>
    <row r="821" spans="1:18">
      <c r="A821" s="277"/>
      <c r="B821" s="278">
        <v>46191</v>
      </c>
      <c r="C821" s="208" t="s">
        <v>298</v>
      </c>
      <c r="D821" s="208"/>
      <c r="E821" s="208" t="s">
        <v>337</v>
      </c>
      <c r="F821" s="208">
        <v>2026</v>
      </c>
      <c r="G821" s="208"/>
      <c r="H821" s="208" t="s">
        <v>132</v>
      </c>
      <c r="I821" s="208" t="s">
        <v>158</v>
      </c>
      <c r="J821" s="208" t="s">
        <v>360</v>
      </c>
      <c r="K821" s="208" t="s">
        <v>101</v>
      </c>
      <c r="L821" s="208" t="s">
        <v>391</v>
      </c>
      <c r="M821" s="208"/>
      <c r="N821" s="208"/>
      <c r="O821" s="208"/>
      <c r="P821" s="208"/>
      <c r="Q821" s="207"/>
      <c r="R821" s="208"/>
    </row>
    <row r="822" spans="1:18">
      <c r="A822" s="277">
        <v>734</v>
      </c>
      <c r="B822" s="278">
        <v>46191</v>
      </c>
      <c r="C822" s="208" t="s">
        <v>298</v>
      </c>
      <c r="D822" s="208" t="s">
        <v>715</v>
      </c>
      <c r="E822" s="208" t="s">
        <v>337</v>
      </c>
      <c r="F822" s="208">
        <v>2026</v>
      </c>
      <c r="G822" s="208">
        <v>2</v>
      </c>
      <c r="H822" s="208" t="s">
        <v>196</v>
      </c>
      <c r="I822" s="208" t="s">
        <v>197</v>
      </c>
      <c r="J822" s="208" t="s">
        <v>687</v>
      </c>
      <c r="K822" s="208" t="s">
        <v>101</v>
      </c>
      <c r="L822" s="208" t="s">
        <v>814</v>
      </c>
      <c r="M822" s="208">
        <v>2</v>
      </c>
      <c r="N822" s="208"/>
      <c r="O822" s="208" t="s">
        <v>91</v>
      </c>
      <c r="P822" s="208"/>
      <c r="Q822" s="207"/>
      <c r="R822" s="208"/>
    </row>
    <row r="823" spans="1:18">
      <c r="A823" s="277"/>
      <c r="B823" s="278">
        <v>46191</v>
      </c>
      <c r="C823" s="208" t="s">
        <v>298</v>
      </c>
      <c r="D823" s="208" t="s">
        <v>479</v>
      </c>
      <c r="E823" s="208" t="s">
        <v>337</v>
      </c>
      <c r="F823" s="208">
        <v>2026</v>
      </c>
      <c r="G823" s="208">
        <v>3</v>
      </c>
      <c r="H823" s="208" t="s">
        <v>461</v>
      </c>
      <c r="I823" s="208" t="s">
        <v>142</v>
      </c>
      <c r="J823" s="208" t="s">
        <v>462</v>
      </c>
      <c r="K823" s="208" t="s">
        <v>10</v>
      </c>
      <c r="L823" s="208" t="s">
        <v>391</v>
      </c>
      <c r="M823" s="208"/>
      <c r="N823" s="208"/>
      <c r="O823" s="208"/>
      <c r="P823" s="208"/>
      <c r="Q823" s="207"/>
      <c r="R823" s="208"/>
    </row>
    <row r="824" spans="1:18">
      <c r="A824" s="277"/>
      <c r="B824" s="278">
        <v>46191</v>
      </c>
      <c r="C824" s="208" t="s">
        <v>298</v>
      </c>
      <c r="D824" s="208" t="s">
        <v>477</v>
      </c>
      <c r="E824" s="208" t="s">
        <v>337</v>
      </c>
      <c r="F824" s="208">
        <v>2026</v>
      </c>
      <c r="G824" s="208"/>
      <c r="H824" s="208" t="s">
        <v>461</v>
      </c>
      <c r="I824" s="208" t="s">
        <v>142</v>
      </c>
      <c r="J824" s="208" t="s">
        <v>462</v>
      </c>
      <c r="K824" s="208" t="s">
        <v>101</v>
      </c>
      <c r="L824" s="208" t="s">
        <v>391</v>
      </c>
      <c r="M824" s="208"/>
      <c r="N824" s="208"/>
      <c r="O824" s="208"/>
      <c r="P824" s="208"/>
      <c r="Q824" s="207"/>
      <c r="R824" s="208"/>
    </row>
    <row r="825" spans="1:18">
      <c r="A825" s="277">
        <v>735</v>
      </c>
      <c r="B825" s="278">
        <v>46191</v>
      </c>
      <c r="C825" s="208" t="s">
        <v>298</v>
      </c>
      <c r="D825" s="208" t="s">
        <v>655</v>
      </c>
      <c r="E825" s="208" t="s">
        <v>337</v>
      </c>
      <c r="F825" s="208">
        <v>2026</v>
      </c>
      <c r="G825" s="208">
        <v>1.5</v>
      </c>
      <c r="H825" s="208" t="s">
        <v>115</v>
      </c>
      <c r="I825" s="208" t="s">
        <v>437</v>
      </c>
      <c r="J825" s="208" t="s">
        <v>438</v>
      </c>
      <c r="K825" s="208" t="s">
        <v>101</v>
      </c>
      <c r="L825" s="208" t="s">
        <v>815</v>
      </c>
      <c r="M825" s="208">
        <v>1.5</v>
      </c>
      <c r="N825" s="208"/>
      <c r="O825" s="208" t="s">
        <v>164</v>
      </c>
      <c r="P825" s="208"/>
      <c r="Q825" s="207"/>
      <c r="R825" s="208"/>
    </row>
    <row r="826" spans="1:18">
      <c r="A826" s="277">
        <v>736</v>
      </c>
      <c r="B826" s="278">
        <v>46191</v>
      </c>
      <c r="C826" s="208" t="s">
        <v>298</v>
      </c>
      <c r="D826" s="208" t="s">
        <v>490</v>
      </c>
      <c r="E826" s="208" t="s">
        <v>337</v>
      </c>
      <c r="F826" s="208">
        <v>2026</v>
      </c>
      <c r="G826" s="208">
        <v>2</v>
      </c>
      <c r="H826" s="208" t="s">
        <v>99</v>
      </c>
      <c r="I826" s="208" t="s">
        <v>108</v>
      </c>
      <c r="J826" s="208" t="s">
        <v>366</v>
      </c>
      <c r="K826" s="208" t="s">
        <v>101</v>
      </c>
      <c r="L826" s="208" t="s">
        <v>813</v>
      </c>
      <c r="M826" s="208">
        <v>2</v>
      </c>
      <c r="N826" s="208"/>
      <c r="O826" s="208" t="s">
        <v>112</v>
      </c>
      <c r="P826" s="208"/>
      <c r="Q826" s="207"/>
      <c r="R826" s="208"/>
    </row>
    <row r="827" spans="1:18">
      <c r="A827" s="277">
        <v>737</v>
      </c>
      <c r="B827" s="278">
        <v>46191</v>
      </c>
      <c r="C827" s="208" t="s">
        <v>298</v>
      </c>
      <c r="D827" s="208" t="s">
        <v>483</v>
      </c>
      <c r="E827" s="208" t="s">
        <v>337</v>
      </c>
      <c r="F827" s="208">
        <v>2026</v>
      </c>
      <c r="G827" s="208">
        <v>2</v>
      </c>
      <c r="H827" s="208" t="s">
        <v>99</v>
      </c>
      <c r="I827" s="208" t="s">
        <v>108</v>
      </c>
      <c r="J827" s="208" t="s">
        <v>366</v>
      </c>
      <c r="K827" s="208" t="s">
        <v>10</v>
      </c>
      <c r="L827" s="208" t="s">
        <v>813</v>
      </c>
      <c r="M827" s="208">
        <v>2</v>
      </c>
      <c r="N827" s="208"/>
      <c r="O827" s="208" t="s">
        <v>63</v>
      </c>
      <c r="P827" s="208"/>
      <c r="Q827" s="207"/>
      <c r="R827" s="208"/>
    </row>
    <row r="828" spans="1:18">
      <c r="A828" s="277">
        <v>738</v>
      </c>
      <c r="B828" s="278">
        <v>46191</v>
      </c>
      <c r="C828" s="208" t="s">
        <v>298</v>
      </c>
      <c r="D828" s="208" t="s">
        <v>491</v>
      </c>
      <c r="E828" s="208" t="s">
        <v>337</v>
      </c>
      <c r="F828" s="208">
        <v>2026</v>
      </c>
      <c r="G828" s="208">
        <v>2</v>
      </c>
      <c r="H828" s="208" t="s">
        <v>99</v>
      </c>
      <c r="I828" s="208" t="s">
        <v>108</v>
      </c>
      <c r="J828" s="208" t="s">
        <v>366</v>
      </c>
      <c r="K828" s="208" t="s">
        <v>104</v>
      </c>
      <c r="L828" s="208" t="s">
        <v>813</v>
      </c>
      <c r="M828" s="208">
        <v>2</v>
      </c>
      <c r="N828" s="208"/>
      <c r="O828" s="208" t="s">
        <v>109</v>
      </c>
      <c r="P828" s="208"/>
      <c r="Q828" s="207"/>
      <c r="R828" s="208"/>
    </row>
    <row r="829" spans="1:18">
      <c r="A829" s="277">
        <v>739</v>
      </c>
      <c r="B829" s="278">
        <v>46191</v>
      </c>
      <c r="C829" s="208" t="s">
        <v>298</v>
      </c>
      <c r="D829" s="208" t="s">
        <v>456</v>
      </c>
      <c r="E829" s="208" t="s">
        <v>337</v>
      </c>
      <c r="F829" s="208">
        <v>2026</v>
      </c>
      <c r="G829" s="208">
        <v>2.5</v>
      </c>
      <c r="H829" s="208" t="s">
        <v>99</v>
      </c>
      <c r="I829" s="208" t="s">
        <v>100</v>
      </c>
      <c r="J829" s="208" t="s">
        <v>373</v>
      </c>
      <c r="K829" s="208" t="s">
        <v>101</v>
      </c>
      <c r="L829" s="208" t="s">
        <v>816</v>
      </c>
      <c r="M829" s="208">
        <v>2.5</v>
      </c>
      <c r="N829" s="208"/>
      <c r="O829" s="208" t="s">
        <v>102</v>
      </c>
      <c r="P829" s="208"/>
      <c r="Q829" s="207"/>
      <c r="R829" s="208"/>
    </row>
    <row r="830" spans="1:18">
      <c r="A830" s="277">
        <v>740</v>
      </c>
      <c r="B830" s="278">
        <v>46191</v>
      </c>
      <c r="C830" s="208" t="s">
        <v>298</v>
      </c>
      <c r="D830" s="208" t="s">
        <v>532</v>
      </c>
      <c r="E830" s="208" t="s">
        <v>337</v>
      </c>
      <c r="F830" s="208">
        <v>2026</v>
      </c>
      <c r="G830" s="208">
        <v>2.5</v>
      </c>
      <c r="H830" s="208" t="s">
        <v>99</v>
      </c>
      <c r="I830" s="208" t="s">
        <v>100</v>
      </c>
      <c r="J830" s="208" t="s">
        <v>373</v>
      </c>
      <c r="K830" s="208" t="s">
        <v>10</v>
      </c>
      <c r="L830" s="208" t="s">
        <v>778</v>
      </c>
      <c r="M830" s="208">
        <v>2.5</v>
      </c>
      <c r="N830" s="208"/>
      <c r="O830" s="208" t="s">
        <v>29</v>
      </c>
      <c r="P830" s="208"/>
      <c r="Q830" s="207"/>
      <c r="R830" s="208"/>
    </row>
    <row r="831" spans="1:18">
      <c r="A831" s="277">
        <v>741</v>
      </c>
      <c r="B831" s="278">
        <v>46191</v>
      </c>
      <c r="C831" s="208" t="s">
        <v>298</v>
      </c>
      <c r="D831" s="208" t="s">
        <v>467</v>
      </c>
      <c r="E831" s="208" t="s">
        <v>337</v>
      </c>
      <c r="F831" s="208">
        <v>2026</v>
      </c>
      <c r="G831" s="208">
        <v>2.5</v>
      </c>
      <c r="H831" s="208" t="s">
        <v>99</v>
      </c>
      <c r="I831" s="208" t="s">
        <v>100</v>
      </c>
      <c r="J831" s="208" t="s">
        <v>373</v>
      </c>
      <c r="K831" s="208" t="s">
        <v>104</v>
      </c>
      <c r="L831" s="208" t="s">
        <v>789</v>
      </c>
      <c r="M831" s="208">
        <v>2.5</v>
      </c>
      <c r="N831" s="208"/>
      <c r="O831" s="208" t="s">
        <v>432</v>
      </c>
      <c r="P831" s="208"/>
      <c r="Q831" s="207"/>
      <c r="R831" s="208"/>
    </row>
    <row r="832" spans="1:18">
      <c r="A832" s="277">
        <v>742</v>
      </c>
      <c r="B832" s="278">
        <v>46191</v>
      </c>
      <c r="C832" s="208" t="s">
        <v>298</v>
      </c>
      <c r="D832" s="208" t="s">
        <v>430</v>
      </c>
      <c r="E832" s="208" t="s">
        <v>337</v>
      </c>
      <c r="F832" s="208">
        <v>2026</v>
      </c>
      <c r="G832" s="208">
        <v>2.5</v>
      </c>
      <c r="H832" s="208" t="s">
        <v>99</v>
      </c>
      <c r="I832" s="208" t="s">
        <v>100</v>
      </c>
      <c r="J832" s="208" t="s">
        <v>373</v>
      </c>
      <c r="K832" s="208" t="s">
        <v>106</v>
      </c>
      <c r="L832" s="208" t="s">
        <v>797</v>
      </c>
      <c r="M832" s="208">
        <v>2.5</v>
      </c>
      <c r="N832" s="208"/>
      <c r="O832" s="208" t="s">
        <v>432</v>
      </c>
      <c r="P832" s="208"/>
      <c r="Q832" s="207"/>
      <c r="R832" s="208"/>
    </row>
    <row r="833" spans="1:18">
      <c r="A833" s="277">
        <v>743</v>
      </c>
      <c r="B833" s="278">
        <v>46192</v>
      </c>
      <c r="C833" s="208" t="s">
        <v>301</v>
      </c>
      <c r="D833" s="208" t="s">
        <v>767</v>
      </c>
      <c r="E833" s="208" t="s">
        <v>337</v>
      </c>
      <c r="F833" s="208">
        <v>2026</v>
      </c>
      <c r="G833" s="208">
        <v>1.5</v>
      </c>
      <c r="H833" s="208" t="s">
        <v>201</v>
      </c>
      <c r="I833" s="208" t="s">
        <v>202</v>
      </c>
      <c r="J833" s="208" t="s">
        <v>373</v>
      </c>
      <c r="K833" s="208" t="s">
        <v>101</v>
      </c>
      <c r="L833" s="208" t="s">
        <v>817</v>
      </c>
      <c r="M833" s="208">
        <v>1.5</v>
      </c>
      <c r="N833" s="208"/>
      <c r="O833" s="208" t="s">
        <v>769</v>
      </c>
      <c r="P833" s="208" t="s">
        <v>234</v>
      </c>
      <c r="Q833" s="207"/>
      <c r="R833" s="208"/>
    </row>
    <row r="834" spans="1:18">
      <c r="A834" s="277">
        <v>744</v>
      </c>
      <c r="B834" s="278">
        <v>46192</v>
      </c>
      <c r="C834" s="208" t="s">
        <v>301</v>
      </c>
      <c r="D834" s="208"/>
      <c r="E834" s="208" t="s">
        <v>337</v>
      </c>
      <c r="F834" s="208">
        <v>2026</v>
      </c>
      <c r="G834" s="208"/>
      <c r="H834" s="208" t="s">
        <v>132</v>
      </c>
      <c r="I834" s="208" t="s">
        <v>183</v>
      </c>
      <c r="J834" s="208" t="s">
        <v>623</v>
      </c>
      <c r="K834" s="208" t="s">
        <v>101</v>
      </c>
      <c r="L834" s="208" t="s">
        <v>818</v>
      </c>
      <c r="M834" s="208"/>
      <c r="N834" s="208"/>
      <c r="O834" s="208" t="s">
        <v>819</v>
      </c>
      <c r="P834" s="208"/>
      <c r="Q834" s="207"/>
      <c r="R834" s="208"/>
    </row>
    <row r="835" spans="1:18">
      <c r="A835" s="277">
        <v>745</v>
      </c>
      <c r="B835" s="278">
        <v>46192</v>
      </c>
      <c r="C835" s="208" t="s">
        <v>301</v>
      </c>
      <c r="D835" s="208" t="s">
        <v>491</v>
      </c>
      <c r="E835" s="208" t="s">
        <v>337</v>
      </c>
      <c r="F835" s="208">
        <v>2026</v>
      </c>
      <c r="G835" s="208">
        <v>2</v>
      </c>
      <c r="H835" s="208" t="s">
        <v>99</v>
      </c>
      <c r="I835" s="208" t="s">
        <v>108</v>
      </c>
      <c r="J835" s="208" t="s">
        <v>366</v>
      </c>
      <c r="K835" s="208" t="s">
        <v>106</v>
      </c>
      <c r="L835" s="208" t="s">
        <v>820</v>
      </c>
      <c r="M835" s="208">
        <v>2</v>
      </c>
      <c r="N835" s="208"/>
      <c r="O835" s="208" t="s">
        <v>91</v>
      </c>
      <c r="P835" s="208"/>
      <c r="Q835" s="207"/>
      <c r="R835" s="208"/>
    </row>
    <row r="836" spans="1:18">
      <c r="A836" s="277">
        <v>746</v>
      </c>
      <c r="B836" s="278">
        <v>46195</v>
      </c>
      <c r="C836" s="208" t="s">
        <v>302</v>
      </c>
      <c r="D836" s="208" t="s">
        <v>767</v>
      </c>
      <c r="E836" s="208" t="s">
        <v>337</v>
      </c>
      <c r="F836" s="208">
        <v>2026</v>
      </c>
      <c r="G836" s="208">
        <v>1.5</v>
      </c>
      <c r="H836" s="208" t="s">
        <v>201</v>
      </c>
      <c r="I836" s="208" t="s">
        <v>202</v>
      </c>
      <c r="J836" s="208" t="s">
        <v>373</v>
      </c>
      <c r="K836" s="208" t="s">
        <v>101</v>
      </c>
      <c r="L836" s="208" t="s">
        <v>821</v>
      </c>
      <c r="M836" s="208">
        <v>1.5</v>
      </c>
      <c r="N836" s="208"/>
      <c r="O836" s="208" t="s">
        <v>769</v>
      </c>
      <c r="P836" s="208"/>
      <c r="Q836" s="207"/>
      <c r="R836" s="208"/>
    </row>
    <row r="837" spans="1:18">
      <c r="A837" s="277">
        <v>747</v>
      </c>
      <c r="B837" s="278">
        <v>46195</v>
      </c>
      <c r="C837" s="208" t="s">
        <v>302</v>
      </c>
      <c r="D837" s="208" t="s">
        <v>715</v>
      </c>
      <c r="E837" s="208" t="s">
        <v>337</v>
      </c>
      <c r="F837" s="208">
        <v>2026</v>
      </c>
      <c r="G837" s="208">
        <v>2</v>
      </c>
      <c r="H837" s="208" t="s">
        <v>196</v>
      </c>
      <c r="I837" s="208" t="s">
        <v>197</v>
      </c>
      <c r="J837" s="208" t="s">
        <v>687</v>
      </c>
      <c r="K837" s="208" t="s">
        <v>101</v>
      </c>
      <c r="L837" s="208" t="s">
        <v>822</v>
      </c>
      <c r="M837" s="208">
        <v>2</v>
      </c>
      <c r="N837" s="208"/>
      <c r="O837" s="208" t="s">
        <v>91</v>
      </c>
      <c r="P837" s="208"/>
      <c r="Q837" s="207"/>
      <c r="R837" s="208"/>
    </row>
    <row r="838" spans="1:18">
      <c r="A838" s="277">
        <v>748</v>
      </c>
      <c r="B838" s="278">
        <v>46195</v>
      </c>
      <c r="C838" s="208" t="s">
        <v>302</v>
      </c>
      <c r="D838" s="208" t="s">
        <v>638</v>
      </c>
      <c r="E838" s="208" t="s">
        <v>337</v>
      </c>
      <c r="F838" s="208">
        <v>2026</v>
      </c>
      <c r="G838" s="208">
        <v>2.5</v>
      </c>
      <c r="H838" s="208" t="s">
        <v>132</v>
      </c>
      <c r="I838" s="208" t="s">
        <v>183</v>
      </c>
      <c r="J838" s="208" t="s">
        <v>623</v>
      </c>
      <c r="K838" s="208" t="s">
        <v>101</v>
      </c>
      <c r="L838" s="208" t="s">
        <v>823</v>
      </c>
      <c r="M838" s="208">
        <v>2.5</v>
      </c>
      <c r="N838" s="208"/>
      <c r="O838" s="208" t="s">
        <v>164</v>
      </c>
      <c r="P838" s="208"/>
      <c r="Q838" s="207"/>
      <c r="R838" s="208"/>
    </row>
    <row r="839" spans="1:18">
      <c r="A839" s="277">
        <v>749</v>
      </c>
      <c r="B839" s="278">
        <v>46196</v>
      </c>
      <c r="C839" s="208" t="s">
        <v>289</v>
      </c>
      <c r="D839" s="208" t="s">
        <v>661</v>
      </c>
      <c r="E839" s="208" t="s">
        <v>337</v>
      </c>
      <c r="F839" s="208"/>
      <c r="G839" s="208">
        <v>2.5</v>
      </c>
      <c r="H839" s="208" t="s">
        <v>132</v>
      </c>
      <c r="I839" s="208" t="s">
        <v>158</v>
      </c>
      <c r="J839" s="208" t="s">
        <v>360</v>
      </c>
      <c r="K839" s="208" t="s">
        <v>101</v>
      </c>
      <c r="L839" s="208" t="s">
        <v>824</v>
      </c>
      <c r="M839" s="208">
        <v>2.5</v>
      </c>
      <c r="N839" s="208"/>
      <c r="O839" s="208" t="s">
        <v>811</v>
      </c>
      <c r="P839" s="208"/>
      <c r="Q839" s="207"/>
      <c r="R839" s="208"/>
    </row>
    <row r="840" spans="1:18">
      <c r="A840" s="277">
        <v>750</v>
      </c>
      <c r="B840" s="278">
        <v>46196</v>
      </c>
      <c r="C840" s="208" t="s">
        <v>289</v>
      </c>
      <c r="D840" s="208" t="s">
        <v>715</v>
      </c>
      <c r="E840" s="208" t="s">
        <v>337</v>
      </c>
      <c r="F840" s="208">
        <v>2026</v>
      </c>
      <c r="G840" s="208">
        <v>2</v>
      </c>
      <c r="H840" s="208" t="s">
        <v>196</v>
      </c>
      <c r="I840" s="208" t="s">
        <v>197</v>
      </c>
      <c r="J840" s="208" t="s">
        <v>687</v>
      </c>
      <c r="K840" s="208" t="s">
        <v>101</v>
      </c>
      <c r="L840" s="208" t="s">
        <v>825</v>
      </c>
      <c r="M840" s="208">
        <v>2</v>
      </c>
      <c r="N840" s="208"/>
      <c r="O840" s="208" t="s">
        <v>91</v>
      </c>
      <c r="P840" s="208"/>
      <c r="Q840" s="207"/>
      <c r="R840" s="208"/>
    </row>
    <row r="841" spans="1:18">
      <c r="A841" s="277">
        <v>751</v>
      </c>
      <c r="B841" s="278">
        <v>46196</v>
      </c>
      <c r="C841" s="208" t="s">
        <v>289</v>
      </c>
      <c r="D841" s="208" t="s">
        <v>479</v>
      </c>
      <c r="E841" s="208" t="s">
        <v>337</v>
      </c>
      <c r="F841" s="208">
        <v>2026</v>
      </c>
      <c r="G841" s="208">
        <v>3</v>
      </c>
      <c r="H841" s="208" t="s">
        <v>461</v>
      </c>
      <c r="I841" s="208" t="s">
        <v>142</v>
      </c>
      <c r="J841" s="208" t="s">
        <v>462</v>
      </c>
      <c r="K841" s="208" t="s">
        <v>10</v>
      </c>
      <c r="L841" s="208" t="s">
        <v>803</v>
      </c>
      <c r="M841" s="208"/>
      <c r="N841" s="208"/>
      <c r="O841" s="208" t="s">
        <v>102</v>
      </c>
      <c r="P841" s="208" t="s">
        <v>138</v>
      </c>
      <c r="Q841" s="207"/>
      <c r="R841" s="208"/>
    </row>
    <row r="842" spans="1:18">
      <c r="A842" s="277">
        <v>752</v>
      </c>
      <c r="B842" s="278">
        <v>46196</v>
      </c>
      <c r="C842" s="208" t="s">
        <v>289</v>
      </c>
      <c r="D842" s="208" t="s">
        <v>477</v>
      </c>
      <c r="E842" s="208" t="s">
        <v>337</v>
      </c>
      <c r="F842" s="208">
        <v>2026</v>
      </c>
      <c r="G842" s="208"/>
      <c r="H842" s="208" t="s">
        <v>461</v>
      </c>
      <c r="I842" s="208" t="s">
        <v>142</v>
      </c>
      <c r="J842" s="208" t="s">
        <v>462</v>
      </c>
      <c r="K842" s="208" t="s">
        <v>101</v>
      </c>
      <c r="L842" s="208" t="s">
        <v>803</v>
      </c>
      <c r="M842" s="208">
        <v>3</v>
      </c>
      <c r="N842" s="208"/>
      <c r="O842" s="208" t="s">
        <v>179</v>
      </c>
      <c r="P842" s="208" t="s">
        <v>82</v>
      </c>
      <c r="Q842" s="207"/>
      <c r="R842" s="208"/>
    </row>
    <row r="843" spans="1:18">
      <c r="A843" s="277">
        <v>753</v>
      </c>
      <c r="B843" s="278">
        <v>46196</v>
      </c>
      <c r="C843" s="208" t="s">
        <v>289</v>
      </c>
      <c r="D843" s="208" t="s">
        <v>655</v>
      </c>
      <c r="E843" s="208" t="s">
        <v>337</v>
      </c>
      <c r="F843" s="208">
        <v>2026</v>
      </c>
      <c r="G843" s="208">
        <v>1.5</v>
      </c>
      <c r="H843" s="208" t="s">
        <v>115</v>
      </c>
      <c r="I843" s="208" t="s">
        <v>437</v>
      </c>
      <c r="J843" s="208" t="s">
        <v>438</v>
      </c>
      <c r="K843" s="208" t="s">
        <v>101</v>
      </c>
      <c r="L843" s="208" t="s">
        <v>815</v>
      </c>
      <c r="M843" s="208">
        <v>1.5</v>
      </c>
      <c r="N843" s="208"/>
      <c r="O843" s="208" t="s">
        <v>164</v>
      </c>
      <c r="P843" s="208"/>
      <c r="Q843" s="207"/>
      <c r="R843" s="208"/>
    </row>
    <row r="844" spans="1:18">
      <c r="A844" s="277">
        <v>754</v>
      </c>
      <c r="B844" s="278">
        <v>46196</v>
      </c>
      <c r="C844" s="208" t="s">
        <v>289</v>
      </c>
      <c r="D844" s="208" t="s">
        <v>490</v>
      </c>
      <c r="E844" s="208" t="s">
        <v>337</v>
      </c>
      <c r="F844" s="208">
        <v>2026</v>
      </c>
      <c r="G844" s="208">
        <v>2</v>
      </c>
      <c r="H844" s="208" t="s">
        <v>99</v>
      </c>
      <c r="I844" s="208" t="s">
        <v>108</v>
      </c>
      <c r="J844" s="208" t="s">
        <v>366</v>
      </c>
      <c r="K844" s="208" t="s">
        <v>101</v>
      </c>
      <c r="L844" s="208" t="s">
        <v>820</v>
      </c>
      <c r="M844" s="208">
        <v>2</v>
      </c>
      <c r="N844" s="208"/>
      <c r="O844" s="208" t="s">
        <v>112</v>
      </c>
      <c r="P844" s="208"/>
      <c r="Q844" s="207"/>
      <c r="R844" s="208"/>
    </row>
    <row r="845" spans="1:18">
      <c r="A845" s="277">
        <v>755</v>
      </c>
      <c r="B845" s="278">
        <v>46196</v>
      </c>
      <c r="C845" s="208" t="s">
        <v>289</v>
      </c>
      <c r="D845" s="208" t="s">
        <v>483</v>
      </c>
      <c r="E845" s="208" t="s">
        <v>337</v>
      </c>
      <c r="F845" s="208">
        <v>2026</v>
      </c>
      <c r="G845" s="208">
        <v>2</v>
      </c>
      <c r="H845" s="208" t="s">
        <v>99</v>
      </c>
      <c r="I845" s="208" t="s">
        <v>108</v>
      </c>
      <c r="J845" s="208" t="s">
        <v>366</v>
      </c>
      <c r="K845" s="208" t="s">
        <v>10</v>
      </c>
      <c r="L845" s="208" t="s">
        <v>820</v>
      </c>
      <c r="M845" s="208">
        <v>2</v>
      </c>
      <c r="N845" s="208"/>
      <c r="O845" s="208" t="s">
        <v>63</v>
      </c>
      <c r="P845" s="208"/>
      <c r="Q845" s="207"/>
      <c r="R845" s="208"/>
    </row>
    <row r="846" spans="1:18">
      <c r="A846" s="277">
        <v>756</v>
      </c>
      <c r="B846" s="278">
        <v>46196</v>
      </c>
      <c r="C846" s="208" t="s">
        <v>289</v>
      </c>
      <c r="D846" s="208" t="s">
        <v>491</v>
      </c>
      <c r="E846" s="208" t="s">
        <v>337</v>
      </c>
      <c r="F846" s="208">
        <v>2026</v>
      </c>
      <c r="G846" s="208">
        <v>2</v>
      </c>
      <c r="H846" s="208" t="s">
        <v>99</v>
      </c>
      <c r="I846" s="208" t="s">
        <v>108</v>
      </c>
      <c r="J846" s="208" t="s">
        <v>366</v>
      </c>
      <c r="K846" s="208" t="s">
        <v>104</v>
      </c>
      <c r="L846" s="208" t="s">
        <v>820</v>
      </c>
      <c r="M846" s="208">
        <v>2</v>
      </c>
      <c r="N846" s="208"/>
      <c r="O846" s="208" t="s">
        <v>109</v>
      </c>
      <c r="P846" s="208"/>
      <c r="Q846" s="207"/>
      <c r="R846" s="208"/>
    </row>
    <row r="847" spans="1:18">
      <c r="A847" s="277">
        <v>757</v>
      </c>
      <c r="B847" s="278">
        <v>46196</v>
      </c>
      <c r="C847" s="208" t="s">
        <v>289</v>
      </c>
      <c r="D847" s="208" t="s">
        <v>491</v>
      </c>
      <c r="E847" s="208" t="s">
        <v>337</v>
      </c>
      <c r="F847" s="208">
        <v>2026</v>
      </c>
      <c r="G847" s="208">
        <v>2</v>
      </c>
      <c r="H847" s="208" t="s">
        <v>99</v>
      </c>
      <c r="I847" s="208" t="s">
        <v>108</v>
      </c>
      <c r="J847" s="208" t="s">
        <v>366</v>
      </c>
      <c r="K847" s="208" t="s">
        <v>106</v>
      </c>
      <c r="L847" s="208" t="s">
        <v>826</v>
      </c>
      <c r="M847" s="208">
        <v>2</v>
      </c>
      <c r="N847" s="208"/>
      <c r="O847" s="208" t="s">
        <v>91</v>
      </c>
      <c r="P847" s="208"/>
      <c r="Q847" s="207"/>
      <c r="R847" s="208"/>
    </row>
    <row r="848" spans="1:18">
      <c r="A848" s="277">
        <v>758</v>
      </c>
      <c r="B848" s="278">
        <v>46196</v>
      </c>
      <c r="C848" s="208" t="s">
        <v>289</v>
      </c>
      <c r="D848" s="208" t="s">
        <v>827</v>
      </c>
      <c r="E848" s="208" t="s">
        <v>337</v>
      </c>
      <c r="F848" s="208">
        <v>2026</v>
      </c>
      <c r="G848" s="208">
        <v>2.5</v>
      </c>
      <c r="H848" s="208" t="s">
        <v>99</v>
      </c>
      <c r="I848" s="208" t="s">
        <v>100</v>
      </c>
      <c r="J848" s="208" t="s">
        <v>373</v>
      </c>
      <c r="K848" s="208" t="s">
        <v>101</v>
      </c>
      <c r="L848" s="208" t="s">
        <v>828</v>
      </c>
      <c r="M848" s="208">
        <v>2.5</v>
      </c>
      <c r="N848" s="208"/>
      <c r="O848" s="208" t="s">
        <v>102</v>
      </c>
      <c r="P848" s="208"/>
      <c r="Q848" s="207"/>
      <c r="R848" s="208"/>
    </row>
    <row r="849" spans="1:18">
      <c r="A849" s="277">
        <v>759</v>
      </c>
      <c r="B849" s="278">
        <v>46196</v>
      </c>
      <c r="C849" s="208" t="s">
        <v>289</v>
      </c>
      <c r="D849" s="208" t="s">
        <v>532</v>
      </c>
      <c r="E849" s="208" t="s">
        <v>337</v>
      </c>
      <c r="F849" s="208">
        <v>2026</v>
      </c>
      <c r="G849" s="208">
        <v>2.5</v>
      </c>
      <c r="H849" s="208" t="s">
        <v>99</v>
      </c>
      <c r="I849" s="208" t="s">
        <v>100</v>
      </c>
      <c r="J849" s="208" t="s">
        <v>373</v>
      </c>
      <c r="K849" s="208" t="s">
        <v>10</v>
      </c>
      <c r="L849" s="208" t="s">
        <v>789</v>
      </c>
      <c r="M849" s="208">
        <v>2.5</v>
      </c>
      <c r="N849" s="208"/>
      <c r="O849" s="208" t="s">
        <v>29</v>
      </c>
      <c r="P849" s="208"/>
      <c r="Q849" s="207"/>
      <c r="R849" s="208"/>
    </row>
    <row r="850" spans="1:18">
      <c r="A850" s="277">
        <v>760</v>
      </c>
      <c r="B850" s="278">
        <v>46196</v>
      </c>
      <c r="C850" s="208" t="s">
        <v>289</v>
      </c>
      <c r="D850" s="208" t="s">
        <v>467</v>
      </c>
      <c r="E850" s="208" t="s">
        <v>337</v>
      </c>
      <c r="F850" s="208">
        <v>2026</v>
      </c>
      <c r="G850" s="208">
        <v>2.5</v>
      </c>
      <c r="H850" s="208" t="s">
        <v>99</v>
      </c>
      <c r="I850" s="208" t="s">
        <v>100</v>
      </c>
      <c r="J850" s="208" t="s">
        <v>373</v>
      </c>
      <c r="K850" s="208" t="s">
        <v>104</v>
      </c>
      <c r="L850" s="208" t="s">
        <v>797</v>
      </c>
      <c r="M850" s="208">
        <v>2.5</v>
      </c>
      <c r="N850" s="208"/>
      <c r="O850" s="208" t="s">
        <v>70</v>
      </c>
      <c r="P850" s="208"/>
      <c r="Q850" s="207"/>
      <c r="R850" s="208"/>
    </row>
    <row r="851" spans="1:18">
      <c r="A851" s="277">
        <v>761</v>
      </c>
      <c r="B851" s="278">
        <v>46196</v>
      </c>
      <c r="C851" s="208" t="s">
        <v>289</v>
      </c>
      <c r="D851" s="208" t="s">
        <v>430</v>
      </c>
      <c r="E851" s="208" t="s">
        <v>337</v>
      </c>
      <c r="F851" s="208">
        <v>2026</v>
      </c>
      <c r="G851" s="208">
        <v>2.5</v>
      </c>
      <c r="H851" s="208" t="s">
        <v>99</v>
      </c>
      <c r="I851" s="208" t="s">
        <v>100</v>
      </c>
      <c r="J851" s="208" t="s">
        <v>373</v>
      </c>
      <c r="K851" s="208" t="s">
        <v>106</v>
      </c>
      <c r="L851" s="208" t="s">
        <v>829</v>
      </c>
      <c r="M851" s="208">
        <v>2.5</v>
      </c>
      <c r="N851" s="208"/>
      <c r="O851" s="208" t="s">
        <v>432</v>
      </c>
      <c r="P851" s="208"/>
      <c r="Q851" s="207"/>
      <c r="R851" s="208"/>
    </row>
    <row r="852" spans="1:18">
      <c r="A852" s="277">
        <v>762</v>
      </c>
      <c r="B852" s="278">
        <v>46197</v>
      </c>
      <c r="C852" s="208" t="s">
        <v>294</v>
      </c>
      <c r="D852" s="208" t="s">
        <v>767</v>
      </c>
      <c r="E852" s="208" t="s">
        <v>337</v>
      </c>
      <c r="F852" s="208">
        <v>2026</v>
      </c>
      <c r="G852" s="208">
        <v>1.5</v>
      </c>
      <c r="H852" s="208" t="s">
        <v>201</v>
      </c>
      <c r="I852" s="208" t="s">
        <v>202</v>
      </c>
      <c r="J852" s="208" t="s">
        <v>373</v>
      </c>
      <c r="K852" s="208" t="s">
        <v>101</v>
      </c>
      <c r="L852" s="208" t="s">
        <v>830</v>
      </c>
      <c r="M852" s="208">
        <v>1.5</v>
      </c>
      <c r="N852" s="208"/>
      <c r="O852" s="208" t="s">
        <v>769</v>
      </c>
      <c r="P852" s="208"/>
      <c r="Q852" s="207"/>
      <c r="R852" s="208"/>
    </row>
    <row r="853" spans="1:18">
      <c r="A853" s="277">
        <v>763</v>
      </c>
      <c r="B853" s="278">
        <v>46197</v>
      </c>
      <c r="C853" s="208" t="s">
        <v>294</v>
      </c>
      <c r="D853" s="208" t="s">
        <v>638</v>
      </c>
      <c r="E853" s="208" t="s">
        <v>337</v>
      </c>
      <c r="F853" s="208">
        <v>2026</v>
      </c>
      <c r="G853" s="208">
        <v>2.5</v>
      </c>
      <c r="H853" s="208" t="s">
        <v>132</v>
      </c>
      <c r="I853" s="208" t="s">
        <v>183</v>
      </c>
      <c r="J853" s="208" t="s">
        <v>623</v>
      </c>
      <c r="K853" s="208" t="s">
        <v>101</v>
      </c>
      <c r="L853" s="208" t="s">
        <v>823</v>
      </c>
      <c r="M853" s="208">
        <v>2.5</v>
      </c>
      <c r="N853" s="208"/>
      <c r="O853" s="208" t="s">
        <v>164</v>
      </c>
      <c r="P853" s="208"/>
      <c r="Q853" s="207"/>
      <c r="R853" s="208"/>
    </row>
    <row r="854" spans="1:18">
      <c r="A854" s="277">
        <v>764</v>
      </c>
      <c r="B854" s="278">
        <v>46198</v>
      </c>
      <c r="C854" s="208" t="s">
        <v>298</v>
      </c>
      <c r="D854" s="208" t="s">
        <v>661</v>
      </c>
      <c r="E854" s="208" t="s">
        <v>337</v>
      </c>
      <c r="F854" s="208">
        <v>2026</v>
      </c>
      <c r="G854" s="208">
        <v>2.5</v>
      </c>
      <c r="H854" s="208" t="s">
        <v>132</v>
      </c>
      <c r="I854" s="208" t="s">
        <v>158</v>
      </c>
      <c r="J854" s="208" t="s">
        <v>360</v>
      </c>
      <c r="K854" s="208" t="s">
        <v>101</v>
      </c>
      <c r="L854" s="208" t="s">
        <v>831</v>
      </c>
      <c r="M854" s="208">
        <v>2.5</v>
      </c>
      <c r="N854" s="208"/>
      <c r="O854" s="208" t="s">
        <v>811</v>
      </c>
      <c r="P854" s="208"/>
      <c r="Q854" s="207"/>
      <c r="R854" s="208"/>
    </row>
    <row r="855" spans="1:18">
      <c r="A855" s="277">
        <v>765</v>
      </c>
      <c r="B855" s="278">
        <v>46198</v>
      </c>
      <c r="C855" s="208" t="s">
        <v>298</v>
      </c>
      <c r="D855" s="208" t="s">
        <v>655</v>
      </c>
      <c r="E855" s="208" t="s">
        <v>337</v>
      </c>
      <c r="F855" s="208">
        <v>2026</v>
      </c>
      <c r="G855" s="208">
        <v>1.5</v>
      </c>
      <c r="H855" s="208" t="s">
        <v>115</v>
      </c>
      <c r="I855" s="208" t="s">
        <v>437</v>
      </c>
      <c r="J855" s="208" t="s">
        <v>438</v>
      </c>
      <c r="K855" s="208" t="s">
        <v>101</v>
      </c>
      <c r="L855" s="208" t="s">
        <v>832</v>
      </c>
      <c r="M855" s="208">
        <v>1.5</v>
      </c>
      <c r="N855" s="208"/>
      <c r="O855" s="208" t="s">
        <v>164</v>
      </c>
      <c r="P855" s="208"/>
      <c r="Q855" s="207"/>
      <c r="R855" s="208"/>
    </row>
    <row r="856" spans="1:18">
      <c r="A856" s="277">
        <v>766</v>
      </c>
      <c r="B856" s="278">
        <v>46198</v>
      </c>
      <c r="C856" s="208" t="s">
        <v>298</v>
      </c>
      <c r="D856" s="208" t="s">
        <v>490</v>
      </c>
      <c r="E856" s="208" t="s">
        <v>337</v>
      </c>
      <c r="F856" s="208">
        <v>2026</v>
      </c>
      <c r="G856" s="208">
        <v>2</v>
      </c>
      <c r="H856" s="208" t="s">
        <v>99</v>
      </c>
      <c r="I856" s="208" t="s">
        <v>108</v>
      </c>
      <c r="J856" s="208" t="s">
        <v>366</v>
      </c>
      <c r="K856" s="208" t="s">
        <v>101</v>
      </c>
      <c r="L856" s="208" t="s">
        <v>826</v>
      </c>
      <c r="M856" s="208">
        <v>2</v>
      </c>
      <c r="N856" s="208"/>
      <c r="O856" s="208" t="s">
        <v>112</v>
      </c>
      <c r="P856" s="208"/>
      <c r="Q856" s="207"/>
      <c r="R856" s="208"/>
    </row>
    <row r="857" spans="1:18">
      <c r="A857" s="277">
        <v>767</v>
      </c>
      <c r="B857" s="278">
        <v>46198</v>
      </c>
      <c r="C857" s="208" t="s">
        <v>298</v>
      </c>
      <c r="D857" s="208" t="s">
        <v>483</v>
      </c>
      <c r="E857" s="208" t="s">
        <v>337</v>
      </c>
      <c r="F857" s="208">
        <v>2026</v>
      </c>
      <c r="G857" s="208">
        <v>2</v>
      </c>
      <c r="H857" s="208" t="s">
        <v>99</v>
      </c>
      <c r="I857" s="208" t="s">
        <v>108</v>
      </c>
      <c r="J857" s="208" t="s">
        <v>366</v>
      </c>
      <c r="K857" s="208" t="s">
        <v>10</v>
      </c>
      <c r="L857" s="208" t="s">
        <v>826</v>
      </c>
      <c r="M857" s="208">
        <v>2</v>
      </c>
      <c r="N857" s="208"/>
      <c r="O857" s="208" t="s">
        <v>63</v>
      </c>
      <c r="P857" s="208"/>
      <c r="Q857" s="207"/>
      <c r="R857" s="208"/>
    </row>
    <row r="858" spans="1:18">
      <c r="A858" s="277">
        <v>768</v>
      </c>
      <c r="B858" s="278">
        <v>46198</v>
      </c>
      <c r="C858" s="208" t="s">
        <v>298</v>
      </c>
      <c r="D858" s="208" t="s">
        <v>491</v>
      </c>
      <c r="E858" s="208" t="s">
        <v>337</v>
      </c>
      <c r="F858" s="208">
        <v>2026</v>
      </c>
      <c r="G858" s="208">
        <v>2</v>
      </c>
      <c r="H858" s="208" t="s">
        <v>99</v>
      </c>
      <c r="I858" s="208" t="s">
        <v>108</v>
      </c>
      <c r="J858" s="208" t="s">
        <v>366</v>
      </c>
      <c r="K858" s="208" t="s">
        <v>104</v>
      </c>
      <c r="L858" s="208" t="s">
        <v>826</v>
      </c>
      <c r="M858" s="208">
        <v>2</v>
      </c>
      <c r="N858" s="208"/>
      <c r="O858" s="208" t="s">
        <v>109</v>
      </c>
      <c r="P858" s="208"/>
      <c r="Q858" s="207"/>
      <c r="R858" s="208"/>
    </row>
    <row r="859" spans="1:18">
      <c r="A859" s="277">
        <v>769</v>
      </c>
      <c r="B859" s="278">
        <v>46198</v>
      </c>
      <c r="C859" s="208" t="s">
        <v>298</v>
      </c>
      <c r="D859" s="208" t="s">
        <v>456</v>
      </c>
      <c r="E859" s="208" t="s">
        <v>337</v>
      </c>
      <c r="F859" s="208">
        <v>2026</v>
      </c>
      <c r="G859" s="208">
        <v>2.5</v>
      </c>
      <c r="H859" s="208" t="s">
        <v>99</v>
      </c>
      <c r="I859" s="208" t="s">
        <v>100</v>
      </c>
      <c r="J859" s="208" t="s">
        <v>373</v>
      </c>
      <c r="K859" s="208" t="s">
        <v>101</v>
      </c>
      <c r="L859" s="208" t="s">
        <v>833</v>
      </c>
      <c r="M859" s="208">
        <v>2.5</v>
      </c>
      <c r="N859" s="208"/>
      <c r="O859" s="208" t="s">
        <v>102</v>
      </c>
      <c r="P859" s="208"/>
      <c r="Q859" s="207"/>
      <c r="R859" s="208"/>
    </row>
    <row r="860" spans="1:18">
      <c r="A860" s="277">
        <v>770</v>
      </c>
      <c r="B860" s="278">
        <v>46198</v>
      </c>
      <c r="C860" s="208" t="s">
        <v>298</v>
      </c>
      <c r="D860" s="208" t="s">
        <v>532</v>
      </c>
      <c r="E860" s="208" t="s">
        <v>337</v>
      </c>
      <c r="F860" s="208">
        <v>2026</v>
      </c>
      <c r="G860" s="208">
        <v>2.5</v>
      </c>
      <c r="H860" s="208" t="s">
        <v>99</v>
      </c>
      <c r="I860" s="208" t="s">
        <v>100</v>
      </c>
      <c r="J860" s="208" t="s">
        <v>373</v>
      </c>
      <c r="K860" s="208" t="s">
        <v>10</v>
      </c>
      <c r="L860" s="208" t="s">
        <v>797</v>
      </c>
      <c r="M860" s="208">
        <v>2.5</v>
      </c>
      <c r="N860" s="208"/>
      <c r="O860" s="208" t="s">
        <v>29</v>
      </c>
      <c r="P860" s="208"/>
      <c r="Q860" s="207"/>
      <c r="R860" s="208"/>
    </row>
    <row r="861" spans="1:18">
      <c r="A861" s="277"/>
      <c r="B861" s="278">
        <v>46198</v>
      </c>
      <c r="C861" s="208" t="s">
        <v>298</v>
      </c>
      <c r="D861" s="208"/>
      <c r="E861" s="208" t="s">
        <v>337</v>
      </c>
      <c r="F861" s="208">
        <v>2026</v>
      </c>
      <c r="G861" s="208">
        <v>2.5</v>
      </c>
      <c r="H861" s="208" t="s">
        <v>99</v>
      </c>
      <c r="I861" s="208" t="s">
        <v>100</v>
      </c>
      <c r="J861" s="208" t="s">
        <v>373</v>
      </c>
      <c r="K861" s="208" t="s">
        <v>104</v>
      </c>
      <c r="L861" s="208" t="s">
        <v>427</v>
      </c>
      <c r="M861" s="208">
        <v>2.5</v>
      </c>
      <c r="N861" s="208"/>
      <c r="O861" s="208"/>
      <c r="P861" s="208"/>
      <c r="Q861" s="207"/>
      <c r="R861" s="208"/>
    </row>
    <row r="862" spans="1:18">
      <c r="A862" s="277">
        <v>771</v>
      </c>
      <c r="B862" s="278">
        <v>46198</v>
      </c>
      <c r="C862" s="208" t="s">
        <v>298</v>
      </c>
      <c r="D862" s="208" t="s">
        <v>430</v>
      </c>
      <c r="E862" s="208" t="s">
        <v>337</v>
      </c>
      <c r="F862" s="208">
        <v>2026</v>
      </c>
      <c r="G862" s="208">
        <v>2.5</v>
      </c>
      <c r="H862" s="208" t="s">
        <v>99</v>
      </c>
      <c r="I862" s="208" t="s">
        <v>100</v>
      </c>
      <c r="J862" s="208" t="s">
        <v>373</v>
      </c>
      <c r="K862" s="208" t="s">
        <v>106</v>
      </c>
      <c r="L862" s="208" t="s">
        <v>816</v>
      </c>
      <c r="M862" s="208">
        <v>2.5</v>
      </c>
      <c r="N862" s="208"/>
      <c r="O862" s="208" t="s">
        <v>432</v>
      </c>
      <c r="P862" s="208"/>
      <c r="Q862" s="207"/>
      <c r="R862" s="208"/>
    </row>
    <row r="863" spans="1:18">
      <c r="A863" s="277">
        <v>772</v>
      </c>
      <c r="B863" s="278">
        <v>46199</v>
      </c>
      <c r="C863" s="208" t="s">
        <v>301</v>
      </c>
      <c r="D863" s="208" t="s">
        <v>740</v>
      </c>
      <c r="E863" s="208" t="s">
        <v>337</v>
      </c>
      <c r="F863" s="208">
        <v>2026</v>
      </c>
      <c r="G863" s="208">
        <v>8</v>
      </c>
      <c r="H863" s="208" t="s">
        <v>161</v>
      </c>
      <c r="I863" s="208" t="s">
        <v>644</v>
      </c>
      <c r="J863" s="208" t="s">
        <v>438</v>
      </c>
      <c r="K863" s="208" t="s">
        <v>101</v>
      </c>
      <c r="L863" s="208" t="s">
        <v>741</v>
      </c>
      <c r="M863" s="208">
        <v>8</v>
      </c>
      <c r="N863" s="208"/>
      <c r="O863" s="208" t="s">
        <v>163</v>
      </c>
      <c r="P863" s="208"/>
      <c r="Q863" s="207"/>
      <c r="R863" s="208"/>
    </row>
    <row r="864" spans="1:18">
      <c r="A864" s="277">
        <v>773</v>
      </c>
      <c r="B864" s="278">
        <v>46199</v>
      </c>
      <c r="C864" s="208" t="s">
        <v>301</v>
      </c>
      <c r="D864" s="208" t="s">
        <v>767</v>
      </c>
      <c r="E864" s="208" t="s">
        <v>337</v>
      </c>
      <c r="F864" s="208">
        <v>2026</v>
      </c>
      <c r="G864" s="208">
        <v>1.5</v>
      </c>
      <c r="H864" s="208" t="s">
        <v>201</v>
      </c>
      <c r="I864" s="208" t="s">
        <v>202</v>
      </c>
      <c r="J864" s="208" t="s">
        <v>373</v>
      </c>
      <c r="K864" s="208" t="s">
        <v>101</v>
      </c>
      <c r="L864" s="208" t="s">
        <v>834</v>
      </c>
      <c r="M864" s="208">
        <v>1.5</v>
      </c>
      <c r="N864" s="208"/>
      <c r="O864" s="208" t="s">
        <v>769</v>
      </c>
      <c r="P864" s="208" t="s">
        <v>234</v>
      </c>
      <c r="Q864" s="207"/>
      <c r="R864" s="208"/>
    </row>
    <row r="865" spans="1:18">
      <c r="A865" s="277"/>
      <c r="B865" s="278">
        <v>46199</v>
      </c>
      <c r="C865" s="208" t="s">
        <v>301</v>
      </c>
      <c r="D865" s="208" t="s">
        <v>715</v>
      </c>
      <c r="E865" s="208" t="s">
        <v>337</v>
      </c>
      <c r="F865" s="208">
        <v>2026</v>
      </c>
      <c r="G865" s="208">
        <v>2</v>
      </c>
      <c r="H865" s="208" t="s">
        <v>196</v>
      </c>
      <c r="I865" s="208" t="s">
        <v>197</v>
      </c>
      <c r="J865" s="208" t="s">
        <v>687</v>
      </c>
      <c r="K865" s="208" t="s">
        <v>101</v>
      </c>
      <c r="L865" s="208" t="s">
        <v>746</v>
      </c>
      <c r="M865" s="208">
        <v>2</v>
      </c>
      <c r="N865" s="208"/>
      <c r="O865" s="208"/>
      <c r="P865" s="208"/>
      <c r="Q865" s="207"/>
      <c r="R865" s="208"/>
    </row>
    <row r="866" spans="1:18">
      <c r="A866" s="277">
        <v>774</v>
      </c>
      <c r="B866" s="278">
        <v>46199</v>
      </c>
      <c r="C866" s="208" t="s">
        <v>301</v>
      </c>
      <c r="D866" s="208" t="s">
        <v>655</v>
      </c>
      <c r="E866" s="208" t="s">
        <v>337</v>
      </c>
      <c r="F866" s="208">
        <v>2026</v>
      </c>
      <c r="G866" s="208">
        <v>1.5</v>
      </c>
      <c r="H866" s="208" t="s">
        <v>115</v>
      </c>
      <c r="I866" s="208" t="s">
        <v>437</v>
      </c>
      <c r="J866" s="208" t="s">
        <v>438</v>
      </c>
      <c r="K866" s="208" t="s">
        <v>101</v>
      </c>
      <c r="L866" s="208" t="s">
        <v>835</v>
      </c>
      <c r="M866" s="208">
        <v>1.5</v>
      </c>
      <c r="N866" s="208"/>
      <c r="O866" s="208" t="s">
        <v>164</v>
      </c>
      <c r="P866" s="208"/>
      <c r="Q866" s="207"/>
      <c r="R866" s="208"/>
    </row>
    <row r="867" spans="1:18">
      <c r="A867" s="277">
        <v>775</v>
      </c>
      <c r="B867" s="278">
        <v>46202</v>
      </c>
      <c r="C867" s="208" t="s">
        <v>302</v>
      </c>
      <c r="D867" s="208" t="s">
        <v>767</v>
      </c>
      <c r="E867" s="208" t="s">
        <v>337</v>
      </c>
      <c r="F867" s="208">
        <v>2026</v>
      </c>
      <c r="G867" s="208">
        <v>1.5</v>
      </c>
      <c r="H867" s="208" t="s">
        <v>201</v>
      </c>
      <c r="I867" s="208" t="s">
        <v>202</v>
      </c>
      <c r="J867" s="208" t="s">
        <v>373</v>
      </c>
      <c r="K867" s="208" t="s">
        <v>101</v>
      </c>
      <c r="L867" s="208" t="s">
        <v>836</v>
      </c>
      <c r="M867" s="208">
        <v>1.5</v>
      </c>
      <c r="N867" s="208"/>
      <c r="O867" s="208" t="s">
        <v>769</v>
      </c>
      <c r="P867" s="208" t="s">
        <v>234</v>
      </c>
      <c r="Q867" s="207"/>
      <c r="R867" s="208"/>
    </row>
    <row r="868" spans="1:18">
      <c r="A868" s="277">
        <v>776</v>
      </c>
      <c r="B868" s="278">
        <v>46202</v>
      </c>
      <c r="C868" s="208" t="s">
        <v>302</v>
      </c>
      <c r="D868" s="208" t="s">
        <v>715</v>
      </c>
      <c r="E868" s="208" t="s">
        <v>337</v>
      </c>
      <c r="F868" s="208">
        <v>2026</v>
      </c>
      <c r="G868" s="208">
        <v>2</v>
      </c>
      <c r="H868" s="208" t="s">
        <v>196</v>
      </c>
      <c r="I868" s="208" t="s">
        <v>197</v>
      </c>
      <c r="J868" s="208" t="s">
        <v>687</v>
      </c>
      <c r="K868" s="208" t="s">
        <v>101</v>
      </c>
      <c r="L868" s="208" t="s">
        <v>837</v>
      </c>
      <c r="M868" s="208">
        <v>2</v>
      </c>
      <c r="N868" s="208"/>
      <c r="O868" s="208" t="s">
        <v>91</v>
      </c>
      <c r="P868" s="208"/>
      <c r="Q868" s="207"/>
      <c r="R868" s="208"/>
    </row>
    <row r="869" spans="1:18">
      <c r="A869" s="277">
        <v>777</v>
      </c>
      <c r="B869" s="278">
        <v>46202</v>
      </c>
      <c r="C869" s="208" t="s">
        <v>302</v>
      </c>
      <c r="D869" s="208" t="s">
        <v>638</v>
      </c>
      <c r="E869" s="208" t="s">
        <v>337</v>
      </c>
      <c r="F869" s="208">
        <v>2026</v>
      </c>
      <c r="G869" s="208">
        <v>2.5</v>
      </c>
      <c r="H869" s="208" t="s">
        <v>132</v>
      </c>
      <c r="I869" s="208" t="s">
        <v>183</v>
      </c>
      <c r="J869" s="208" t="s">
        <v>623</v>
      </c>
      <c r="K869" s="208" t="s">
        <v>101</v>
      </c>
      <c r="L869" s="208" t="s">
        <v>838</v>
      </c>
      <c r="M869" s="208">
        <v>2.5</v>
      </c>
      <c r="N869" s="208"/>
      <c r="O869" s="208" t="s">
        <v>164</v>
      </c>
      <c r="P869" s="208"/>
      <c r="Q869" s="207"/>
      <c r="R869" s="208"/>
    </row>
    <row r="870" spans="1:18">
      <c r="A870" s="277">
        <v>778</v>
      </c>
      <c r="B870" s="278">
        <v>46203</v>
      </c>
      <c r="C870" s="208" t="s">
        <v>289</v>
      </c>
      <c r="D870" s="208" t="s">
        <v>661</v>
      </c>
      <c r="E870" s="208" t="s">
        <v>337</v>
      </c>
      <c r="F870" s="208">
        <v>2026</v>
      </c>
      <c r="G870" s="208">
        <v>2.5</v>
      </c>
      <c r="H870" s="208" t="s">
        <v>132</v>
      </c>
      <c r="I870" s="208" t="s">
        <v>158</v>
      </c>
      <c r="J870" s="208" t="s">
        <v>360</v>
      </c>
      <c r="K870" s="208" t="s">
        <v>101</v>
      </c>
      <c r="L870" s="208" t="s">
        <v>839</v>
      </c>
      <c r="M870" s="208">
        <v>2.5</v>
      </c>
      <c r="N870" s="208"/>
      <c r="O870" s="208" t="s">
        <v>811</v>
      </c>
      <c r="P870" s="208"/>
      <c r="Q870" s="207"/>
      <c r="R870" s="208"/>
    </row>
    <row r="871" spans="1:18">
      <c r="A871" s="277">
        <v>779</v>
      </c>
      <c r="B871" s="278">
        <v>46203</v>
      </c>
      <c r="C871" s="208" t="s">
        <v>289</v>
      </c>
      <c r="D871" s="208" t="s">
        <v>715</v>
      </c>
      <c r="E871" s="208" t="s">
        <v>337</v>
      </c>
      <c r="F871" s="208">
        <v>2026</v>
      </c>
      <c r="G871" s="208">
        <v>2</v>
      </c>
      <c r="H871" s="208" t="s">
        <v>196</v>
      </c>
      <c r="I871" s="208" t="s">
        <v>197</v>
      </c>
      <c r="J871" s="208" t="s">
        <v>687</v>
      </c>
      <c r="K871" s="208" t="s">
        <v>101</v>
      </c>
      <c r="L871" s="208" t="s">
        <v>840</v>
      </c>
      <c r="M871" s="208">
        <v>2</v>
      </c>
      <c r="N871" s="208"/>
      <c r="O871" s="208" t="s">
        <v>91</v>
      </c>
      <c r="P871" s="208"/>
      <c r="Q871" s="207"/>
      <c r="R871" s="208"/>
    </row>
    <row r="872" spans="1:18">
      <c r="A872" s="277">
        <v>780</v>
      </c>
      <c r="B872" s="278">
        <v>46203</v>
      </c>
      <c r="C872" s="208" t="s">
        <v>289</v>
      </c>
      <c r="D872" s="208" t="s">
        <v>655</v>
      </c>
      <c r="E872" s="208" t="s">
        <v>337</v>
      </c>
      <c r="F872" s="208">
        <v>2026</v>
      </c>
      <c r="G872" s="208">
        <v>1.5</v>
      </c>
      <c r="H872" s="208" t="s">
        <v>115</v>
      </c>
      <c r="I872" s="208" t="s">
        <v>437</v>
      </c>
      <c r="J872" s="208" t="s">
        <v>438</v>
      </c>
      <c r="K872" s="208" t="s">
        <v>101</v>
      </c>
      <c r="L872" s="208" t="s">
        <v>835</v>
      </c>
      <c r="M872" s="208">
        <v>1.5</v>
      </c>
      <c r="N872" s="208"/>
      <c r="O872" s="208" t="s">
        <v>164</v>
      </c>
      <c r="P872" s="208"/>
      <c r="Q872" s="207"/>
      <c r="R872" s="208"/>
    </row>
    <row r="873" spans="1:18">
      <c r="A873" s="277">
        <v>781</v>
      </c>
      <c r="B873" s="278">
        <v>46203</v>
      </c>
      <c r="C873" s="208" t="s">
        <v>289</v>
      </c>
      <c r="D873" s="208" t="s">
        <v>841</v>
      </c>
      <c r="E873" s="208" t="s">
        <v>337</v>
      </c>
      <c r="F873" s="208">
        <v>2026</v>
      </c>
      <c r="G873" s="208">
        <v>3</v>
      </c>
      <c r="H873" s="208" t="s">
        <v>99</v>
      </c>
      <c r="I873" s="208" t="s">
        <v>108</v>
      </c>
      <c r="J873" s="208" t="s">
        <v>366</v>
      </c>
      <c r="K873" s="208" t="s">
        <v>101</v>
      </c>
      <c r="L873" s="208" t="s">
        <v>842</v>
      </c>
      <c r="M873" s="208">
        <v>3</v>
      </c>
      <c r="N873" s="208"/>
      <c r="O873" s="208" t="s">
        <v>112</v>
      </c>
      <c r="P873" s="208"/>
      <c r="Q873" s="207"/>
      <c r="R873" s="208"/>
    </row>
    <row r="874" spans="1:18">
      <c r="A874" s="277">
        <v>782</v>
      </c>
      <c r="B874" s="278">
        <v>46203</v>
      </c>
      <c r="C874" s="208" t="s">
        <v>289</v>
      </c>
      <c r="D874" s="208" t="s">
        <v>843</v>
      </c>
      <c r="E874" s="208" t="s">
        <v>337</v>
      </c>
      <c r="F874" s="208">
        <v>2026</v>
      </c>
      <c r="G874" s="208">
        <v>3</v>
      </c>
      <c r="H874" s="208" t="s">
        <v>99</v>
      </c>
      <c r="I874" s="208" t="s">
        <v>108</v>
      </c>
      <c r="J874" s="208" t="s">
        <v>366</v>
      </c>
      <c r="K874" s="208" t="s">
        <v>10</v>
      </c>
      <c r="L874" s="208" t="s">
        <v>842</v>
      </c>
      <c r="M874" s="208">
        <v>3</v>
      </c>
      <c r="N874" s="208"/>
      <c r="O874" s="208" t="s">
        <v>63</v>
      </c>
      <c r="P874" s="208"/>
      <c r="Q874" s="207"/>
      <c r="R874" s="208"/>
    </row>
    <row r="875" spans="1:18">
      <c r="A875" s="277">
        <v>783</v>
      </c>
      <c r="B875" s="278">
        <v>46203</v>
      </c>
      <c r="C875" s="208" t="s">
        <v>289</v>
      </c>
      <c r="D875" s="208" t="s">
        <v>844</v>
      </c>
      <c r="E875" s="208" t="s">
        <v>337</v>
      </c>
      <c r="F875" s="208">
        <v>2026</v>
      </c>
      <c r="G875" s="208">
        <v>3</v>
      </c>
      <c r="H875" s="208" t="s">
        <v>99</v>
      </c>
      <c r="I875" s="208" t="s">
        <v>108</v>
      </c>
      <c r="J875" s="208" t="s">
        <v>366</v>
      </c>
      <c r="K875" s="208" t="s">
        <v>104</v>
      </c>
      <c r="L875" s="208" t="s">
        <v>842</v>
      </c>
      <c r="M875" s="208">
        <v>3</v>
      </c>
      <c r="N875" s="208"/>
      <c r="O875" s="208" t="s">
        <v>109</v>
      </c>
      <c r="P875" s="208"/>
      <c r="Q875" s="207"/>
      <c r="R875" s="208"/>
    </row>
    <row r="876" spans="1:18">
      <c r="A876" s="277">
        <v>784</v>
      </c>
      <c r="B876" s="278">
        <v>46203</v>
      </c>
      <c r="C876" s="208" t="s">
        <v>289</v>
      </c>
      <c r="D876" s="208" t="s">
        <v>844</v>
      </c>
      <c r="E876" s="208" t="s">
        <v>337</v>
      </c>
      <c r="F876" s="208">
        <v>2026</v>
      </c>
      <c r="G876" s="208">
        <v>3</v>
      </c>
      <c r="H876" s="208" t="s">
        <v>99</v>
      </c>
      <c r="I876" s="208" t="s">
        <v>108</v>
      </c>
      <c r="J876" s="208" t="s">
        <v>366</v>
      </c>
      <c r="K876" s="208" t="s">
        <v>106</v>
      </c>
      <c r="L876" s="208" t="s">
        <v>842</v>
      </c>
      <c r="M876" s="208">
        <v>3</v>
      </c>
      <c r="N876" s="208"/>
      <c r="O876" s="208" t="s">
        <v>91</v>
      </c>
      <c r="P876" s="208"/>
      <c r="Q876" s="207"/>
      <c r="R876" s="208"/>
    </row>
    <row r="877" spans="1:18">
      <c r="A877" s="277">
        <v>785</v>
      </c>
      <c r="B877" s="278">
        <v>46203</v>
      </c>
      <c r="C877" s="208" t="s">
        <v>289</v>
      </c>
      <c r="D877" s="208" t="s">
        <v>827</v>
      </c>
      <c r="E877" s="208" t="s">
        <v>337</v>
      </c>
      <c r="F877" s="208">
        <v>2026</v>
      </c>
      <c r="G877" s="208">
        <v>2.5</v>
      </c>
      <c r="H877" s="208" t="s">
        <v>99</v>
      </c>
      <c r="I877" s="208" t="s">
        <v>100</v>
      </c>
      <c r="J877" s="208" t="s">
        <v>373</v>
      </c>
      <c r="K877" s="208" t="s">
        <v>101</v>
      </c>
      <c r="L877" s="208" t="s">
        <v>845</v>
      </c>
      <c r="M877" s="208">
        <v>2.5</v>
      </c>
      <c r="N877" s="208"/>
      <c r="O877" s="208" t="s">
        <v>102</v>
      </c>
      <c r="P877" s="208"/>
      <c r="Q877" s="207"/>
      <c r="R877" s="208"/>
    </row>
    <row r="878" spans="1:18">
      <c r="A878" s="277">
        <v>786</v>
      </c>
      <c r="B878" s="278">
        <v>46203</v>
      </c>
      <c r="C878" s="208" t="s">
        <v>289</v>
      </c>
      <c r="D878" s="208" t="s">
        <v>532</v>
      </c>
      <c r="E878" s="208" t="s">
        <v>337</v>
      </c>
      <c r="F878" s="208">
        <v>2026</v>
      </c>
      <c r="G878" s="208">
        <v>2.5</v>
      </c>
      <c r="H878" s="208" t="s">
        <v>99</v>
      </c>
      <c r="I878" s="208" t="s">
        <v>100</v>
      </c>
      <c r="J878" s="208" t="s">
        <v>373</v>
      </c>
      <c r="K878" s="208" t="s">
        <v>10</v>
      </c>
      <c r="L878" s="208" t="s">
        <v>829</v>
      </c>
      <c r="M878" s="208">
        <v>2.5</v>
      </c>
      <c r="N878" s="208"/>
      <c r="O878" s="208" t="s">
        <v>29</v>
      </c>
      <c r="P878" s="208"/>
      <c r="Q878" s="207"/>
      <c r="R878" s="208"/>
    </row>
    <row r="879" spans="1:18">
      <c r="A879" s="277">
        <v>787</v>
      </c>
      <c r="B879" s="278">
        <v>46203</v>
      </c>
      <c r="C879" s="208" t="s">
        <v>289</v>
      </c>
      <c r="D879" s="208" t="s">
        <v>467</v>
      </c>
      <c r="E879" s="208" t="s">
        <v>337</v>
      </c>
      <c r="F879" s="208">
        <v>2026</v>
      </c>
      <c r="G879" s="208">
        <v>2.5</v>
      </c>
      <c r="H879" s="208" t="s">
        <v>99</v>
      </c>
      <c r="I879" s="208" t="s">
        <v>100</v>
      </c>
      <c r="J879" s="208" t="s">
        <v>373</v>
      </c>
      <c r="K879" s="208" t="s">
        <v>104</v>
      </c>
      <c r="L879" s="208" t="s">
        <v>808</v>
      </c>
      <c r="M879" s="208">
        <v>2.5</v>
      </c>
      <c r="N879" s="208"/>
      <c r="O879" s="208" t="s">
        <v>70</v>
      </c>
      <c r="P879" s="208"/>
      <c r="Q879" s="207"/>
      <c r="R879" s="208"/>
    </row>
    <row r="880" spans="1:18">
      <c r="A880" s="277"/>
      <c r="B880" s="278">
        <v>46203</v>
      </c>
      <c r="C880" s="208" t="s">
        <v>289</v>
      </c>
      <c r="D880" s="208"/>
      <c r="E880" s="208" t="s">
        <v>337</v>
      </c>
      <c r="F880" s="208">
        <v>2026</v>
      </c>
      <c r="G880" s="208"/>
      <c r="H880" s="208" t="s">
        <v>99</v>
      </c>
      <c r="I880" s="208" t="s">
        <v>100</v>
      </c>
      <c r="J880" s="208" t="s">
        <v>373</v>
      </c>
      <c r="K880" s="208" t="s">
        <v>106</v>
      </c>
      <c r="L880" s="208" t="s">
        <v>427</v>
      </c>
      <c r="M880" s="208"/>
      <c r="N880" s="208"/>
      <c r="O880" s="208"/>
      <c r="P880" s="208"/>
      <c r="Q880" s="207"/>
      <c r="R880" s="208"/>
    </row>
    <row r="881" spans="1:18">
      <c r="A881" s="277">
        <v>788</v>
      </c>
      <c r="B881" s="278">
        <v>46204</v>
      </c>
      <c r="C881" s="208" t="s">
        <v>294</v>
      </c>
      <c r="D881" s="208" t="s">
        <v>643</v>
      </c>
      <c r="E881" s="208" t="s">
        <v>338</v>
      </c>
      <c r="F881" s="208">
        <v>2026</v>
      </c>
      <c r="G881" s="208">
        <v>2.5</v>
      </c>
      <c r="H881" s="208" t="s">
        <v>161</v>
      </c>
      <c r="I881" s="208" t="s">
        <v>644</v>
      </c>
      <c r="J881" s="208" t="s">
        <v>438</v>
      </c>
      <c r="K881" s="208" t="s">
        <v>101</v>
      </c>
      <c r="L881" s="208" t="s">
        <v>645</v>
      </c>
      <c r="M881" s="208">
        <v>2.5</v>
      </c>
      <c r="N881" s="208"/>
      <c r="O881" s="208" t="s">
        <v>163</v>
      </c>
      <c r="P881" s="208"/>
      <c r="Q881" s="207"/>
      <c r="R881" s="208"/>
    </row>
    <row r="882" spans="1:18">
      <c r="A882" s="277">
        <v>789</v>
      </c>
      <c r="B882" s="278">
        <v>46204</v>
      </c>
      <c r="C882" s="208" t="s">
        <v>294</v>
      </c>
      <c r="D882" s="208" t="s">
        <v>767</v>
      </c>
      <c r="E882" s="208" t="s">
        <v>338</v>
      </c>
      <c r="F882" s="208">
        <v>2026</v>
      </c>
      <c r="G882" s="208">
        <v>1.5</v>
      </c>
      <c r="H882" s="208" t="s">
        <v>201</v>
      </c>
      <c r="I882" s="208" t="s">
        <v>202</v>
      </c>
      <c r="J882" s="208" t="s">
        <v>373</v>
      </c>
      <c r="K882" s="208" t="s">
        <v>101</v>
      </c>
      <c r="L882" s="208" t="s">
        <v>846</v>
      </c>
      <c r="M882" s="208">
        <v>1.5</v>
      </c>
      <c r="N882" s="208"/>
      <c r="O882" s="208" t="s">
        <v>769</v>
      </c>
      <c r="P882" s="208"/>
      <c r="Q882" s="207"/>
      <c r="R882" s="208"/>
    </row>
    <row r="883" spans="1:18">
      <c r="A883" s="277">
        <v>790</v>
      </c>
      <c r="B883" s="278">
        <v>46204</v>
      </c>
      <c r="C883" s="208" t="s">
        <v>294</v>
      </c>
      <c r="D883" s="208" t="s">
        <v>661</v>
      </c>
      <c r="E883" s="208" t="s">
        <v>338</v>
      </c>
      <c r="F883" s="208">
        <v>2026</v>
      </c>
      <c r="G883" s="208">
        <v>2.5</v>
      </c>
      <c r="H883" s="208" t="s">
        <v>132</v>
      </c>
      <c r="I883" s="208" t="s">
        <v>158</v>
      </c>
      <c r="J883" s="208" t="s">
        <v>360</v>
      </c>
      <c r="K883" s="208" t="s">
        <v>101</v>
      </c>
      <c r="L883" s="208" t="s">
        <v>847</v>
      </c>
      <c r="M883" s="208">
        <v>2.5</v>
      </c>
      <c r="N883" s="208"/>
      <c r="O883" s="208" t="s">
        <v>811</v>
      </c>
      <c r="P883" s="208"/>
      <c r="Q883" s="207"/>
      <c r="R883" s="208"/>
    </row>
    <row r="884" spans="1:18">
      <c r="A884" s="277">
        <v>791</v>
      </c>
      <c r="B884" s="278">
        <v>46204</v>
      </c>
      <c r="C884" s="208" t="s">
        <v>294</v>
      </c>
      <c r="D884" s="208" t="s">
        <v>638</v>
      </c>
      <c r="E884" s="208" t="s">
        <v>338</v>
      </c>
      <c r="F884" s="208">
        <v>2026</v>
      </c>
      <c r="G884" s="208">
        <v>2.5</v>
      </c>
      <c r="H884" s="208" t="s">
        <v>132</v>
      </c>
      <c r="I884" s="208" t="s">
        <v>183</v>
      </c>
      <c r="J884" s="208" t="s">
        <v>623</v>
      </c>
      <c r="K884" s="208" t="s">
        <v>101</v>
      </c>
      <c r="L884" s="208" t="s">
        <v>838</v>
      </c>
      <c r="M884" s="208">
        <v>2.5</v>
      </c>
      <c r="N884" s="208"/>
      <c r="O884" s="208" t="s">
        <v>164</v>
      </c>
      <c r="P884" s="208"/>
      <c r="Q884" s="207"/>
      <c r="R884" s="208"/>
    </row>
    <row r="885" spans="1:18">
      <c r="A885" s="277">
        <v>792</v>
      </c>
      <c r="B885" s="278">
        <v>46204</v>
      </c>
      <c r="C885" s="208" t="s">
        <v>294</v>
      </c>
      <c r="D885" s="208" t="s">
        <v>430</v>
      </c>
      <c r="E885" s="208" t="s">
        <v>338</v>
      </c>
      <c r="F885" s="208">
        <v>2026</v>
      </c>
      <c r="G885" s="208">
        <v>2.5</v>
      </c>
      <c r="H885" s="208" t="s">
        <v>99</v>
      </c>
      <c r="I885" s="208" t="s">
        <v>100</v>
      </c>
      <c r="J885" s="208" t="s">
        <v>373</v>
      </c>
      <c r="K885" s="208" t="s">
        <v>106</v>
      </c>
      <c r="L885" s="208" t="s">
        <v>828</v>
      </c>
      <c r="M885" s="208">
        <v>2.5</v>
      </c>
      <c r="N885" s="208"/>
      <c r="O885" s="208" t="s">
        <v>432</v>
      </c>
      <c r="P885" s="208"/>
      <c r="Q885" s="207"/>
      <c r="R885" s="208"/>
    </row>
    <row r="886" spans="1:18">
      <c r="A886" s="277"/>
      <c r="B886" s="278">
        <v>46205</v>
      </c>
      <c r="C886" s="208" t="s">
        <v>298</v>
      </c>
      <c r="D886" s="208"/>
      <c r="E886" s="208" t="s">
        <v>338</v>
      </c>
      <c r="F886" s="208">
        <v>2026</v>
      </c>
      <c r="G886" s="208"/>
      <c r="H886" s="208" t="s">
        <v>132</v>
      </c>
      <c r="I886" s="208" t="s">
        <v>158</v>
      </c>
      <c r="J886" s="208" t="s">
        <v>360</v>
      </c>
      <c r="K886" s="208" t="s">
        <v>101</v>
      </c>
      <c r="L886" s="208" t="s">
        <v>391</v>
      </c>
      <c r="M886" s="208"/>
      <c r="N886" s="208"/>
      <c r="O886" s="208"/>
      <c r="P886" s="208"/>
      <c r="Q886" s="207"/>
      <c r="R886" s="208"/>
    </row>
    <row r="887" spans="1:18">
      <c r="A887" s="277">
        <v>793</v>
      </c>
      <c r="B887" s="278">
        <v>46205</v>
      </c>
      <c r="C887" s="208" t="s">
        <v>298</v>
      </c>
      <c r="D887" s="208" t="s">
        <v>715</v>
      </c>
      <c r="E887" s="208" t="s">
        <v>338</v>
      </c>
      <c r="F887" s="208">
        <v>2026</v>
      </c>
      <c r="G887" s="208">
        <v>2</v>
      </c>
      <c r="H887" s="208" t="s">
        <v>196</v>
      </c>
      <c r="I887" s="208" t="s">
        <v>197</v>
      </c>
      <c r="J887" s="208" t="s">
        <v>687</v>
      </c>
      <c r="K887" s="208" t="s">
        <v>101</v>
      </c>
      <c r="L887" s="208" t="s">
        <v>848</v>
      </c>
      <c r="M887" s="208">
        <v>2</v>
      </c>
      <c r="N887" s="208"/>
      <c r="O887" s="208" t="s">
        <v>91</v>
      </c>
      <c r="P887" s="208"/>
      <c r="Q887" s="207"/>
      <c r="R887" s="208"/>
    </row>
    <row r="888" spans="1:18">
      <c r="A888" s="277">
        <v>794</v>
      </c>
      <c r="B888" s="278">
        <v>46205</v>
      </c>
      <c r="C888" s="208" t="s">
        <v>298</v>
      </c>
      <c r="D888" s="208" t="s">
        <v>655</v>
      </c>
      <c r="E888" s="208" t="s">
        <v>338</v>
      </c>
      <c r="F888" s="208">
        <v>2026</v>
      </c>
      <c r="G888" s="208">
        <v>1.5</v>
      </c>
      <c r="H888" s="208" t="s">
        <v>115</v>
      </c>
      <c r="I888" s="208" t="s">
        <v>437</v>
      </c>
      <c r="J888" s="208" t="s">
        <v>438</v>
      </c>
      <c r="K888" s="208" t="s">
        <v>101</v>
      </c>
      <c r="L888" s="208" t="s">
        <v>835</v>
      </c>
      <c r="M888" s="208">
        <v>1.5</v>
      </c>
      <c r="N888" s="208"/>
      <c r="O888" s="208" t="s">
        <v>164</v>
      </c>
      <c r="P888" s="208"/>
      <c r="Q888" s="207"/>
      <c r="R888" s="208"/>
    </row>
    <row r="889" spans="1:18">
      <c r="A889" s="277">
        <v>795</v>
      </c>
      <c r="B889" s="278">
        <v>46205</v>
      </c>
      <c r="C889" s="208" t="s">
        <v>298</v>
      </c>
      <c r="D889" s="208"/>
      <c r="E889" s="208" t="s">
        <v>338</v>
      </c>
      <c r="F889" s="208">
        <v>2026</v>
      </c>
      <c r="G889" s="208"/>
      <c r="H889" s="208" t="s">
        <v>99</v>
      </c>
      <c r="I889" s="208" t="s">
        <v>100</v>
      </c>
      <c r="J889" s="208" t="s">
        <v>373</v>
      </c>
      <c r="K889" s="208" t="s">
        <v>101</v>
      </c>
      <c r="L889" s="208" t="s">
        <v>427</v>
      </c>
      <c r="M889" s="208"/>
      <c r="N889" s="208"/>
      <c r="O889" s="208" t="s">
        <v>102</v>
      </c>
      <c r="P889" s="208"/>
      <c r="Q889" s="207"/>
      <c r="R889" s="208"/>
    </row>
    <row r="890" spans="1:18">
      <c r="A890" s="277">
        <v>796</v>
      </c>
      <c r="B890" s="278">
        <v>46205</v>
      </c>
      <c r="C890" s="208" t="s">
        <v>298</v>
      </c>
      <c r="D890" s="208" t="s">
        <v>467</v>
      </c>
      <c r="E890" s="208" t="s">
        <v>338</v>
      </c>
      <c r="F890" s="208">
        <v>2026</v>
      </c>
      <c r="G890" s="208">
        <v>2.5</v>
      </c>
      <c r="H890" s="208" t="s">
        <v>99</v>
      </c>
      <c r="I890" s="208" t="s">
        <v>100</v>
      </c>
      <c r="J890" s="208" t="s">
        <v>373</v>
      </c>
      <c r="K890" s="208" t="s">
        <v>104</v>
      </c>
      <c r="L890" s="208" t="s">
        <v>816</v>
      </c>
      <c r="M890" s="208">
        <v>2.5</v>
      </c>
      <c r="N890" s="208"/>
      <c r="O890" s="208" t="s">
        <v>70</v>
      </c>
      <c r="P890" s="208"/>
      <c r="Q890" s="207"/>
      <c r="R890" s="208"/>
    </row>
    <row r="891" spans="1:18">
      <c r="A891" s="277">
        <v>797</v>
      </c>
      <c r="B891" s="278">
        <v>46206</v>
      </c>
      <c r="C891" s="208" t="s">
        <v>301</v>
      </c>
      <c r="D891" s="208" t="s">
        <v>767</v>
      </c>
      <c r="E891" s="208" t="s">
        <v>338</v>
      </c>
      <c r="F891" s="208">
        <v>2026</v>
      </c>
      <c r="G891" s="208">
        <v>1.5</v>
      </c>
      <c r="H891" s="208" t="s">
        <v>201</v>
      </c>
      <c r="I891" s="208" t="s">
        <v>202</v>
      </c>
      <c r="J891" s="208" t="s">
        <v>373</v>
      </c>
      <c r="K891" s="208" t="s">
        <v>101</v>
      </c>
      <c r="L891" s="208" t="s">
        <v>849</v>
      </c>
      <c r="M891" s="208">
        <v>1.5</v>
      </c>
      <c r="N891" s="208"/>
      <c r="O891" s="208" t="s">
        <v>769</v>
      </c>
      <c r="P891" s="208"/>
      <c r="Q891" s="207"/>
      <c r="R891" s="208"/>
    </row>
    <row r="892" spans="1:18">
      <c r="A892" s="277">
        <v>798</v>
      </c>
      <c r="B892" s="278">
        <v>46206</v>
      </c>
      <c r="C892" s="208" t="s">
        <v>301</v>
      </c>
      <c r="D892" s="208" t="s">
        <v>655</v>
      </c>
      <c r="E892" s="208" t="s">
        <v>338</v>
      </c>
      <c r="F892" s="208">
        <v>2026</v>
      </c>
      <c r="G892" s="208">
        <v>1.5</v>
      </c>
      <c r="H892" s="208" t="s">
        <v>115</v>
      </c>
      <c r="I892" s="208" t="s">
        <v>437</v>
      </c>
      <c r="J892" s="208" t="s">
        <v>438</v>
      </c>
      <c r="K892" s="208" t="s">
        <v>101</v>
      </c>
      <c r="L892" s="208" t="s">
        <v>835</v>
      </c>
      <c r="M892" s="208">
        <v>1.5</v>
      </c>
      <c r="N892" s="208"/>
      <c r="O892" s="208" t="s">
        <v>164</v>
      </c>
      <c r="P892" s="208"/>
      <c r="Q892" s="207"/>
      <c r="R892" s="208"/>
    </row>
    <row r="893" spans="1:18">
      <c r="A893" s="277">
        <v>799</v>
      </c>
      <c r="B893" s="278">
        <v>46209</v>
      </c>
      <c r="C893" s="208" t="s">
        <v>302</v>
      </c>
      <c r="D893" s="208" t="s">
        <v>767</v>
      </c>
      <c r="E893" s="208" t="s">
        <v>338</v>
      </c>
      <c r="F893" s="208">
        <v>2026</v>
      </c>
      <c r="G893" s="208">
        <v>1.5</v>
      </c>
      <c r="H893" s="208" t="s">
        <v>201</v>
      </c>
      <c r="I893" s="208" t="s">
        <v>202</v>
      </c>
      <c r="J893" s="208" t="s">
        <v>373</v>
      </c>
      <c r="K893" s="208" t="s">
        <v>101</v>
      </c>
      <c r="L893" s="208" t="s">
        <v>850</v>
      </c>
      <c r="M893" s="208">
        <v>1.5</v>
      </c>
      <c r="N893" s="208"/>
      <c r="O893" s="208" t="s">
        <v>769</v>
      </c>
      <c r="P893" s="208" t="s">
        <v>234</v>
      </c>
      <c r="Q893" s="207"/>
      <c r="R893" s="208"/>
    </row>
    <row r="894" spans="1:18">
      <c r="A894" s="277"/>
      <c r="B894" s="278">
        <v>46209</v>
      </c>
      <c r="C894" s="208" t="s">
        <v>302</v>
      </c>
      <c r="D894" s="208" t="s">
        <v>851</v>
      </c>
      <c r="E894" s="208" t="s">
        <v>338</v>
      </c>
      <c r="F894" s="208">
        <v>2026</v>
      </c>
      <c r="G894" s="208"/>
      <c r="H894" s="208" t="s">
        <v>132</v>
      </c>
      <c r="I894" s="208" t="s">
        <v>183</v>
      </c>
      <c r="J894" s="208" t="s">
        <v>623</v>
      </c>
      <c r="K894" s="208" t="s">
        <v>101</v>
      </c>
      <c r="L894" s="208" t="s">
        <v>852</v>
      </c>
      <c r="M894" s="208"/>
      <c r="N894" s="208"/>
      <c r="O894" s="208"/>
      <c r="P894" s="208"/>
      <c r="Q894" s="207"/>
      <c r="R894" s="208"/>
    </row>
    <row r="895" spans="1:18">
      <c r="A895" s="277">
        <v>800</v>
      </c>
      <c r="B895" s="278">
        <v>46210</v>
      </c>
      <c r="C895" s="208" t="s">
        <v>289</v>
      </c>
      <c r="D895" s="208" t="s">
        <v>661</v>
      </c>
      <c r="E895" s="208" t="s">
        <v>338</v>
      </c>
      <c r="F895" s="208">
        <v>2026</v>
      </c>
      <c r="G895" s="208">
        <v>2.5</v>
      </c>
      <c r="H895" s="208" t="s">
        <v>132</v>
      </c>
      <c r="I895" s="208" t="s">
        <v>158</v>
      </c>
      <c r="J895" s="208" t="s">
        <v>360</v>
      </c>
      <c r="K895" s="208" t="s">
        <v>101</v>
      </c>
      <c r="L895" s="208" t="s">
        <v>853</v>
      </c>
      <c r="M895" s="208">
        <v>2.5</v>
      </c>
      <c r="N895" s="208"/>
      <c r="O895" s="208" t="s">
        <v>811</v>
      </c>
      <c r="P895" s="208"/>
      <c r="Q895" s="207"/>
      <c r="R895" s="208"/>
    </row>
    <row r="896" spans="1:18">
      <c r="A896" s="277">
        <v>801</v>
      </c>
      <c r="B896" s="278">
        <v>46210</v>
      </c>
      <c r="C896" s="208" t="s">
        <v>289</v>
      </c>
      <c r="D896" s="208" t="s">
        <v>655</v>
      </c>
      <c r="E896" s="208" t="s">
        <v>338</v>
      </c>
      <c r="F896" s="208">
        <v>2026</v>
      </c>
      <c r="G896" s="208">
        <v>1.5</v>
      </c>
      <c r="H896" s="208" t="s">
        <v>115</v>
      </c>
      <c r="I896" s="208" t="s">
        <v>437</v>
      </c>
      <c r="J896" s="208" t="s">
        <v>438</v>
      </c>
      <c r="K896" s="208" t="s">
        <v>101</v>
      </c>
      <c r="L896" s="208" t="s">
        <v>854</v>
      </c>
      <c r="M896" s="208">
        <v>1.5</v>
      </c>
      <c r="N896" s="208"/>
      <c r="O896" s="208" t="s">
        <v>164</v>
      </c>
      <c r="P896" s="208"/>
      <c r="Q896" s="207"/>
      <c r="R896" s="208"/>
    </row>
    <row r="897" spans="1:18">
      <c r="A897" s="277">
        <v>802</v>
      </c>
      <c r="B897" s="278">
        <v>46210</v>
      </c>
      <c r="C897" s="208" t="s">
        <v>289</v>
      </c>
      <c r="D897" s="208" t="s">
        <v>841</v>
      </c>
      <c r="E897" s="208" t="s">
        <v>338</v>
      </c>
      <c r="F897" s="208">
        <v>2026</v>
      </c>
      <c r="G897" s="208">
        <v>3</v>
      </c>
      <c r="H897" s="208" t="s">
        <v>99</v>
      </c>
      <c r="I897" s="208" t="s">
        <v>108</v>
      </c>
      <c r="J897" s="208" t="s">
        <v>366</v>
      </c>
      <c r="K897" s="208" t="s">
        <v>101</v>
      </c>
      <c r="L897" s="208" t="s">
        <v>855</v>
      </c>
      <c r="M897" s="208">
        <v>3</v>
      </c>
      <c r="N897" s="208"/>
      <c r="O897" s="208" t="s">
        <v>112</v>
      </c>
      <c r="P897" s="208"/>
      <c r="Q897" s="207"/>
      <c r="R897" s="208"/>
    </row>
    <row r="898" spans="1:18">
      <c r="A898" s="277">
        <v>803</v>
      </c>
      <c r="B898" s="278">
        <v>46210</v>
      </c>
      <c r="C898" s="208" t="s">
        <v>289</v>
      </c>
      <c r="D898" s="208" t="s">
        <v>843</v>
      </c>
      <c r="E898" s="208" t="s">
        <v>338</v>
      </c>
      <c r="F898" s="208">
        <v>2026</v>
      </c>
      <c r="G898" s="208">
        <v>3</v>
      </c>
      <c r="H898" s="208" t="s">
        <v>99</v>
      </c>
      <c r="I898" s="208" t="s">
        <v>108</v>
      </c>
      <c r="J898" s="208" t="s">
        <v>366</v>
      </c>
      <c r="K898" s="208" t="s">
        <v>10</v>
      </c>
      <c r="L898" s="208" t="s">
        <v>855</v>
      </c>
      <c r="M898" s="208">
        <v>3</v>
      </c>
      <c r="N898" s="208"/>
      <c r="O898" s="208" t="s">
        <v>63</v>
      </c>
      <c r="P898" s="208"/>
      <c r="Q898" s="207"/>
      <c r="R898" s="208"/>
    </row>
    <row r="899" spans="1:18">
      <c r="A899" s="277">
        <v>804</v>
      </c>
      <c r="B899" s="278">
        <v>46210</v>
      </c>
      <c r="C899" s="208" t="s">
        <v>289</v>
      </c>
      <c r="D899" s="208" t="s">
        <v>844</v>
      </c>
      <c r="E899" s="208" t="s">
        <v>338</v>
      </c>
      <c r="F899" s="208">
        <v>2026</v>
      </c>
      <c r="G899" s="208">
        <v>3</v>
      </c>
      <c r="H899" s="208" t="s">
        <v>99</v>
      </c>
      <c r="I899" s="208" t="s">
        <v>108</v>
      </c>
      <c r="J899" s="208" t="s">
        <v>366</v>
      </c>
      <c r="K899" s="208" t="s">
        <v>104</v>
      </c>
      <c r="L899" s="208" t="s">
        <v>855</v>
      </c>
      <c r="M899" s="208">
        <v>3</v>
      </c>
      <c r="N899" s="208"/>
      <c r="O899" s="208" t="s">
        <v>109</v>
      </c>
      <c r="P899" s="208"/>
      <c r="Q899" s="207"/>
      <c r="R899" s="208"/>
    </row>
    <row r="900" spans="1:18">
      <c r="A900" s="277">
        <v>805</v>
      </c>
      <c r="B900" s="278">
        <v>46210</v>
      </c>
      <c r="C900" s="208" t="s">
        <v>289</v>
      </c>
      <c r="D900" s="208" t="s">
        <v>827</v>
      </c>
      <c r="E900" s="208" t="s">
        <v>338</v>
      </c>
      <c r="F900" s="208">
        <v>2026</v>
      </c>
      <c r="G900" s="208">
        <v>1.5</v>
      </c>
      <c r="H900" s="208" t="s">
        <v>99</v>
      </c>
      <c r="I900" s="208" t="s">
        <v>100</v>
      </c>
      <c r="J900" s="208" t="s">
        <v>373</v>
      </c>
      <c r="K900" s="208" t="s">
        <v>101</v>
      </c>
      <c r="L900" s="208" t="s">
        <v>856</v>
      </c>
      <c r="M900" s="208">
        <v>1.5</v>
      </c>
      <c r="N900" s="208"/>
      <c r="O900" s="208" t="s">
        <v>102</v>
      </c>
      <c r="P900" s="208"/>
      <c r="Q900" s="207"/>
      <c r="R900" s="208"/>
    </row>
    <row r="901" spans="1:18">
      <c r="A901" s="277">
        <v>806</v>
      </c>
      <c r="B901" s="278">
        <v>46210</v>
      </c>
      <c r="C901" s="208" t="s">
        <v>289</v>
      </c>
      <c r="D901" s="208" t="s">
        <v>532</v>
      </c>
      <c r="E901" s="208" t="s">
        <v>338</v>
      </c>
      <c r="F901" s="208">
        <v>2026</v>
      </c>
      <c r="G901" s="208">
        <v>2.5</v>
      </c>
      <c r="H901" s="208" t="s">
        <v>99</v>
      </c>
      <c r="I901" s="208" t="s">
        <v>100</v>
      </c>
      <c r="J901" s="208" t="s">
        <v>373</v>
      </c>
      <c r="K901" s="208" t="s">
        <v>10</v>
      </c>
      <c r="L901" s="208" t="s">
        <v>816</v>
      </c>
      <c r="M901" s="208"/>
      <c r="N901" s="208"/>
      <c r="O901" s="208" t="s">
        <v>29</v>
      </c>
      <c r="P901" s="208"/>
      <c r="Q901" s="207"/>
      <c r="R901" s="208"/>
    </row>
    <row r="902" spans="1:18">
      <c r="A902" s="277">
        <v>807</v>
      </c>
      <c r="B902" s="278">
        <v>46210</v>
      </c>
      <c r="C902" s="208" t="s">
        <v>289</v>
      </c>
      <c r="D902" s="208" t="s">
        <v>467</v>
      </c>
      <c r="E902" s="208" t="s">
        <v>338</v>
      </c>
      <c r="F902" s="208">
        <v>2026</v>
      </c>
      <c r="G902" s="208"/>
      <c r="H902" s="208" t="s">
        <v>99</v>
      </c>
      <c r="I902" s="208" t="s">
        <v>100</v>
      </c>
      <c r="J902" s="208" t="s">
        <v>373</v>
      </c>
      <c r="K902" s="208" t="s">
        <v>104</v>
      </c>
      <c r="L902" s="208" t="s">
        <v>828</v>
      </c>
      <c r="M902" s="208"/>
      <c r="N902" s="208"/>
      <c r="O902" s="208" t="s">
        <v>432</v>
      </c>
      <c r="P902" s="208"/>
      <c r="Q902" s="207"/>
      <c r="R902" s="208"/>
    </row>
    <row r="903" spans="1:18">
      <c r="A903" s="277">
        <v>808</v>
      </c>
      <c r="B903" s="278">
        <v>46210</v>
      </c>
      <c r="C903" s="208" t="s">
        <v>289</v>
      </c>
      <c r="D903" s="208" t="s">
        <v>430</v>
      </c>
      <c r="E903" s="208" t="s">
        <v>338</v>
      </c>
      <c r="F903" s="208">
        <v>2026</v>
      </c>
      <c r="G903" s="208">
        <v>2.5</v>
      </c>
      <c r="H903" s="208" t="s">
        <v>99</v>
      </c>
      <c r="I903" s="208" t="s">
        <v>100</v>
      </c>
      <c r="J903" s="208" t="s">
        <v>373</v>
      </c>
      <c r="K903" s="208" t="s">
        <v>106</v>
      </c>
      <c r="L903" s="208" t="s">
        <v>833</v>
      </c>
      <c r="M903" s="208">
        <v>2.5</v>
      </c>
      <c r="N903" s="208"/>
      <c r="O903" s="208" t="s">
        <v>432</v>
      </c>
      <c r="P903" s="208"/>
      <c r="Q903" s="207"/>
      <c r="R903" s="208"/>
    </row>
    <row r="904" spans="1:18">
      <c r="A904" s="277">
        <v>809</v>
      </c>
      <c r="B904" s="278">
        <v>46211</v>
      </c>
      <c r="C904" s="208" t="s">
        <v>294</v>
      </c>
      <c r="D904" s="208" t="s">
        <v>643</v>
      </c>
      <c r="E904" s="208" t="s">
        <v>338</v>
      </c>
      <c r="F904" s="208">
        <v>2026</v>
      </c>
      <c r="G904" s="208">
        <v>2.5</v>
      </c>
      <c r="H904" s="208" t="s">
        <v>161</v>
      </c>
      <c r="I904" s="208" t="s">
        <v>644</v>
      </c>
      <c r="J904" s="208" t="s">
        <v>438</v>
      </c>
      <c r="K904" s="208" t="s">
        <v>101</v>
      </c>
      <c r="L904" s="208" t="s">
        <v>645</v>
      </c>
      <c r="M904" s="208">
        <v>2.5</v>
      </c>
      <c r="N904" s="208"/>
      <c r="O904" s="208" t="s">
        <v>163</v>
      </c>
      <c r="P904" s="208"/>
      <c r="Q904" s="207"/>
      <c r="R904" s="208"/>
    </row>
    <row r="905" spans="1:18">
      <c r="A905" s="277">
        <v>810</v>
      </c>
      <c r="B905" s="278">
        <v>46211</v>
      </c>
      <c r="C905" s="208" t="s">
        <v>294</v>
      </c>
      <c r="D905" s="208" t="s">
        <v>672</v>
      </c>
      <c r="E905" s="208" t="s">
        <v>338</v>
      </c>
      <c r="F905" s="208">
        <v>2026</v>
      </c>
      <c r="G905" s="208">
        <v>1.5</v>
      </c>
      <c r="H905" s="208" t="s">
        <v>161</v>
      </c>
      <c r="I905" s="208" t="s">
        <v>644</v>
      </c>
      <c r="J905" s="208" t="s">
        <v>438</v>
      </c>
      <c r="K905" s="208" t="s">
        <v>101</v>
      </c>
      <c r="L905" s="208" t="s">
        <v>673</v>
      </c>
      <c r="M905" s="208">
        <v>1.5</v>
      </c>
      <c r="N905" s="208"/>
      <c r="O905" s="208" t="s">
        <v>163</v>
      </c>
      <c r="P905" s="208"/>
      <c r="Q905" s="207"/>
      <c r="R905" s="208"/>
    </row>
    <row r="906" spans="1:18">
      <c r="A906" s="277">
        <v>811</v>
      </c>
      <c r="B906" s="278">
        <v>46211</v>
      </c>
      <c r="C906" s="208" t="s">
        <v>294</v>
      </c>
      <c r="D906" s="208" t="s">
        <v>767</v>
      </c>
      <c r="E906" s="208" t="s">
        <v>338</v>
      </c>
      <c r="F906" s="208">
        <v>2026</v>
      </c>
      <c r="G906" s="208">
        <v>1.5</v>
      </c>
      <c r="H906" s="208" t="s">
        <v>201</v>
      </c>
      <c r="I906" s="208" t="s">
        <v>202</v>
      </c>
      <c r="J906" s="208" t="s">
        <v>373</v>
      </c>
      <c r="K906" s="208" t="s">
        <v>101</v>
      </c>
      <c r="L906" s="208" t="s">
        <v>857</v>
      </c>
      <c r="M906" s="208">
        <v>1.5</v>
      </c>
      <c r="N906" s="208"/>
      <c r="O906" s="208" t="s">
        <v>769</v>
      </c>
      <c r="P906" s="208" t="s">
        <v>234</v>
      </c>
      <c r="Q906" s="207"/>
      <c r="R906" s="208"/>
    </row>
    <row r="907" spans="1:18">
      <c r="A907" s="277">
        <v>812</v>
      </c>
      <c r="B907" s="278">
        <v>46211</v>
      </c>
      <c r="C907" s="208" t="s">
        <v>294</v>
      </c>
      <c r="D907" s="208" t="s">
        <v>661</v>
      </c>
      <c r="E907" s="208" t="s">
        <v>338</v>
      </c>
      <c r="F907" s="208">
        <v>2026</v>
      </c>
      <c r="G907" s="208">
        <v>2.5</v>
      </c>
      <c r="H907" s="208" t="s">
        <v>132</v>
      </c>
      <c r="I907" s="208" t="s">
        <v>158</v>
      </c>
      <c r="J907" s="208" t="s">
        <v>360</v>
      </c>
      <c r="K907" s="208" t="s">
        <v>101</v>
      </c>
      <c r="L907" s="208" t="s">
        <v>858</v>
      </c>
      <c r="M907" s="208">
        <v>2.5</v>
      </c>
      <c r="N907" s="208"/>
      <c r="O907" s="208" t="s">
        <v>811</v>
      </c>
      <c r="P907" s="208"/>
      <c r="Q907" s="207"/>
      <c r="R907" s="208"/>
    </row>
    <row r="908" spans="1:18">
      <c r="A908" s="277"/>
      <c r="B908" s="278">
        <v>46211</v>
      </c>
      <c r="C908" s="208" t="s">
        <v>294</v>
      </c>
      <c r="D908" s="208" t="s">
        <v>715</v>
      </c>
      <c r="E908" s="208" t="s">
        <v>338</v>
      </c>
      <c r="F908" s="208">
        <v>2026</v>
      </c>
      <c r="G908" s="208">
        <v>2</v>
      </c>
      <c r="H908" s="208" t="s">
        <v>196</v>
      </c>
      <c r="I908" s="208" t="s">
        <v>197</v>
      </c>
      <c r="J908" s="208" t="s">
        <v>687</v>
      </c>
      <c r="K908" s="208" t="s">
        <v>101</v>
      </c>
      <c r="L908" s="208" t="s">
        <v>746</v>
      </c>
      <c r="M908" s="208">
        <v>2</v>
      </c>
      <c r="N908" s="208"/>
      <c r="O908" s="208"/>
      <c r="P908" s="208"/>
      <c r="Q908" s="207"/>
      <c r="R908" s="208"/>
    </row>
    <row r="909" spans="1:18">
      <c r="A909" s="277">
        <v>813</v>
      </c>
      <c r="B909" s="278">
        <v>46211</v>
      </c>
      <c r="C909" s="208" t="s">
        <v>294</v>
      </c>
      <c r="D909" s="208" t="s">
        <v>638</v>
      </c>
      <c r="E909" s="208" t="s">
        <v>338</v>
      </c>
      <c r="F909" s="208">
        <v>2026</v>
      </c>
      <c r="G909" s="208">
        <v>2.5</v>
      </c>
      <c r="H909" s="208" t="s">
        <v>132</v>
      </c>
      <c r="I909" s="208" t="s">
        <v>183</v>
      </c>
      <c r="J909" s="208" t="s">
        <v>623</v>
      </c>
      <c r="K909" s="208" t="s">
        <v>101</v>
      </c>
      <c r="L909" s="208" t="s">
        <v>859</v>
      </c>
      <c r="M909" s="208">
        <v>2.5</v>
      </c>
      <c r="N909" s="208"/>
      <c r="O909" s="208" t="s">
        <v>164</v>
      </c>
      <c r="P909" s="208"/>
      <c r="Q909" s="207"/>
      <c r="R909" s="208"/>
    </row>
    <row r="910" spans="1:18">
      <c r="A910" s="277">
        <v>814</v>
      </c>
      <c r="B910" s="278">
        <v>46211</v>
      </c>
      <c r="C910" s="208" t="s">
        <v>294</v>
      </c>
      <c r="D910" s="208" t="s">
        <v>844</v>
      </c>
      <c r="E910" s="208" t="s">
        <v>338</v>
      </c>
      <c r="F910" s="208">
        <v>2026</v>
      </c>
      <c r="G910" s="208">
        <v>3</v>
      </c>
      <c r="H910" s="208" t="s">
        <v>99</v>
      </c>
      <c r="I910" s="208" t="s">
        <v>108</v>
      </c>
      <c r="J910" s="208" t="s">
        <v>366</v>
      </c>
      <c r="K910" s="208" t="s">
        <v>106</v>
      </c>
      <c r="L910" s="208" t="s">
        <v>855</v>
      </c>
      <c r="M910" s="208">
        <v>3</v>
      </c>
      <c r="N910" s="208"/>
      <c r="O910" s="208" t="s">
        <v>91</v>
      </c>
      <c r="P910" s="208"/>
      <c r="Q910" s="207"/>
      <c r="R910" s="208"/>
    </row>
    <row r="911" spans="1:18">
      <c r="A911" s="277">
        <v>815</v>
      </c>
      <c r="B911" s="278">
        <v>46212</v>
      </c>
      <c r="C911" s="208" t="s">
        <v>298</v>
      </c>
      <c r="D911" s="208" t="s">
        <v>661</v>
      </c>
      <c r="E911" s="208" t="s">
        <v>338</v>
      </c>
      <c r="F911" s="208">
        <v>2026</v>
      </c>
      <c r="G911" s="208">
        <v>2.5</v>
      </c>
      <c r="H911" s="208" t="s">
        <v>132</v>
      </c>
      <c r="I911" s="208" t="s">
        <v>158</v>
      </c>
      <c r="J911" s="208" t="s">
        <v>360</v>
      </c>
      <c r="K911" s="208" t="s">
        <v>101</v>
      </c>
      <c r="L911" s="208" t="s">
        <v>860</v>
      </c>
      <c r="M911" s="208">
        <v>2.5</v>
      </c>
      <c r="N911" s="208"/>
      <c r="O911" s="208" t="s">
        <v>63</v>
      </c>
      <c r="P911" s="208"/>
      <c r="Q911" s="207"/>
      <c r="R911" s="208"/>
    </row>
    <row r="912" spans="1:18">
      <c r="A912" s="277">
        <v>816</v>
      </c>
      <c r="B912" s="278">
        <v>46212</v>
      </c>
      <c r="C912" s="208" t="s">
        <v>298</v>
      </c>
      <c r="D912" s="208" t="s">
        <v>655</v>
      </c>
      <c r="E912" s="208" t="s">
        <v>338</v>
      </c>
      <c r="F912" s="208">
        <v>2026</v>
      </c>
      <c r="G912" s="208">
        <v>1.5</v>
      </c>
      <c r="H912" s="208" t="s">
        <v>115</v>
      </c>
      <c r="I912" s="208" t="s">
        <v>437</v>
      </c>
      <c r="J912" s="208" t="s">
        <v>438</v>
      </c>
      <c r="K912" s="208" t="s">
        <v>101</v>
      </c>
      <c r="L912" s="208" t="s">
        <v>861</v>
      </c>
      <c r="M912" s="208">
        <v>1.5</v>
      </c>
      <c r="N912" s="208"/>
      <c r="O912" s="208" t="s">
        <v>117</v>
      </c>
      <c r="P912" s="208"/>
      <c r="Q912" s="207"/>
      <c r="R912" s="208"/>
    </row>
    <row r="913" spans="1:18">
      <c r="A913" s="277">
        <v>817</v>
      </c>
      <c r="B913" s="278">
        <v>46212</v>
      </c>
      <c r="C913" s="208" t="s">
        <v>298</v>
      </c>
      <c r="D913" s="208" t="s">
        <v>827</v>
      </c>
      <c r="E913" s="208" t="s">
        <v>338</v>
      </c>
      <c r="F913" s="208">
        <v>2026</v>
      </c>
      <c r="G913" s="208">
        <v>1.5</v>
      </c>
      <c r="H913" s="208" t="s">
        <v>99</v>
      </c>
      <c r="I913" s="208" t="s">
        <v>100</v>
      </c>
      <c r="J913" s="208" t="s">
        <v>373</v>
      </c>
      <c r="K913" s="208" t="s">
        <v>101</v>
      </c>
      <c r="L913" s="208" t="s">
        <v>862</v>
      </c>
      <c r="M913" s="208">
        <v>1.5</v>
      </c>
      <c r="N913" s="208"/>
      <c r="O913" s="208" t="s">
        <v>102</v>
      </c>
      <c r="P913" s="208"/>
      <c r="Q913" s="207"/>
      <c r="R913" s="208"/>
    </row>
    <row r="914" spans="1:18">
      <c r="A914" s="277">
        <v>818</v>
      </c>
      <c r="B914" s="278">
        <v>46212</v>
      </c>
      <c r="C914" s="208" t="s">
        <v>298</v>
      </c>
      <c r="D914" s="208"/>
      <c r="E914" s="208" t="s">
        <v>338</v>
      </c>
      <c r="F914" s="208">
        <v>2026</v>
      </c>
      <c r="G914" s="208"/>
      <c r="H914" s="208" t="s">
        <v>99</v>
      </c>
      <c r="I914" s="208" t="s">
        <v>100</v>
      </c>
      <c r="J914" s="208" t="s">
        <v>373</v>
      </c>
      <c r="K914" s="208" t="s">
        <v>10</v>
      </c>
      <c r="L914" s="208" t="s">
        <v>427</v>
      </c>
      <c r="M914" s="208">
        <v>2.5</v>
      </c>
      <c r="N914" s="208"/>
      <c r="O914" s="208" t="s">
        <v>29</v>
      </c>
      <c r="P914" s="208"/>
      <c r="Q914" s="207"/>
      <c r="R914" s="208"/>
    </row>
    <row r="915" spans="1:18">
      <c r="A915" s="277">
        <v>819</v>
      </c>
      <c r="B915" s="278">
        <v>46212</v>
      </c>
      <c r="C915" s="208" t="s">
        <v>298</v>
      </c>
      <c r="D915" s="208" t="s">
        <v>467</v>
      </c>
      <c r="E915" s="208" t="s">
        <v>338</v>
      </c>
      <c r="F915" s="208">
        <v>2026</v>
      </c>
      <c r="G915" s="208">
        <v>2.5</v>
      </c>
      <c r="H915" s="208" t="s">
        <v>99</v>
      </c>
      <c r="I915" s="208" t="s">
        <v>100</v>
      </c>
      <c r="J915" s="208" t="s">
        <v>373</v>
      </c>
      <c r="K915" s="208" t="s">
        <v>104</v>
      </c>
      <c r="L915" s="208" t="s">
        <v>833</v>
      </c>
      <c r="M915" s="208">
        <v>2.5</v>
      </c>
      <c r="N915" s="208"/>
      <c r="O915" s="208" t="s">
        <v>70</v>
      </c>
      <c r="P915" s="208"/>
      <c r="Q915" s="207"/>
      <c r="R915" s="208"/>
    </row>
    <row r="916" spans="1:18">
      <c r="A916" s="277">
        <v>820</v>
      </c>
      <c r="B916" s="278">
        <v>46212</v>
      </c>
      <c r="C916" s="208" t="s">
        <v>298</v>
      </c>
      <c r="D916" s="208" t="s">
        <v>430</v>
      </c>
      <c r="E916" s="208" t="s">
        <v>338</v>
      </c>
      <c r="F916" s="208">
        <v>2026</v>
      </c>
      <c r="G916" s="208">
        <v>2.5</v>
      </c>
      <c r="H916" s="208" t="s">
        <v>99</v>
      </c>
      <c r="I916" s="208" t="s">
        <v>100</v>
      </c>
      <c r="J916" s="208" t="s">
        <v>373</v>
      </c>
      <c r="K916" s="208" t="s">
        <v>106</v>
      </c>
      <c r="L916" s="208" t="s">
        <v>845</v>
      </c>
      <c r="M916" s="208">
        <v>2.5</v>
      </c>
      <c r="N916" s="208"/>
      <c r="O916" s="208" t="s">
        <v>432</v>
      </c>
      <c r="P916" s="208"/>
      <c r="Q916" s="207"/>
      <c r="R916" s="208"/>
    </row>
    <row r="917" spans="1:18">
      <c r="A917" s="277">
        <v>821</v>
      </c>
      <c r="B917" s="278">
        <v>46213</v>
      </c>
      <c r="C917" s="208" t="s">
        <v>301</v>
      </c>
      <c r="D917" s="208" t="s">
        <v>767</v>
      </c>
      <c r="E917" s="208" t="s">
        <v>338</v>
      </c>
      <c r="F917" s="208">
        <v>2026</v>
      </c>
      <c r="G917" s="208">
        <v>1.5</v>
      </c>
      <c r="H917" s="208" t="s">
        <v>201</v>
      </c>
      <c r="I917" s="208" t="s">
        <v>202</v>
      </c>
      <c r="J917" s="208" t="s">
        <v>373</v>
      </c>
      <c r="K917" s="208" t="s">
        <v>101</v>
      </c>
      <c r="L917" s="208" t="s">
        <v>863</v>
      </c>
      <c r="M917" s="208">
        <v>1.5</v>
      </c>
      <c r="N917" s="208"/>
      <c r="O917" s="208" t="s">
        <v>769</v>
      </c>
      <c r="P917" s="208"/>
      <c r="Q917" s="207"/>
      <c r="R917" s="208"/>
    </row>
    <row r="918" spans="1:18">
      <c r="A918" s="277">
        <v>822</v>
      </c>
      <c r="B918" s="278">
        <v>46213</v>
      </c>
      <c r="C918" s="208" t="s">
        <v>301</v>
      </c>
      <c r="D918" s="208" t="s">
        <v>655</v>
      </c>
      <c r="E918" s="208" t="s">
        <v>338</v>
      </c>
      <c r="F918" s="208">
        <v>2026</v>
      </c>
      <c r="G918" s="208">
        <v>1.5</v>
      </c>
      <c r="H918" s="208" t="s">
        <v>115</v>
      </c>
      <c r="I918" s="208" t="s">
        <v>437</v>
      </c>
      <c r="J918" s="208" t="s">
        <v>438</v>
      </c>
      <c r="K918" s="208" t="s">
        <v>101</v>
      </c>
      <c r="L918" s="208" t="s">
        <v>864</v>
      </c>
      <c r="M918" s="208">
        <v>1.5</v>
      </c>
      <c r="N918" s="208"/>
      <c r="O918" s="208" t="s">
        <v>117</v>
      </c>
      <c r="P918" s="208"/>
      <c r="Q918" s="207"/>
      <c r="R918" s="208"/>
    </row>
    <row r="919" spans="1:18">
      <c r="A919" s="277"/>
      <c r="B919" s="278">
        <v>46216</v>
      </c>
      <c r="C919" s="208" t="s">
        <v>302</v>
      </c>
      <c r="D919" s="208" t="s">
        <v>767</v>
      </c>
      <c r="E919" s="208" t="s">
        <v>338</v>
      </c>
      <c r="F919" s="208">
        <v>2026</v>
      </c>
      <c r="G919" s="208"/>
      <c r="H919" s="208" t="s">
        <v>201</v>
      </c>
      <c r="I919" s="208" t="s">
        <v>202</v>
      </c>
      <c r="J919" s="208" t="s">
        <v>373</v>
      </c>
      <c r="K919" s="208" t="s">
        <v>101</v>
      </c>
      <c r="L919" s="208" t="s">
        <v>391</v>
      </c>
      <c r="M919" s="208"/>
      <c r="N919" s="208"/>
      <c r="O919" s="208"/>
      <c r="P919" s="208"/>
      <c r="Q919" s="207"/>
      <c r="R919" s="208"/>
    </row>
    <row r="920" spans="1:18">
      <c r="A920" s="277">
        <v>823</v>
      </c>
      <c r="B920" s="278">
        <v>46216</v>
      </c>
      <c r="C920" s="208" t="s">
        <v>302</v>
      </c>
      <c r="D920" s="208" t="s">
        <v>715</v>
      </c>
      <c r="E920" s="208" t="s">
        <v>338</v>
      </c>
      <c r="F920" s="208">
        <v>2026</v>
      </c>
      <c r="G920" s="208">
        <v>2</v>
      </c>
      <c r="H920" s="208" t="s">
        <v>196</v>
      </c>
      <c r="I920" s="208" t="s">
        <v>197</v>
      </c>
      <c r="J920" s="208" t="s">
        <v>687</v>
      </c>
      <c r="K920" s="208" t="s">
        <v>101</v>
      </c>
      <c r="L920" s="208" t="s">
        <v>865</v>
      </c>
      <c r="M920" s="208">
        <v>2</v>
      </c>
      <c r="N920" s="208"/>
      <c r="O920" s="208" t="s">
        <v>254</v>
      </c>
      <c r="P920" s="208"/>
      <c r="Q920" s="207"/>
      <c r="R920" s="208"/>
    </row>
    <row r="921" spans="1:18">
      <c r="A921" s="277">
        <v>824</v>
      </c>
      <c r="B921" s="278">
        <v>46216</v>
      </c>
      <c r="C921" s="208" t="s">
        <v>302</v>
      </c>
      <c r="D921" s="208" t="s">
        <v>638</v>
      </c>
      <c r="E921" s="208" t="s">
        <v>338</v>
      </c>
      <c r="F921" s="208">
        <v>2026</v>
      </c>
      <c r="G921" s="208">
        <v>2.5</v>
      </c>
      <c r="H921" s="208" t="s">
        <v>132</v>
      </c>
      <c r="I921" s="208" t="s">
        <v>183</v>
      </c>
      <c r="J921" s="208" t="s">
        <v>623</v>
      </c>
      <c r="K921" s="208" t="s">
        <v>101</v>
      </c>
      <c r="L921" s="208" t="s">
        <v>866</v>
      </c>
      <c r="M921" s="208">
        <v>2.5</v>
      </c>
      <c r="N921" s="208"/>
      <c r="O921" s="208" t="s">
        <v>164</v>
      </c>
      <c r="P921" s="208"/>
      <c r="Q921" s="207"/>
      <c r="R921" s="208"/>
    </row>
    <row r="922" spans="1:18">
      <c r="A922" s="277">
        <v>825</v>
      </c>
      <c r="B922" s="278">
        <v>46216</v>
      </c>
      <c r="C922" s="208" t="s">
        <v>302</v>
      </c>
      <c r="D922" s="208" t="s">
        <v>430</v>
      </c>
      <c r="E922" s="208" t="s">
        <v>338</v>
      </c>
      <c r="F922" s="208">
        <v>2026</v>
      </c>
      <c r="G922" s="208">
        <v>1.5</v>
      </c>
      <c r="H922" s="208" t="s">
        <v>99</v>
      </c>
      <c r="I922" s="208" t="s">
        <v>100</v>
      </c>
      <c r="J922" s="208" t="s">
        <v>373</v>
      </c>
      <c r="K922" s="208" t="s">
        <v>106</v>
      </c>
      <c r="L922" s="208" t="s">
        <v>856</v>
      </c>
      <c r="M922" s="208">
        <v>1.5</v>
      </c>
      <c r="N922" s="208"/>
      <c r="O922" s="208" t="s">
        <v>432</v>
      </c>
      <c r="P922" s="208"/>
      <c r="Q922" s="207"/>
      <c r="R922" s="208"/>
    </row>
    <row r="923" spans="1:18">
      <c r="A923" s="277">
        <v>826</v>
      </c>
      <c r="B923" s="278">
        <v>46217</v>
      </c>
      <c r="C923" s="208" t="s">
        <v>289</v>
      </c>
      <c r="D923" s="208" t="s">
        <v>661</v>
      </c>
      <c r="E923" s="208" t="s">
        <v>338</v>
      </c>
      <c r="F923" s="208">
        <v>2026</v>
      </c>
      <c r="G923" s="208">
        <v>2.5</v>
      </c>
      <c r="H923" s="208" t="s">
        <v>132</v>
      </c>
      <c r="I923" s="208" t="s">
        <v>158</v>
      </c>
      <c r="J923" s="208" t="s">
        <v>360</v>
      </c>
      <c r="K923" s="208" t="s">
        <v>101</v>
      </c>
      <c r="L923" s="208" t="s">
        <v>867</v>
      </c>
      <c r="M923" s="208">
        <v>2.5</v>
      </c>
      <c r="N923" s="208"/>
      <c r="O923" s="208" t="s">
        <v>811</v>
      </c>
      <c r="P923" s="208"/>
      <c r="Q923" s="207"/>
      <c r="R923" s="208"/>
    </row>
    <row r="924" spans="1:18">
      <c r="A924" s="277">
        <v>827</v>
      </c>
      <c r="B924" s="278">
        <v>46217</v>
      </c>
      <c r="C924" s="208" t="s">
        <v>289</v>
      </c>
      <c r="D924" s="208" t="s">
        <v>715</v>
      </c>
      <c r="E924" s="208" t="s">
        <v>338</v>
      </c>
      <c r="F924" s="208">
        <v>2026</v>
      </c>
      <c r="G924" s="208">
        <v>2</v>
      </c>
      <c r="H924" s="208" t="s">
        <v>196</v>
      </c>
      <c r="I924" s="208" t="s">
        <v>197</v>
      </c>
      <c r="J924" s="208" t="s">
        <v>687</v>
      </c>
      <c r="K924" s="208" t="s">
        <v>101</v>
      </c>
      <c r="L924" s="208" t="s">
        <v>868</v>
      </c>
      <c r="M924" s="208">
        <v>2</v>
      </c>
      <c r="N924" s="208"/>
      <c r="O924" s="208" t="s">
        <v>254</v>
      </c>
      <c r="P924" s="208"/>
      <c r="Q924" s="207"/>
      <c r="R924" s="208"/>
    </row>
    <row r="925" spans="1:18">
      <c r="A925" s="277">
        <v>828</v>
      </c>
      <c r="B925" s="278">
        <v>46217</v>
      </c>
      <c r="C925" s="208" t="s">
        <v>289</v>
      </c>
      <c r="D925" s="208" t="s">
        <v>524</v>
      </c>
      <c r="E925" s="208" t="s">
        <v>338</v>
      </c>
      <c r="F925" s="208">
        <v>2026</v>
      </c>
      <c r="G925" s="208">
        <v>1.5</v>
      </c>
      <c r="H925" s="208" t="s">
        <v>115</v>
      </c>
      <c r="I925" s="208" t="s">
        <v>437</v>
      </c>
      <c r="J925" s="208" t="s">
        <v>438</v>
      </c>
      <c r="K925" s="208" t="s">
        <v>101</v>
      </c>
      <c r="L925" s="208" t="s">
        <v>869</v>
      </c>
      <c r="M925" s="208">
        <v>1.5</v>
      </c>
      <c r="N925" s="208"/>
      <c r="O925" s="208" t="s">
        <v>117</v>
      </c>
      <c r="P925" s="208"/>
      <c r="Q925" s="207"/>
      <c r="R925" s="208"/>
    </row>
    <row r="926" spans="1:18">
      <c r="A926" s="277">
        <v>829</v>
      </c>
      <c r="B926" s="278">
        <v>46217</v>
      </c>
      <c r="C926" s="208" t="s">
        <v>289</v>
      </c>
      <c r="D926" s="208" t="s">
        <v>841</v>
      </c>
      <c r="E926" s="208" t="s">
        <v>338</v>
      </c>
      <c r="F926" s="208">
        <v>2026</v>
      </c>
      <c r="G926" s="208">
        <v>3</v>
      </c>
      <c r="H926" s="208" t="s">
        <v>99</v>
      </c>
      <c r="I926" s="208" t="s">
        <v>108</v>
      </c>
      <c r="J926" s="208" t="s">
        <v>366</v>
      </c>
      <c r="K926" s="208" t="s">
        <v>101</v>
      </c>
      <c r="L926" s="208" t="s">
        <v>870</v>
      </c>
      <c r="M926" s="208">
        <v>3</v>
      </c>
      <c r="N926" s="208"/>
      <c r="O926" s="208" t="s">
        <v>112</v>
      </c>
      <c r="P926" s="208"/>
      <c r="Q926" s="207"/>
      <c r="R926" s="208"/>
    </row>
    <row r="927" spans="1:18">
      <c r="A927" s="277">
        <v>830</v>
      </c>
      <c r="B927" s="278">
        <v>46217</v>
      </c>
      <c r="C927" s="208" t="s">
        <v>289</v>
      </c>
      <c r="D927" s="208" t="s">
        <v>843</v>
      </c>
      <c r="E927" s="208" t="s">
        <v>338</v>
      </c>
      <c r="F927" s="208">
        <v>2026</v>
      </c>
      <c r="G927" s="208">
        <v>3</v>
      </c>
      <c r="H927" s="208" t="s">
        <v>99</v>
      </c>
      <c r="I927" s="208" t="s">
        <v>108</v>
      </c>
      <c r="J927" s="208" t="s">
        <v>366</v>
      </c>
      <c r="K927" s="208" t="s">
        <v>10</v>
      </c>
      <c r="L927" s="208" t="s">
        <v>870</v>
      </c>
      <c r="M927" s="208">
        <v>3</v>
      </c>
      <c r="N927" s="208"/>
      <c r="O927" s="208" t="s">
        <v>63</v>
      </c>
      <c r="P927" s="208"/>
      <c r="Q927" s="207"/>
      <c r="R927" s="208"/>
    </row>
    <row r="928" spans="1:18">
      <c r="A928" s="277">
        <v>831</v>
      </c>
      <c r="B928" s="278">
        <v>46217</v>
      </c>
      <c r="C928" s="208" t="s">
        <v>289</v>
      </c>
      <c r="D928" s="208" t="s">
        <v>844</v>
      </c>
      <c r="E928" s="208" t="s">
        <v>338</v>
      </c>
      <c r="F928" s="208">
        <v>2026</v>
      </c>
      <c r="G928" s="208">
        <v>3</v>
      </c>
      <c r="H928" s="208" t="s">
        <v>99</v>
      </c>
      <c r="I928" s="208" t="s">
        <v>108</v>
      </c>
      <c r="J928" s="208" t="s">
        <v>366</v>
      </c>
      <c r="K928" s="208" t="s">
        <v>104</v>
      </c>
      <c r="L928" s="208" t="s">
        <v>870</v>
      </c>
      <c r="M928" s="208">
        <v>3</v>
      </c>
      <c r="N928" s="208"/>
      <c r="O928" s="208" t="s">
        <v>109</v>
      </c>
      <c r="P928" s="208"/>
      <c r="Q928" s="207"/>
      <c r="R928" s="208"/>
    </row>
    <row r="929" spans="1:18">
      <c r="A929" s="277">
        <v>832</v>
      </c>
      <c r="B929" s="278">
        <v>46217</v>
      </c>
      <c r="C929" s="208" t="s">
        <v>289</v>
      </c>
      <c r="D929" s="208" t="s">
        <v>456</v>
      </c>
      <c r="E929" s="208" t="s">
        <v>338</v>
      </c>
      <c r="F929" s="208">
        <v>2026</v>
      </c>
      <c r="G929" s="208">
        <v>1.5</v>
      </c>
      <c r="H929" s="208" t="s">
        <v>99</v>
      </c>
      <c r="I929" s="208" t="s">
        <v>100</v>
      </c>
      <c r="J929" s="208" t="s">
        <v>373</v>
      </c>
      <c r="K929" s="208" t="s">
        <v>101</v>
      </c>
      <c r="L929" s="208" t="s">
        <v>871</v>
      </c>
      <c r="M929" s="208">
        <v>1.5</v>
      </c>
      <c r="N929" s="208"/>
      <c r="O929" s="208" t="s">
        <v>102</v>
      </c>
      <c r="P929" s="208"/>
      <c r="Q929" s="207"/>
      <c r="R929" s="208"/>
    </row>
    <row r="930" spans="1:18">
      <c r="A930" s="277">
        <v>833</v>
      </c>
      <c r="B930" s="278">
        <v>46217</v>
      </c>
      <c r="C930" s="208" t="s">
        <v>289</v>
      </c>
      <c r="D930" s="208" t="s">
        <v>532</v>
      </c>
      <c r="E930" s="208" t="s">
        <v>338</v>
      </c>
      <c r="F930" s="208">
        <v>2026</v>
      </c>
      <c r="G930" s="208">
        <v>2.5</v>
      </c>
      <c r="H930" s="208" t="s">
        <v>99</v>
      </c>
      <c r="I930" s="208" t="s">
        <v>100</v>
      </c>
      <c r="J930" s="208" t="s">
        <v>373</v>
      </c>
      <c r="K930" s="208" t="s">
        <v>10</v>
      </c>
      <c r="L930" s="208" t="s">
        <v>828</v>
      </c>
      <c r="M930" s="208">
        <v>2.5</v>
      </c>
      <c r="N930" s="208"/>
      <c r="O930" s="208" t="s">
        <v>29</v>
      </c>
      <c r="P930" s="208"/>
      <c r="Q930" s="207"/>
      <c r="R930" s="208"/>
    </row>
    <row r="931" spans="1:18">
      <c r="A931" s="277">
        <v>834</v>
      </c>
      <c r="B931" s="278">
        <v>46218</v>
      </c>
      <c r="C931" s="208" t="s">
        <v>294</v>
      </c>
      <c r="D931" s="208" t="s">
        <v>643</v>
      </c>
      <c r="E931" s="208" t="s">
        <v>338</v>
      </c>
      <c r="F931" s="208">
        <v>2026</v>
      </c>
      <c r="G931" s="208">
        <v>2.5</v>
      </c>
      <c r="H931" s="208" t="s">
        <v>161</v>
      </c>
      <c r="I931" s="208" t="s">
        <v>644</v>
      </c>
      <c r="J931" s="208" t="s">
        <v>438</v>
      </c>
      <c r="K931" s="208" t="s">
        <v>101</v>
      </c>
      <c r="L931" s="208" t="s">
        <v>645</v>
      </c>
      <c r="M931" s="208">
        <v>2.5</v>
      </c>
      <c r="N931" s="208"/>
      <c r="O931" s="208" t="s">
        <v>163</v>
      </c>
      <c r="P931" s="208"/>
      <c r="Q931" s="207"/>
      <c r="R931" s="208"/>
    </row>
    <row r="932" spans="1:18">
      <c r="A932" s="277">
        <v>835</v>
      </c>
      <c r="B932" s="278">
        <v>46218</v>
      </c>
      <c r="C932" s="208" t="s">
        <v>294</v>
      </c>
      <c r="D932" s="208" t="s">
        <v>672</v>
      </c>
      <c r="E932" s="208" t="s">
        <v>338</v>
      </c>
      <c r="F932" s="208">
        <v>2026</v>
      </c>
      <c r="G932" s="208">
        <v>1.5</v>
      </c>
      <c r="H932" s="208" t="s">
        <v>161</v>
      </c>
      <c r="I932" s="208" t="s">
        <v>644</v>
      </c>
      <c r="J932" s="208" t="s">
        <v>438</v>
      </c>
      <c r="K932" s="208" t="s">
        <v>101</v>
      </c>
      <c r="L932" s="208" t="s">
        <v>673</v>
      </c>
      <c r="M932" s="208">
        <v>1.5</v>
      </c>
      <c r="N932" s="208"/>
      <c r="O932" s="208" t="s">
        <v>163</v>
      </c>
      <c r="P932" s="208"/>
      <c r="Q932" s="207"/>
      <c r="R932" s="208"/>
    </row>
    <row r="933" spans="1:18">
      <c r="A933" s="277">
        <v>836</v>
      </c>
      <c r="B933" s="278">
        <v>46218</v>
      </c>
      <c r="C933" s="208" t="s">
        <v>294</v>
      </c>
      <c r="D933" s="208" t="s">
        <v>767</v>
      </c>
      <c r="E933" s="208" t="s">
        <v>338</v>
      </c>
      <c r="F933" s="208">
        <v>2026</v>
      </c>
      <c r="G933" s="208">
        <v>1.5</v>
      </c>
      <c r="H933" s="208" t="s">
        <v>201</v>
      </c>
      <c r="I933" s="208" t="s">
        <v>202</v>
      </c>
      <c r="J933" s="208" t="s">
        <v>373</v>
      </c>
      <c r="K933" s="208" t="s">
        <v>101</v>
      </c>
      <c r="L933" s="208" t="s">
        <v>872</v>
      </c>
      <c r="M933" s="208">
        <v>1.5</v>
      </c>
      <c r="N933" s="208"/>
      <c r="O933" s="208" t="s">
        <v>769</v>
      </c>
      <c r="P933" s="208"/>
      <c r="Q933" s="207"/>
      <c r="R933" s="208"/>
    </row>
    <row r="934" spans="1:18">
      <c r="A934" s="277">
        <v>837</v>
      </c>
      <c r="B934" s="278">
        <v>46218</v>
      </c>
      <c r="C934" s="208" t="s">
        <v>294</v>
      </c>
      <c r="D934" s="208" t="s">
        <v>661</v>
      </c>
      <c r="E934" s="208" t="s">
        <v>338</v>
      </c>
      <c r="F934" s="208">
        <v>2026</v>
      </c>
      <c r="G934" s="208">
        <v>2</v>
      </c>
      <c r="H934" s="208" t="s">
        <v>132</v>
      </c>
      <c r="I934" s="208" t="s">
        <v>158</v>
      </c>
      <c r="J934" s="208" t="s">
        <v>360</v>
      </c>
      <c r="K934" s="208" t="s">
        <v>101</v>
      </c>
      <c r="L934" s="208" t="s">
        <v>873</v>
      </c>
      <c r="M934" s="208">
        <v>2</v>
      </c>
      <c r="N934" s="208"/>
      <c r="O934" s="208" t="s">
        <v>559</v>
      </c>
      <c r="P934" s="208"/>
      <c r="Q934" s="207"/>
      <c r="R934" s="208"/>
    </row>
    <row r="935" spans="1:18">
      <c r="A935" s="277">
        <v>838</v>
      </c>
      <c r="B935" s="278">
        <v>46218</v>
      </c>
      <c r="C935" s="208" t="s">
        <v>294</v>
      </c>
      <c r="D935" s="208" t="s">
        <v>638</v>
      </c>
      <c r="E935" s="208" t="s">
        <v>338</v>
      </c>
      <c r="F935" s="208">
        <v>2026</v>
      </c>
      <c r="G935" s="208">
        <v>2.5</v>
      </c>
      <c r="H935" s="208" t="s">
        <v>132</v>
      </c>
      <c r="I935" s="208" t="s">
        <v>183</v>
      </c>
      <c r="J935" s="208" t="s">
        <v>623</v>
      </c>
      <c r="K935" s="208" t="s">
        <v>101</v>
      </c>
      <c r="L935" s="208" t="s">
        <v>866</v>
      </c>
      <c r="M935" s="208">
        <v>2.5</v>
      </c>
      <c r="N935" s="208"/>
      <c r="O935" s="208" t="s">
        <v>164</v>
      </c>
      <c r="P935" s="208"/>
      <c r="Q935" s="207"/>
      <c r="R935" s="208"/>
    </row>
    <row r="936" spans="1:18">
      <c r="A936" s="277">
        <v>839</v>
      </c>
      <c r="B936" s="278">
        <v>46218</v>
      </c>
      <c r="C936" s="208" t="s">
        <v>294</v>
      </c>
      <c r="D936" s="208" t="s">
        <v>844</v>
      </c>
      <c r="E936" s="208" t="s">
        <v>338</v>
      </c>
      <c r="F936" s="208">
        <v>2026</v>
      </c>
      <c r="G936" s="208">
        <v>3</v>
      </c>
      <c r="H936" s="208" t="s">
        <v>99</v>
      </c>
      <c r="I936" s="208" t="s">
        <v>108</v>
      </c>
      <c r="J936" s="208" t="s">
        <v>366</v>
      </c>
      <c r="K936" s="208" t="s">
        <v>106</v>
      </c>
      <c r="L936" s="208" t="s">
        <v>870</v>
      </c>
      <c r="M936" s="208">
        <v>3</v>
      </c>
      <c r="N936" s="208"/>
      <c r="O936" s="208" t="s">
        <v>91</v>
      </c>
      <c r="P936" s="208"/>
      <c r="Q936" s="207"/>
      <c r="R936" s="208"/>
    </row>
    <row r="937" spans="1:18">
      <c r="A937" s="277">
        <v>840</v>
      </c>
      <c r="B937" s="278">
        <v>46219</v>
      </c>
      <c r="C937" s="208" t="s">
        <v>298</v>
      </c>
      <c r="D937" s="208" t="s">
        <v>661</v>
      </c>
      <c r="E937" s="208" t="s">
        <v>338</v>
      </c>
      <c r="F937" s="208">
        <v>2026</v>
      </c>
      <c r="G937" s="208">
        <v>2</v>
      </c>
      <c r="H937" s="208" t="s">
        <v>132</v>
      </c>
      <c r="I937" s="208" t="s">
        <v>158</v>
      </c>
      <c r="J937" s="208" t="s">
        <v>360</v>
      </c>
      <c r="K937" s="208" t="s">
        <v>101</v>
      </c>
      <c r="L937" s="208" t="s">
        <v>874</v>
      </c>
      <c r="M937" s="208">
        <v>2</v>
      </c>
      <c r="N937" s="208"/>
      <c r="O937" s="208" t="s">
        <v>559</v>
      </c>
      <c r="P937" s="208"/>
      <c r="Q937" s="207"/>
      <c r="R937" s="208"/>
    </row>
    <row r="938" spans="1:18">
      <c r="A938" s="277">
        <v>841</v>
      </c>
      <c r="B938" s="278">
        <v>46219</v>
      </c>
      <c r="C938" s="208" t="s">
        <v>298</v>
      </c>
      <c r="D938" s="208" t="s">
        <v>715</v>
      </c>
      <c r="E938" s="208" t="s">
        <v>338</v>
      </c>
      <c r="F938" s="208">
        <v>2026</v>
      </c>
      <c r="G938" s="208">
        <v>2</v>
      </c>
      <c r="H938" s="208" t="s">
        <v>196</v>
      </c>
      <c r="I938" s="208" t="s">
        <v>197</v>
      </c>
      <c r="J938" s="208" t="s">
        <v>687</v>
      </c>
      <c r="K938" s="208" t="s">
        <v>101</v>
      </c>
      <c r="L938" s="208" t="s">
        <v>875</v>
      </c>
      <c r="M938" s="208">
        <v>2</v>
      </c>
      <c r="N938" s="208"/>
      <c r="O938" s="208" t="s">
        <v>254</v>
      </c>
      <c r="P938" s="208"/>
      <c r="Q938" s="207"/>
      <c r="R938" s="208"/>
    </row>
    <row r="939" spans="1:18">
      <c r="A939" s="277">
        <v>842</v>
      </c>
      <c r="B939" s="278">
        <v>46219</v>
      </c>
      <c r="C939" s="208" t="s">
        <v>298</v>
      </c>
      <c r="D939" s="208" t="s">
        <v>655</v>
      </c>
      <c r="E939" s="208" t="s">
        <v>338</v>
      </c>
      <c r="F939" s="208">
        <v>2026</v>
      </c>
      <c r="G939" s="208">
        <v>2.5</v>
      </c>
      <c r="H939" s="208" t="s">
        <v>115</v>
      </c>
      <c r="I939" s="208" t="s">
        <v>437</v>
      </c>
      <c r="J939" s="208" t="s">
        <v>438</v>
      </c>
      <c r="K939" s="208" t="s">
        <v>101</v>
      </c>
      <c r="L939" s="208" t="s">
        <v>876</v>
      </c>
      <c r="M939" s="208">
        <v>2.5</v>
      </c>
      <c r="N939" s="208"/>
      <c r="O939" s="208" t="s">
        <v>164</v>
      </c>
      <c r="P939" s="208"/>
      <c r="Q939" s="207"/>
      <c r="R939" s="208"/>
    </row>
    <row r="940" spans="1:18">
      <c r="A940" s="277">
        <v>843</v>
      </c>
      <c r="B940" s="278">
        <v>46219</v>
      </c>
      <c r="C940" s="208" t="s">
        <v>298</v>
      </c>
      <c r="D940" s="208" t="s">
        <v>456</v>
      </c>
      <c r="E940" s="208" t="s">
        <v>338</v>
      </c>
      <c r="F940" s="208">
        <v>2026</v>
      </c>
      <c r="G940" s="208">
        <v>1.5</v>
      </c>
      <c r="H940" s="208" t="s">
        <v>99</v>
      </c>
      <c r="I940" s="208" t="s">
        <v>100</v>
      </c>
      <c r="J940" s="208" t="s">
        <v>373</v>
      </c>
      <c r="K940" s="208" t="s">
        <v>101</v>
      </c>
      <c r="L940" s="208" t="s">
        <v>877</v>
      </c>
      <c r="M940" s="208">
        <v>1.5</v>
      </c>
      <c r="N940" s="208"/>
      <c r="O940" s="208" t="s">
        <v>102</v>
      </c>
      <c r="P940" s="208"/>
      <c r="Q940" s="207"/>
      <c r="R940" s="208"/>
    </row>
    <row r="941" spans="1:18">
      <c r="A941" s="277">
        <v>844</v>
      </c>
      <c r="B941" s="278">
        <v>46219</v>
      </c>
      <c r="C941" s="208" t="s">
        <v>298</v>
      </c>
      <c r="D941" s="208" t="s">
        <v>532</v>
      </c>
      <c r="E941" s="208" t="s">
        <v>338</v>
      </c>
      <c r="F941" s="208">
        <v>2026</v>
      </c>
      <c r="G941" s="208">
        <v>2.5</v>
      </c>
      <c r="H941" s="208" t="s">
        <v>99</v>
      </c>
      <c r="I941" s="208" t="s">
        <v>100</v>
      </c>
      <c r="J941" s="208" t="s">
        <v>373</v>
      </c>
      <c r="K941" s="208" t="s">
        <v>10</v>
      </c>
      <c r="L941" s="208" t="s">
        <v>833</v>
      </c>
      <c r="M941" s="208">
        <v>2.5</v>
      </c>
      <c r="N941" s="208"/>
      <c r="O941" s="208" t="s">
        <v>29</v>
      </c>
      <c r="P941" s="208"/>
      <c r="Q941" s="207"/>
      <c r="R941" s="208"/>
    </row>
    <row r="942" spans="1:18">
      <c r="A942" s="277">
        <v>845</v>
      </c>
      <c r="B942" s="278">
        <v>46219</v>
      </c>
      <c r="C942" s="208" t="s">
        <v>298</v>
      </c>
      <c r="D942" s="208" t="s">
        <v>467</v>
      </c>
      <c r="E942" s="208" t="s">
        <v>338</v>
      </c>
      <c r="F942" s="208">
        <v>2026</v>
      </c>
      <c r="G942" s="208">
        <v>2.5</v>
      </c>
      <c r="H942" s="208" t="s">
        <v>99</v>
      </c>
      <c r="I942" s="208" t="s">
        <v>100</v>
      </c>
      <c r="J942" s="208" t="s">
        <v>373</v>
      </c>
      <c r="K942" s="208" t="s">
        <v>104</v>
      </c>
      <c r="L942" s="208" t="s">
        <v>845</v>
      </c>
      <c r="M942" s="208">
        <v>2.5</v>
      </c>
      <c r="N942" s="208"/>
      <c r="O942" s="208" t="s">
        <v>70</v>
      </c>
      <c r="P942" s="208"/>
      <c r="Q942" s="207"/>
      <c r="R942" s="208"/>
    </row>
    <row r="943" spans="1:18">
      <c r="A943" s="277">
        <v>846</v>
      </c>
      <c r="B943" s="278">
        <v>46219</v>
      </c>
      <c r="C943" s="208" t="s">
        <v>298</v>
      </c>
      <c r="D943" s="208" t="s">
        <v>430</v>
      </c>
      <c r="E943" s="208" t="s">
        <v>338</v>
      </c>
      <c r="F943" s="208">
        <v>2026</v>
      </c>
      <c r="G943" s="208">
        <v>1.5</v>
      </c>
      <c r="H943" s="208" t="s">
        <v>99</v>
      </c>
      <c r="I943" s="208" t="s">
        <v>100</v>
      </c>
      <c r="J943" s="208" t="s">
        <v>373</v>
      </c>
      <c r="K943" s="208" t="s">
        <v>106</v>
      </c>
      <c r="L943" s="208" t="s">
        <v>862</v>
      </c>
      <c r="M943" s="208">
        <v>1.5</v>
      </c>
      <c r="N943" s="208"/>
      <c r="O943" s="208" t="s">
        <v>432</v>
      </c>
      <c r="P943" s="208"/>
      <c r="Q943" s="207"/>
      <c r="R943" s="208"/>
    </row>
    <row r="944" spans="1:18">
      <c r="A944" s="277">
        <v>847</v>
      </c>
      <c r="B944" s="278">
        <v>46220</v>
      </c>
      <c r="C944" s="208" t="s">
        <v>301</v>
      </c>
      <c r="D944" s="208" t="s">
        <v>767</v>
      </c>
      <c r="E944" s="208" t="s">
        <v>338</v>
      </c>
      <c r="F944" s="208">
        <v>2026</v>
      </c>
      <c r="G944" s="208">
        <v>1.5</v>
      </c>
      <c r="H944" s="208" t="s">
        <v>201</v>
      </c>
      <c r="I944" s="208" t="s">
        <v>202</v>
      </c>
      <c r="J944" s="208" t="s">
        <v>373</v>
      </c>
      <c r="K944" s="208" t="s">
        <v>101</v>
      </c>
      <c r="L944" s="208" t="s">
        <v>878</v>
      </c>
      <c r="M944" s="208">
        <v>1.5</v>
      </c>
      <c r="N944" s="208"/>
      <c r="O944" s="208" t="s">
        <v>769</v>
      </c>
      <c r="P944" s="208"/>
      <c r="Q944" s="207"/>
      <c r="R944" s="208"/>
    </row>
    <row r="945" spans="1:18">
      <c r="A945" s="277">
        <v>848</v>
      </c>
      <c r="B945" s="278">
        <v>46220</v>
      </c>
      <c r="C945" s="208" t="s">
        <v>301</v>
      </c>
      <c r="D945" s="208" t="s">
        <v>655</v>
      </c>
      <c r="E945" s="208" t="s">
        <v>338</v>
      </c>
      <c r="F945" s="208">
        <v>2026</v>
      </c>
      <c r="G945" s="208">
        <v>1.5</v>
      </c>
      <c r="H945" s="208" t="s">
        <v>115</v>
      </c>
      <c r="I945" s="208" t="s">
        <v>437</v>
      </c>
      <c r="J945" s="208" t="s">
        <v>438</v>
      </c>
      <c r="K945" s="208" t="s">
        <v>101</v>
      </c>
      <c r="L945" s="208" t="s">
        <v>879</v>
      </c>
      <c r="M945" s="208">
        <v>1.5</v>
      </c>
      <c r="N945" s="208"/>
      <c r="O945" s="208" t="s">
        <v>164</v>
      </c>
      <c r="P945" s="208"/>
      <c r="Q945" s="207"/>
      <c r="R945" s="208"/>
    </row>
    <row r="946" spans="1:18">
      <c r="A946" s="277">
        <v>849</v>
      </c>
      <c r="B946" s="278">
        <v>46223</v>
      </c>
      <c r="C946" s="208" t="s">
        <v>302</v>
      </c>
      <c r="D946" s="208" t="s">
        <v>767</v>
      </c>
      <c r="E946" s="208" t="s">
        <v>338</v>
      </c>
      <c r="F946" s="208">
        <v>2026</v>
      </c>
      <c r="G946" s="208">
        <v>1.5</v>
      </c>
      <c r="H946" s="208" t="s">
        <v>201</v>
      </c>
      <c r="I946" s="208" t="s">
        <v>202</v>
      </c>
      <c r="J946" s="208" t="s">
        <v>373</v>
      </c>
      <c r="K946" s="208" t="s">
        <v>101</v>
      </c>
      <c r="L946" s="208" t="s">
        <v>880</v>
      </c>
      <c r="M946" s="208">
        <v>1.5</v>
      </c>
      <c r="N946" s="208"/>
      <c r="O946" s="208" t="s">
        <v>881</v>
      </c>
      <c r="P946" s="208"/>
      <c r="Q946" s="207"/>
      <c r="R946" s="208"/>
    </row>
    <row r="947" spans="1:18">
      <c r="A947" s="277">
        <v>850</v>
      </c>
      <c r="B947" s="278">
        <v>46223</v>
      </c>
      <c r="C947" s="208" t="s">
        <v>302</v>
      </c>
      <c r="D947" s="208" t="s">
        <v>715</v>
      </c>
      <c r="E947" s="208" t="s">
        <v>338</v>
      </c>
      <c r="F947" s="208">
        <v>2026</v>
      </c>
      <c r="G947" s="208">
        <v>2</v>
      </c>
      <c r="H947" s="208" t="s">
        <v>196</v>
      </c>
      <c r="I947" s="208" t="s">
        <v>197</v>
      </c>
      <c r="J947" s="208" t="s">
        <v>687</v>
      </c>
      <c r="K947" s="208" t="s">
        <v>101</v>
      </c>
      <c r="L947" s="208" t="s">
        <v>882</v>
      </c>
      <c r="M947" s="208">
        <v>2</v>
      </c>
      <c r="N947" s="208"/>
      <c r="O947" s="208" t="s">
        <v>254</v>
      </c>
      <c r="P947" s="208"/>
      <c r="Q947" s="207"/>
      <c r="R947" s="208"/>
    </row>
    <row r="948" spans="1:18">
      <c r="A948" s="277">
        <v>851</v>
      </c>
      <c r="B948" s="278">
        <v>46223</v>
      </c>
      <c r="C948" s="208" t="s">
        <v>302</v>
      </c>
      <c r="D948" s="208" t="s">
        <v>638</v>
      </c>
      <c r="E948" s="208" t="s">
        <v>338</v>
      </c>
      <c r="F948" s="208">
        <v>2026</v>
      </c>
      <c r="G948" s="208">
        <v>2.5</v>
      </c>
      <c r="H948" s="208" t="s">
        <v>132</v>
      </c>
      <c r="I948" s="208" t="s">
        <v>183</v>
      </c>
      <c r="J948" s="208" t="s">
        <v>623</v>
      </c>
      <c r="K948" s="208" t="s">
        <v>101</v>
      </c>
      <c r="L948" s="208" t="s">
        <v>883</v>
      </c>
      <c r="M948" s="208">
        <v>2.5</v>
      </c>
      <c r="N948" s="208"/>
      <c r="O948" s="208" t="s">
        <v>164</v>
      </c>
      <c r="P948" s="208"/>
      <c r="Q948" s="207"/>
      <c r="R948" s="208"/>
    </row>
    <row r="949" spans="1:18">
      <c r="A949" s="277">
        <v>852</v>
      </c>
      <c r="B949" s="278">
        <v>46224</v>
      </c>
      <c r="C949" s="208" t="s">
        <v>289</v>
      </c>
      <c r="D949" s="208" t="s">
        <v>661</v>
      </c>
      <c r="E949" s="208" t="s">
        <v>338</v>
      </c>
      <c r="F949" s="208">
        <v>2026</v>
      </c>
      <c r="G949" s="208">
        <v>2.5</v>
      </c>
      <c r="H949" s="208" t="s">
        <v>132</v>
      </c>
      <c r="I949" s="208" t="s">
        <v>158</v>
      </c>
      <c r="J949" s="208" t="s">
        <v>360</v>
      </c>
      <c r="K949" s="208" t="s">
        <v>101</v>
      </c>
      <c r="L949" s="208" t="s">
        <v>884</v>
      </c>
      <c r="M949" s="208">
        <v>2.5</v>
      </c>
      <c r="N949" s="208"/>
      <c r="O949" s="208" t="s">
        <v>811</v>
      </c>
      <c r="P949" s="208"/>
      <c r="Q949" s="207"/>
      <c r="R949" s="208"/>
    </row>
    <row r="950" spans="1:18">
      <c r="A950" s="277">
        <v>853</v>
      </c>
      <c r="B950" s="278">
        <v>46224</v>
      </c>
      <c r="C950" s="208" t="s">
        <v>289</v>
      </c>
      <c r="D950" s="208" t="s">
        <v>715</v>
      </c>
      <c r="E950" s="208" t="s">
        <v>338</v>
      </c>
      <c r="F950" s="208">
        <v>2026</v>
      </c>
      <c r="G950" s="208">
        <v>2</v>
      </c>
      <c r="H950" s="208" t="s">
        <v>196</v>
      </c>
      <c r="I950" s="208" t="s">
        <v>197</v>
      </c>
      <c r="J950" s="208" t="s">
        <v>687</v>
      </c>
      <c r="K950" s="208" t="s">
        <v>101</v>
      </c>
      <c r="L950" s="208" t="s">
        <v>885</v>
      </c>
      <c r="M950" s="208">
        <v>2</v>
      </c>
      <c r="N950" s="208"/>
      <c r="O950" s="208" t="s">
        <v>254</v>
      </c>
      <c r="P950" s="208"/>
      <c r="Q950" s="207"/>
      <c r="R950" s="208"/>
    </row>
    <row r="951" spans="1:18">
      <c r="A951" s="277">
        <v>854</v>
      </c>
      <c r="B951" s="278">
        <v>46224</v>
      </c>
      <c r="C951" s="208" t="s">
        <v>289</v>
      </c>
      <c r="D951" s="208" t="s">
        <v>524</v>
      </c>
      <c r="E951" s="208" t="s">
        <v>338</v>
      </c>
      <c r="F951" s="208">
        <v>2026</v>
      </c>
      <c r="G951" s="208">
        <v>1.5</v>
      </c>
      <c r="H951" s="208" t="s">
        <v>115</v>
      </c>
      <c r="I951" s="208" t="s">
        <v>437</v>
      </c>
      <c r="J951" s="208" t="s">
        <v>438</v>
      </c>
      <c r="K951" s="208" t="s">
        <v>101</v>
      </c>
      <c r="L951" s="208" t="s">
        <v>886</v>
      </c>
      <c r="M951" s="208">
        <v>1.5</v>
      </c>
      <c r="N951" s="208"/>
      <c r="O951" s="208" t="s">
        <v>164</v>
      </c>
      <c r="P951" s="208"/>
      <c r="Q951" s="207"/>
      <c r="R951" s="208"/>
    </row>
    <row r="952" spans="1:18">
      <c r="A952" s="277">
        <v>855</v>
      </c>
      <c r="B952" s="278">
        <v>46224</v>
      </c>
      <c r="C952" s="208" t="s">
        <v>289</v>
      </c>
      <c r="D952" s="208" t="s">
        <v>841</v>
      </c>
      <c r="E952" s="208" t="s">
        <v>338</v>
      </c>
      <c r="F952" s="208">
        <v>2026</v>
      </c>
      <c r="G952" s="208">
        <v>3</v>
      </c>
      <c r="H952" s="208" t="s">
        <v>99</v>
      </c>
      <c r="I952" s="208" t="s">
        <v>108</v>
      </c>
      <c r="J952" s="208" t="s">
        <v>366</v>
      </c>
      <c r="K952" s="208" t="s">
        <v>101</v>
      </c>
      <c r="L952" s="208" t="s">
        <v>887</v>
      </c>
      <c r="M952" s="208">
        <v>3</v>
      </c>
      <c r="N952" s="208"/>
      <c r="O952" s="208" t="s">
        <v>112</v>
      </c>
      <c r="P952" s="208"/>
      <c r="Q952" s="207"/>
      <c r="R952" s="208"/>
    </row>
    <row r="953" spans="1:18">
      <c r="A953" s="277">
        <v>856</v>
      </c>
      <c r="B953" s="278">
        <v>46224</v>
      </c>
      <c r="C953" s="208" t="s">
        <v>289</v>
      </c>
      <c r="D953" s="208" t="s">
        <v>843</v>
      </c>
      <c r="E953" s="208" t="s">
        <v>338</v>
      </c>
      <c r="F953" s="208">
        <v>2026</v>
      </c>
      <c r="G953" s="208">
        <v>3</v>
      </c>
      <c r="H953" s="208" t="s">
        <v>99</v>
      </c>
      <c r="I953" s="208" t="s">
        <v>108</v>
      </c>
      <c r="J953" s="208" t="s">
        <v>366</v>
      </c>
      <c r="K953" s="208" t="s">
        <v>10</v>
      </c>
      <c r="L953" s="208" t="s">
        <v>887</v>
      </c>
      <c r="M953" s="208">
        <v>3</v>
      </c>
      <c r="N953" s="208"/>
      <c r="O953" s="208" t="s">
        <v>63</v>
      </c>
      <c r="P953" s="208"/>
      <c r="Q953" s="207"/>
      <c r="R953" s="208"/>
    </row>
    <row r="954" spans="1:18">
      <c r="A954" s="277">
        <v>857</v>
      </c>
      <c r="B954" s="278">
        <v>46224</v>
      </c>
      <c r="C954" s="208" t="s">
        <v>289</v>
      </c>
      <c r="D954" s="208" t="s">
        <v>844</v>
      </c>
      <c r="E954" s="208" t="s">
        <v>338</v>
      </c>
      <c r="F954" s="208">
        <v>2026</v>
      </c>
      <c r="G954" s="208">
        <v>3</v>
      </c>
      <c r="H954" s="208" t="s">
        <v>99</v>
      </c>
      <c r="I954" s="208" t="s">
        <v>108</v>
      </c>
      <c r="J954" s="208" t="s">
        <v>366</v>
      </c>
      <c r="K954" s="208" t="s">
        <v>104</v>
      </c>
      <c r="L954" s="208" t="s">
        <v>887</v>
      </c>
      <c r="M954" s="208">
        <v>3</v>
      </c>
      <c r="N954" s="208"/>
      <c r="O954" s="208" t="s">
        <v>109</v>
      </c>
      <c r="P954" s="208"/>
      <c r="Q954" s="207"/>
      <c r="R954" s="208"/>
    </row>
    <row r="955" spans="1:18">
      <c r="A955" s="277">
        <v>858</v>
      </c>
      <c r="B955" s="278">
        <v>46224</v>
      </c>
      <c r="C955" s="208" t="s">
        <v>289</v>
      </c>
      <c r="D955" s="208"/>
      <c r="E955" s="208" t="s">
        <v>338</v>
      </c>
      <c r="F955" s="208">
        <v>2026</v>
      </c>
      <c r="G955" s="208">
        <v>2.5</v>
      </c>
      <c r="H955" s="208" t="s">
        <v>99</v>
      </c>
      <c r="I955" s="208" t="s">
        <v>100</v>
      </c>
      <c r="J955" s="208" t="s">
        <v>373</v>
      </c>
      <c r="K955" s="208" t="s">
        <v>101</v>
      </c>
      <c r="L955" s="208" t="s">
        <v>888</v>
      </c>
      <c r="M955" s="208">
        <v>2.5</v>
      </c>
      <c r="N955" s="208"/>
      <c r="O955" s="208" t="s">
        <v>102</v>
      </c>
      <c r="P955" s="208"/>
      <c r="Q955" s="207"/>
      <c r="R955" s="208"/>
    </row>
    <row r="956" spans="1:18">
      <c r="A956" s="277">
        <v>859</v>
      </c>
      <c r="B956" s="278">
        <v>46224</v>
      </c>
      <c r="C956" s="208" t="s">
        <v>289</v>
      </c>
      <c r="D956" s="208" t="s">
        <v>532</v>
      </c>
      <c r="E956" s="208" t="s">
        <v>338</v>
      </c>
      <c r="F956" s="208">
        <v>2026</v>
      </c>
      <c r="G956" s="208">
        <v>2.5</v>
      </c>
      <c r="H956" s="208" t="s">
        <v>99</v>
      </c>
      <c r="I956" s="208" t="s">
        <v>100</v>
      </c>
      <c r="J956" s="208" t="s">
        <v>373</v>
      </c>
      <c r="K956" s="208" t="s">
        <v>10</v>
      </c>
      <c r="L956" s="208" t="s">
        <v>845</v>
      </c>
      <c r="M956" s="208">
        <v>1.5</v>
      </c>
      <c r="N956" s="208"/>
      <c r="O956" s="208" t="s">
        <v>29</v>
      </c>
      <c r="P956" s="208"/>
      <c r="Q956" s="207"/>
      <c r="R956" s="208"/>
    </row>
    <row r="957" spans="1:18">
      <c r="A957" s="277">
        <v>860</v>
      </c>
      <c r="B957" s="278">
        <v>46224</v>
      </c>
      <c r="C957" s="208" t="s">
        <v>289</v>
      </c>
      <c r="D957" s="208" t="s">
        <v>467</v>
      </c>
      <c r="E957" s="208" t="s">
        <v>338</v>
      </c>
      <c r="F957" s="208">
        <v>2026</v>
      </c>
      <c r="G957" s="208">
        <v>2.5</v>
      </c>
      <c r="H957" s="208" t="s">
        <v>99</v>
      </c>
      <c r="I957" s="208" t="s">
        <v>100</v>
      </c>
      <c r="J957" s="208" t="s">
        <v>373</v>
      </c>
      <c r="K957" s="208" t="s">
        <v>104</v>
      </c>
      <c r="L957" s="208" t="s">
        <v>856</v>
      </c>
      <c r="M957" s="208">
        <v>2.5</v>
      </c>
      <c r="N957" s="208"/>
      <c r="O957" s="208" t="s">
        <v>70</v>
      </c>
      <c r="P957" s="208"/>
      <c r="Q957" s="207"/>
      <c r="R957" s="208"/>
    </row>
    <row r="958" spans="1:18">
      <c r="A958" s="277">
        <v>861</v>
      </c>
      <c r="B958" s="278">
        <v>46224</v>
      </c>
      <c r="C958" s="208" t="s">
        <v>289</v>
      </c>
      <c r="D958" s="208" t="s">
        <v>430</v>
      </c>
      <c r="E958" s="208" t="s">
        <v>338</v>
      </c>
      <c r="F958" s="208">
        <v>2026</v>
      </c>
      <c r="G958" s="208">
        <v>1.5</v>
      </c>
      <c r="H958" s="208" t="s">
        <v>99</v>
      </c>
      <c r="I958" s="208" t="s">
        <v>100</v>
      </c>
      <c r="J958" s="208" t="s">
        <v>373</v>
      </c>
      <c r="K958" s="208" t="s">
        <v>106</v>
      </c>
      <c r="L958" s="208" t="s">
        <v>871</v>
      </c>
      <c r="M958" s="208">
        <v>1.5</v>
      </c>
      <c r="N958" s="208"/>
      <c r="O958" s="208" t="s">
        <v>432</v>
      </c>
      <c r="P958" s="208"/>
      <c r="Q958" s="207"/>
      <c r="R958" s="208"/>
    </row>
    <row r="959" spans="1:18">
      <c r="A959" s="277">
        <v>862</v>
      </c>
      <c r="B959" s="278">
        <v>46225</v>
      </c>
      <c r="C959" s="208" t="s">
        <v>294</v>
      </c>
      <c r="D959" s="208" t="s">
        <v>767</v>
      </c>
      <c r="E959" s="208" t="s">
        <v>338</v>
      </c>
      <c r="F959" s="208">
        <v>2026</v>
      </c>
      <c r="G959" s="208">
        <v>1.5</v>
      </c>
      <c r="H959" s="208" t="s">
        <v>201</v>
      </c>
      <c r="I959" s="208" t="s">
        <v>202</v>
      </c>
      <c r="J959" s="208" t="s">
        <v>373</v>
      </c>
      <c r="K959" s="208" t="s">
        <v>101</v>
      </c>
      <c r="L959" s="208" t="s">
        <v>889</v>
      </c>
      <c r="M959" s="208">
        <v>1.5</v>
      </c>
      <c r="N959" s="208"/>
      <c r="O959" s="208" t="s">
        <v>881</v>
      </c>
      <c r="P959" s="208"/>
      <c r="Q959" s="207"/>
      <c r="R959" s="208"/>
    </row>
    <row r="960" spans="1:18">
      <c r="A960" s="277">
        <v>863</v>
      </c>
      <c r="B960" s="278">
        <v>46225</v>
      </c>
      <c r="C960" s="208" t="s">
        <v>294</v>
      </c>
      <c r="D960" s="208" t="s">
        <v>661</v>
      </c>
      <c r="E960" s="208" t="s">
        <v>338</v>
      </c>
      <c r="F960" s="208">
        <v>2026</v>
      </c>
      <c r="G960" s="208">
        <v>2.5</v>
      </c>
      <c r="H960" s="208" t="s">
        <v>132</v>
      </c>
      <c r="I960" s="208" t="s">
        <v>158</v>
      </c>
      <c r="J960" s="208" t="s">
        <v>360</v>
      </c>
      <c r="K960" s="208" t="s">
        <v>101</v>
      </c>
      <c r="L960" s="208" t="s">
        <v>890</v>
      </c>
      <c r="M960" s="208">
        <v>2.5</v>
      </c>
      <c r="N960" s="208"/>
      <c r="O960" s="208" t="s">
        <v>811</v>
      </c>
      <c r="P960" s="208"/>
      <c r="Q960" s="207"/>
      <c r="R960" s="208"/>
    </row>
    <row r="961" spans="1:18">
      <c r="A961" s="277">
        <v>864</v>
      </c>
      <c r="B961" s="278">
        <v>46225</v>
      </c>
      <c r="C961" s="208" t="s">
        <v>294</v>
      </c>
      <c r="D961" s="208" t="s">
        <v>638</v>
      </c>
      <c r="E961" s="208" t="s">
        <v>338</v>
      </c>
      <c r="F961" s="208">
        <v>2026</v>
      </c>
      <c r="G961" s="208">
        <v>2.5</v>
      </c>
      <c r="H961" s="208" t="s">
        <v>132</v>
      </c>
      <c r="I961" s="208" t="s">
        <v>183</v>
      </c>
      <c r="J961" s="208" t="s">
        <v>623</v>
      </c>
      <c r="K961" s="208" t="s">
        <v>101</v>
      </c>
      <c r="L961" s="208" t="s">
        <v>891</v>
      </c>
      <c r="M961" s="208">
        <v>2.5</v>
      </c>
      <c r="N961" s="208"/>
      <c r="O961" s="208" t="s">
        <v>164</v>
      </c>
      <c r="P961" s="208"/>
      <c r="Q961" s="207"/>
      <c r="R961" s="208"/>
    </row>
    <row r="962" spans="1:18">
      <c r="A962" s="277">
        <v>865</v>
      </c>
      <c r="B962" s="278">
        <v>46225</v>
      </c>
      <c r="C962" s="208" t="s">
        <v>294</v>
      </c>
      <c r="D962" s="208" t="s">
        <v>844</v>
      </c>
      <c r="E962" s="208" t="s">
        <v>338</v>
      </c>
      <c r="F962" s="208">
        <v>2026</v>
      </c>
      <c r="G962" s="208">
        <v>3</v>
      </c>
      <c r="H962" s="208" t="s">
        <v>99</v>
      </c>
      <c r="I962" s="208" t="s">
        <v>108</v>
      </c>
      <c r="J962" s="208" t="s">
        <v>366</v>
      </c>
      <c r="K962" s="208" t="s">
        <v>106</v>
      </c>
      <c r="L962" s="208" t="s">
        <v>887</v>
      </c>
      <c r="M962" s="208">
        <v>3</v>
      </c>
      <c r="N962" s="208"/>
      <c r="O962" s="208" t="s">
        <v>91</v>
      </c>
      <c r="P962" s="208"/>
      <c r="Q962" s="207"/>
      <c r="R962" s="208"/>
    </row>
    <row r="963" spans="1:18">
      <c r="A963" s="277">
        <v>866</v>
      </c>
      <c r="B963" s="278">
        <v>46225</v>
      </c>
      <c r="C963" s="208" t="s">
        <v>294</v>
      </c>
      <c r="D963" s="208" t="s">
        <v>430</v>
      </c>
      <c r="E963" s="208" t="s">
        <v>338</v>
      </c>
      <c r="F963" s="208">
        <v>2026</v>
      </c>
      <c r="G963" s="208">
        <v>1.5</v>
      </c>
      <c r="H963" s="208" t="s">
        <v>99</v>
      </c>
      <c r="I963" s="208" t="s">
        <v>100</v>
      </c>
      <c r="J963" s="208" t="s">
        <v>373</v>
      </c>
      <c r="K963" s="208" t="s">
        <v>106</v>
      </c>
      <c r="L963" s="208" t="s">
        <v>877</v>
      </c>
      <c r="M963" s="208">
        <v>1.5</v>
      </c>
      <c r="N963" s="208"/>
      <c r="O963" s="208" t="s">
        <v>432</v>
      </c>
      <c r="P963" s="208"/>
      <c r="Q963" s="207"/>
      <c r="R963" s="208"/>
    </row>
    <row r="964" spans="1:18">
      <c r="A964" s="277">
        <v>867</v>
      </c>
      <c r="B964" s="278">
        <v>46226</v>
      </c>
      <c r="C964" s="208" t="s">
        <v>298</v>
      </c>
      <c r="D964" s="208" t="s">
        <v>661</v>
      </c>
      <c r="E964" s="208" t="s">
        <v>338</v>
      </c>
      <c r="F964" s="208">
        <v>2026</v>
      </c>
      <c r="G964" s="208">
        <v>2</v>
      </c>
      <c r="H964" s="208" t="s">
        <v>132</v>
      </c>
      <c r="I964" s="208" t="s">
        <v>158</v>
      </c>
      <c r="J964" s="208" t="s">
        <v>360</v>
      </c>
      <c r="K964" s="208" t="s">
        <v>101</v>
      </c>
      <c r="L964" s="208" t="s">
        <v>892</v>
      </c>
      <c r="M964" s="208">
        <v>2</v>
      </c>
      <c r="N964" s="208"/>
      <c r="O964" s="208" t="s">
        <v>811</v>
      </c>
      <c r="P964" s="208"/>
      <c r="Q964" s="207"/>
      <c r="R964" s="208"/>
    </row>
    <row r="965" spans="1:18">
      <c r="A965" s="277">
        <v>868</v>
      </c>
      <c r="B965" s="278">
        <v>46226</v>
      </c>
      <c r="C965" s="208" t="s">
        <v>298</v>
      </c>
      <c r="D965" s="208" t="s">
        <v>524</v>
      </c>
      <c r="E965" s="208" t="s">
        <v>338</v>
      </c>
      <c r="F965" s="208">
        <v>2026</v>
      </c>
      <c r="G965" s="208">
        <v>2.5</v>
      </c>
      <c r="H965" s="208" t="s">
        <v>115</v>
      </c>
      <c r="I965" s="208" t="s">
        <v>437</v>
      </c>
      <c r="J965" s="208" t="s">
        <v>438</v>
      </c>
      <c r="K965" s="208" t="s">
        <v>101</v>
      </c>
      <c r="L965" s="208" t="s">
        <v>893</v>
      </c>
      <c r="M965" s="208">
        <v>2.5</v>
      </c>
      <c r="N965" s="208"/>
      <c r="O965" s="208" t="s">
        <v>164</v>
      </c>
      <c r="P965" s="208"/>
      <c r="Q965" s="207"/>
      <c r="R965" s="208"/>
    </row>
    <row r="966" spans="1:18">
      <c r="A966" s="277">
        <v>869</v>
      </c>
      <c r="B966" s="278">
        <v>46226</v>
      </c>
      <c r="C966" s="208" t="s">
        <v>298</v>
      </c>
      <c r="D966" s="208"/>
      <c r="E966" s="208" t="s">
        <v>338</v>
      </c>
      <c r="F966" s="208">
        <v>2026</v>
      </c>
      <c r="G966" s="208">
        <v>2.5</v>
      </c>
      <c r="H966" s="208" t="s">
        <v>99</v>
      </c>
      <c r="I966" s="208" t="s">
        <v>100</v>
      </c>
      <c r="J966" s="208" t="s">
        <v>373</v>
      </c>
      <c r="K966" s="208" t="s">
        <v>101</v>
      </c>
      <c r="L966" s="208" t="s">
        <v>888</v>
      </c>
      <c r="M966" s="208">
        <v>2.5</v>
      </c>
      <c r="N966" s="208"/>
      <c r="O966" s="208" t="s">
        <v>102</v>
      </c>
      <c r="P966" s="208"/>
      <c r="Q966" s="207"/>
      <c r="R966" s="208"/>
    </row>
    <row r="967" spans="1:18">
      <c r="A967" s="277">
        <v>870</v>
      </c>
      <c r="B967" s="278">
        <v>46226</v>
      </c>
      <c r="C967" s="208" t="s">
        <v>298</v>
      </c>
      <c r="D967" s="208" t="s">
        <v>532</v>
      </c>
      <c r="E967" s="208" t="s">
        <v>338</v>
      </c>
      <c r="F967" s="208">
        <v>2026</v>
      </c>
      <c r="G967" s="208">
        <v>1.5</v>
      </c>
      <c r="H967" s="208" t="s">
        <v>99</v>
      </c>
      <c r="I967" s="208" t="s">
        <v>100</v>
      </c>
      <c r="J967" s="208" t="s">
        <v>373</v>
      </c>
      <c r="K967" s="208" t="s">
        <v>10</v>
      </c>
      <c r="L967" s="208" t="s">
        <v>856</v>
      </c>
      <c r="M967" s="208">
        <v>1.5</v>
      </c>
      <c r="N967" s="208"/>
      <c r="O967" s="208" t="s">
        <v>29</v>
      </c>
      <c r="P967" s="208"/>
      <c r="Q967" s="207"/>
      <c r="R967" s="208"/>
    </row>
    <row r="968" spans="1:18">
      <c r="A968" s="277">
        <v>871</v>
      </c>
      <c r="B968" s="278">
        <v>46226</v>
      </c>
      <c r="C968" s="208" t="s">
        <v>298</v>
      </c>
      <c r="D968" s="208" t="s">
        <v>467</v>
      </c>
      <c r="E968" s="208" t="s">
        <v>338</v>
      </c>
      <c r="F968" s="208">
        <v>2026</v>
      </c>
      <c r="G968" s="208">
        <v>1.5</v>
      </c>
      <c r="H968" s="208" t="s">
        <v>99</v>
      </c>
      <c r="I968" s="208" t="s">
        <v>100</v>
      </c>
      <c r="J968" s="208" t="s">
        <v>373</v>
      </c>
      <c r="K968" s="208" t="s">
        <v>104</v>
      </c>
      <c r="L968" s="208" t="s">
        <v>862</v>
      </c>
      <c r="M968" s="208">
        <v>1.5</v>
      </c>
      <c r="N968" s="208"/>
      <c r="O968" s="208" t="s">
        <v>70</v>
      </c>
      <c r="P968" s="208"/>
      <c r="Q968" s="207"/>
      <c r="R968" s="208"/>
    </row>
    <row r="969" spans="1:18">
      <c r="A969" s="277">
        <v>872</v>
      </c>
      <c r="B969" s="278">
        <v>46227</v>
      </c>
      <c r="C969" s="208" t="s">
        <v>301</v>
      </c>
      <c r="D969" s="208" t="s">
        <v>740</v>
      </c>
      <c r="E969" s="208" t="s">
        <v>338</v>
      </c>
      <c r="F969" s="208">
        <v>2026</v>
      </c>
      <c r="G969" s="208">
        <v>8</v>
      </c>
      <c r="H969" s="208" t="s">
        <v>161</v>
      </c>
      <c r="I969" s="208" t="s">
        <v>644</v>
      </c>
      <c r="J969" s="208" t="s">
        <v>438</v>
      </c>
      <c r="K969" s="208" t="s">
        <v>101</v>
      </c>
      <c r="L969" s="208" t="s">
        <v>741</v>
      </c>
      <c r="M969" s="208">
        <v>8</v>
      </c>
      <c r="N969" s="208"/>
      <c r="O969" s="208" t="s">
        <v>163</v>
      </c>
      <c r="P969" s="208"/>
      <c r="Q969" s="207"/>
      <c r="R969" s="208"/>
    </row>
    <row r="970" spans="1:18">
      <c r="A970" s="277">
        <v>873</v>
      </c>
      <c r="B970" s="278">
        <v>46227</v>
      </c>
      <c r="C970" s="208" t="s">
        <v>301</v>
      </c>
      <c r="D970" s="208" t="s">
        <v>767</v>
      </c>
      <c r="E970" s="208" t="s">
        <v>338</v>
      </c>
      <c r="F970" s="208">
        <v>2026</v>
      </c>
      <c r="G970" s="208">
        <v>1.5</v>
      </c>
      <c r="H970" s="208" t="s">
        <v>201</v>
      </c>
      <c r="I970" s="208" t="s">
        <v>202</v>
      </c>
      <c r="J970" s="208" t="s">
        <v>373</v>
      </c>
      <c r="K970" s="208" t="s">
        <v>101</v>
      </c>
      <c r="L970" s="208" t="s">
        <v>894</v>
      </c>
      <c r="M970" s="208">
        <v>1.5</v>
      </c>
      <c r="N970" s="208"/>
      <c r="O970" s="208" t="s">
        <v>881</v>
      </c>
      <c r="P970" s="208"/>
      <c r="Q970" s="207"/>
      <c r="R970" s="208"/>
    </row>
    <row r="971" spans="1:18">
      <c r="A971" s="277"/>
      <c r="B971" s="278">
        <v>46227</v>
      </c>
      <c r="C971" s="208" t="s">
        <v>301</v>
      </c>
      <c r="D971" s="208" t="s">
        <v>715</v>
      </c>
      <c r="E971" s="208" t="s">
        <v>338</v>
      </c>
      <c r="F971" s="208">
        <v>2026</v>
      </c>
      <c r="G971" s="208">
        <v>2</v>
      </c>
      <c r="H971" s="208" t="s">
        <v>196</v>
      </c>
      <c r="I971" s="208" t="s">
        <v>197</v>
      </c>
      <c r="J971" s="208" t="s">
        <v>687</v>
      </c>
      <c r="K971" s="208" t="s">
        <v>101</v>
      </c>
      <c r="L971" s="208" t="s">
        <v>746</v>
      </c>
      <c r="M971" s="208">
        <v>2</v>
      </c>
      <c r="N971" s="208"/>
      <c r="O971" s="208"/>
      <c r="P971" s="208"/>
      <c r="Q971" s="207"/>
      <c r="R971" s="208"/>
    </row>
    <row r="972" spans="1:18">
      <c r="A972" s="277">
        <v>874</v>
      </c>
      <c r="B972" s="278">
        <v>46227</v>
      </c>
      <c r="C972" s="208" t="s">
        <v>301</v>
      </c>
      <c r="D972" s="208" t="s">
        <v>895</v>
      </c>
      <c r="E972" s="208" t="s">
        <v>338</v>
      </c>
      <c r="F972" s="208">
        <v>2026</v>
      </c>
      <c r="G972" s="208">
        <v>2.5</v>
      </c>
      <c r="H972" s="208" t="s">
        <v>115</v>
      </c>
      <c r="I972" s="208" t="s">
        <v>437</v>
      </c>
      <c r="J972" s="208" t="s">
        <v>438</v>
      </c>
      <c r="K972" s="208" t="s">
        <v>101</v>
      </c>
      <c r="L972" s="208" t="s">
        <v>896</v>
      </c>
      <c r="M972" s="208">
        <v>2.5</v>
      </c>
      <c r="N972" s="208"/>
      <c r="O972" s="208" t="s">
        <v>164</v>
      </c>
      <c r="P972" s="208"/>
      <c r="Q972" s="207"/>
      <c r="R972" s="208"/>
    </row>
    <row r="973" spans="1:18">
      <c r="A973" s="277">
        <v>875</v>
      </c>
      <c r="B973" s="278">
        <v>46230</v>
      </c>
      <c r="C973" s="208" t="s">
        <v>302</v>
      </c>
      <c r="D973" s="208" t="s">
        <v>767</v>
      </c>
      <c r="E973" s="208" t="s">
        <v>338</v>
      </c>
      <c r="F973" s="208">
        <v>2026</v>
      </c>
      <c r="G973" s="208">
        <v>1.5</v>
      </c>
      <c r="H973" s="208" t="s">
        <v>201</v>
      </c>
      <c r="I973" s="208" t="s">
        <v>202</v>
      </c>
      <c r="J973" s="208" t="s">
        <v>373</v>
      </c>
      <c r="K973" s="208" t="s">
        <v>101</v>
      </c>
      <c r="L973" s="208" t="s">
        <v>897</v>
      </c>
      <c r="M973" s="208">
        <v>1.5</v>
      </c>
      <c r="N973" s="208"/>
      <c r="O973" s="208" t="s">
        <v>881</v>
      </c>
      <c r="P973" s="208"/>
      <c r="Q973" s="207"/>
      <c r="R973" s="208"/>
    </row>
    <row r="974" spans="1:18">
      <c r="A974" s="277">
        <v>876</v>
      </c>
      <c r="B974" s="278">
        <v>46230</v>
      </c>
      <c r="C974" s="208" t="s">
        <v>302</v>
      </c>
      <c r="D974" s="208" t="s">
        <v>715</v>
      </c>
      <c r="E974" s="208" t="s">
        <v>338</v>
      </c>
      <c r="F974" s="208">
        <v>2026</v>
      </c>
      <c r="G974" s="208">
        <v>2</v>
      </c>
      <c r="H974" s="208" t="s">
        <v>196</v>
      </c>
      <c r="I974" s="208" t="s">
        <v>197</v>
      </c>
      <c r="J974" s="208" t="s">
        <v>687</v>
      </c>
      <c r="K974" s="208" t="s">
        <v>101</v>
      </c>
      <c r="L974" s="208" t="s">
        <v>898</v>
      </c>
      <c r="M974" s="208">
        <v>2</v>
      </c>
      <c r="N974" s="208"/>
      <c r="O974" s="208" t="s">
        <v>254</v>
      </c>
      <c r="P974" s="208"/>
      <c r="Q974" s="207"/>
      <c r="R974" s="208"/>
    </row>
    <row r="975" spans="1:18">
      <c r="A975" s="277">
        <v>877</v>
      </c>
      <c r="B975" s="278">
        <v>46230</v>
      </c>
      <c r="C975" s="208" t="s">
        <v>302</v>
      </c>
      <c r="D975" s="208" t="s">
        <v>638</v>
      </c>
      <c r="E975" s="208" t="s">
        <v>338</v>
      </c>
      <c r="F975" s="208">
        <v>2026</v>
      </c>
      <c r="G975" s="208">
        <v>2.5</v>
      </c>
      <c r="H975" s="208" t="s">
        <v>132</v>
      </c>
      <c r="I975" s="208" t="s">
        <v>183</v>
      </c>
      <c r="J975" s="208" t="s">
        <v>623</v>
      </c>
      <c r="K975" s="208" t="s">
        <v>101</v>
      </c>
      <c r="L975" s="208" t="s">
        <v>891</v>
      </c>
      <c r="M975" s="208">
        <v>2.5</v>
      </c>
      <c r="N975" s="208"/>
      <c r="O975" s="208" t="s">
        <v>164</v>
      </c>
      <c r="P975" s="208"/>
      <c r="Q975" s="207"/>
      <c r="R975" s="208"/>
    </row>
    <row r="976" spans="1:18">
      <c r="A976" s="277">
        <v>878</v>
      </c>
      <c r="B976" s="278">
        <v>46231</v>
      </c>
      <c r="C976" s="208" t="s">
        <v>289</v>
      </c>
      <c r="D976" s="208" t="s">
        <v>661</v>
      </c>
      <c r="E976" s="208" t="s">
        <v>338</v>
      </c>
      <c r="F976" s="208">
        <v>2026</v>
      </c>
      <c r="G976" s="208">
        <v>2</v>
      </c>
      <c r="H976" s="208" t="s">
        <v>132</v>
      </c>
      <c r="I976" s="208" t="s">
        <v>158</v>
      </c>
      <c r="J976" s="208" t="s">
        <v>360</v>
      </c>
      <c r="K976" s="208" t="s">
        <v>101</v>
      </c>
      <c r="L976" s="208" t="s">
        <v>899</v>
      </c>
      <c r="M976" s="208">
        <v>2</v>
      </c>
      <c r="N976" s="208"/>
      <c r="O976" s="208" t="s">
        <v>811</v>
      </c>
      <c r="P976" s="208"/>
      <c r="Q976" s="207"/>
      <c r="R976" s="208"/>
    </row>
    <row r="977" spans="1:18">
      <c r="A977" s="277">
        <v>879</v>
      </c>
      <c r="B977" s="278">
        <v>46231</v>
      </c>
      <c r="C977" s="208" t="s">
        <v>289</v>
      </c>
      <c r="D977" s="208" t="s">
        <v>715</v>
      </c>
      <c r="E977" s="208" t="s">
        <v>338</v>
      </c>
      <c r="F977" s="208">
        <v>2026</v>
      </c>
      <c r="G977" s="208">
        <v>2</v>
      </c>
      <c r="H977" s="208" t="s">
        <v>196</v>
      </c>
      <c r="I977" s="208" t="s">
        <v>197</v>
      </c>
      <c r="J977" s="208" t="s">
        <v>687</v>
      </c>
      <c r="K977" s="208" t="s">
        <v>101</v>
      </c>
      <c r="L977" s="208" t="s">
        <v>900</v>
      </c>
      <c r="M977" s="208">
        <v>2</v>
      </c>
      <c r="N977" s="208"/>
      <c r="O977" s="208" t="s">
        <v>254</v>
      </c>
      <c r="P977" s="208"/>
      <c r="Q977" s="207"/>
      <c r="R977" s="208"/>
    </row>
    <row r="978" spans="1:18">
      <c r="A978" s="277">
        <v>880</v>
      </c>
      <c r="B978" s="278">
        <v>46231</v>
      </c>
      <c r="C978" s="208" t="s">
        <v>289</v>
      </c>
      <c r="D978" s="208" t="s">
        <v>655</v>
      </c>
      <c r="E978" s="208" t="s">
        <v>338</v>
      </c>
      <c r="F978" s="208">
        <v>2026</v>
      </c>
      <c r="G978" s="208">
        <v>3</v>
      </c>
      <c r="H978" s="208" t="s">
        <v>115</v>
      </c>
      <c r="I978" s="208" t="s">
        <v>437</v>
      </c>
      <c r="J978" s="208" t="s">
        <v>438</v>
      </c>
      <c r="K978" s="208" t="s">
        <v>101</v>
      </c>
      <c r="L978" s="208" t="s">
        <v>901</v>
      </c>
      <c r="M978" s="208">
        <v>3</v>
      </c>
      <c r="N978" s="208"/>
      <c r="O978" s="208" t="s">
        <v>164</v>
      </c>
      <c r="P978" s="208"/>
      <c r="Q978" s="207"/>
      <c r="R978" s="208"/>
    </row>
    <row r="979" spans="1:18">
      <c r="A979" s="277">
        <v>881</v>
      </c>
      <c r="B979" s="278">
        <v>46231</v>
      </c>
      <c r="C979" s="208" t="s">
        <v>289</v>
      </c>
      <c r="D979" s="208" t="s">
        <v>841</v>
      </c>
      <c r="E979" s="208" t="s">
        <v>338</v>
      </c>
      <c r="F979" s="208">
        <v>2026</v>
      </c>
      <c r="G979" s="208">
        <v>3</v>
      </c>
      <c r="H979" s="208" t="s">
        <v>99</v>
      </c>
      <c r="I979" s="208" t="s">
        <v>108</v>
      </c>
      <c r="J979" s="208" t="s">
        <v>366</v>
      </c>
      <c r="K979" s="208" t="s">
        <v>101</v>
      </c>
      <c r="L979" s="208" t="s">
        <v>887</v>
      </c>
      <c r="M979" s="208">
        <v>3</v>
      </c>
      <c r="N979" s="208"/>
      <c r="O979" s="208" t="s">
        <v>112</v>
      </c>
      <c r="P979" s="208"/>
      <c r="Q979" s="207"/>
      <c r="R979" s="208"/>
    </row>
    <row r="980" spans="1:18">
      <c r="A980" s="277">
        <v>882</v>
      </c>
      <c r="B980" s="278">
        <v>46231</v>
      </c>
      <c r="C980" s="208" t="s">
        <v>289</v>
      </c>
      <c r="D980" s="208" t="s">
        <v>843</v>
      </c>
      <c r="E980" s="208" t="s">
        <v>338</v>
      </c>
      <c r="F980" s="208">
        <v>2026</v>
      </c>
      <c r="G980" s="208">
        <v>3</v>
      </c>
      <c r="H980" s="208" t="s">
        <v>99</v>
      </c>
      <c r="I980" s="208" t="s">
        <v>108</v>
      </c>
      <c r="J980" s="208" t="s">
        <v>366</v>
      </c>
      <c r="K980" s="208" t="s">
        <v>10</v>
      </c>
      <c r="L980" s="208" t="s">
        <v>887</v>
      </c>
      <c r="M980" s="208">
        <v>3</v>
      </c>
      <c r="N980" s="208"/>
      <c r="O980" s="208" t="s">
        <v>63</v>
      </c>
      <c r="P980" s="208"/>
      <c r="Q980" s="207"/>
      <c r="R980" s="208"/>
    </row>
    <row r="981" spans="1:18">
      <c r="A981" s="277">
        <v>883</v>
      </c>
      <c r="B981" s="278">
        <v>46231</v>
      </c>
      <c r="C981" s="208" t="s">
        <v>289</v>
      </c>
      <c r="D981" s="208" t="s">
        <v>844</v>
      </c>
      <c r="E981" s="208" t="s">
        <v>338</v>
      </c>
      <c r="F981" s="208">
        <v>2026</v>
      </c>
      <c r="G981" s="208">
        <v>3</v>
      </c>
      <c r="H981" s="208" t="s">
        <v>99</v>
      </c>
      <c r="I981" s="208" t="s">
        <v>108</v>
      </c>
      <c r="J981" s="208" t="s">
        <v>366</v>
      </c>
      <c r="K981" s="208" t="s">
        <v>104</v>
      </c>
      <c r="L981" s="208" t="s">
        <v>887</v>
      </c>
      <c r="M981" s="208">
        <v>3</v>
      </c>
      <c r="N981" s="208"/>
      <c r="O981" s="208" t="s">
        <v>109</v>
      </c>
      <c r="P981" s="208"/>
      <c r="Q981" s="207"/>
      <c r="R981" s="208"/>
    </row>
    <row r="982" spans="1:18">
      <c r="A982" s="277">
        <v>884</v>
      </c>
      <c r="B982" s="278">
        <v>46231</v>
      </c>
      <c r="C982" s="208" t="s">
        <v>289</v>
      </c>
      <c r="D982" s="208" t="s">
        <v>532</v>
      </c>
      <c r="E982" s="208" t="s">
        <v>338</v>
      </c>
      <c r="F982" s="208">
        <v>2026</v>
      </c>
      <c r="G982" s="208">
        <v>1.5</v>
      </c>
      <c r="H982" s="208" t="s">
        <v>99</v>
      </c>
      <c r="I982" s="208" t="s">
        <v>100</v>
      </c>
      <c r="J982" s="208" t="s">
        <v>373</v>
      </c>
      <c r="K982" s="208" t="s">
        <v>10</v>
      </c>
      <c r="L982" s="208" t="s">
        <v>862</v>
      </c>
      <c r="M982" s="208">
        <v>1.5</v>
      </c>
      <c r="N982" s="208"/>
      <c r="O982" s="208" t="s">
        <v>29</v>
      </c>
      <c r="P982" s="208"/>
      <c r="Q982" s="207"/>
      <c r="R982" s="208"/>
    </row>
    <row r="983" spans="1:18">
      <c r="A983" s="277"/>
      <c r="B983" s="278">
        <v>46231</v>
      </c>
      <c r="C983" s="208" t="s">
        <v>289</v>
      </c>
      <c r="D983" s="208"/>
      <c r="E983" s="208" t="s">
        <v>338</v>
      </c>
      <c r="F983" s="208">
        <v>2026</v>
      </c>
      <c r="G983" s="208">
        <v>1.5</v>
      </c>
      <c r="H983" s="208" t="s">
        <v>99</v>
      </c>
      <c r="I983" s="208" t="s">
        <v>100</v>
      </c>
      <c r="J983" s="208" t="s">
        <v>373</v>
      </c>
      <c r="K983" s="208" t="s">
        <v>104</v>
      </c>
      <c r="L983" s="208" t="s">
        <v>427</v>
      </c>
      <c r="M983" s="208">
        <v>1.5</v>
      </c>
      <c r="N983" s="208"/>
      <c r="O983" s="208"/>
      <c r="P983" s="208"/>
      <c r="Q983" s="207"/>
      <c r="R983" s="208"/>
    </row>
    <row r="984" spans="1:18">
      <c r="A984" s="277"/>
      <c r="B984" s="278">
        <v>46231</v>
      </c>
      <c r="C984" s="208" t="s">
        <v>289</v>
      </c>
      <c r="D984" s="208"/>
      <c r="E984" s="208" t="s">
        <v>338</v>
      </c>
      <c r="F984" s="208">
        <v>2026</v>
      </c>
      <c r="G984" s="208">
        <v>2.5</v>
      </c>
      <c r="H984" s="208" t="s">
        <v>99</v>
      </c>
      <c r="I984" s="208" t="s">
        <v>100</v>
      </c>
      <c r="J984" s="208" t="s">
        <v>373</v>
      </c>
      <c r="K984" s="208" t="s">
        <v>106</v>
      </c>
      <c r="L984" s="208" t="s">
        <v>888</v>
      </c>
      <c r="M984" s="208">
        <v>2.5</v>
      </c>
      <c r="N984" s="208"/>
      <c r="O984" s="208"/>
      <c r="P984" s="208"/>
      <c r="Q984" s="207"/>
      <c r="R984" s="208"/>
    </row>
    <row r="985" spans="1:18">
      <c r="A985" s="277">
        <v>885</v>
      </c>
      <c r="B985" s="278">
        <v>46232</v>
      </c>
      <c r="C985" s="208" t="s">
        <v>294</v>
      </c>
      <c r="D985" s="208" t="s">
        <v>767</v>
      </c>
      <c r="E985" s="208" t="s">
        <v>338</v>
      </c>
      <c r="F985" s="208">
        <v>2026</v>
      </c>
      <c r="G985" s="208">
        <v>1.5</v>
      </c>
      <c r="H985" s="208" t="s">
        <v>201</v>
      </c>
      <c r="I985" s="208" t="s">
        <v>202</v>
      </c>
      <c r="J985" s="208" t="s">
        <v>373</v>
      </c>
      <c r="K985" s="208" t="s">
        <v>101</v>
      </c>
      <c r="L985" s="208" t="s">
        <v>902</v>
      </c>
      <c r="M985" s="208">
        <v>1.5</v>
      </c>
      <c r="N985" s="208"/>
      <c r="O985" s="208" t="s">
        <v>881</v>
      </c>
      <c r="P985" s="208"/>
      <c r="Q985" s="207"/>
      <c r="R985" s="208"/>
    </row>
    <row r="986" spans="1:18">
      <c r="A986" s="277">
        <v>886</v>
      </c>
      <c r="B986" s="278">
        <v>46232</v>
      </c>
      <c r="C986" s="208" t="s">
        <v>294</v>
      </c>
      <c r="D986" s="208" t="s">
        <v>661</v>
      </c>
      <c r="E986" s="208" t="s">
        <v>338</v>
      </c>
      <c r="F986" s="208">
        <v>2026</v>
      </c>
      <c r="G986" s="208">
        <v>2.5</v>
      </c>
      <c r="H986" s="208" t="s">
        <v>132</v>
      </c>
      <c r="I986" s="208" t="s">
        <v>158</v>
      </c>
      <c r="J986" s="208" t="s">
        <v>360</v>
      </c>
      <c r="K986" s="208" t="s">
        <v>101</v>
      </c>
      <c r="L986" s="208" t="s">
        <v>899</v>
      </c>
      <c r="M986" s="208">
        <v>2</v>
      </c>
      <c r="N986" s="208"/>
      <c r="O986" s="208" t="s">
        <v>811</v>
      </c>
      <c r="P986" s="208"/>
      <c r="Q986" s="207"/>
      <c r="R986" s="208"/>
    </row>
    <row r="987" spans="1:18">
      <c r="A987" s="277">
        <v>887</v>
      </c>
      <c r="B987" s="278">
        <v>46232</v>
      </c>
      <c r="C987" s="208" t="s">
        <v>294</v>
      </c>
      <c r="D987" s="208" t="s">
        <v>638</v>
      </c>
      <c r="E987" s="208" t="s">
        <v>338</v>
      </c>
      <c r="F987" s="208">
        <v>2026</v>
      </c>
      <c r="G987" s="208">
        <v>2.5</v>
      </c>
      <c r="H987" s="208" t="s">
        <v>132</v>
      </c>
      <c r="I987" s="208" t="s">
        <v>183</v>
      </c>
      <c r="J987" s="208" t="s">
        <v>623</v>
      </c>
      <c r="K987" s="208" t="s">
        <v>101</v>
      </c>
      <c r="L987" s="208" t="s">
        <v>903</v>
      </c>
      <c r="M987" s="208">
        <v>2.5</v>
      </c>
      <c r="N987" s="208"/>
      <c r="O987" s="208" t="s">
        <v>164</v>
      </c>
      <c r="P987" s="208"/>
      <c r="Q987" s="207"/>
      <c r="R987" s="208"/>
    </row>
    <row r="988" spans="1:18">
      <c r="A988" s="277">
        <v>888</v>
      </c>
      <c r="B988" s="278">
        <v>46232</v>
      </c>
      <c r="C988" s="208" t="s">
        <v>294</v>
      </c>
      <c r="D988" s="208" t="s">
        <v>844</v>
      </c>
      <c r="E988" s="208" t="s">
        <v>338</v>
      </c>
      <c r="F988" s="208">
        <v>2026</v>
      </c>
      <c r="G988" s="208">
        <v>3</v>
      </c>
      <c r="H988" s="208" t="s">
        <v>99</v>
      </c>
      <c r="I988" s="208" t="s">
        <v>108</v>
      </c>
      <c r="J988" s="208" t="s">
        <v>366</v>
      </c>
      <c r="K988" s="208" t="s">
        <v>106</v>
      </c>
      <c r="L988" s="208" t="s">
        <v>887</v>
      </c>
      <c r="M988" s="208">
        <v>3</v>
      </c>
      <c r="N988" s="208"/>
      <c r="O988" s="208" t="s">
        <v>91</v>
      </c>
      <c r="P988" s="208"/>
      <c r="Q988" s="207"/>
      <c r="R988" s="208"/>
    </row>
    <row r="989" spans="1:18">
      <c r="A989" s="277">
        <v>889</v>
      </c>
      <c r="B989" s="278">
        <v>46233</v>
      </c>
      <c r="C989" s="208" t="s">
        <v>298</v>
      </c>
      <c r="D989" s="208" t="s">
        <v>661</v>
      </c>
      <c r="E989" s="208" t="s">
        <v>338</v>
      </c>
      <c r="F989" s="208">
        <v>2026</v>
      </c>
      <c r="G989" s="208">
        <v>2.5</v>
      </c>
      <c r="H989" s="208" t="s">
        <v>132</v>
      </c>
      <c r="I989" s="208" t="s">
        <v>158</v>
      </c>
      <c r="J989" s="208" t="s">
        <v>360</v>
      </c>
      <c r="K989" s="208" t="s">
        <v>101</v>
      </c>
      <c r="L989" s="208" t="s">
        <v>904</v>
      </c>
      <c r="M989" s="208">
        <v>2.5</v>
      </c>
      <c r="N989" s="208"/>
      <c r="O989" s="208" t="s">
        <v>811</v>
      </c>
      <c r="P989" s="208"/>
      <c r="Q989" s="207"/>
      <c r="R989" s="208"/>
    </row>
    <row r="990" spans="1:18">
      <c r="A990" s="277">
        <v>890</v>
      </c>
      <c r="B990" s="278">
        <v>46233</v>
      </c>
      <c r="C990" s="208" t="s">
        <v>298</v>
      </c>
      <c r="D990" s="208" t="s">
        <v>532</v>
      </c>
      <c r="E990" s="208" t="s">
        <v>338</v>
      </c>
      <c r="F990" s="208">
        <v>2026</v>
      </c>
      <c r="G990" s="208">
        <v>1.5</v>
      </c>
      <c r="H990" s="208" t="s">
        <v>99</v>
      </c>
      <c r="I990" s="208" t="s">
        <v>100</v>
      </c>
      <c r="J990" s="208" t="s">
        <v>373</v>
      </c>
      <c r="K990" s="208" t="s">
        <v>10</v>
      </c>
      <c r="L990" s="208" t="s">
        <v>871</v>
      </c>
      <c r="M990" s="208">
        <v>1.5</v>
      </c>
      <c r="N990" s="208"/>
      <c r="O990" s="208" t="s">
        <v>29</v>
      </c>
      <c r="P990" s="208"/>
      <c r="Q990" s="207"/>
      <c r="R990" s="208"/>
    </row>
    <row r="991" spans="1:18">
      <c r="A991" s="277">
        <v>891</v>
      </c>
      <c r="B991" s="278">
        <v>46233</v>
      </c>
      <c r="C991" s="208" t="s">
        <v>298</v>
      </c>
      <c r="D991" s="208" t="s">
        <v>467</v>
      </c>
      <c r="E991" s="208" t="s">
        <v>338</v>
      </c>
      <c r="F991" s="208">
        <v>2026</v>
      </c>
      <c r="G991" s="208">
        <v>1.5</v>
      </c>
      <c r="H991" s="208" t="s">
        <v>99</v>
      </c>
      <c r="I991" s="208" t="s">
        <v>100</v>
      </c>
      <c r="J991" s="208" t="s">
        <v>373</v>
      </c>
      <c r="K991" s="208" t="s">
        <v>104</v>
      </c>
      <c r="L991" s="208" t="s">
        <v>871</v>
      </c>
      <c r="M991" s="208">
        <v>1.5</v>
      </c>
      <c r="N991" s="208"/>
      <c r="O991" s="208" t="s">
        <v>70</v>
      </c>
      <c r="P991" s="208"/>
      <c r="Q991" s="207"/>
      <c r="R991" s="208"/>
    </row>
    <row r="992" spans="1:18">
      <c r="A992" s="277"/>
      <c r="B992" s="278">
        <v>46233</v>
      </c>
      <c r="C992" s="208" t="s">
        <v>298</v>
      </c>
      <c r="D992" s="208"/>
      <c r="E992" s="208" t="s">
        <v>338</v>
      </c>
      <c r="F992" s="208">
        <v>2026</v>
      </c>
      <c r="G992" s="208">
        <v>2.5</v>
      </c>
      <c r="H992" s="208" t="s">
        <v>99</v>
      </c>
      <c r="I992" s="208" t="s">
        <v>100</v>
      </c>
      <c r="J992" s="208" t="s">
        <v>373</v>
      </c>
      <c r="K992" s="208" t="s">
        <v>106</v>
      </c>
      <c r="L992" s="208" t="s">
        <v>888</v>
      </c>
      <c r="M992" s="208">
        <v>2.5</v>
      </c>
      <c r="N992" s="208"/>
      <c r="O992" s="208"/>
      <c r="P992" s="208"/>
      <c r="Q992" s="207"/>
      <c r="R992" s="208"/>
    </row>
    <row r="993" spans="1:18">
      <c r="A993" s="277">
        <v>892</v>
      </c>
      <c r="B993" s="278">
        <v>46234</v>
      </c>
      <c r="C993" s="208" t="s">
        <v>301</v>
      </c>
      <c r="D993" s="208" t="s">
        <v>767</v>
      </c>
      <c r="E993" s="208" t="s">
        <v>338</v>
      </c>
      <c r="F993" s="208">
        <v>2026</v>
      </c>
      <c r="G993" s="208">
        <v>1.5</v>
      </c>
      <c r="H993" s="208" t="s">
        <v>201</v>
      </c>
      <c r="I993" s="208" t="s">
        <v>202</v>
      </c>
      <c r="J993" s="208" t="s">
        <v>373</v>
      </c>
      <c r="K993" s="208" t="s">
        <v>101</v>
      </c>
      <c r="L993" s="208" t="s">
        <v>905</v>
      </c>
      <c r="M993" s="208">
        <v>1.5</v>
      </c>
      <c r="N993" s="208"/>
      <c r="O993" s="208" t="s">
        <v>881</v>
      </c>
      <c r="P993" s="208"/>
      <c r="Q993" s="207"/>
      <c r="R993" s="208"/>
    </row>
    <row r="994" spans="1:18">
      <c r="A994" s="277">
        <v>893</v>
      </c>
      <c r="B994" s="278">
        <v>46234</v>
      </c>
      <c r="C994" s="208" t="s">
        <v>301</v>
      </c>
      <c r="D994" s="208" t="s">
        <v>655</v>
      </c>
      <c r="E994" s="208" t="s">
        <v>338</v>
      </c>
      <c r="F994" s="208">
        <v>2026</v>
      </c>
      <c r="G994" s="208">
        <v>1.5</v>
      </c>
      <c r="H994" s="208" t="s">
        <v>115</v>
      </c>
      <c r="I994" s="208" t="s">
        <v>437</v>
      </c>
      <c r="J994" s="208" t="s">
        <v>438</v>
      </c>
      <c r="K994" s="208" t="s">
        <v>101</v>
      </c>
      <c r="L994" s="208" t="s">
        <v>595</v>
      </c>
      <c r="M994" s="208">
        <v>1.5</v>
      </c>
      <c r="N994" s="208"/>
      <c r="O994" s="208" t="s">
        <v>164</v>
      </c>
      <c r="P994" s="208"/>
      <c r="Q994" s="207"/>
      <c r="R994" s="208"/>
    </row>
    <row r="995" spans="1:18">
      <c r="A995" s="277"/>
      <c r="B995" s="278">
        <v>46237</v>
      </c>
      <c r="C995" s="208" t="s">
        <v>302</v>
      </c>
      <c r="D995" s="208"/>
      <c r="E995" s="208" t="s">
        <v>342</v>
      </c>
      <c r="F995" s="208">
        <v>2026</v>
      </c>
      <c r="G995" s="208"/>
      <c r="H995" s="208" t="s">
        <v>201</v>
      </c>
      <c r="I995" s="208" t="s">
        <v>202</v>
      </c>
      <c r="J995" s="208" t="s">
        <v>373</v>
      </c>
      <c r="K995" s="208" t="s">
        <v>101</v>
      </c>
      <c r="L995" s="208" t="s">
        <v>391</v>
      </c>
      <c r="M995" s="208"/>
      <c r="N995" s="208"/>
      <c r="O995" s="208"/>
      <c r="P995" s="208"/>
      <c r="Q995" s="207"/>
      <c r="R995" s="208"/>
    </row>
    <row r="996" spans="1:18">
      <c r="A996" s="277">
        <v>894</v>
      </c>
      <c r="B996" s="278">
        <v>46237</v>
      </c>
      <c r="C996" s="208" t="s">
        <v>302</v>
      </c>
      <c r="D996" s="208" t="s">
        <v>715</v>
      </c>
      <c r="E996" s="208" t="s">
        <v>342</v>
      </c>
      <c r="F996" s="208">
        <v>2026</v>
      </c>
      <c r="G996" s="208">
        <v>2</v>
      </c>
      <c r="H996" s="208" t="s">
        <v>196</v>
      </c>
      <c r="I996" s="208" t="s">
        <v>197</v>
      </c>
      <c r="J996" s="208" t="s">
        <v>687</v>
      </c>
      <c r="K996" s="208" t="s">
        <v>101</v>
      </c>
      <c r="L996" s="208" t="s">
        <v>906</v>
      </c>
      <c r="M996" s="208">
        <v>2</v>
      </c>
      <c r="N996" s="208"/>
      <c r="O996" s="208" t="s">
        <v>881</v>
      </c>
      <c r="P996" s="208"/>
      <c r="Q996" s="207"/>
      <c r="R996" s="208"/>
    </row>
    <row r="997" spans="1:18">
      <c r="A997" s="277">
        <v>895</v>
      </c>
      <c r="B997" s="278">
        <v>46237</v>
      </c>
      <c r="C997" s="208" t="s">
        <v>302</v>
      </c>
      <c r="D997" s="208" t="s">
        <v>638</v>
      </c>
      <c r="E997" s="208" t="s">
        <v>342</v>
      </c>
      <c r="F997" s="208">
        <v>2026</v>
      </c>
      <c r="G997" s="208">
        <v>2.5</v>
      </c>
      <c r="H997" s="208" t="s">
        <v>132</v>
      </c>
      <c r="I997" s="208" t="s">
        <v>183</v>
      </c>
      <c r="J997" s="208" t="s">
        <v>623</v>
      </c>
      <c r="K997" s="208" t="s">
        <v>101</v>
      </c>
      <c r="L997" s="208" t="s">
        <v>907</v>
      </c>
      <c r="M997" s="208">
        <v>2.5</v>
      </c>
      <c r="N997" s="208"/>
      <c r="O997" s="208" t="s">
        <v>164</v>
      </c>
      <c r="P997" s="208"/>
      <c r="Q997" s="207"/>
      <c r="R997" s="208"/>
    </row>
    <row r="998" spans="1:18">
      <c r="A998" s="277">
        <v>896</v>
      </c>
      <c r="B998" s="278">
        <v>46238</v>
      </c>
      <c r="C998" s="208" t="s">
        <v>289</v>
      </c>
      <c r="D998" s="208" t="s">
        <v>661</v>
      </c>
      <c r="E998" s="208" t="s">
        <v>342</v>
      </c>
      <c r="F998" s="208">
        <v>2026</v>
      </c>
      <c r="G998" s="208">
        <v>2.5</v>
      </c>
      <c r="H998" s="208" t="s">
        <v>132</v>
      </c>
      <c r="I998" s="208" t="s">
        <v>158</v>
      </c>
      <c r="J998" s="208" t="s">
        <v>360</v>
      </c>
      <c r="K998" s="208" t="s">
        <v>101</v>
      </c>
      <c r="L998" s="208" t="s">
        <v>908</v>
      </c>
      <c r="M998" s="208">
        <v>2.5</v>
      </c>
      <c r="N998" s="208"/>
      <c r="O998" s="208" t="s">
        <v>23</v>
      </c>
      <c r="P998" s="208"/>
      <c r="Q998" s="207"/>
      <c r="R998" s="208"/>
    </row>
    <row r="999" spans="1:18">
      <c r="A999" s="277">
        <v>897</v>
      </c>
      <c r="B999" s="278">
        <v>46238</v>
      </c>
      <c r="C999" s="208" t="s">
        <v>289</v>
      </c>
      <c r="D999" s="208" t="s">
        <v>715</v>
      </c>
      <c r="E999" s="208" t="s">
        <v>342</v>
      </c>
      <c r="F999" s="208">
        <v>2026</v>
      </c>
      <c r="G999" s="208">
        <v>2</v>
      </c>
      <c r="H999" s="208" t="s">
        <v>196</v>
      </c>
      <c r="I999" s="208" t="s">
        <v>197</v>
      </c>
      <c r="J999" s="208" t="s">
        <v>687</v>
      </c>
      <c r="K999" s="208" t="s">
        <v>101</v>
      </c>
      <c r="L999" s="208" t="s">
        <v>909</v>
      </c>
      <c r="M999" s="208">
        <v>2</v>
      </c>
      <c r="N999" s="208"/>
      <c r="O999" s="208" t="s">
        <v>881</v>
      </c>
      <c r="P999" s="208"/>
      <c r="Q999" s="207"/>
      <c r="R999" s="208"/>
    </row>
    <row r="1000" spans="1:18">
      <c r="A1000" s="277">
        <v>898</v>
      </c>
      <c r="B1000" s="278">
        <v>46238</v>
      </c>
      <c r="C1000" s="208" t="s">
        <v>289</v>
      </c>
      <c r="D1000" s="208" t="s">
        <v>655</v>
      </c>
      <c r="E1000" s="208" t="s">
        <v>342</v>
      </c>
      <c r="F1000" s="208">
        <v>2026</v>
      </c>
      <c r="G1000" s="208">
        <v>1.5</v>
      </c>
      <c r="H1000" s="208" t="s">
        <v>115</v>
      </c>
      <c r="I1000" s="208" t="s">
        <v>437</v>
      </c>
      <c r="J1000" s="208" t="s">
        <v>438</v>
      </c>
      <c r="K1000" s="208" t="s">
        <v>101</v>
      </c>
      <c r="L1000" s="208" t="s">
        <v>910</v>
      </c>
      <c r="M1000" s="208">
        <v>1.5</v>
      </c>
      <c r="N1000" s="208"/>
      <c r="O1000" s="208" t="s">
        <v>164</v>
      </c>
      <c r="P1000" s="208"/>
      <c r="Q1000" s="207"/>
      <c r="R1000" s="208"/>
    </row>
    <row r="1001" spans="1:18" ht="30.75">
      <c r="A1001" s="277"/>
      <c r="B1001" s="278">
        <v>46238</v>
      </c>
      <c r="C1001" s="208" t="s">
        <v>289</v>
      </c>
      <c r="D1001" s="208"/>
      <c r="E1001" s="208" t="s">
        <v>342</v>
      </c>
      <c r="F1001" s="208">
        <v>2026</v>
      </c>
      <c r="G1001" s="208"/>
      <c r="H1001" s="208" t="s">
        <v>99</v>
      </c>
      <c r="I1001" s="208" t="s">
        <v>108</v>
      </c>
      <c r="J1001" s="208" t="s">
        <v>366</v>
      </c>
      <c r="K1001" s="208" t="s">
        <v>101</v>
      </c>
      <c r="L1001" s="279" t="s">
        <v>911</v>
      </c>
      <c r="M1001" s="208"/>
      <c r="N1001" s="208"/>
      <c r="O1001" s="208"/>
      <c r="P1001" s="208"/>
      <c r="Q1001" s="207"/>
      <c r="R1001" s="208"/>
    </row>
    <row r="1002" spans="1:18">
      <c r="A1002" s="277"/>
      <c r="B1002" s="278">
        <v>46238</v>
      </c>
      <c r="C1002" s="208" t="s">
        <v>289</v>
      </c>
      <c r="D1002" s="208"/>
      <c r="E1002" s="208" t="s">
        <v>342</v>
      </c>
      <c r="F1002" s="208">
        <v>2026</v>
      </c>
      <c r="G1002" s="208"/>
      <c r="H1002" s="208" t="s">
        <v>99</v>
      </c>
      <c r="I1002" s="208" t="s">
        <v>108</v>
      </c>
      <c r="J1002" s="208" t="s">
        <v>366</v>
      </c>
      <c r="K1002" s="208" t="s">
        <v>10</v>
      </c>
      <c r="L1002" s="208" t="s">
        <v>912</v>
      </c>
      <c r="M1002" s="208"/>
      <c r="N1002" s="208"/>
      <c r="O1002" s="208"/>
      <c r="P1002" s="208"/>
      <c r="Q1002" s="207"/>
      <c r="R1002" s="208"/>
    </row>
    <row r="1003" spans="1:18">
      <c r="A1003" s="277"/>
      <c r="B1003" s="278">
        <v>46238</v>
      </c>
      <c r="C1003" s="208" t="s">
        <v>289</v>
      </c>
      <c r="D1003" s="208" t="s">
        <v>844</v>
      </c>
      <c r="E1003" s="208" t="s">
        <v>342</v>
      </c>
      <c r="F1003" s="208">
        <v>2026</v>
      </c>
      <c r="G1003" s="208"/>
      <c r="H1003" s="208" t="s">
        <v>99</v>
      </c>
      <c r="I1003" s="208" t="s">
        <v>108</v>
      </c>
      <c r="J1003" s="208" t="s">
        <v>366</v>
      </c>
      <c r="K1003" s="208" t="s">
        <v>104</v>
      </c>
      <c r="L1003" s="208" t="s">
        <v>912</v>
      </c>
      <c r="M1003" s="208"/>
      <c r="N1003" s="208"/>
      <c r="O1003" s="208"/>
      <c r="P1003" s="208"/>
      <c r="Q1003" s="207"/>
      <c r="R1003" s="208"/>
    </row>
    <row r="1004" spans="1:18">
      <c r="A1004" s="277"/>
      <c r="B1004" s="278">
        <v>46238</v>
      </c>
      <c r="C1004" s="208" t="s">
        <v>289</v>
      </c>
      <c r="D1004" s="208" t="s">
        <v>844</v>
      </c>
      <c r="E1004" s="208" t="s">
        <v>342</v>
      </c>
      <c r="F1004" s="208">
        <v>2026</v>
      </c>
      <c r="G1004" s="208"/>
      <c r="H1004" s="208" t="s">
        <v>99</v>
      </c>
      <c r="I1004" s="208" t="s">
        <v>108</v>
      </c>
      <c r="J1004" s="208" t="s">
        <v>366</v>
      </c>
      <c r="K1004" s="208" t="s">
        <v>106</v>
      </c>
      <c r="L1004" s="208" t="s">
        <v>912</v>
      </c>
      <c r="M1004" s="208"/>
      <c r="N1004" s="208"/>
      <c r="O1004" s="208"/>
      <c r="P1004" s="208"/>
      <c r="Q1004" s="207"/>
      <c r="R1004" s="208"/>
    </row>
    <row r="1005" spans="1:18">
      <c r="A1005" s="277">
        <v>899</v>
      </c>
      <c r="B1005" s="278">
        <v>46238</v>
      </c>
      <c r="C1005" s="208" t="s">
        <v>289</v>
      </c>
      <c r="D1005" s="208" t="s">
        <v>532</v>
      </c>
      <c r="E1005" s="208" t="s">
        <v>342</v>
      </c>
      <c r="F1005" s="208">
        <v>2026</v>
      </c>
      <c r="G1005" s="208">
        <v>1.5</v>
      </c>
      <c r="H1005" s="208" t="s">
        <v>99</v>
      </c>
      <c r="I1005" s="208" t="s">
        <v>100</v>
      </c>
      <c r="J1005" s="208" t="s">
        <v>373</v>
      </c>
      <c r="K1005" s="208" t="s">
        <v>10</v>
      </c>
      <c r="L1005" s="208" t="s">
        <v>877</v>
      </c>
      <c r="M1005" s="208">
        <v>2.5</v>
      </c>
      <c r="N1005" s="208"/>
      <c r="O1005" s="208" t="s">
        <v>29</v>
      </c>
      <c r="P1005" s="208"/>
      <c r="Q1005" s="207"/>
      <c r="R1005" s="208"/>
    </row>
    <row r="1006" spans="1:18">
      <c r="A1006" s="277">
        <v>900</v>
      </c>
      <c r="B1006" s="278">
        <v>46238</v>
      </c>
      <c r="C1006" s="208" t="s">
        <v>289</v>
      </c>
      <c r="D1006" s="208" t="s">
        <v>467</v>
      </c>
      <c r="E1006" s="208" t="s">
        <v>342</v>
      </c>
      <c r="F1006" s="208">
        <v>2026</v>
      </c>
      <c r="G1006" s="208">
        <v>1.5</v>
      </c>
      <c r="H1006" s="208" t="s">
        <v>99</v>
      </c>
      <c r="I1006" s="208" t="s">
        <v>100</v>
      </c>
      <c r="J1006" s="208" t="s">
        <v>373</v>
      </c>
      <c r="K1006" s="208" t="s">
        <v>104</v>
      </c>
      <c r="L1006" s="208" t="s">
        <v>877</v>
      </c>
      <c r="M1006" s="208">
        <v>1.5</v>
      </c>
      <c r="N1006" s="208"/>
      <c r="O1006" s="208" t="s">
        <v>70</v>
      </c>
      <c r="P1006" s="208"/>
      <c r="Q1006" s="207"/>
      <c r="R1006" s="208"/>
    </row>
    <row r="1007" spans="1:18">
      <c r="A1007" s="277"/>
      <c r="B1007" s="278">
        <v>46238</v>
      </c>
      <c r="C1007" s="208" t="s">
        <v>289</v>
      </c>
      <c r="D1007" s="208"/>
      <c r="E1007" s="208" t="s">
        <v>342</v>
      </c>
      <c r="F1007" s="208">
        <v>2026</v>
      </c>
      <c r="G1007" s="208"/>
      <c r="H1007" s="208" t="s">
        <v>99</v>
      </c>
      <c r="I1007" s="208" t="s">
        <v>100</v>
      </c>
      <c r="J1007" s="208" t="s">
        <v>373</v>
      </c>
      <c r="K1007" s="208" t="s">
        <v>106</v>
      </c>
      <c r="L1007" s="208" t="s">
        <v>427</v>
      </c>
      <c r="M1007" s="208"/>
      <c r="N1007" s="208"/>
      <c r="O1007" s="208"/>
      <c r="P1007" s="208"/>
      <c r="Q1007" s="207"/>
      <c r="R1007" s="208"/>
    </row>
    <row r="1008" spans="1:18">
      <c r="A1008" s="277">
        <v>901</v>
      </c>
      <c r="B1008" s="278">
        <v>46239</v>
      </c>
      <c r="C1008" s="208" t="s">
        <v>294</v>
      </c>
      <c r="D1008" s="208" t="s">
        <v>767</v>
      </c>
      <c r="E1008" s="208" t="s">
        <v>342</v>
      </c>
      <c r="F1008" s="208">
        <v>2026</v>
      </c>
      <c r="G1008" s="208">
        <v>1.5</v>
      </c>
      <c r="H1008" s="208" t="s">
        <v>201</v>
      </c>
      <c r="I1008" s="208" t="s">
        <v>202</v>
      </c>
      <c r="J1008" s="208" t="s">
        <v>373</v>
      </c>
      <c r="K1008" s="208" t="s">
        <v>101</v>
      </c>
      <c r="L1008" s="208" t="s">
        <v>913</v>
      </c>
      <c r="M1008" s="208">
        <v>1.5</v>
      </c>
      <c r="N1008" s="208"/>
      <c r="O1008" s="208" t="s">
        <v>769</v>
      </c>
      <c r="P1008" s="208" t="s">
        <v>266</v>
      </c>
      <c r="Q1008" s="207"/>
      <c r="R1008" s="208"/>
    </row>
    <row r="1009" spans="1:18">
      <c r="A1009" s="277">
        <v>902</v>
      </c>
      <c r="B1009" s="278">
        <v>46239</v>
      </c>
      <c r="C1009" s="208" t="s">
        <v>294</v>
      </c>
      <c r="D1009" s="208" t="s">
        <v>661</v>
      </c>
      <c r="E1009" s="208" t="s">
        <v>342</v>
      </c>
      <c r="F1009" s="208">
        <v>2026</v>
      </c>
      <c r="G1009" s="208">
        <v>2.5</v>
      </c>
      <c r="H1009" s="208" t="s">
        <v>132</v>
      </c>
      <c r="I1009" s="208" t="s">
        <v>158</v>
      </c>
      <c r="J1009" s="208" t="s">
        <v>360</v>
      </c>
      <c r="K1009" s="208" t="s">
        <v>101</v>
      </c>
      <c r="L1009" s="208" t="s">
        <v>914</v>
      </c>
      <c r="M1009" s="208">
        <v>2.5</v>
      </c>
      <c r="N1009" s="208"/>
      <c r="O1009" s="208" t="s">
        <v>23</v>
      </c>
      <c r="P1009" s="208"/>
      <c r="Q1009" s="207"/>
      <c r="R1009" s="208"/>
    </row>
    <row r="1010" spans="1:18" ht="45.75">
      <c r="A1010" s="277">
        <v>903</v>
      </c>
      <c r="B1010" s="278">
        <v>46239</v>
      </c>
      <c r="C1010" s="208" t="s">
        <v>294</v>
      </c>
      <c r="D1010" s="208" t="s">
        <v>638</v>
      </c>
      <c r="E1010" s="208" t="s">
        <v>342</v>
      </c>
      <c r="F1010" s="208">
        <v>2026</v>
      </c>
      <c r="G1010" s="208">
        <v>2.5</v>
      </c>
      <c r="H1010" s="208" t="s">
        <v>132</v>
      </c>
      <c r="I1010" s="208" t="s">
        <v>183</v>
      </c>
      <c r="J1010" s="208" t="s">
        <v>623</v>
      </c>
      <c r="K1010" s="208" t="s">
        <v>101</v>
      </c>
      <c r="L1010" s="279" t="s">
        <v>915</v>
      </c>
      <c r="M1010" s="208">
        <v>2.5</v>
      </c>
      <c r="N1010" s="208"/>
      <c r="O1010" s="208" t="s">
        <v>164</v>
      </c>
      <c r="P1010" s="208"/>
      <c r="Q1010" s="207"/>
      <c r="R1010" s="208"/>
    </row>
    <row r="1011" spans="1:18">
      <c r="A1011" s="277">
        <v>904</v>
      </c>
      <c r="B1011" s="278">
        <v>46240</v>
      </c>
      <c r="C1011" s="208" t="s">
        <v>298</v>
      </c>
      <c r="D1011" s="208" t="s">
        <v>661</v>
      </c>
      <c r="E1011" s="208" t="s">
        <v>342</v>
      </c>
      <c r="F1011" s="208">
        <v>2026</v>
      </c>
      <c r="G1011" s="208">
        <v>2.5</v>
      </c>
      <c r="H1011" s="208" t="s">
        <v>132</v>
      </c>
      <c r="I1011" s="208" t="s">
        <v>158</v>
      </c>
      <c r="J1011" s="208" t="s">
        <v>360</v>
      </c>
      <c r="K1011" s="208" t="s">
        <v>101</v>
      </c>
      <c r="L1011" s="208" t="s">
        <v>916</v>
      </c>
      <c r="M1011" s="208">
        <v>2.5</v>
      </c>
      <c r="N1011" s="208"/>
      <c r="O1011" s="208" t="s">
        <v>23</v>
      </c>
      <c r="P1011" s="208"/>
      <c r="Q1011" s="207"/>
      <c r="R1011" s="208"/>
    </row>
    <row r="1012" spans="1:18">
      <c r="A1012" s="277">
        <v>905</v>
      </c>
      <c r="B1012" s="278">
        <v>46240</v>
      </c>
      <c r="C1012" s="208" t="s">
        <v>298</v>
      </c>
      <c r="D1012" s="208"/>
      <c r="E1012" s="208" t="s">
        <v>342</v>
      </c>
      <c r="F1012" s="208"/>
      <c r="G1012" s="208">
        <v>1.5</v>
      </c>
      <c r="H1012" s="208"/>
      <c r="I1012" s="208"/>
      <c r="J1012" s="208"/>
      <c r="K1012" s="208"/>
      <c r="L1012" s="208" t="s">
        <v>917</v>
      </c>
      <c r="M1012" s="208">
        <v>1.5</v>
      </c>
      <c r="N1012" s="208"/>
      <c r="O1012" s="208" t="s">
        <v>164</v>
      </c>
      <c r="P1012" s="208"/>
      <c r="Q1012" s="207"/>
      <c r="R1012" s="208"/>
    </row>
    <row r="1013" spans="1:18">
      <c r="A1013" s="277">
        <v>906</v>
      </c>
      <c r="B1013" s="278">
        <v>46240</v>
      </c>
      <c r="C1013" s="208" t="s">
        <v>298</v>
      </c>
      <c r="D1013" s="208" t="s">
        <v>456</v>
      </c>
      <c r="E1013" s="208" t="s">
        <v>342</v>
      </c>
      <c r="F1013" s="208"/>
      <c r="G1013" s="208"/>
      <c r="H1013" s="208"/>
      <c r="I1013" s="208" t="s">
        <v>100</v>
      </c>
      <c r="J1013" s="208"/>
      <c r="K1013" s="208"/>
      <c r="L1013" s="208" t="s">
        <v>668</v>
      </c>
      <c r="M1013" s="208"/>
      <c r="N1013" s="208"/>
      <c r="O1013" s="208" t="s">
        <v>102</v>
      </c>
      <c r="P1013" s="208"/>
      <c r="Q1013" s="207"/>
      <c r="R1013" s="208"/>
    </row>
    <row r="1014" spans="1:18">
      <c r="A1014" s="277">
        <v>907</v>
      </c>
      <c r="B1014" s="278">
        <v>46240</v>
      </c>
      <c r="C1014" s="208" t="s">
        <v>298</v>
      </c>
      <c r="D1014" s="208" t="s">
        <v>532</v>
      </c>
      <c r="E1014" s="208" t="s">
        <v>342</v>
      </c>
      <c r="F1014" s="208">
        <v>2026</v>
      </c>
      <c r="G1014" s="208">
        <v>2.5</v>
      </c>
      <c r="H1014" s="208" t="s">
        <v>99</v>
      </c>
      <c r="I1014" s="208" t="s">
        <v>100</v>
      </c>
      <c r="J1014" s="208" t="s">
        <v>373</v>
      </c>
      <c r="K1014" s="208" t="s">
        <v>10</v>
      </c>
      <c r="L1014" s="208" t="s">
        <v>888</v>
      </c>
      <c r="M1014" s="208">
        <v>2.5</v>
      </c>
      <c r="N1014" s="208"/>
      <c r="O1014" s="208" t="s">
        <v>29</v>
      </c>
      <c r="P1014" s="208"/>
      <c r="Q1014" s="207"/>
      <c r="R1014" s="208"/>
    </row>
    <row r="1015" spans="1:18">
      <c r="A1015" s="277"/>
      <c r="B1015" s="278">
        <v>46240</v>
      </c>
      <c r="C1015" s="208" t="s">
        <v>298</v>
      </c>
      <c r="D1015" s="208"/>
      <c r="E1015" s="208" t="s">
        <v>342</v>
      </c>
      <c r="F1015" s="208">
        <v>2026</v>
      </c>
      <c r="G1015" s="208">
        <v>2.5</v>
      </c>
      <c r="H1015" s="208" t="s">
        <v>99</v>
      </c>
      <c r="I1015" s="208" t="s">
        <v>100</v>
      </c>
      <c r="J1015" s="208" t="s">
        <v>373</v>
      </c>
      <c r="K1015" s="208" t="s">
        <v>104</v>
      </c>
      <c r="L1015" s="208" t="s">
        <v>888</v>
      </c>
      <c r="M1015" s="208">
        <v>2.5</v>
      </c>
      <c r="N1015" s="208"/>
      <c r="O1015" s="208"/>
      <c r="P1015" s="208"/>
      <c r="Q1015" s="207"/>
      <c r="R1015" s="208"/>
    </row>
    <row r="1016" spans="1:18">
      <c r="A1016" s="277">
        <v>908</v>
      </c>
      <c r="B1016" s="278">
        <v>46240</v>
      </c>
      <c r="C1016" s="208" t="s">
        <v>298</v>
      </c>
      <c r="D1016" s="208" t="s">
        <v>430</v>
      </c>
      <c r="E1016" s="208" t="s">
        <v>342</v>
      </c>
      <c r="F1016" s="208">
        <v>2026</v>
      </c>
      <c r="G1016" s="208"/>
      <c r="H1016" s="208" t="s">
        <v>99</v>
      </c>
      <c r="I1016" s="208" t="s">
        <v>100</v>
      </c>
      <c r="J1016" s="208" t="s">
        <v>373</v>
      </c>
      <c r="K1016" s="208" t="s">
        <v>106</v>
      </c>
      <c r="L1016" s="208" t="s">
        <v>668</v>
      </c>
      <c r="M1016" s="208"/>
      <c r="N1016" s="208"/>
      <c r="O1016" s="208" t="s">
        <v>432</v>
      </c>
      <c r="P1016" s="208"/>
      <c r="Q1016" s="207"/>
      <c r="R1016" s="208"/>
    </row>
    <row r="1017" spans="1:18">
      <c r="A1017" s="277">
        <v>909</v>
      </c>
      <c r="B1017" s="278">
        <v>46241</v>
      </c>
      <c r="C1017" s="208" t="s">
        <v>301</v>
      </c>
      <c r="D1017" s="208" t="s">
        <v>767</v>
      </c>
      <c r="E1017" s="208" t="s">
        <v>342</v>
      </c>
      <c r="F1017" s="208">
        <v>2026</v>
      </c>
      <c r="G1017" s="208">
        <v>1.5</v>
      </c>
      <c r="H1017" s="208" t="s">
        <v>201</v>
      </c>
      <c r="I1017" s="208" t="s">
        <v>202</v>
      </c>
      <c r="J1017" s="208" t="s">
        <v>373</v>
      </c>
      <c r="K1017" s="208" t="s">
        <v>101</v>
      </c>
      <c r="L1017" s="208" t="s">
        <v>918</v>
      </c>
      <c r="M1017" s="208">
        <v>1.5</v>
      </c>
      <c r="N1017" s="208"/>
      <c r="O1017" s="208" t="s">
        <v>769</v>
      </c>
      <c r="P1017" s="208" t="s">
        <v>266</v>
      </c>
      <c r="Q1017" s="207"/>
      <c r="R1017" s="208"/>
    </row>
    <row r="1018" spans="1:18">
      <c r="A1018" s="277"/>
      <c r="B1018" s="278">
        <v>46241</v>
      </c>
      <c r="C1018" s="208" t="s">
        <v>301</v>
      </c>
      <c r="D1018" s="208" t="s">
        <v>715</v>
      </c>
      <c r="E1018" s="208" t="s">
        <v>342</v>
      </c>
      <c r="F1018" s="208">
        <v>2026</v>
      </c>
      <c r="G1018" s="208">
        <v>2</v>
      </c>
      <c r="H1018" s="208" t="s">
        <v>196</v>
      </c>
      <c r="I1018" s="208" t="s">
        <v>197</v>
      </c>
      <c r="J1018" s="208" t="s">
        <v>687</v>
      </c>
      <c r="K1018" s="208" t="s">
        <v>101</v>
      </c>
      <c r="L1018" s="208" t="s">
        <v>746</v>
      </c>
      <c r="M1018" s="208">
        <v>2</v>
      </c>
      <c r="N1018" s="208"/>
      <c r="O1018" s="208"/>
      <c r="P1018" s="208"/>
      <c r="Q1018" s="207"/>
      <c r="R1018" s="208"/>
    </row>
    <row r="1019" spans="1:18">
      <c r="A1019" s="277">
        <v>910</v>
      </c>
      <c r="B1019" s="278">
        <v>46241</v>
      </c>
      <c r="C1019" s="208" t="s">
        <v>301</v>
      </c>
      <c r="D1019" s="208"/>
      <c r="E1019" s="208" t="s">
        <v>342</v>
      </c>
      <c r="F1019" s="208">
        <v>2026</v>
      </c>
      <c r="G1019" s="208"/>
      <c r="H1019" s="208" t="s">
        <v>132</v>
      </c>
      <c r="I1019" s="208" t="s">
        <v>183</v>
      </c>
      <c r="J1019" s="208" t="s">
        <v>623</v>
      </c>
      <c r="K1019" s="208" t="s">
        <v>101</v>
      </c>
      <c r="L1019" s="208" t="s">
        <v>818</v>
      </c>
      <c r="M1019" s="208"/>
      <c r="N1019" s="208"/>
      <c r="O1019" s="208" t="s">
        <v>819</v>
      </c>
      <c r="P1019" s="208"/>
      <c r="Q1019" s="207"/>
      <c r="R1019" s="208"/>
    </row>
    <row r="1020" spans="1:18">
      <c r="A1020" s="277">
        <v>911</v>
      </c>
      <c r="B1020" s="278">
        <v>46241</v>
      </c>
      <c r="C1020" s="208" t="s">
        <v>301</v>
      </c>
      <c r="D1020" s="208"/>
      <c r="E1020" s="208" t="s">
        <v>342</v>
      </c>
      <c r="F1020" s="208"/>
      <c r="G1020" s="208"/>
      <c r="H1020" s="208"/>
      <c r="I1020" s="208"/>
      <c r="J1020" s="208"/>
      <c r="K1020" s="208"/>
      <c r="L1020" s="208" t="s">
        <v>919</v>
      </c>
      <c r="M1020" s="208"/>
      <c r="N1020" s="208"/>
      <c r="O1020" s="208" t="s">
        <v>164</v>
      </c>
      <c r="P1020" s="208"/>
      <c r="Q1020" s="207"/>
      <c r="R1020" s="208"/>
    </row>
    <row r="1021" spans="1:18">
      <c r="A1021" s="277">
        <v>912</v>
      </c>
      <c r="B1021" s="278">
        <v>46244</v>
      </c>
      <c r="C1021" s="208" t="s">
        <v>302</v>
      </c>
      <c r="D1021" s="208" t="s">
        <v>715</v>
      </c>
      <c r="E1021" s="208" t="s">
        <v>342</v>
      </c>
      <c r="F1021" s="208">
        <v>2026</v>
      </c>
      <c r="G1021" s="208">
        <v>2</v>
      </c>
      <c r="H1021" s="208" t="s">
        <v>196</v>
      </c>
      <c r="I1021" s="208" t="s">
        <v>197</v>
      </c>
      <c r="J1021" s="208" t="s">
        <v>687</v>
      </c>
      <c r="K1021" s="208" t="s">
        <v>101</v>
      </c>
      <c r="L1021" s="208" t="s">
        <v>920</v>
      </c>
      <c r="M1021" s="208">
        <v>2</v>
      </c>
      <c r="N1021" s="208"/>
      <c r="O1021" s="208" t="s">
        <v>881</v>
      </c>
      <c r="P1021" s="208"/>
      <c r="Q1021" s="207"/>
      <c r="R1021" s="208"/>
    </row>
    <row r="1022" spans="1:18" ht="45.75">
      <c r="A1022" s="277">
        <v>913</v>
      </c>
      <c r="B1022" s="278">
        <v>46244</v>
      </c>
      <c r="C1022" s="208" t="s">
        <v>302</v>
      </c>
      <c r="D1022" s="208" t="s">
        <v>638</v>
      </c>
      <c r="E1022" s="208" t="s">
        <v>342</v>
      </c>
      <c r="F1022" s="208">
        <v>2026</v>
      </c>
      <c r="G1022" s="208">
        <v>2.5</v>
      </c>
      <c r="H1022" s="208" t="s">
        <v>132</v>
      </c>
      <c r="I1022" s="208" t="s">
        <v>183</v>
      </c>
      <c r="J1022" s="208" t="s">
        <v>623</v>
      </c>
      <c r="K1022" s="208" t="s">
        <v>101</v>
      </c>
      <c r="L1022" s="279" t="s">
        <v>915</v>
      </c>
      <c r="M1022" s="208">
        <v>2.5</v>
      </c>
      <c r="N1022" s="208"/>
      <c r="O1022" s="208" t="s">
        <v>164</v>
      </c>
      <c r="P1022" s="208"/>
      <c r="Q1022" s="207"/>
      <c r="R1022" s="208"/>
    </row>
    <row r="1023" spans="1:18">
      <c r="A1023" s="277">
        <v>914</v>
      </c>
      <c r="B1023" s="278">
        <v>46245</v>
      </c>
      <c r="C1023" s="208" t="s">
        <v>289</v>
      </c>
      <c r="D1023" s="208" t="s">
        <v>661</v>
      </c>
      <c r="E1023" s="208" t="s">
        <v>342</v>
      </c>
      <c r="F1023" s="208">
        <v>2026</v>
      </c>
      <c r="G1023" s="208">
        <v>2.5</v>
      </c>
      <c r="H1023" s="208" t="s">
        <v>132</v>
      </c>
      <c r="I1023" s="208" t="s">
        <v>158</v>
      </c>
      <c r="J1023" s="208" t="s">
        <v>360</v>
      </c>
      <c r="K1023" s="208" t="s">
        <v>101</v>
      </c>
      <c r="L1023" s="208" t="s">
        <v>921</v>
      </c>
      <c r="M1023" s="208">
        <v>2.5</v>
      </c>
      <c r="N1023" s="208"/>
      <c r="O1023" s="208" t="s">
        <v>23</v>
      </c>
      <c r="P1023" s="208"/>
      <c r="Q1023" s="207"/>
      <c r="R1023" s="208"/>
    </row>
    <row r="1024" spans="1:18">
      <c r="A1024" s="277">
        <v>915</v>
      </c>
      <c r="B1024" s="278">
        <v>46245</v>
      </c>
      <c r="C1024" s="208" t="s">
        <v>289</v>
      </c>
      <c r="D1024" s="208" t="s">
        <v>715</v>
      </c>
      <c r="E1024" s="208" t="s">
        <v>342</v>
      </c>
      <c r="F1024" s="208">
        <v>2026</v>
      </c>
      <c r="G1024" s="208">
        <v>2</v>
      </c>
      <c r="H1024" s="208" t="s">
        <v>196</v>
      </c>
      <c r="I1024" s="208" t="s">
        <v>197</v>
      </c>
      <c r="J1024" s="208" t="s">
        <v>687</v>
      </c>
      <c r="K1024" s="208" t="s">
        <v>101</v>
      </c>
      <c r="L1024" s="208" t="s">
        <v>922</v>
      </c>
      <c r="M1024" s="208">
        <v>2</v>
      </c>
      <c r="N1024" s="208"/>
      <c r="O1024" s="208" t="s">
        <v>881</v>
      </c>
      <c r="P1024" s="208"/>
      <c r="Q1024" s="207"/>
      <c r="R1024" s="208"/>
    </row>
    <row r="1025" spans="1:18">
      <c r="A1025" s="277">
        <v>916</v>
      </c>
      <c r="B1025" s="278">
        <v>46245</v>
      </c>
      <c r="C1025" s="208" t="s">
        <v>289</v>
      </c>
      <c r="D1025" s="208" t="s">
        <v>456</v>
      </c>
      <c r="E1025" s="208" t="s">
        <v>342</v>
      </c>
      <c r="F1025" s="208"/>
      <c r="G1025" s="208"/>
      <c r="H1025" s="208"/>
      <c r="I1025" s="208" t="s">
        <v>100</v>
      </c>
      <c r="J1025" s="208"/>
      <c r="K1025" s="208"/>
      <c r="L1025" s="208" t="s">
        <v>923</v>
      </c>
      <c r="M1025" s="208"/>
      <c r="N1025" s="208"/>
      <c r="O1025" s="208" t="s">
        <v>102</v>
      </c>
      <c r="P1025" s="208"/>
      <c r="Q1025" s="207"/>
      <c r="R1025" s="208"/>
    </row>
    <row r="1026" spans="1:18">
      <c r="A1026" s="277">
        <v>917</v>
      </c>
      <c r="B1026" s="278">
        <v>46245</v>
      </c>
      <c r="C1026" s="208" t="s">
        <v>289</v>
      </c>
      <c r="D1026" s="208" t="s">
        <v>532</v>
      </c>
      <c r="E1026" s="208" t="s">
        <v>342</v>
      </c>
      <c r="F1026" s="208">
        <v>2026</v>
      </c>
      <c r="G1026" s="208">
        <v>2.5</v>
      </c>
      <c r="H1026" s="208" t="s">
        <v>99</v>
      </c>
      <c r="I1026" s="208" t="s">
        <v>100</v>
      </c>
      <c r="J1026" s="208" t="s">
        <v>373</v>
      </c>
      <c r="K1026" s="208" t="s">
        <v>10</v>
      </c>
      <c r="L1026" s="208" t="s">
        <v>888</v>
      </c>
      <c r="M1026" s="208"/>
      <c r="N1026" s="208"/>
      <c r="O1026" s="208" t="s">
        <v>29</v>
      </c>
      <c r="P1026" s="208"/>
      <c r="Q1026" s="207"/>
      <c r="R1026" s="208"/>
    </row>
    <row r="1027" spans="1:18">
      <c r="A1027" s="277"/>
      <c r="B1027" s="278">
        <v>46245</v>
      </c>
      <c r="C1027" s="208" t="s">
        <v>289</v>
      </c>
      <c r="D1027" s="208"/>
      <c r="E1027" s="208" t="s">
        <v>342</v>
      </c>
      <c r="F1027" s="208">
        <v>2026</v>
      </c>
      <c r="G1027" s="208">
        <v>2.5</v>
      </c>
      <c r="H1027" s="208" t="s">
        <v>99</v>
      </c>
      <c r="I1027" s="208" t="s">
        <v>100</v>
      </c>
      <c r="J1027" s="208" t="s">
        <v>373</v>
      </c>
      <c r="K1027" s="208" t="s">
        <v>104</v>
      </c>
      <c r="L1027" s="208" t="s">
        <v>888</v>
      </c>
      <c r="M1027" s="208">
        <v>2.5</v>
      </c>
      <c r="N1027" s="208"/>
      <c r="O1027" s="208"/>
      <c r="P1027" s="208"/>
      <c r="Q1027" s="207"/>
      <c r="R1027" s="208"/>
    </row>
    <row r="1028" spans="1:18">
      <c r="A1028" s="277"/>
      <c r="B1028" s="278">
        <v>46245</v>
      </c>
      <c r="C1028" s="208" t="s">
        <v>289</v>
      </c>
      <c r="D1028" s="208" t="s">
        <v>430</v>
      </c>
      <c r="E1028" s="208" t="s">
        <v>342</v>
      </c>
      <c r="F1028" s="208">
        <v>2026</v>
      </c>
      <c r="G1028" s="208"/>
      <c r="H1028" s="208" t="s">
        <v>99</v>
      </c>
      <c r="I1028" s="208" t="s">
        <v>100</v>
      </c>
      <c r="J1028" s="208" t="s">
        <v>373</v>
      </c>
      <c r="K1028" s="208" t="s">
        <v>104</v>
      </c>
      <c r="L1028" s="208" t="s">
        <v>923</v>
      </c>
      <c r="M1028" s="208"/>
      <c r="N1028" s="208"/>
      <c r="O1028" s="208"/>
      <c r="P1028" s="208"/>
      <c r="Q1028" s="207"/>
      <c r="R1028" s="208"/>
    </row>
    <row r="1029" spans="1:18">
      <c r="A1029" s="277">
        <v>918</v>
      </c>
      <c r="B1029" s="278">
        <v>46245</v>
      </c>
      <c r="C1029" s="208" t="s">
        <v>289</v>
      </c>
      <c r="D1029" s="208" t="s">
        <v>430</v>
      </c>
      <c r="E1029" s="208" t="s">
        <v>342</v>
      </c>
      <c r="F1029" s="208">
        <v>2026</v>
      </c>
      <c r="G1029" s="208"/>
      <c r="H1029" s="208" t="s">
        <v>99</v>
      </c>
      <c r="I1029" s="208" t="s">
        <v>100</v>
      </c>
      <c r="J1029" s="208" t="s">
        <v>373</v>
      </c>
      <c r="K1029" s="208" t="s">
        <v>106</v>
      </c>
      <c r="L1029" s="208" t="s">
        <v>923</v>
      </c>
      <c r="M1029" s="208"/>
      <c r="N1029" s="208"/>
      <c r="O1029" s="208" t="s">
        <v>432</v>
      </c>
      <c r="P1029" s="208"/>
      <c r="Q1029" s="207"/>
      <c r="R1029" s="208"/>
    </row>
    <row r="1030" spans="1:18">
      <c r="A1030" s="277">
        <v>919</v>
      </c>
      <c r="B1030" s="278">
        <v>46246</v>
      </c>
      <c r="C1030" s="208" t="s">
        <v>294</v>
      </c>
      <c r="D1030" s="208" t="s">
        <v>661</v>
      </c>
      <c r="E1030" s="208" t="s">
        <v>342</v>
      </c>
      <c r="F1030" s="208">
        <v>2026</v>
      </c>
      <c r="G1030" s="208">
        <v>2.5</v>
      </c>
      <c r="H1030" s="208" t="s">
        <v>132</v>
      </c>
      <c r="I1030" s="208" t="s">
        <v>158</v>
      </c>
      <c r="J1030" s="208" t="s">
        <v>360</v>
      </c>
      <c r="K1030" s="208" t="s">
        <v>101</v>
      </c>
      <c r="L1030" s="208" t="s">
        <v>924</v>
      </c>
      <c r="M1030" s="208">
        <v>2.5</v>
      </c>
      <c r="N1030" s="208"/>
      <c r="O1030" s="208" t="s">
        <v>23</v>
      </c>
      <c r="P1030" s="208"/>
      <c r="Q1030" s="207"/>
      <c r="R1030" s="208"/>
    </row>
    <row r="1031" spans="1:18">
      <c r="A1031" s="277">
        <v>920</v>
      </c>
      <c r="B1031" s="278">
        <v>46247</v>
      </c>
      <c r="C1031" s="208" t="s">
        <v>298</v>
      </c>
      <c r="D1031" s="208" t="s">
        <v>661</v>
      </c>
      <c r="E1031" s="208" t="s">
        <v>342</v>
      </c>
      <c r="F1031" s="208">
        <v>2026</v>
      </c>
      <c r="G1031" s="208">
        <v>2.5</v>
      </c>
      <c r="H1031" s="208" t="s">
        <v>132</v>
      </c>
      <c r="I1031" s="208" t="s">
        <v>158</v>
      </c>
      <c r="J1031" s="208" t="s">
        <v>360</v>
      </c>
      <c r="K1031" s="208" t="s">
        <v>101</v>
      </c>
      <c r="L1031" s="208" t="s">
        <v>925</v>
      </c>
      <c r="M1031" s="208">
        <v>2.5</v>
      </c>
      <c r="N1031" s="208"/>
      <c r="O1031" s="208" t="s">
        <v>23</v>
      </c>
      <c r="P1031" s="208"/>
      <c r="Q1031" s="207"/>
      <c r="R1031" s="208"/>
    </row>
    <row r="1032" spans="1:18">
      <c r="A1032" s="277">
        <v>921</v>
      </c>
      <c r="B1032" s="278">
        <v>46247</v>
      </c>
      <c r="C1032" s="208" t="s">
        <v>298</v>
      </c>
      <c r="D1032" s="208" t="s">
        <v>715</v>
      </c>
      <c r="E1032" s="208" t="s">
        <v>342</v>
      </c>
      <c r="F1032" s="208">
        <v>2026</v>
      </c>
      <c r="G1032" s="208">
        <v>2</v>
      </c>
      <c r="H1032" s="208" t="s">
        <v>196</v>
      </c>
      <c r="I1032" s="208" t="s">
        <v>197</v>
      </c>
      <c r="J1032" s="208" t="s">
        <v>687</v>
      </c>
      <c r="K1032" s="208" t="s">
        <v>101</v>
      </c>
      <c r="L1032" s="208" t="s">
        <v>926</v>
      </c>
      <c r="M1032" s="208">
        <v>2</v>
      </c>
      <c r="N1032" s="208"/>
      <c r="O1032" s="208" t="s">
        <v>881</v>
      </c>
      <c r="P1032" s="208"/>
      <c r="Q1032" s="207"/>
      <c r="R1032" s="208"/>
    </row>
    <row r="1033" spans="1:18">
      <c r="A1033" s="277"/>
      <c r="B1033" s="278">
        <v>46247</v>
      </c>
      <c r="C1033" s="208" t="s">
        <v>298</v>
      </c>
      <c r="D1033" s="208" t="s">
        <v>467</v>
      </c>
      <c r="E1033" s="208" t="s">
        <v>342</v>
      </c>
      <c r="F1033" s="208">
        <v>2026</v>
      </c>
      <c r="G1033" s="208"/>
      <c r="H1033" s="208" t="s">
        <v>99</v>
      </c>
      <c r="I1033" s="208" t="s">
        <v>100</v>
      </c>
      <c r="J1033" s="208" t="s">
        <v>373</v>
      </c>
      <c r="K1033" s="208" t="s">
        <v>104</v>
      </c>
      <c r="L1033" s="208" t="s">
        <v>668</v>
      </c>
      <c r="M1033" s="208"/>
      <c r="N1033" s="208"/>
      <c r="O1033" s="208"/>
      <c r="P1033" s="208"/>
      <c r="Q1033" s="207"/>
      <c r="R1033" s="208"/>
    </row>
    <row r="1034" spans="1:18">
      <c r="A1034" s="277">
        <v>922</v>
      </c>
      <c r="B1034" s="278">
        <v>46251</v>
      </c>
      <c r="C1034" s="208" t="s">
        <v>302</v>
      </c>
      <c r="D1034" s="208" t="s">
        <v>715</v>
      </c>
      <c r="E1034" s="208" t="s">
        <v>342</v>
      </c>
      <c r="F1034" s="208">
        <v>2026</v>
      </c>
      <c r="G1034" s="208">
        <v>2</v>
      </c>
      <c r="H1034" s="208" t="s">
        <v>196</v>
      </c>
      <c r="I1034" s="208" t="s">
        <v>197</v>
      </c>
      <c r="J1034" s="208" t="s">
        <v>687</v>
      </c>
      <c r="K1034" s="208" t="s">
        <v>101</v>
      </c>
      <c r="L1034" s="208" t="s">
        <v>927</v>
      </c>
      <c r="M1034" s="208">
        <v>2</v>
      </c>
      <c r="N1034" s="208"/>
      <c r="O1034" s="208" t="s">
        <v>881</v>
      </c>
      <c r="P1034" s="208"/>
      <c r="Q1034" s="207"/>
      <c r="R1034" s="208"/>
    </row>
    <row r="1035" spans="1:18" ht="45.75">
      <c r="A1035" s="277">
        <v>923</v>
      </c>
      <c r="B1035" s="278">
        <v>46251</v>
      </c>
      <c r="C1035" s="208" t="s">
        <v>302</v>
      </c>
      <c r="D1035" s="208" t="s">
        <v>638</v>
      </c>
      <c r="E1035" s="208" t="s">
        <v>342</v>
      </c>
      <c r="F1035" s="208">
        <v>2026</v>
      </c>
      <c r="G1035" s="208">
        <v>2.5</v>
      </c>
      <c r="H1035" s="208" t="s">
        <v>132</v>
      </c>
      <c r="I1035" s="208" t="s">
        <v>183</v>
      </c>
      <c r="J1035" s="208" t="s">
        <v>623</v>
      </c>
      <c r="K1035" s="208" t="s">
        <v>101</v>
      </c>
      <c r="L1035" s="279" t="s">
        <v>915</v>
      </c>
      <c r="M1035" s="208">
        <v>2.5</v>
      </c>
      <c r="N1035" s="208"/>
      <c r="O1035" s="208" t="s">
        <v>164</v>
      </c>
      <c r="P1035" s="208"/>
      <c r="Q1035" s="207"/>
      <c r="R1035" s="208"/>
    </row>
    <row r="1036" spans="1:18">
      <c r="A1036" s="277"/>
      <c r="B1036" s="278">
        <v>46252</v>
      </c>
      <c r="C1036" s="208" t="s">
        <v>289</v>
      </c>
      <c r="D1036" s="208"/>
      <c r="E1036" s="208" t="s">
        <v>342</v>
      </c>
      <c r="F1036" s="208">
        <v>2026</v>
      </c>
      <c r="G1036" s="208"/>
      <c r="H1036" s="208" t="s">
        <v>132</v>
      </c>
      <c r="I1036" s="208" t="s">
        <v>158</v>
      </c>
      <c r="J1036" s="208" t="s">
        <v>360</v>
      </c>
      <c r="K1036" s="208" t="s">
        <v>101</v>
      </c>
      <c r="L1036" s="208" t="s">
        <v>391</v>
      </c>
      <c r="M1036" s="208"/>
      <c r="N1036" s="208"/>
      <c r="O1036" s="208"/>
      <c r="P1036" s="208"/>
      <c r="Q1036" s="207"/>
      <c r="R1036" s="208"/>
    </row>
    <row r="1037" spans="1:18">
      <c r="A1037" s="277">
        <v>924</v>
      </c>
      <c r="B1037" s="278">
        <v>46252</v>
      </c>
      <c r="C1037" s="208" t="s">
        <v>289</v>
      </c>
      <c r="D1037" s="208" t="s">
        <v>715</v>
      </c>
      <c r="E1037" s="208" t="s">
        <v>342</v>
      </c>
      <c r="F1037" s="208">
        <v>2026</v>
      </c>
      <c r="G1037" s="208">
        <v>2</v>
      </c>
      <c r="H1037" s="208" t="s">
        <v>196</v>
      </c>
      <c r="I1037" s="208" t="s">
        <v>197</v>
      </c>
      <c r="J1037" s="208" t="s">
        <v>687</v>
      </c>
      <c r="K1037" s="208" t="s">
        <v>101</v>
      </c>
      <c r="L1037" s="208" t="s">
        <v>928</v>
      </c>
      <c r="M1037" s="208">
        <v>2</v>
      </c>
      <c r="N1037" s="208"/>
      <c r="O1037" s="208" t="s">
        <v>881</v>
      </c>
      <c r="P1037" s="208"/>
      <c r="Q1037" s="207"/>
      <c r="R1037" s="208"/>
    </row>
    <row r="1038" spans="1:18">
      <c r="A1038" s="277">
        <v>925</v>
      </c>
      <c r="B1038" s="278">
        <v>46252</v>
      </c>
      <c r="C1038" s="208" t="s">
        <v>289</v>
      </c>
      <c r="D1038" s="208"/>
      <c r="E1038" s="208" t="s">
        <v>342</v>
      </c>
      <c r="F1038" s="208"/>
      <c r="G1038" s="208"/>
      <c r="H1038" s="208"/>
      <c r="I1038" s="208"/>
      <c r="J1038" s="208"/>
      <c r="K1038" s="208"/>
      <c r="L1038" s="208" t="s">
        <v>427</v>
      </c>
      <c r="M1038" s="208"/>
      <c r="N1038" s="208"/>
      <c r="O1038" s="208" t="s">
        <v>29</v>
      </c>
      <c r="P1038" s="208"/>
      <c r="Q1038" s="207"/>
      <c r="R1038" s="208"/>
    </row>
    <row r="1039" spans="1:18">
      <c r="A1039" s="277"/>
      <c r="B1039" s="278">
        <v>46252</v>
      </c>
      <c r="C1039" s="208" t="s">
        <v>289</v>
      </c>
      <c r="D1039" s="208" t="s">
        <v>467</v>
      </c>
      <c r="E1039" s="208" t="s">
        <v>342</v>
      </c>
      <c r="F1039" s="208">
        <v>2026</v>
      </c>
      <c r="G1039" s="208"/>
      <c r="H1039" s="208" t="s">
        <v>99</v>
      </c>
      <c r="I1039" s="208" t="s">
        <v>100</v>
      </c>
      <c r="J1039" s="208" t="s">
        <v>373</v>
      </c>
      <c r="K1039" s="208" t="s">
        <v>104</v>
      </c>
      <c r="L1039" s="208" t="s">
        <v>923</v>
      </c>
      <c r="M1039" s="208"/>
      <c r="N1039" s="208"/>
      <c r="O1039" s="208"/>
      <c r="P1039" s="208"/>
      <c r="Q1039" s="207"/>
      <c r="R1039" s="208"/>
    </row>
    <row r="1040" spans="1:18">
      <c r="A1040" s="277">
        <v>926</v>
      </c>
      <c r="B1040" s="278">
        <v>46253</v>
      </c>
      <c r="C1040" s="208" t="s">
        <v>294</v>
      </c>
      <c r="D1040" s="208"/>
      <c r="E1040" s="208" t="s">
        <v>342</v>
      </c>
      <c r="F1040" s="208">
        <v>2026</v>
      </c>
      <c r="G1040" s="208">
        <v>2</v>
      </c>
      <c r="H1040" s="208" t="s">
        <v>132</v>
      </c>
      <c r="I1040" s="208" t="s">
        <v>158</v>
      </c>
      <c r="J1040" s="208" t="s">
        <v>360</v>
      </c>
      <c r="K1040" s="208" t="s">
        <v>101</v>
      </c>
      <c r="L1040" s="208" t="s">
        <v>929</v>
      </c>
      <c r="M1040" s="208">
        <v>2</v>
      </c>
      <c r="N1040" s="208"/>
      <c r="O1040" s="208" t="s">
        <v>811</v>
      </c>
      <c r="P1040" s="208"/>
      <c r="Q1040" s="207"/>
      <c r="R1040" s="208"/>
    </row>
    <row r="1041" spans="1:18">
      <c r="A1041" s="277"/>
      <c r="B1041" s="278">
        <v>46253</v>
      </c>
      <c r="C1041" s="208" t="s">
        <v>294</v>
      </c>
      <c r="D1041" s="208" t="s">
        <v>638</v>
      </c>
      <c r="E1041" s="208" t="s">
        <v>342</v>
      </c>
      <c r="F1041" s="208">
        <v>2026</v>
      </c>
      <c r="G1041" s="208">
        <v>2.5</v>
      </c>
      <c r="H1041" s="208" t="s">
        <v>132</v>
      </c>
      <c r="I1041" s="208" t="s">
        <v>183</v>
      </c>
      <c r="J1041" s="208" t="s">
        <v>623</v>
      </c>
      <c r="K1041" s="208" t="s">
        <v>101</v>
      </c>
      <c r="L1041" s="208" t="s">
        <v>930</v>
      </c>
      <c r="M1041" s="208">
        <v>2.5</v>
      </c>
      <c r="N1041" s="208"/>
      <c r="O1041" s="208"/>
      <c r="P1041" s="208"/>
      <c r="Q1041" s="207"/>
      <c r="R1041" s="208"/>
    </row>
    <row r="1042" spans="1:18">
      <c r="A1042" s="277">
        <v>927</v>
      </c>
      <c r="B1042" s="278">
        <v>46254</v>
      </c>
      <c r="C1042" s="208" t="s">
        <v>298</v>
      </c>
      <c r="D1042" s="208"/>
      <c r="E1042" s="208" t="s">
        <v>342</v>
      </c>
      <c r="F1042" s="208">
        <v>2026</v>
      </c>
      <c r="G1042" s="208">
        <v>2</v>
      </c>
      <c r="H1042" s="208" t="s">
        <v>132</v>
      </c>
      <c r="I1042" s="208" t="s">
        <v>158</v>
      </c>
      <c r="J1042" s="208" t="s">
        <v>360</v>
      </c>
      <c r="K1042" s="208" t="s">
        <v>101</v>
      </c>
      <c r="L1042" s="208" t="s">
        <v>931</v>
      </c>
      <c r="M1042" s="208">
        <v>2</v>
      </c>
      <c r="N1042" s="208"/>
      <c r="O1042" s="208" t="s">
        <v>811</v>
      </c>
      <c r="P1042" s="208"/>
      <c r="Q1042" s="207"/>
      <c r="R1042" s="208"/>
    </row>
    <row r="1043" spans="1:18">
      <c r="A1043" s="277">
        <v>928</v>
      </c>
      <c r="B1043" s="278">
        <v>46254</v>
      </c>
      <c r="C1043" s="208" t="s">
        <v>298</v>
      </c>
      <c r="D1043" s="208" t="s">
        <v>715</v>
      </c>
      <c r="E1043" s="208" t="s">
        <v>342</v>
      </c>
      <c r="F1043" s="208">
        <v>2026</v>
      </c>
      <c r="G1043" s="208">
        <v>2</v>
      </c>
      <c r="H1043" s="208" t="s">
        <v>196</v>
      </c>
      <c r="I1043" s="208" t="s">
        <v>197</v>
      </c>
      <c r="J1043" s="208" t="s">
        <v>687</v>
      </c>
      <c r="K1043" s="208" t="s">
        <v>101</v>
      </c>
      <c r="L1043" s="208" t="s">
        <v>932</v>
      </c>
      <c r="M1043" s="208">
        <v>2</v>
      </c>
      <c r="N1043" s="208"/>
      <c r="O1043" s="208" t="s">
        <v>881</v>
      </c>
      <c r="P1043" s="208"/>
      <c r="Q1043" s="207"/>
      <c r="R1043" s="208"/>
    </row>
    <row r="1044" spans="1:18">
      <c r="A1044" s="277"/>
      <c r="B1044" s="278">
        <v>46255</v>
      </c>
      <c r="C1044" s="208" t="s">
        <v>301</v>
      </c>
      <c r="D1044" s="208" t="s">
        <v>715</v>
      </c>
      <c r="E1044" s="208" t="s">
        <v>342</v>
      </c>
      <c r="F1044" s="208">
        <v>2026</v>
      </c>
      <c r="G1044" s="208">
        <v>2</v>
      </c>
      <c r="H1044" s="208" t="s">
        <v>196</v>
      </c>
      <c r="I1044" s="208" t="s">
        <v>197</v>
      </c>
      <c r="J1044" s="208" t="s">
        <v>687</v>
      </c>
      <c r="K1044" s="208" t="s">
        <v>101</v>
      </c>
      <c r="L1044" s="208" t="s">
        <v>746</v>
      </c>
      <c r="M1044" s="208">
        <v>2</v>
      </c>
      <c r="N1044" s="208"/>
      <c r="O1044" s="208"/>
      <c r="P1044" s="208"/>
      <c r="Q1044" s="207"/>
      <c r="R1044" s="208"/>
    </row>
    <row r="1045" spans="1:18">
      <c r="A1045" s="277">
        <v>929</v>
      </c>
      <c r="B1045" s="278">
        <v>46258</v>
      </c>
      <c r="C1045" s="208" t="s">
        <v>302</v>
      </c>
      <c r="D1045" s="208" t="s">
        <v>715</v>
      </c>
      <c r="E1045" s="208" t="s">
        <v>342</v>
      </c>
      <c r="F1045" s="208">
        <v>2026</v>
      </c>
      <c r="G1045" s="208">
        <v>2</v>
      </c>
      <c r="H1045" s="208" t="s">
        <v>196</v>
      </c>
      <c r="I1045" s="208" t="s">
        <v>197</v>
      </c>
      <c r="J1045" s="208" t="s">
        <v>687</v>
      </c>
      <c r="K1045" s="208" t="s">
        <v>101</v>
      </c>
      <c r="L1045" s="208" t="s">
        <v>933</v>
      </c>
      <c r="M1045" s="208">
        <v>2</v>
      </c>
      <c r="N1045" s="208"/>
      <c r="O1045" s="208" t="s">
        <v>91</v>
      </c>
      <c r="P1045" s="208"/>
      <c r="Q1045" s="207"/>
      <c r="R1045" s="208"/>
    </row>
    <row r="1046" spans="1:18">
      <c r="A1046" s="277"/>
      <c r="B1046" s="278">
        <v>46258</v>
      </c>
      <c r="C1046" s="208" t="s">
        <v>302</v>
      </c>
      <c r="D1046" s="208" t="s">
        <v>638</v>
      </c>
      <c r="E1046" s="208" t="s">
        <v>342</v>
      </c>
      <c r="F1046" s="208">
        <v>2026</v>
      </c>
      <c r="G1046" s="208">
        <v>2.5</v>
      </c>
      <c r="H1046" s="208" t="s">
        <v>132</v>
      </c>
      <c r="I1046" s="208" t="s">
        <v>183</v>
      </c>
      <c r="J1046" s="208" t="s">
        <v>623</v>
      </c>
      <c r="K1046" s="208" t="s">
        <v>101</v>
      </c>
      <c r="L1046" s="208" t="s">
        <v>934</v>
      </c>
      <c r="M1046" s="208">
        <v>2.5</v>
      </c>
      <c r="N1046" s="208"/>
      <c r="O1046" s="208"/>
      <c r="P1046" s="208"/>
      <c r="Q1046" s="207"/>
      <c r="R1046" s="208"/>
    </row>
    <row r="1047" spans="1:18">
      <c r="A1047" s="277">
        <v>930</v>
      </c>
      <c r="B1047" s="278">
        <v>46259</v>
      </c>
      <c r="C1047" s="208" t="s">
        <v>289</v>
      </c>
      <c r="D1047" s="208"/>
      <c r="E1047" s="208" t="s">
        <v>342</v>
      </c>
      <c r="F1047" s="208">
        <v>2026</v>
      </c>
      <c r="G1047" s="208">
        <v>2</v>
      </c>
      <c r="H1047" s="208" t="s">
        <v>132</v>
      </c>
      <c r="I1047" s="208" t="s">
        <v>158</v>
      </c>
      <c r="J1047" s="208" t="s">
        <v>360</v>
      </c>
      <c r="K1047" s="208" t="s">
        <v>101</v>
      </c>
      <c r="L1047" s="208" t="s">
        <v>935</v>
      </c>
      <c r="M1047" s="208">
        <v>2</v>
      </c>
      <c r="N1047" s="208"/>
      <c r="O1047" s="208" t="s">
        <v>811</v>
      </c>
      <c r="P1047" s="208"/>
      <c r="Q1047" s="207"/>
      <c r="R1047" s="208"/>
    </row>
    <row r="1048" spans="1:18">
      <c r="A1048" s="277">
        <v>931</v>
      </c>
      <c r="B1048" s="278">
        <v>46259</v>
      </c>
      <c r="C1048" s="208" t="s">
        <v>289</v>
      </c>
      <c r="D1048" s="208" t="s">
        <v>715</v>
      </c>
      <c r="E1048" s="208" t="s">
        <v>342</v>
      </c>
      <c r="F1048" s="208">
        <v>2026</v>
      </c>
      <c r="G1048" s="208">
        <v>2</v>
      </c>
      <c r="H1048" s="208" t="s">
        <v>196</v>
      </c>
      <c r="I1048" s="208" t="s">
        <v>197</v>
      </c>
      <c r="J1048" s="208" t="s">
        <v>687</v>
      </c>
      <c r="K1048" s="208" t="s">
        <v>101</v>
      </c>
      <c r="L1048" s="208" t="s">
        <v>936</v>
      </c>
      <c r="M1048" s="208">
        <v>2</v>
      </c>
      <c r="N1048" s="208"/>
      <c r="O1048" s="208" t="s">
        <v>91</v>
      </c>
      <c r="P1048" s="208"/>
      <c r="Q1048" s="207"/>
      <c r="R1048" s="208"/>
    </row>
    <row r="1049" spans="1:18">
      <c r="A1049" s="277">
        <v>932</v>
      </c>
      <c r="B1049" s="278">
        <v>46259</v>
      </c>
      <c r="C1049" s="208" t="s">
        <v>289</v>
      </c>
      <c r="D1049" s="208" t="s">
        <v>532</v>
      </c>
      <c r="E1049" s="208" t="s">
        <v>342</v>
      </c>
      <c r="F1049" s="208"/>
      <c r="G1049" s="208"/>
      <c r="H1049" s="208"/>
      <c r="I1049" s="208"/>
      <c r="J1049" s="208"/>
      <c r="K1049" s="208"/>
      <c r="L1049" s="208" t="s">
        <v>668</v>
      </c>
      <c r="M1049" s="208"/>
      <c r="N1049" s="208"/>
      <c r="O1049" s="208" t="s">
        <v>29</v>
      </c>
      <c r="P1049" s="208"/>
      <c r="Q1049" s="207"/>
      <c r="R1049" s="208"/>
    </row>
    <row r="1050" spans="1:18">
      <c r="A1050" s="277">
        <v>933</v>
      </c>
      <c r="B1050" s="278">
        <v>46261</v>
      </c>
      <c r="C1050" s="208" t="s">
        <v>298</v>
      </c>
      <c r="D1050" s="208"/>
      <c r="E1050" s="208" t="s">
        <v>342</v>
      </c>
      <c r="F1050" s="208">
        <v>2026</v>
      </c>
      <c r="G1050" s="208"/>
      <c r="H1050" s="208" t="s">
        <v>132</v>
      </c>
      <c r="I1050" s="208" t="s">
        <v>158</v>
      </c>
      <c r="J1050" s="208" t="s">
        <v>360</v>
      </c>
      <c r="K1050" s="208" t="s">
        <v>101</v>
      </c>
      <c r="L1050" s="208" t="s">
        <v>937</v>
      </c>
      <c r="M1050" s="208"/>
      <c r="N1050" s="208"/>
      <c r="O1050" s="208" t="s">
        <v>70</v>
      </c>
      <c r="P1050" s="208"/>
      <c r="Q1050" s="207"/>
      <c r="R1050" s="208"/>
    </row>
    <row r="1051" spans="1:18">
      <c r="A1051" s="277"/>
      <c r="B1051" s="278">
        <v>46261</v>
      </c>
      <c r="C1051" s="208" t="s">
        <v>298</v>
      </c>
      <c r="D1051" s="208" t="s">
        <v>532</v>
      </c>
      <c r="E1051" s="208" t="s">
        <v>342</v>
      </c>
      <c r="F1051" s="208"/>
      <c r="G1051" s="208"/>
      <c r="H1051" s="208"/>
      <c r="I1051" s="208"/>
      <c r="J1051" s="208"/>
      <c r="K1051" s="208"/>
      <c r="L1051" s="208" t="s">
        <v>923</v>
      </c>
      <c r="M1051" s="208"/>
      <c r="N1051" s="208"/>
      <c r="O1051" s="208"/>
      <c r="P1051" s="208"/>
      <c r="Q1051" s="207"/>
      <c r="R1051" s="208"/>
    </row>
    <row r="1052" spans="1:18">
      <c r="A1052" s="277">
        <v>934</v>
      </c>
      <c r="B1052" s="278">
        <v>46265</v>
      </c>
      <c r="C1052" s="208" t="s">
        <v>302</v>
      </c>
      <c r="D1052" s="208" t="s">
        <v>715</v>
      </c>
      <c r="E1052" s="208" t="s">
        <v>342</v>
      </c>
      <c r="F1052" s="208">
        <v>2026</v>
      </c>
      <c r="G1052" s="208">
        <v>2</v>
      </c>
      <c r="H1052" s="208" t="s">
        <v>196</v>
      </c>
      <c r="I1052" s="208" t="s">
        <v>197</v>
      </c>
      <c r="J1052" s="208" t="s">
        <v>687</v>
      </c>
      <c r="K1052" s="208" t="s">
        <v>101</v>
      </c>
      <c r="L1052" s="208" t="s">
        <v>938</v>
      </c>
      <c r="M1052" s="208">
        <v>2</v>
      </c>
      <c r="N1052" s="208"/>
      <c r="O1052" s="208" t="s">
        <v>91</v>
      </c>
      <c r="P1052" s="208"/>
      <c r="Q1052" s="207"/>
      <c r="R1052" s="208"/>
    </row>
    <row r="1053" spans="1:18">
      <c r="A1053" s="277">
        <v>935</v>
      </c>
      <c r="B1053" s="278">
        <v>46266</v>
      </c>
      <c r="C1053" s="208" t="s">
        <v>289</v>
      </c>
      <c r="D1053" s="208" t="s">
        <v>715</v>
      </c>
      <c r="E1053" s="208" t="s">
        <v>345</v>
      </c>
      <c r="F1053" s="208">
        <v>2026</v>
      </c>
      <c r="G1053" s="208">
        <v>2</v>
      </c>
      <c r="H1053" s="208" t="s">
        <v>196</v>
      </c>
      <c r="I1053" s="208" t="s">
        <v>197</v>
      </c>
      <c r="J1053" s="208" t="s">
        <v>687</v>
      </c>
      <c r="K1053" s="208" t="s">
        <v>101</v>
      </c>
      <c r="L1053" s="208" t="s">
        <v>939</v>
      </c>
      <c r="M1053" s="208">
        <v>2</v>
      </c>
      <c r="N1053" s="208"/>
      <c r="O1053" s="208" t="s">
        <v>91</v>
      </c>
      <c r="P1053" s="208"/>
      <c r="Q1053" s="207"/>
      <c r="R1053" s="208"/>
    </row>
    <row r="1054" spans="1:18">
      <c r="A1054" s="277"/>
      <c r="B1054" s="278">
        <v>46267</v>
      </c>
      <c r="C1054" s="208" t="s">
        <v>294</v>
      </c>
      <c r="D1054" s="208" t="s">
        <v>638</v>
      </c>
      <c r="E1054" s="208" t="s">
        <v>345</v>
      </c>
      <c r="F1054" s="208">
        <v>2026</v>
      </c>
      <c r="G1054" s="208">
        <v>2.5</v>
      </c>
      <c r="H1054" s="208" t="s">
        <v>132</v>
      </c>
      <c r="I1054" s="208" t="s">
        <v>183</v>
      </c>
      <c r="J1054" s="208" t="s">
        <v>623</v>
      </c>
      <c r="K1054" s="208" t="s">
        <v>101</v>
      </c>
      <c r="L1054" s="208" t="s">
        <v>940</v>
      </c>
      <c r="M1054" s="208">
        <v>2.5</v>
      </c>
      <c r="N1054" s="208"/>
      <c r="O1054" s="208"/>
      <c r="P1054" s="208"/>
      <c r="Q1054" s="207"/>
      <c r="R1054" s="208"/>
    </row>
    <row r="1055" spans="1:18">
      <c r="A1055" s="277"/>
      <c r="B1055" s="278">
        <v>46269</v>
      </c>
      <c r="C1055" s="208" t="s">
        <v>301</v>
      </c>
      <c r="D1055" s="208" t="s">
        <v>715</v>
      </c>
      <c r="E1055" s="208" t="s">
        <v>345</v>
      </c>
      <c r="F1055" s="208">
        <v>2026</v>
      </c>
      <c r="G1055" s="208">
        <v>2</v>
      </c>
      <c r="H1055" s="208" t="s">
        <v>196</v>
      </c>
      <c r="I1055" s="208" t="s">
        <v>197</v>
      </c>
      <c r="J1055" s="208" t="s">
        <v>687</v>
      </c>
      <c r="K1055" s="208" t="s">
        <v>101</v>
      </c>
      <c r="L1055" s="208" t="s">
        <v>746</v>
      </c>
      <c r="M1055" s="208">
        <v>2</v>
      </c>
      <c r="N1055" s="208"/>
      <c r="O1055" s="208"/>
      <c r="P1055" s="208"/>
      <c r="Q1055" s="207"/>
      <c r="R1055" s="208"/>
    </row>
    <row r="1056" spans="1:18">
      <c r="A1056" s="277">
        <v>936</v>
      </c>
      <c r="B1056" s="278">
        <v>46272</v>
      </c>
      <c r="C1056" s="208" t="s">
        <v>302</v>
      </c>
      <c r="D1056" s="208" t="s">
        <v>715</v>
      </c>
      <c r="E1056" s="208" t="s">
        <v>345</v>
      </c>
      <c r="F1056" s="208">
        <v>2026</v>
      </c>
      <c r="G1056" s="208">
        <v>2</v>
      </c>
      <c r="H1056" s="208" t="s">
        <v>196</v>
      </c>
      <c r="I1056" s="208" t="s">
        <v>197</v>
      </c>
      <c r="J1056" s="208" t="s">
        <v>687</v>
      </c>
      <c r="K1056" s="208" t="s">
        <v>101</v>
      </c>
      <c r="L1056" s="208" t="s">
        <v>941</v>
      </c>
      <c r="M1056" s="208">
        <v>2</v>
      </c>
      <c r="N1056" s="208"/>
      <c r="O1056" s="208" t="s">
        <v>91</v>
      </c>
      <c r="P1056" s="208"/>
      <c r="Q1056" s="207"/>
      <c r="R1056" s="208"/>
    </row>
    <row r="1057" spans="1:18">
      <c r="A1057" s="277">
        <v>937</v>
      </c>
      <c r="B1057" s="278">
        <v>46273</v>
      </c>
      <c r="C1057" s="208" t="s">
        <v>289</v>
      </c>
      <c r="D1057" s="208" t="s">
        <v>715</v>
      </c>
      <c r="E1057" s="208" t="s">
        <v>345</v>
      </c>
      <c r="F1057" s="208">
        <v>2026</v>
      </c>
      <c r="G1057" s="208">
        <v>2</v>
      </c>
      <c r="H1057" s="208" t="s">
        <v>196</v>
      </c>
      <c r="I1057" s="208" t="s">
        <v>197</v>
      </c>
      <c r="J1057" s="208" t="s">
        <v>687</v>
      </c>
      <c r="K1057" s="208" t="s">
        <v>101</v>
      </c>
      <c r="L1057" s="208" t="s">
        <v>942</v>
      </c>
      <c r="M1057" s="208">
        <v>2</v>
      </c>
      <c r="N1057" s="208"/>
      <c r="O1057" s="208" t="s">
        <v>91</v>
      </c>
      <c r="P1057" s="208"/>
      <c r="Q1057" s="207"/>
      <c r="R1057" s="208"/>
    </row>
    <row r="1058" spans="1:18">
      <c r="A1058" s="277"/>
      <c r="B1058" s="278">
        <v>46274</v>
      </c>
      <c r="C1058" s="208" t="s">
        <v>294</v>
      </c>
      <c r="D1058" s="208" t="s">
        <v>638</v>
      </c>
      <c r="E1058" s="208" t="s">
        <v>345</v>
      </c>
      <c r="F1058" s="208">
        <v>2026</v>
      </c>
      <c r="G1058" s="208">
        <v>2.5</v>
      </c>
      <c r="H1058" s="208" t="s">
        <v>132</v>
      </c>
      <c r="I1058" s="208" t="s">
        <v>183</v>
      </c>
      <c r="J1058" s="208" t="s">
        <v>623</v>
      </c>
      <c r="K1058" s="208" t="s">
        <v>101</v>
      </c>
      <c r="L1058" s="208" t="s">
        <v>943</v>
      </c>
      <c r="M1058" s="208">
        <v>2.5</v>
      </c>
      <c r="N1058" s="208"/>
      <c r="O1058" s="208"/>
      <c r="P1058" s="208"/>
      <c r="Q1058" s="207"/>
      <c r="R1058" s="208"/>
    </row>
    <row r="1059" spans="1:18">
      <c r="A1059" s="277">
        <v>938</v>
      </c>
      <c r="B1059" s="278">
        <v>46280</v>
      </c>
      <c r="C1059" s="208" t="s">
        <v>289</v>
      </c>
      <c r="D1059" s="208" t="s">
        <v>715</v>
      </c>
      <c r="E1059" s="208" t="s">
        <v>345</v>
      </c>
      <c r="F1059" s="208">
        <v>2026</v>
      </c>
      <c r="G1059" s="208">
        <v>2</v>
      </c>
      <c r="H1059" s="208" t="s">
        <v>196</v>
      </c>
      <c r="I1059" s="208" t="s">
        <v>197</v>
      </c>
      <c r="J1059" s="208" t="s">
        <v>687</v>
      </c>
      <c r="K1059" s="208" t="s">
        <v>101</v>
      </c>
      <c r="L1059" s="208" t="s">
        <v>944</v>
      </c>
      <c r="M1059" s="208">
        <v>2</v>
      </c>
      <c r="N1059" s="208"/>
      <c r="O1059" s="208" t="s">
        <v>12</v>
      </c>
      <c r="P1059" s="208"/>
      <c r="Q1059" s="207"/>
      <c r="R1059" s="208"/>
    </row>
    <row r="1060" spans="1:18">
      <c r="A1060" s="277">
        <v>939</v>
      </c>
      <c r="B1060" s="278">
        <v>46282</v>
      </c>
      <c r="C1060" s="208" t="s">
        <v>298</v>
      </c>
      <c r="D1060" s="208" t="s">
        <v>715</v>
      </c>
      <c r="E1060" s="208" t="s">
        <v>345</v>
      </c>
      <c r="F1060" s="208">
        <v>2026</v>
      </c>
      <c r="G1060" s="208">
        <v>2</v>
      </c>
      <c r="H1060" s="208" t="s">
        <v>196</v>
      </c>
      <c r="I1060" s="208" t="s">
        <v>197</v>
      </c>
      <c r="J1060" s="208" t="s">
        <v>687</v>
      </c>
      <c r="K1060" s="208" t="s">
        <v>101</v>
      </c>
      <c r="L1060" s="208" t="s">
        <v>945</v>
      </c>
      <c r="M1060" s="208">
        <v>2</v>
      </c>
      <c r="N1060" s="208"/>
      <c r="O1060" s="208" t="s">
        <v>12</v>
      </c>
      <c r="P1060" s="208"/>
      <c r="Q1060" s="207"/>
      <c r="R1060" s="208"/>
    </row>
    <row r="1061" spans="1:18">
      <c r="A1061" s="277"/>
      <c r="B1061" s="278">
        <v>46283</v>
      </c>
      <c r="C1061" s="208" t="s">
        <v>301</v>
      </c>
      <c r="D1061" s="208" t="s">
        <v>715</v>
      </c>
      <c r="E1061" s="208" t="s">
        <v>345</v>
      </c>
      <c r="F1061" s="208">
        <v>2026</v>
      </c>
      <c r="G1061" s="208">
        <v>2</v>
      </c>
      <c r="H1061" s="208" t="s">
        <v>196</v>
      </c>
      <c r="I1061" s="208" t="s">
        <v>197</v>
      </c>
      <c r="J1061" s="208" t="s">
        <v>687</v>
      </c>
      <c r="K1061" s="208" t="s">
        <v>101</v>
      </c>
      <c r="L1061" s="208" t="s">
        <v>746</v>
      </c>
      <c r="M1061" s="208">
        <v>2</v>
      </c>
      <c r="N1061" s="208"/>
      <c r="O1061" s="208"/>
      <c r="P1061" s="208"/>
      <c r="Q1061" s="207"/>
      <c r="R1061" s="208"/>
    </row>
    <row r="1062" spans="1:18">
      <c r="A1062" s="277">
        <v>940</v>
      </c>
      <c r="B1062" s="278">
        <v>46286</v>
      </c>
      <c r="C1062" s="208" t="s">
        <v>302</v>
      </c>
      <c r="D1062" s="208" t="s">
        <v>715</v>
      </c>
      <c r="E1062" s="208" t="s">
        <v>345</v>
      </c>
      <c r="F1062" s="208">
        <v>2026</v>
      </c>
      <c r="G1062" s="208">
        <v>2</v>
      </c>
      <c r="H1062" s="208" t="s">
        <v>196</v>
      </c>
      <c r="I1062" s="208" t="s">
        <v>197</v>
      </c>
      <c r="J1062" s="208" t="s">
        <v>687</v>
      </c>
      <c r="K1062" s="208" t="s">
        <v>101</v>
      </c>
      <c r="L1062" s="208" t="s">
        <v>946</v>
      </c>
      <c r="M1062" s="208">
        <v>2</v>
      </c>
      <c r="N1062" s="208"/>
      <c r="O1062" s="208" t="s">
        <v>12</v>
      </c>
      <c r="P1062" s="208"/>
      <c r="Q1062" s="207"/>
      <c r="R1062" s="208"/>
    </row>
    <row r="1063" spans="1:18">
      <c r="A1063" s="277">
        <v>941</v>
      </c>
      <c r="B1063" s="278">
        <v>46287</v>
      </c>
      <c r="C1063" s="208" t="s">
        <v>289</v>
      </c>
      <c r="D1063" s="208" t="s">
        <v>715</v>
      </c>
      <c r="E1063" s="208" t="s">
        <v>345</v>
      </c>
      <c r="F1063" s="208">
        <v>2026</v>
      </c>
      <c r="G1063" s="208">
        <v>2</v>
      </c>
      <c r="H1063" s="208" t="s">
        <v>196</v>
      </c>
      <c r="I1063" s="208" t="s">
        <v>197</v>
      </c>
      <c r="J1063" s="208" t="s">
        <v>687</v>
      </c>
      <c r="K1063" s="208" t="s">
        <v>101</v>
      </c>
      <c r="L1063" s="208" t="s">
        <v>947</v>
      </c>
      <c r="M1063" s="208">
        <v>2</v>
      </c>
      <c r="N1063" s="208"/>
      <c r="O1063" s="208" t="s">
        <v>12</v>
      </c>
      <c r="P1063" s="208"/>
      <c r="Q1063" s="207"/>
      <c r="R1063" s="208"/>
    </row>
    <row r="1064" spans="1:18">
      <c r="A1064" s="277">
        <v>942</v>
      </c>
      <c r="B1064" s="278">
        <v>46289</v>
      </c>
      <c r="C1064" s="208" t="s">
        <v>298</v>
      </c>
      <c r="D1064" s="208" t="s">
        <v>715</v>
      </c>
      <c r="E1064" s="208" t="s">
        <v>345</v>
      </c>
      <c r="F1064" s="208">
        <v>2026</v>
      </c>
      <c r="G1064" s="208">
        <v>2</v>
      </c>
      <c r="H1064" s="208" t="s">
        <v>196</v>
      </c>
      <c r="I1064" s="208" t="s">
        <v>197</v>
      </c>
      <c r="J1064" s="208" t="s">
        <v>687</v>
      </c>
      <c r="K1064" s="208" t="s">
        <v>101</v>
      </c>
      <c r="L1064" s="208" t="s">
        <v>948</v>
      </c>
      <c r="M1064" s="208">
        <v>2</v>
      </c>
      <c r="N1064" s="208"/>
      <c r="O1064" s="208" t="s">
        <v>12</v>
      </c>
      <c r="P1064" s="208"/>
      <c r="Q1064" s="207"/>
      <c r="R1064" s="208"/>
    </row>
    <row r="1065" spans="1:18">
      <c r="A1065" s="277">
        <v>943</v>
      </c>
      <c r="B1065" s="278">
        <v>46293</v>
      </c>
      <c r="C1065" s="208" t="s">
        <v>302</v>
      </c>
      <c r="D1065" s="208" t="s">
        <v>715</v>
      </c>
      <c r="E1065" s="208" t="s">
        <v>345</v>
      </c>
      <c r="F1065" s="208">
        <v>2026</v>
      </c>
      <c r="G1065" s="208">
        <v>2</v>
      </c>
      <c r="H1065" s="208" t="s">
        <v>196</v>
      </c>
      <c r="I1065" s="208" t="s">
        <v>197</v>
      </c>
      <c r="J1065" s="208" t="s">
        <v>687</v>
      </c>
      <c r="K1065" s="208" t="s">
        <v>101</v>
      </c>
      <c r="L1065" s="208" t="s">
        <v>949</v>
      </c>
      <c r="M1065" s="208">
        <v>2</v>
      </c>
      <c r="N1065" s="208"/>
      <c r="O1065" s="208" t="s">
        <v>12</v>
      </c>
      <c r="P1065" s="208"/>
      <c r="Q1065" s="207"/>
      <c r="R1065" s="208"/>
    </row>
    <row r="1066" spans="1:18">
      <c r="A1066" s="277">
        <v>944</v>
      </c>
      <c r="B1066" s="278">
        <v>46294</v>
      </c>
      <c r="C1066" s="208" t="s">
        <v>289</v>
      </c>
      <c r="D1066" s="208" t="s">
        <v>715</v>
      </c>
      <c r="E1066" s="208" t="s">
        <v>345</v>
      </c>
      <c r="F1066" s="208">
        <v>2026</v>
      </c>
      <c r="G1066" s="208">
        <v>2</v>
      </c>
      <c r="H1066" s="208" t="s">
        <v>196</v>
      </c>
      <c r="I1066" s="208" t="s">
        <v>197</v>
      </c>
      <c r="J1066" s="208" t="s">
        <v>687</v>
      </c>
      <c r="K1066" s="208" t="s">
        <v>101</v>
      </c>
      <c r="L1066" s="208" t="s">
        <v>950</v>
      </c>
      <c r="M1066" s="208">
        <v>2</v>
      </c>
      <c r="N1066" s="208"/>
      <c r="O1066" s="208" t="s">
        <v>12</v>
      </c>
      <c r="P1066" s="208"/>
      <c r="Q1066" s="207"/>
      <c r="R1066" s="208"/>
    </row>
    <row r="1067" spans="1:18">
      <c r="A1067" s="277"/>
      <c r="B1067" s="278">
        <v>46295</v>
      </c>
      <c r="C1067" s="208" t="s">
        <v>294</v>
      </c>
      <c r="D1067" s="208"/>
      <c r="E1067" s="208" t="s">
        <v>345</v>
      </c>
      <c r="F1067" s="208"/>
      <c r="G1067" s="208"/>
      <c r="H1067" s="208"/>
      <c r="I1067" s="208"/>
      <c r="J1067" s="208"/>
      <c r="K1067" s="208"/>
      <c r="L1067" s="208" t="s">
        <v>951</v>
      </c>
      <c r="M1067" s="208"/>
      <c r="N1067" s="208"/>
      <c r="O1067" s="208"/>
      <c r="P1067" s="208"/>
      <c r="Q1067" s="207"/>
      <c r="R1067" s="208"/>
    </row>
    <row r="1068" spans="1:18">
      <c r="A1068" s="277"/>
      <c r="B1068" s="278"/>
      <c r="C1068" s="208"/>
      <c r="D1068" s="208"/>
      <c r="E1068" s="208">
        <v>45748</v>
      </c>
      <c r="F1068" s="208"/>
      <c r="G1068" s="208"/>
      <c r="H1068" s="208" t="s">
        <v>8</v>
      </c>
      <c r="I1068" s="208"/>
      <c r="J1068" s="208"/>
      <c r="K1068" s="208" t="s">
        <v>10</v>
      </c>
      <c r="L1068" s="208"/>
      <c r="M1068" s="208"/>
      <c r="N1068" s="208"/>
      <c r="O1068" s="208"/>
      <c r="P1068" s="208"/>
      <c r="Q1068" s="207"/>
      <c r="R1068" s="208"/>
    </row>
    <row r="1069" spans="1:18">
      <c r="A1069" s="277"/>
      <c r="B1069" s="278"/>
      <c r="C1069" s="208"/>
      <c r="D1069" s="208"/>
      <c r="E1069" s="208">
        <v>45748</v>
      </c>
      <c r="F1069" s="208"/>
      <c r="G1069" s="208"/>
      <c r="H1069" s="208" t="s">
        <v>8</v>
      </c>
      <c r="I1069" s="208"/>
      <c r="J1069" s="208"/>
      <c r="K1069" s="208" t="s">
        <v>10</v>
      </c>
      <c r="L1069" s="208"/>
      <c r="M1069" s="208"/>
      <c r="N1069" s="208"/>
      <c r="O1069" s="208"/>
      <c r="P1069" s="208"/>
      <c r="Q1069" s="207"/>
      <c r="R1069" s="208"/>
    </row>
    <row r="1070" spans="1:18">
      <c r="A1070" s="277"/>
      <c r="B1070" s="278"/>
      <c r="C1070" s="208"/>
      <c r="D1070" s="208"/>
      <c r="E1070" s="208">
        <v>45748</v>
      </c>
      <c r="F1070" s="208"/>
      <c r="G1070" s="208"/>
      <c r="H1070" s="208" t="s">
        <v>8</v>
      </c>
      <c r="I1070" s="208"/>
      <c r="J1070" s="208"/>
      <c r="K1070" s="208" t="s">
        <v>10</v>
      </c>
      <c r="L1070" s="208"/>
      <c r="M1070" s="208"/>
      <c r="N1070" s="208"/>
      <c r="O1070" s="208"/>
      <c r="P1070" s="208"/>
      <c r="Q1070" s="207"/>
      <c r="R1070" s="208"/>
    </row>
    <row r="1071" spans="1:18">
      <c r="A1071" s="277"/>
      <c r="B1071" s="278"/>
      <c r="C1071" s="208"/>
      <c r="D1071" s="208"/>
      <c r="E1071" s="208">
        <v>45748</v>
      </c>
      <c r="F1071" s="208"/>
      <c r="G1071" s="208"/>
      <c r="H1071" s="208" t="s">
        <v>16</v>
      </c>
      <c r="I1071" s="208"/>
      <c r="J1071" s="208"/>
      <c r="K1071" s="208" t="s">
        <v>18</v>
      </c>
      <c r="L1071" s="208"/>
      <c r="M1071" s="208"/>
      <c r="N1071" s="208"/>
      <c r="O1071" s="208"/>
      <c r="P1071" s="208"/>
      <c r="Q1071" s="207"/>
      <c r="R1071" s="208"/>
    </row>
    <row r="1072" spans="1:18">
      <c r="A1072" s="277"/>
      <c r="B1072" s="278"/>
      <c r="C1072" s="208"/>
      <c r="D1072" s="208"/>
      <c r="E1072" s="208">
        <v>45748</v>
      </c>
      <c r="F1072" s="208"/>
      <c r="G1072" s="208"/>
      <c r="H1072" s="208" t="s">
        <v>16</v>
      </c>
      <c r="I1072" s="208"/>
      <c r="J1072" s="208"/>
      <c r="K1072" s="208" t="s">
        <v>18</v>
      </c>
      <c r="L1072" s="208"/>
      <c r="M1072" s="208"/>
      <c r="N1072" s="208"/>
      <c r="O1072" s="208"/>
      <c r="P1072" s="208"/>
      <c r="Q1072" s="207"/>
      <c r="R1072" s="208"/>
    </row>
    <row r="1073" spans="1:18">
      <c r="A1073" s="277"/>
      <c r="B1073" s="278"/>
      <c r="C1073" s="208"/>
      <c r="D1073" s="208"/>
      <c r="E1073" s="208">
        <v>45778</v>
      </c>
      <c r="F1073" s="208"/>
      <c r="G1073" s="208"/>
      <c r="H1073" s="208" t="s">
        <v>8</v>
      </c>
      <c r="I1073" s="208"/>
      <c r="J1073" s="208"/>
      <c r="K1073" s="208" t="s">
        <v>10</v>
      </c>
      <c r="L1073" s="208"/>
      <c r="M1073" s="208"/>
      <c r="N1073" s="208"/>
      <c r="O1073" s="208"/>
      <c r="P1073" s="208"/>
      <c r="Q1073" s="207"/>
      <c r="R1073" s="208"/>
    </row>
    <row r="1074" spans="1:18">
      <c r="A1074" s="277"/>
      <c r="B1074" s="278"/>
      <c r="C1074" s="208"/>
      <c r="D1074" s="208"/>
      <c r="E1074" s="208">
        <v>45778</v>
      </c>
      <c r="F1074" s="208"/>
      <c r="G1074" s="208"/>
      <c r="H1074" s="208" t="s">
        <v>8</v>
      </c>
      <c r="I1074" s="208"/>
      <c r="J1074" s="208"/>
      <c r="K1074" s="208" t="s">
        <v>10</v>
      </c>
      <c r="L1074" s="208"/>
      <c r="M1074" s="208"/>
      <c r="N1074" s="208"/>
      <c r="O1074" s="208"/>
      <c r="P1074" s="208"/>
      <c r="Q1074" s="207"/>
      <c r="R1074" s="208"/>
    </row>
    <row r="1075" spans="1:18">
      <c r="A1075" s="277"/>
      <c r="B1075" s="278"/>
      <c r="C1075" s="208"/>
      <c r="D1075" s="208"/>
      <c r="E1075" s="208">
        <v>45778</v>
      </c>
      <c r="F1075" s="208"/>
      <c r="G1075" s="208"/>
      <c r="H1075" s="208" t="s">
        <v>8</v>
      </c>
      <c r="I1075" s="208"/>
      <c r="J1075" s="208"/>
      <c r="K1075" s="208" t="s">
        <v>10</v>
      </c>
      <c r="L1075" s="208"/>
      <c r="M1075" s="208"/>
      <c r="N1075" s="208"/>
      <c r="O1075" s="208"/>
      <c r="P1075" s="208"/>
      <c r="Q1075" s="207"/>
      <c r="R1075" s="208"/>
    </row>
    <row r="1076" spans="1:18">
      <c r="A1076" s="277"/>
      <c r="B1076" s="278"/>
      <c r="C1076" s="208"/>
      <c r="D1076" s="208"/>
      <c r="E1076" s="208">
        <v>45778</v>
      </c>
      <c r="F1076" s="208"/>
      <c r="G1076" s="208"/>
      <c r="H1076" s="208" t="s">
        <v>16</v>
      </c>
      <c r="I1076" s="208"/>
      <c r="J1076" s="208"/>
      <c r="K1076" s="208" t="s">
        <v>27</v>
      </c>
      <c r="L1076" s="208"/>
      <c r="M1076" s="208"/>
      <c r="N1076" s="208"/>
      <c r="O1076" s="208"/>
      <c r="P1076" s="208"/>
      <c r="Q1076" s="207"/>
      <c r="R1076" s="208"/>
    </row>
    <row r="1077" spans="1:18">
      <c r="A1077" s="277"/>
      <c r="B1077" s="278"/>
      <c r="C1077" s="208"/>
      <c r="D1077" s="208"/>
      <c r="E1077" s="208">
        <v>45778</v>
      </c>
      <c r="F1077" s="208"/>
      <c r="G1077" s="208"/>
      <c r="H1077" s="208" t="s">
        <v>16</v>
      </c>
      <c r="I1077" s="208"/>
      <c r="J1077" s="208"/>
      <c r="K1077" s="208" t="s">
        <v>27</v>
      </c>
      <c r="L1077" s="208"/>
      <c r="M1077" s="208"/>
      <c r="N1077" s="208"/>
      <c r="O1077" s="208"/>
      <c r="P1077" s="208"/>
      <c r="Q1077" s="207"/>
      <c r="R1077" s="208"/>
    </row>
    <row r="1078" spans="1:18">
      <c r="A1078" s="277"/>
      <c r="B1078" s="278"/>
      <c r="C1078" s="208"/>
      <c r="D1078" s="208"/>
      <c r="E1078" s="208">
        <v>45778</v>
      </c>
      <c r="F1078" s="208"/>
      <c r="G1078" s="208"/>
      <c r="H1078" s="208" t="s">
        <v>16</v>
      </c>
      <c r="I1078" s="208"/>
      <c r="J1078" s="208"/>
      <c r="K1078" s="208" t="s">
        <v>30</v>
      </c>
      <c r="L1078" s="208"/>
      <c r="M1078" s="208"/>
      <c r="N1078" s="208"/>
      <c r="O1078" s="208"/>
      <c r="P1078" s="208"/>
      <c r="Q1078" s="207"/>
      <c r="R1078" s="208"/>
    </row>
    <row r="1079" spans="1:18">
      <c r="A1079" s="277"/>
      <c r="B1079" s="278"/>
      <c r="C1079" s="208"/>
      <c r="D1079" s="208"/>
      <c r="E1079" s="208">
        <v>45778</v>
      </c>
      <c r="F1079" s="208"/>
      <c r="G1079" s="208"/>
      <c r="H1079" s="208" t="s">
        <v>16</v>
      </c>
      <c r="I1079" s="208"/>
      <c r="J1079" s="208"/>
      <c r="K1079" s="208" t="s">
        <v>30</v>
      </c>
      <c r="L1079" s="208"/>
      <c r="M1079" s="208"/>
      <c r="N1079" s="208"/>
      <c r="O1079" s="208"/>
      <c r="P1079" s="208"/>
      <c r="Q1079" s="207"/>
      <c r="R1079" s="208"/>
    </row>
    <row r="1080" spans="1:18">
      <c r="A1080" s="277"/>
      <c r="B1080" s="278"/>
      <c r="C1080" s="208"/>
      <c r="D1080" s="208"/>
      <c r="E1080" s="208">
        <v>45809</v>
      </c>
      <c r="F1080" s="208"/>
      <c r="G1080" s="208"/>
      <c r="H1080" s="208" t="s">
        <v>16</v>
      </c>
      <c r="I1080" s="208"/>
      <c r="J1080" s="208"/>
      <c r="K1080" s="208" t="s">
        <v>31</v>
      </c>
      <c r="L1080" s="208"/>
      <c r="M1080" s="208"/>
      <c r="N1080" s="208"/>
      <c r="O1080" s="208"/>
      <c r="P1080" s="208"/>
      <c r="Q1080" s="207"/>
      <c r="R1080" s="208"/>
    </row>
    <row r="1081" spans="1:18">
      <c r="A1081" s="277"/>
      <c r="B1081" s="278"/>
      <c r="C1081" s="208"/>
      <c r="D1081" s="208"/>
      <c r="E1081" s="208">
        <v>45809</v>
      </c>
      <c r="F1081" s="208"/>
      <c r="G1081" s="208"/>
      <c r="H1081" s="208" t="s">
        <v>16</v>
      </c>
      <c r="I1081" s="208"/>
      <c r="J1081" s="208"/>
      <c r="K1081" s="208" t="s">
        <v>31</v>
      </c>
      <c r="L1081" s="208"/>
      <c r="M1081" s="208"/>
      <c r="N1081" s="208"/>
      <c r="O1081" s="208"/>
      <c r="P1081" s="208"/>
      <c r="Q1081" s="207"/>
      <c r="R1081" s="208"/>
    </row>
    <row r="1082" spans="1:18">
      <c r="A1082" s="277"/>
      <c r="B1082" s="278"/>
      <c r="C1082" s="208"/>
      <c r="D1082" s="208"/>
      <c r="E1082" s="208">
        <v>45809</v>
      </c>
      <c r="F1082" s="208"/>
      <c r="G1082" s="208"/>
      <c r="H1082" s="208" t="s">
        <v>16</v>
      </c>
      <c r="I1082" s="208"/>
      <c r="J1082" s="208"/>
      <c r="K1082" s="208" t="s">
        <v>32</v>
      </c>
      <c r="L1082" s="208"/>
      <c r="M1082" s="208"/>
      <c r="N1082" s="208"/>
      <c r="O1082" s="208"/>
      <c r="P1082" s="208"/>
      <c r="Q1082" s="207"/>
      <c r="R1082" s="208"/>
    </row>
    <row r="1083" spans="1:18">
      <c r="A1083" s="277"/>
      <c r="B1083" s="278"/>
      <c r="C1083" s="208"/>
      <c r="D1083" s="208"/>
      <c r="E1083" s="208">
        <v>45809</v>
      </c>
      <c r="F1083" s="208"/>
      <c r="G1083" s="208"/>
      <c r="H1083" s="208" t="s">
        <v>16</v>
      </c>
      <c r="I1083" s="208"/>
      <c r="J1083" s="208"/>
      <c r="K1083" s="208" t="s">
        <v>32</v>
      </c>
      <c r="L1083" s="208"/>
      <c r="M1083" s="208"/>
      <c r="N1083" s="208"/>
      <c r="O1083" s="208"/>
      <c r="P1083" s="208"/>
      <c r="Q1083" s="207"/>
      <c r="R1083" s="208"/>
    </row>
    <row r="1084" spans="1:18">
      <c r="A1084" s="277"/>
      <c r="B1084" s="278"/>
      <c r="C1084" s="208"/>
      <c r="D1084" s="208"/>
      <c r="E1084" s="208">
        <v>45839</v>
      </c>
      <c r="F1084" s="208"/>
      <c r="G1084" s="208"/>
      <c r="H1084" s="208" t="s">
        <v>16</v>
      </c>
      <c r="I1084" s="208"/>
      <c r="J1084" s="208"/>
      <c r="K1084" s="208" t="s">
        <v>34</v>
      </c>
      <c r="L1084" s="208"/>
      <c r="M1084" s="208"/>
      <c r="N1084" s="208"/>
      <c r="O1084" s="208"/>
      <c r="P1084" s="208"/>
      <c r="Q1084" s="207"/>
      <c r="R1084" s="208"/>
    </row>
    <row r="1085" spans="1:18">
      <c r="A1085" s="277"/>
      <c r="B1085" s="278"/>
      <c r="C1085" s="208"/>
      <c r="D1085" s="208"/>
      <c r="E1085" s="208">
        <v>45839</v>
      </c>
      <c r="F1085" s="208"/>
      <c r="G1085" s="208"/>
      <c r="H1085" s="208" t="s">
        <v>16</v>
      </c>
      <c r="I1085" s="208"/>
      <c r="J1085" s="208"/>
      <c r="K1085" s="208" t="s">
        <v>34</v>
      </c>
      <c r="L1085" s="208"/>
      <c r="M1085" s="208"/>
      <c r="N1085" s="208"/>
      <c r="O1085" s="208"/>
      <c r="P1085" s="208"/>
      <c r="Q1085" s="207"/>
      <c r="R1085" s="208"/>
    </row>
    <row r="1086" spans="1:18">
      <c r="A1086" s="277"/>
      <c r="B1086" s="278"/>
      <c r="C1086" s="208"/>
      <c r="D1086" s="208"/>
      <c r="E1086" s="208">
        <v>45839</v>
      </c>
      <c r="F1086" s="208"/>
      <c r="G1086" s="208"/>
      <c r="H1086" s="208" t="s">
        <v>16</v>
      </c>
      <c r="I1086" s="208"/>
      <c r="J1086" s="208"/>
      <c r="K1086" s="208" t="s">
        <v>35</v>
      </c>
      <c r="L1086" s="208"/>
      <c r="M1086" s="208"/>
      <c r="N1086" s="208"/>
      <c r="O1086" s="208"/>
      <c r="P1086" s="208"/>
      <c r="Q1086" s="207"/>
      <c r="R1086" s="208"/>
    </row>
    <row r="1087" spans="1:18">
      <c r="A1087" s="277"/>
      <c r="B1087" s="278"/>
      <c r="C1087" s="208"/>
      <c r="D1087" s="208"/>
      <c r="E1087" s="208">
        <v>45839</v>
      </c>
      <c r="F1087" s="208"/>
      <c r="G1087" s="208"/>
      <c r="H1087" s="208" t="s">
        <v>16</v>
      </c>
      <c r="I1087" s="208"/>
      <c r="J1087" s="208"/>
      <c r="K1087" s="208" t="s">
        <v>35</v>
      </c>
      <c r="L1087" s="208"/>
      <c r="M1087" s="208"/>
      <c r="N1087" s="208"/>
      <c r="O1087" s="208"/>
      <c r="P1087" s="208"/>
      <c r="Q1087" s="207"/>
      <c r="R1087" s="208"/>
    </row>
    <row r="1088" spans="1:18">
      <c r="A1088" s="277"/>
      <c r="B1088" s="278"/>
      <c r="C1088" s="208"/>
      <c r="D1088" s="208"/>
      <c r="E1088" s="208">
        <v>45870</v>
      </c>
      <c r="F1088" s="208"/>
      <c r="G1088" s="208"/>
      <c r="H1088" s="208" t="s">
        <v>16</v>
      </c>
      <c r="I1088" s="208"/>
      <c r="J1088" s="208"/>
      <c r="K1088" s="208" t="s">
        <v>37</v>
      </c>
      <c r="L1088" s="208"/>
      <c r="M1088" s="208"/>
      <c r="N1088" s="208"/>
      <c r="O1088" s="208"/>
      <c r="P1088" s="208"/>
      <c r="Q1088" s="207"/>
      <c r="R1088" s="208"/>
    </row>
    <row r="1089" spans="1:18">
      <c r="A1089" s="277"/>
      <c r="B1089" s="278"/>
      <c r="C1089" s="208"/>
      <c r="D1089" s="208"/>
      <c r="E1089" s="208">
        <v>45870</v>
      </c>
      <c r="F1089" s="208"/>
      <c r="G1089" s="208"/>
      <c r="H1089" s="208" t="s">
        <v>16</v>
      </c>
      <c r="I1089" s="208"/>
      <c r="J1089" s="208"/>
      <c r="K1089" s="208" t="s">
        <v>38</v>
      </c>
      <c r="L1089" s="208"/>
      <c r="M1089" s="208"/>
      <c r="N1089" s="208"/>
      <c r="O1089" s="208"/>
      <c r="P1089" s="208"/>
      <c r="Q1089" s="207"/>
      <c r="R1089" s="208"/>
    </row>
    <row r="1090" spans="1:18">
      <c r="A1090" s="277"/>
      <c r="B1090" s="278"/>
      <c r="C1090" s="208"/>
      <c r="D1090" s="208"/>
      <c r="E1090" s="208">
        <v>45870</v>
      </c>
      <c r="F1090" s="208"/>
      <c r="G1090" s="208"/>
      <c r="H1090" s="208" t="s">
        <v>16</v>
      </c>
      <c r="I1090" s="208"/>
      <c r="J1090" s="208"/>
      <c r="K1090" s="208" t="s">
        <v>38</v>
      </c>
      <c r="L1090" s="208"/>
      <c r="M1090" s="208"/>
      <c r="N1090" s="208"/>
      <c r="O1090" s="208"/>
      <c r="P1090" s="208"/>
      <c r="Q1090" s="207"/>
      <c r="R1090" s="208"/>
    </row>
    <row r="1091" spans="1:18">
      <c r="A1091" s="277"/>
      <c r="B1091" s="278"/>
      <c r="C1091" s="208"/>
      <c r="D1091" s="208"/>
      <c r="E1091" s="208">
        <v>45870</v>
      </c>
      <c r="F1091" s="208"/>
      <c r="G1091" s="208"/>
      <c r="H1091" s="208" t="s">
        <v>16</v>
      </c>
      <c r="I1091" s="208"/>
      <c r="J1091" s="208"/>
      <c r="K1091" s="208" t="s">
        <v>39</v>
      </c>
      <c r="L1091" s="208"/>
      <c r="M1091" s="208"/>
      <c r="N1091" s="208"/>
      <c r="O1091" s="208"/>
      <c r="P1091" s="208"/>
      <c r="Q1091" s="207"/>
      <c r="R1091" s="208"/>
    </row>
    <row r="1092" spans="1:18">
      <c r="A1092" s="277"/>
      <c r="B1092" s="278"/>
      <c r="C1092" s="208"/>
      <c r="D1092" s="208"/>
      <c r="E1092" s="208">
        <v>45870</v>
      </c>
      <c r="F1092" s="208"/>
      <c r="G1092" s="208"/>
      <c r="H1092" s="208" t="s">
        <v>16</v>
      </c>
      <c r="I1092" s="208"/>
      <c r="J1092" s="208"/>
      <c r="K1092" s="208" t="s">
        <v>39</v>
      </c>
      <c r="L1092" s="208"/>
      <c r="M1092" s="208"/>
      <c r="N1092" s="208"/>
      <c r="O1092" s="208"/>
      <c r="P1092" s="208"/>
      <c r="Q1092" s="207"/>
      <c r="R1092" s="208"/>
    </row>
    <row r="1093" spans="1:18">
      <c r="A1093" s="277"/>
      <c r="B1093" s="278"/>
      <c r="C1093" s="208"/>
      <c r="D1093" s="208"/>
      <c r="E1093" s="208">
        <v>45901</v>
      </c>
      <c r="F1093" s="208"/>
      <c r="G1093" s="208"/>
      <c r="H1093" s="208" t="s">
        <v>16</v>
      </c>
      <c r="I1093" s="208"/>
      <c r="J1093" s="208"/>
      <c r="K1093" s="208" t="s">
        <v>37</v>
      </c>
      <c r="L1093" s="208"/>
      <c r="M1093" s="208"/>
      <c r="N1093" s="208"/>
      <c r="O1093" s="208"/>
      <c r="P1093" s="208"/>
      <c r="Q1093" s="207"/>
      <c r="R1093" s="208"/>
    </row>
    <row r="1094" spans="1:18">
      <c r="A1094" s="277"/>
      <c r="B1094" s="278"/>
      <c r="C1094" s="208"/>
      <c r="D1094" s="208"/>
      <c r="E1094" s="208">
        <v>45901</v>
      </c>
      <c r="F1094" s="208"/>
      <c r="G1094" s="208"/>
      <c r="H1094" s="208" t="s">
        <v>16</v>
      </c>
      <c r="I1094" s="208"/>
      <c r="J1094" s="208"/>
      <c r="K1094" s="208" t="s">
        <v>43</v>
      </c>
      <c r="L1094" s="208"/>
      <c r="M1094" s="208"/>
      <c r="N1094" s="208"/>
      <c r="O1094" s="208"/>
      <c r="P1094" s="208"/>
      <c r="Q1094" s="207"/>
      <c r="R1094" s="208"/>
    </row>
    <row r="1095" spans="1:18">
      <c r="A1095" s="277"/>
      <c r="B1095" s="278"/>
      <c r="C1095" s="208"/>
      <c r="D1095" s="208"/>
      <c r="E1095" s="208">
        <v>45901</v>
      </c>
      <c r="F1095" s="208"/>
      <c r="G1095" s="208"/>
      <c r="H1095" s="208" t="s">
        <v>16</v>
      </c>
      <c r="I1095" s="208"/>
      <c r="J1095" s="208"/>
      <c r="K1095" s="208" t="s">
        <v>45</v>
      </c>
      <c r="L1095" s="208"/>
      <c r="M1095" s="208"/>
      <c r="N1095" s="208"/>
      <c r="O1095" s="208"/>
      <c r="P1095" s="208"/>
      <c r="Q1095" s="207"/>
      <c r="R1095" s="208"/>
    </row>
    <row r="1096" spans="1:18">
      <c r="A1096" s="277"/>
      <c r="B1096" s="278"/>
      <c r="C1096" s="208"/>
      <c r="D1096" s="208"/>
      <c r="E1096" s="208">
        <v>45901</v>
      </c>
      <c r="F1096" s="208"/>
      <c r="G1096" s="208"/>
      <c r="H1096" s="208" t="s">
        <v>16</v>
      </c>
      <c r="I1096" s="208"/>
      <c r="J1096" s="208"/>
      <c r="K1096" s="208" t="s">
        <v>45</v>
      </c>
      <c r="L1096" s="208"/>
      <c r="M1096" s="208"/>
      <c r="N1096" s="208"/>
      <c r="O1096" s="208"/>
      <c r="P1096" s="208"/>
      <c r="Q1096" s="207"/>
      <c r="R1096" s="208"/>
    </row>
    <row r="1097" spans="1:18">
      <c r="A1097" s="277"/>
      <c r="B1097" s="278"/>
      <c r="C1097" s="208"/>
      <c r="D1097" s="208"/>
      <c r="E1097" s="208">
        <v>45931</v>
      </c>
      <c r="F1097" s="208"/>
      <c r="G1097" s="208"/>
      <c r="H1097" s="208" t="s">
        <v>16</v>
      </c>
      <c r="I1097" s="208"/>
      <c r="J1097" s="208"/>
      <c r="K1097" s="208" t="s">
        <v>48</v>
      </c>
      <c r="L1097" s="208"/>
      <c r="M1097" s="208"/>
      <c r="N1097" s="208"/>
      <c r="O1097" s="208"/>
      <c r="P1097" s="208"/>
      <c r="Q1097" s="207"/>
      <c r="R1097" s="208"/>
    </row>
    <row r="1098" spans="1:18">
      <c r="A1098" s="277"/>
      <c r="B1098" s="278"/>
      <c r="C1098" s="208"/>
      <c r="D1098" s="208"/>
      <c r="E1098" s="208">
        <v>45931</v>
      </c>
      <c r="F1098" s="208"/>
      <c r="G1098" s="208"/>
      <c r="H1098" s="208" t="s">
        <v>16</v>
      </c>
      <c r="I1098" s="208"/>
      <c r="J1098" s="208"/>
      <c r="K1098" s="208" t="s">
        <v>50</v>
      </c>
      <c r="L1098" s="208"/>
      <c r="M1098" s="208"/>
      <c r="N1098" s="208"/>
      <c r="O1098" s="208"/>
      <c r="P1098" s="208"/>
      <c r="Q1098" s="207"/>
      <c r="R1098" s="208"/>
    </row>
    <row r="1099" spans="1:18">
      <c r="A1099" s="277"/>
      <c r="B1099" s="278"/>
      <c r="C1099" s="208"/>
      <c r="D1099" s="208"/>
      <c r="E1099" s="208">
        <v>45962</v>
      </c>
      <c r="F1099" s="208"/>
      <c r="G1099" s="208"/>
      <c r="H1099" s="208" t="s">
        <v>16</v>
      </c>
      <c r="I1099" s="208"/>
      <c r="J1099" s="208"/>
      <c r="K1099" s="208" t="s">
        <v>43</v>
      </c>
      <c r="L1099" s="208"/>
      <c r="M1099" s="208"/>
      <c r="N1099" s="208"/>
      <c r="O1099" s="208"/>
      <c r="P1099" s="208"/>
      <c r="Q1099" s="207"/>
      <c r="R1099" s="208"/>
    </row>
    <row r="1100" spans="1:18">
      <c r="A1100" s="277"/>
      <c r="B1100" s="278"/>
      <c r="C1100" s="208"/>
      <c r="D1100" s="208"/>
      <c r="E1100" s="208">
        <v>45962</v>
      </c>
      <c r="F1100" s="208"/>
      <c r="G1100" s="208"/>
      <c r="H1100" s="208" t="s">
        <v>16</v>
      </c>
      <c r="I1100" s="208"/>
      <c r="J1100" s="208"/>
      <c r="K1100" s="208" t="s">
        <v>50</v>
      </c>
      <c r="L1100" s="208"/>
      <c r="M1100" s="208"/>
      <c r="N1100" s="208"/>
      <c r="O1100" s="208"/>
      <c r="P1100" s="208"/>
      <c r="Q1100" s="207"/>
      <c r="R1100" s="208"/>
    </row>
    <row r="1101" spans="1:18">
      <c r="A1101" s="277"/>
      <c r="B1101" s="278"/>
      <c r="C1101" s="208"/>
      <c r="D1101" s="208"/>
      <c r="E1101" s="208">
        <v>45992</v>
      </c>
      <c r="F1101" s="208"/>
      <c r="G1101" s="208"/>
      <c r="H1101" s="208" t="s">
        <v>16</v>
      </c>
      <c r="I1101" s="208"/>
      <c r="J1101" s="208"/>
      <c r="K1101" s="208" t="s">
        <v>53</v>
      </c>
      <c r="L1101" s="208"/>
      <c r="M1101" s="208"/>
      <c r="N1101" s="208"/>
      <c r="O1101" s="208"/>
      <c r="P1101" s="208"/>
      <c r="Q1101" s="207"/>
      <c r="R1101" s="208"/>
    </row>
    <row r="1102" spans="1:18">
      <c r="A1102" s="277"/>
      <c r="B1102" s="278"/>
      <c r="C1102" s="208"/>
      <c r="D1102" s="208"/>
      <c r="E1102" s="208">
        <v>45992</v>
      </c>
      <c r="F1102" s="208"/>
      <c r="G1102" s="208"/>
      <c r="H1102" s="208" t="s">
        <v>16</v>
      </c>
      <c r="I1102" s="208"/>
      <c r="J1102" s="208"/>
      <c r="K1102" s="208" t="s">
        <v>55</v>
      </c>
      <c r="L1102" s="208"/>
      <c r="M1102" s="208"/>
      <c r="N1102" s="208"/>
      <c r="O1102" s="208"/>
      <c r="P1102" s="208"/>
      <c r="Q1102" s="207"/>
      <c r="R1102" s="208"/>
    </row>
    <row r="1103" spans="1:18">
      <c r="A1103" s="277"/>
      <c r="B1103" s="278"/>
      <c r="C1103" s="208"/>
      <c r="D1103" s="208"/>
      <c r="E1103" s="208">
        <v>46023</v>
      </c>
      <c r="F1103" s="208"/>
      <c r="G1103" s="208"/>
      <c r="H1103" s="208" t="s">
        <v>57</v>
      </c>
      <c r="I1103" s="208"/>
      <c r="J1103" s="208"/>
      <c r="K1103" s="208" t="s">
        <v>59</v>
      </c>
      <c r="L1103" s="208"/>
      <c r="M1103" s="208"/>
      <c r="N1103" s="208"/>
      <c r="O1103" s="208"/>
      <c r="P1103" s="208"/>
      <c r="Q1103" s="207"/>
      <c r="R1103" s="208"/>
    </row>
    <row r="1104" spans="1:18">
      <c r="A1104" s="277"/>
      <c r="B1104" s="278"/>
      <c r="C1104" s="208"/>
      <c r="D1104" s="208"/>
      <c r="E1104" s="208">
        <v>46023</v>
      </c>
      <c r="F1104" s="208"/>
      <c r="G1104" s="208"/>
      <c r="H1104" s="208" t="s">
        <v>61</v>
      </c>
      <c r="I1104" s="208"/>
      <c r="J1104" s="208"/>
      <c r="K1104" s="208" t="s">
        <v>34</v>
      </c>
      <c r="L1104" s="208"/>
      <c r="M1104" s="208"/>
      <c r="N1104" s="208"/>
      <c r="O1104" s="208"/>
      <c r="P1104" s="208"/>
      <c r="Q1104" s="207"/>
      <c r="R1104" s="208"/>
    </row>
    <row r="1105" spans="1:18">
      <c r="A1105" s="277"/>
      <c r="B1105" s="278"/>
      <c r="C1105" s="208"/>
      <c r="D1105" s="208"/>
      <c r="E1105" s="208">
        <v>46023</v>
      </c>
      <c r="F1105" s="208"/>
      <c r="G1105" s="208"/>
      <c r="H1105" s="208" t="s">
        <v>61</v>
      </c>
      <c r="I1105" s="208"/>
      <c r="J1105" s="208"/>
      <c r="K1105" s="208" t="s">
        <v>34</v>
      </c>
      <c r="L1105" s="208"/>
      <c r="M1105" s="208"/>
      <c r="N1105" s="208"/>
      <c r="O1105" s="208"/>
      <c r="P1105" s="208"/>
      <c r="Q1105" s="207"/>
      <c r="R1105" s="208"/>
    </row>
    <row r="1106" spans="1:18">
      <c r="A1106" s="277"/>
      <c r="B1106" s="278"/>
      <c r="C1106" s="208"/>
      <c r="D1106" s="208"/>
      <c r="E1106" s="208">
        <v>46023</v>
      </c>
      <c r="F1106" s="208"/>
      <c r="G1106" s="208"/>
      <c r="H1106" s="208" t="s">
        <v>61</v>
      </c>
      <c r="I1106" s="208"/>
      <c r="J1106" s="208"/>
      <c r="K1106" s="208" t="s">
        <v>35</v>
      </c>
      <c r="L1106" s="208"/>
      <c r="M1106" s="208"/>
      <c r="N1106" s="208"/>
      <c r="O1106" s="208"/>
      <c r="P1106" s="208"/>
      <c r="Q1106" s="207"/>
      <c r="R1106" s="208"/>
    </row>
    <row r="1107" spans="1:18">
      <c r="A1107" s="277"/>
      <c r="B1107" s="278"/>
      <c r="C1107" s="208"/>
      <c r="D1107" s="208"/>
      <c r="E1107" s="208">
        <v>46023</v>
      </c>
      <c r="F1107" s="208"/>
      <c r="G1107" s="208"/>
      <c r="H1107" s="208" t="s">
        <v>61</v>
      </c>
      <c r="I1107" s="208"/>
      <c r="J1107" s="208"/>
      <c r="K1107" s="208" t="s">
        <v>35</v>
      </c>
      <c r="L1107" s="208"/>
      <c r="M1107" s="208"/>
      <c r="N1107" s="208"/>
      <c r="O1107" s="208"/>
      <c r="P1107" s="208"/>
      <c r="Q1107" s="207"/>
      <c r="R1107" s="208"/>
    </row>
    <row r="1108" spans="1:18">
      <c r="A1108" s="277"/>
      <c r="B1108" s="278"/>
      <c r="C1108" s="208"/>
      <c r="D1108" s="208"/>
      <c r="E1108" s="208">
        <v>46023</v>
      </c>
      <c r="F1108" s="208"/>
      <c r="G1108" s="208"/>
      <c r="H1108" s="208" t="s">
        <v>16</v>
      </c>
      <c r="I1108" s="208"/>
      <c r="J1108" s="208"/>
      <c r="K1108" s="208" t="s">
        <v>55</v>
      </c>
      <c r="L1108" s="208"/>
      <c r="M1108" s="208"/>
      <c r="N1108" s="208"/>
      <c r="O1108" s="208"/>
      <c r="P1108" s="208"/>
      <c r="Q1108" s="207"/>
      <c r="R1108" s="208"/>
    </row>
    <row r="1109" spans="1:18">
      <c r="A1109" s="277"/>
      <c r="B1109" s="278"/>
      <c r="C1109" s="208"/>
      <c r="D1109" s="208"/>
      <c r="E1109" s="208">
        <v>46054</v>
      </c>
      <c r="F1109" s="208"/>
      <c r="G1109" s="208"/>
      <c r="H1109" s="208" t="s">
        <v>57</v>
      </c>
      <c r="I1109" s="208"/>
      <c r="J1109" s="208"/>
      <c r="K1109" s="208" t="s">
        <v>59</v>
      </c>
      <c r="L1109" s="208"/>
      <c r="M1109" s="208"/>
      <c r="N1109" s="208"/>
      <c r="O1109" s="208"/>
      <c r="P1109" s="208"/>
      <c r="Q1109" s="207"/>
      <c r="R1109" s="208"/>
    </row>
    <row r="1110" spans="1:18">
      <c r="A1110" s="277"/>
      <c r="B1110" s="278"/>
      <c r="C1110" s="208"/>
      <c r="D1110" s="208"/>
      <c r="E1110" s="208">
        <v>46054</v>
      </c>
      <c r="F1110" s="208"/>
      <c r="G1110" s="208"/>
      <c r="H1110" s="208" t="s">
        <v>57</v>
      </c>
      <c r="I1110" s="208"/>
      <c r="J1110" s="208"/>
      <c r="K1110" s="208" t="s">
        <v>59</v>
      </c>
      <c r="L1110" s="208"/>
      <c r="M1110" s="208"/>
      <c r="N1110" s="208"/>
      <c r="O1110" s="208"/>
      <c r="P1110" s="208"/>
      <c r="Q1110" s="207"/>
      <c r="R1110" s="208"/>
    </row>
    <row r="1111" spans="1:18">
      <c r="A1111" s="277"/>
      <c r="B1111" s="278"/>
      <c r="C1111" s="208"/>
      <c r="D1111" s="208"/>
      <c r="E1111" s="208">
        <v>46054</v>
      </c>
      <c r="F1111" s="208"/>
      <c r="G1111" s="208"/>
      <c r="H1111" s="208" t="s">
        <v>57</v>
      </c>
      <c r="I1111" s="208"/>
      <c r="J1111" s="208"/>
      <c r="K1111" s="208" t="s">
        <v>59</v>
      </c>
      <c r="L1111" s="208"/>
      <c r="M1111" s="208"/>
      <c r="N1111" s="208"/>
      <c r="O1111" s="208"/>
      <c r="P1111" s="208"/>
      <c r="Q1111" s="207"/>
      <c r="R1111" s="208"/>
    </row>
    <row r="1112" spans="1:18">
      <c r="A1112" s="277"/>
      <c r="B1112" s="278"/>
      <c r="C1112" s="208"/>
      <c r="D1112" s="208"/>
      <c r="E1112" s="208">
        <v>46054</v>
      </c>
      <c r="F1112" s="208"/>
      <c r="G1112" s="208"/>
      <c r="H1112" s="208" t="s">
        <v>57</v>
      </c>
      <c r="I1112" s="208"/>
      <c r="J1112" s="208"/>
      <c r="K1112" s="208" t="s">
        <v>59</v>
      </c>
      <c r="L1112" s="208"/>
      <c r="M1112" s="208"/>
      <c r="N1112" s="208"/>
      <c r="O1112" s="208"/>
      <c r="P1112" s="208"/>
      <c r="Q1112" s="207"/>
      <c r="R1112" s="208"/>
    </row>
    <row r="1113" spans="1:18">
      <c r="A1113" s="277"/>
      <c r="B1113" s="278"/>
      <c r="C1113" s="208"/>
      <c r="D1113" s="208"/>
      <c r="E1113" s="208">
        <v>46054</v>
      </c>
      <c r="F1113" s="208"/>
      <c r="G1113" s="208"/>
      <c r="H1113" s="208" t="s">
        <v>57</v>
      </c>
      <c r="I1113" s="208"/>
      <c r="J1113" s="208"/>
      <c r="K1113" s="208" t="s">
        <v>59</v>
      </c>
      <c r="L1113" s="208"/>
      <c r="M1113" s="208"/>
      <c r="N1113" s="208"/>
      <c r="O1113" s="208"/>
      <c r="P1113" s="208"/>
      <c r="Q1113" s="207"/>
      <c r="R1113" s="208"/>
    </row>
    <row r="1114" spans="1:18">
      <c r="A1114" s="277"/>
      <c r="B1114" s="278"/>
      <c r="C1114" s="208"/>
      <c r="D1114" s="208"/>
      <c r="E1114" s="208">
        <v>46054</v>
      </c>
      <c r="F1114" s="208"/>
      <c r="G1114" s="208"/>
      <c r="H1114" s="208" t="s">
        <v>76</v>
      </c>
      <c r="I1114" s="208"/>
      <c r="J1114" s="208"/>
      <c r="K1114" s="208" t="s">
        <v>59</v>
      </c>
      <c r="L1114" s="208"/>
      <c r="M1114" s="208"/>
      <c r="N1114" s="208"/>
      <c r="O1114" s="208"/>
      <c r="P1114" s="208"/>
      <c r="Q1114" s="207"/>
      <c r="R1114" s="208"/>
    </row>
    <row r="1115" spans="1:18">
      <c r="A1115" s="277"/>
      <c r="B1115" s="278"/>
      <c r="C1115" s="208"/>
      <c r="D1115" s="208"/>
      <c r="E1115" s="208">
        <v>46054</v>
      </c>
      <c r="F1115" s="208"/>
      <c r="G1115" s="208"/>
      <c r="H1115" s="208" t="s">
        <v>80</v>
      </c>
      <c r="I1115" s="208"/>
      <c r="J1115" s="208"/>
      <c r="K1115" s="208" t="s">
        <v>59</v>
      </c>
      <c r="L1115" s="208"/>
      <c r="M1115" s="208"/>
      <c r="N1115" s="208"/>
      <c r="O1115" s="208"/>
      <c r="P1115" s="208"/>
      <c r="Q1115" s="207"/>
      <c r="R1115" s="208"/>
    </row>
    <row r="1116" spans="1:18">
      <c r="A1116" s="277"/>
      <c r="B1116" s="278"/>
      <c r="C1116" s="208"/>
      <c r="D1116" s="208"/>
      <c r="E1116" s="208">
        <v>46054</v>
      </c>
      <c r="F1116" s="208"/>
      <c r="G1116" s="208"/>
      <c r="H1116" s="208" t="s">
        <v>80</v>
      </c>
      <c r="I1116" s="208"/>
      <c r="J1116" s="208"/>
      <c r="K1116" s="208" t="s">
        <v>59</v>
      </c>
      <c r="L1116" s="208"/>
      <c r="M1116" s="208"/>
      <c r="N1116" s="208"/>
      <c r="O1116" s="208"/>
      <c r="P1116" s="208"/>
      <c r="Q1116" s="207"/>
      <c r="R1116" s="208"/>
    </row>
    <row r="1117" spans="1:18">
      <c r="A1117" s="277"/>
      <c r="B1117" s="278"/>
      <c r="C1117" s="208"/>
      <c r="D1117" s="208"/>
      <c r="E1117" s="208">
        <v>46054</v>
      </c>
      <c r="F1117" s="208"/>
      <c r="G1117" s="208"/>
      <c r="H1117" s="208" t="s">
        <v>61</v>
      </c>
      <c r="I1117" s="208"/>
      <c r="J1117" s="208"/>
      <c r="K1117" s="208" t="s">
        <v>34</v>
      </c>
      <c r="L1117" s="208"/>
      <c r="M1117" s="208"/>
      <c r="N1117" s="208"/>
      <c r="O1117" s="208"/>
      <c r="P1117" s="208"/>
      <c r="Q1117" s="207"/>
      <c r="R1117" s="208"/>
    </row>
    <row r="1118" spans="1:18">
      <c r="A1118" s="277"/>
      <c r="B1118" s="278"/>
      <c r="C1118" s="208"/>
      <c r="D1118" s="208"/>
      <c r="E1118" s="208">
        <v>46054</v>
      </c>
      <c r="F1118" s="208"/>
      <c r="G1118" s="208"/>
      <c r="H1118" s="208" t="s">
        <v>61</v>
      </c>
      <c r="I1118" s="208"/>
      <c r="J1118" s="208"/>
      <c r="K1118" s="208" t="s">
        <v>35</v>
      </c>
      <c r="L1118" s="208"/>
      <c r="M1118" s="208"/>
      <c r="N1118" s="208"/>
      <c r="O1118" s="208"/>
      <c r="P1118" s="208"/>
      <c r="Q1118" s="207"/>
      <c r="R1118" s="208"/>
    </row>
    <row r="1119" spans="1:18">
      <c r="A1119" s="277"/>
      <c r="B1119" s="278"/>
      <c r="C1119" s="208"/>
      <c r="D1119" s="208"/>
      <c r="E1119" s="208">
        <v>46054</v>
      </c>
      <c r="F1119" s="208"/>
      <c r="G1119" s="208"/>
      <c r="H1119" s="208" t="s">
        <v>61</v>
      </c>
      <c r="I1119" s="208"/>
      <c r="J1119" s="208"/>
      <c r="K1119" s="208" t="s">
        <v>35</v>
      </c>
      <c r="L1119" s="208"/>
      <c r="M1119" s="208"/>
      <c r="N1119" s="208"/>
      <c r="O1119" s="208"/>
      <c r="P1119" s="208"/>
      <c r="Q1119" s="207"/>
      <c r="R1119" s="208"/>
    </row>
    <row r="1120" spans="1:18">
      <c r="A1120" s="277"/>
      <c r="B1120" s="278"/>
      <c r="C1120" s="208"/>
      <c r="D1120" s="208"/>
      <c r="E1120" s="208">
        <v>46054</v>
      </c>
      <c r="F1120" s="208"/>
      <c r="G1120" s="208"/>
      <c r="H1120" s="208" t="s">
        <v>61</v>
      </c>
      <c r="I1120" s="208"/>
      <c r="J1120" s="208"/>
      <c r="K1120" s="208" t="s">
        <v>37</v>
      </c>
      <c r="L1120" s="208"/>
      <c r="M1120" s="208"/>
      <c r="N1120" s="208"/>
      <c r="O1120" s="208"/>
      <c r="P1120" s="208"/>
      <c r="Q1120" s="207"/>
      <c r="R1120" s="208"/>
    </row>
    <row r="1121" spans="1:18">
      <c r="A1121" s="277"/>
      <c r="B1121" s="278"/>
      <c r="C1121" s="208"/>
      <c r="D1121" s="208"/>
      <c r="E1121" s="208">
        <v>46054</v>
      </c>
      <c r="F1121" s="208"/>
      <c r="G1121" s="208"/>
      <c r="H1121" s="208" t="s">
        <v>61</v>
      </c>
      <c r="I1121" s="208"/>
      <c r="J1121" s="208"/>
      <c r="K1121" s="208" t="s">
        <v>38</v>
      </c>
      <c r="L1121" s="208"/>
      <c r="M1121" s="208"/>
      <c r="N1121" s="208"/>
      <c r="O1121" s="208"/>
      <c r="P1121" s="208"/>
      <c r="Q1121" s="207"/>
      <c r="R1121" s="208"/>
    </row>
    <row r="1122" spans="1:18">
      <c r="A1122" s="277"/>
      <c r="B1122" s="278"/>
      <c r="C1122" s="208"/>
      <c r="D1122" s="208"/>
      <c r="E1122" s="208">
        <v>46082</v>
      </c>
      <c r="F1122" s="208"/>
      <c r="G1122" s="208"/>
      <c r="H1122" s="208" t="s">
        <v>57</v>
      </c>
      <c r="I1122" s="208"/>
      <c r="J1122" s="208"/>
      <c r="K1122" s="208" t="s">
        <v>90</v>
      </c>
      <c r="L1122" s="208"/>
      <c r="M1122" s="208"/>
      <c r="N1122" s="208"/>
      <c r="O1122" s="208"/>
      <c r="P1122" s="208"/>
      <c r="Q1122" s="207"/>
      <c r="R1122" s="208"/>
    </row>
    <row r="1123" spans="1:18">
      <c r="A1123" s="277"/>
      <c r="B1123" s="278"/>
      <c r="C1123" s="208"/>
      <c r="D1123" s="208"/>
      <c r="E1123" s="208">
        <v>46082</v>
      </c>
      <c r="F1123" s="208"/>
      <c r="G1123" s="208"/>
      <c r="H1123" s="208" t="s">
        <v>57</v>
      </c>
      <c r="I1123" s="208"/>
      <c r="J1123" s="208"/>
      <c r="K1123" s="208" t="s">
        <v>90</v>
      </c>
      <c r="L1123" s="208"/>
      <c r="M1123" s="208"/>
      <c r="N1123" s="208"/>
      <c r="O1123" s="208"/>
      <c r="P1123" s="208"/>
      <c r="Q1123" s="207"/>
      <c r="R1123" s="208"/>
    </row>
    <row r="1124" spans="1:18">
      <c r="A1124" s="277"/>
      <c r="B1124" s="278"/>
      <c r="C1124" s="208"/>
      <c r="D1124" s="208"/>
      <c r="E1124" s="208">
        <v>46082</v>
      </c>
      <c r="F1124" s="208"/>
      <c r="G1124" s="208"/>
      <c r="H1124" s="208" t="s">
        <v>57</v>
      </c>
      <c r="I1124" s="208"/>
      <c r="J1124" s="208"/>
      <c r="K1124" s="208" t="s">
        <v>59</v>
      </c>
      <c r="L1124" s="208"/>
      <c r="M1124" s="208"/>
      <c r="N1124" s="208"/>
      <c r="O1124" s="208"/>
      <c r="P1124" s="208"/>
      <c r="Q1124" s="207"/>
      <c r="R1124" s="208"/>
    </row>
    <row r="1125" spans="1:18">
      <c r="A1125" s="277"/>
      <c r="B1125" s="278"/>
      <c r="C1125" s="208"/>
      <c r="D1125" s="208"/>
      <c r="E1125" s="208">
        <v>46082</v>
      </c>
      <c r="F1125" s="208"/>
      <c r="G1125" s="208"/>
      <c r="H1125" s="208" t="s">
        <v>57</v>
      </c>
      <c r="I1125" s="208"/>
      <c r="J1125" s="208"/>
      <c r="K1125" s="208" t="s">
        <v>59</v>
      </c>
      <c r="L1125" s="208"/>
      <c r="M1125" s="208"/>
      <c r="N1125" s="208"/>
      <c r="O1125" s="208"/>
      <c r="P1125" s="208"/>
      <c r="Q1125" s="207"/>
      <c r="R1125" s="208"/>
    </row>
    <row r="1126" spans="1:18">
      <c r="A1126" s="277"/>
      <c r="B1126" s="278"/>
      <c r="C1126" s="208"/>
      <c r="D1126" s="208"/>
      <c r="E1126" s="208">
        <v>46082</v>
      </c>
      <c r="F1126" s="208"/>
      <c r="G1126" s="208"/>
      <c r="H1126" s="208" t="s">
        <v>57</v>
      </c>
      <c r="I1126" s="208"/>
      <c r="J1126" s="208"/>
      <c r="K1126" s="208" t="s">
        <v>59</v>
      </c>
      <c r="L1126" s="208"/>
      <c r="M1126" s="208"/>
      <c r="N1126" s="208"/>
      <c r="O1126" s="208"/>
      <c r="P1126" s="208"/>
      <c r="Q1126" s="207"/>
      <c r="R1126" s="208"/>
    </row>
    <row r="1127" spans="1:18">
      <c r="A1127" s="277"/>
      <c r="B1127" s="278"/>
      <c r="C1127" s="208"/>
      <c r="D1127" s="208"/>
      <c r="E1127" s="208">
        <v>46082</v>
      </c>
      <c r="F1127" s="208"/>
      <c r="G1127" s="208"/>
      <c r="H1127" s="208" t="s">
        <v>57</v>
      </c>
      <c r="I1127" s="208"/>
      <c r="J1127" s="208"/>
      <c r="K1127" s="208" t="s">
        <v>59</v>
      </c>
      <c r="L1127" s="208"/>
      <c r="M1127" s="208"/>
      <c r="N1127" s="208"/>
      <c r="O1127" s="208"/>
      <c r="P1127" s="208"/>
      <c r="Q1127" s="207"/>
      <c r="R1127" s="208"/>
    </row>
    <row r="1128" spans="1:18">
      <c r="A1128" s="277"/>
      <c r="B1128" s="278"/>
      <c r="C1128" s="208"/>
      <c r="D1128" s="208"/>
      <c r="E1128" s="208">
        <v>46082</v>
      </c>
      <c r="F1128" s="208"/>
      <c r="G1128" s="208"/>
      <c r="H1128" s="208" t="s">
        <v>57</v>
      </c>
      <c r="I1128" s="208"/>
      <c r="J1128" s="208"/>
      <c r="K1128" s="208" t="s">
        <v>59</v>
      </c>
      <c r="L1128" s="208"/>
      <c r="M1128" s="208"/>
      <c r="N1128" s="208"/>
      <c r="O1128" s="208"/>
      <c r="P1128" s="208"/>
      <c r="Q1128" s="207"/>
      <c r="R1128" s="208"/>
    </row>
    <row r="1129" spans="1:18">
      <c r="A1129" s="277"/>
      <c r="B1129" s="278"/>
      <c r="C1129" s="208"/>
      <c r="D1129" s="208"/>
      <c r="E1129" s="208">
        <v>46082</v>
      </c>
      <c r="F1129" s="208"/>
      <c r="G1129" s="208"/>
      <c r="H1129" s="208" t="s">
        <v>57</v>
      </c>
      <c r="I1129" s="208"/>
      <c r="J1129" s="208"/>
      <c r="K1129" s="208" t="s">
        <v>59</v>
      </c>
      <c r="L1129" s="208"/>
      <c r="M1129" s="208"/>
      <c r="N1129" s="208"/>
      <c r="O1129" s="208"/>
      <c r="P1129" s="208"/>
      <c r="Q1129" s="207"/>
      <c r="R1129" s="208"/>
    </row>
    <row r="1130" spans="1:18">
      <c r="A1130" s="277"/>
      <c r="B1130" s="278"/>
      <c r="C1130" s="208"/>
      <c r="D1130" s="208"/>
      <c r="E1130" s="208">
        <v>46082</v>
      </c>
      <c r="F1130" s="208"/>
      <c r="G1130" s="208"/>
      <c r="H1130" s="208" t="s">
        <v>99</v>
      </c>
      <c r="I1130" s="208"/>
      <c r="J1130" s="208"/>
      <c r="K1130" s="208" t="s">
        <v>101</v>
      </c>
      <c r="L1130" s="208"/>
      <c r="M1130" s="208"/>
      <c r="N1130" s="208"/>
      <c r="O1130" s="208"/>
      <c r="P1130" s="208"/>
      <c r="Q1130" s="207"/>
      <c r="R1130" s="208"/>
    </row>
    <row r="1131" spans="1:18">
      <c r="A1131" s="277"/>
      <c r="B1131" s="278"/>
      <c r="C1131" s="208"/>
      <c r="D1131" s="208"/>
      <c r="E1131" s="208">
        <v>46082</v>
      </c>
      <c r="F1131" s="208"/>
      <c r="G1131" s="208"/>
      <c r="H1131" s="208" t="s">
        <v>99</v>
      </c>
      <c r="I1131" s="208"/>
      <c r="J1131" s="208"/>
      <c r="K1131" s="208" t="s">
        <v>10</v>
      </c>
      <c r="L1131" s="208"/>
      <c r="M1131" s="208"/>
      <c r="N1131" s="208"/>
      <c r="O1131" s="208"/>
      <c r="P1131" s="208"/>
      <c r="Q1131" s="207"/>
      <c r="R1131" s="208"/>
    </row>
    <row r="1132" spans="1:18">
      <c r="A1132" s="277"/>
      <c r="B1132" s="278"/>
      <c r="C1132" s="208"/>
      <c r="D1132" s="208"/>
      <c r="E1132" s="208">
        <v>46082</v>
      </c>
      <c r="F1132" s="208"/>
      <c r="G1132" s="208"/>
      <c r="H1132" s="208" t="s">
        <v>99</v>
      </c>
      <c r="I1132" s="208"/>
      <c r="J1132" s="208"/>
      <c r="K1132" s="208" t="s">
        <v>104</v>
      </c>
      <c r="L1132" s="208"/>
      <c r="M1132" s="208"/>
      <c r="N1132" s="208"/>
      <c r="O1132" s="208"/>
      <c r="P1132" s="208"/>
      <c r="Q1132" s="207"/>
      <c r="R1132" s="208"/>
    </row>
    <row r="1133" spans="1:18">
      <c r="A1133" s="277"/>
      <c r="B1133" s="278"/>
      <c r="C1133" s="208"/>
      <c r="D1133" s="208"/>
      <c r="E1133" s="208">
        <v>46082</v>
      </c>
      <c r="F1133" s="208"/>
      <c r="G1133" s="208"/>
      <c r="H1133" s="208" t="s">
        <v>99</v>
      </c>
      <c r="I1133" s="208"/>
      <c r="J1133" s="208"/>
      <c r="K1133" s="208" t="s">
        <v>104</v>
      </c>
      <c r="L1133" s="208"/>
      <c r="M1133" s="208"/>
      <c r="N1133" s="208"/>
      <c r="O1133" s="208"/>
      <c r="P1133" s="208"/>
      <c r="Q1133" s="207"/>
      <c r="R1133" s="208"/>
    </row>
    <row r="1134" spans="1:18">
      <c r="A1134" s="277"/>
      <c r="B1134" s="278"/>
      <c r="C1134" s="208"/>
      <c r="D1134" s="208"/>
      <c r="E1134" s="208">
        <v>46082</v>
      </c>
      <c r="F1134" s="208"/>
      <c r="G1134" s="208"/>
      <c r="H1134" s="208" t="s">
        <v>99</v>
      </c>
      <c r="I1134" s="208"/>
      <c r="J1134" s="208"/>
      <c r="K1134" s="208" t="s">
        <v>106</v>
      </c>
      <c r="L1134" s="208"/>
      <c r="M1134" s="208"/>
      <c r="N1134" s="208"/>
      <c r="O1134" s="208"/>
      <c r="P1134" s="208"/>
      <c r="Q1134" s="207"/>
      <c r="R1134" s="208"/>
    </row>
    <row r="1135" spans="1:18">
      <c r="A1135" s="277"/>
      <c r="B1135" s="278"/>
      <c r="C1135" s="208"/>
      <c r="D1135" s="208"/>
      <c r="E1135" s="208">
        <v>46082</v>
      </c>
      <c r="F1135" s="208"/>
      <c r="G1135" s="208"/>
      <c r="H1135" s="208" t="s">
        <v>99</v>
      </c>
      <c r="I1135" s="208"/>
      <c r="J1135" s="208"/>
      <c r="K1135" s="208" t="s">
        <v>101</v>
      </c>
      <c r="L1135" s="208"/>
      <c r="M1135" s="208"/>
      <c r="N1135" s="208"/>
      <c r="O1135" s="208"/>
      <c r="P1135" s="208"/>
      <c r="Q1135" s="207"/>
      <c r="R1135" s="208"/>
    </row>
    <row r="1136" spans="1:18">
      <c r="A1136" s="277"/>
      <c r="B1136" s="278"/>
      <c r="C1136" s="208"/>
      <c r="D1136" s="208"/>
      <c r="E1136" s="208">
        <v>46082</v>
      </c>
      <c r="F1136" s="208"/>
      <c r="G1136" s="208"/>
      <c r="H1136" s="208" t="s">
        <v>99</v>
      </c>
      <c r="I1136" s="208"/>
      <c r="J1136" s="208"/>
      <c r="K1136" s="208" t="s">
        <v>101</v>
      </c>
      <c r="L1136" s="208"/>
      <c r="M1136" s="208"/>
      <c r="N1136" s="208"/>
      <c r="O1136" s="208"/>
      <c r="P1136" s="208"/>
      <c r="Q1136" s="207"/>
      <c r="R1136" s="208"/>
    </row>
    <row r="1137" spans="1:18">
      <c r="A1137" s="277"/>
      <c r="B1137" s="278"/>
      <c r="C1137" s="208"/>
      <c r="D1137" s="208"/>
      <c r="E1137" s="208">
        <v>46082</v>
      </c>
      <c r="F1137" s="208"/>
      <c r="G1137" s="208"/>
      <c r="H1137" s="208" t="s">
        <v>99</v>
      </c>
      <c r="I1137" s="208"/>
      <c r="J1137" s="208"/>
      <c r="K1137" s="208" t="s">
        <v>10</v>
      </c>
      <c r="L1137" s="208"/>
      <c r="M1137" s="208"/>
      <c r="N1137" s="208"/>
      <c r="O1137" s="208"/>
      <c r="P1137" s="208"/>
      <c r="Q1137" s="207"/>
      <c r="R1137" s="208"/>
    </row>
    <row r="1138" spans="1:18">
      <c r="A1138" s="277"/>
      <c r="B1138" s="278"/>
      <c r="C1138" s="208"/>
      <c r="D1138" s="208"/>
      <c r="E1138" s="208">
        <v>46082</v>
      </c>
      <c r="F1138" s="208"/>
      <c r="G1138" s="208"/>
      <c r="H1138" s="208" t="s">
        <v>99</v>
      </c>
      <c r="I1138" s="208"/>
      <c r="J1138" s="208"/>
      <c r="K1138" s="208" t="s">
        <v>10</v>
      </c>
      <c r="L1138" s="208"/>
      <c r="M1138" s="208"/>
      <c r="N1138" s="208"/>
      <c r="O1138" s="208"/>
      <c r="P1138" s="208"/>
      <c r="Q1138" s="207"/>
      <c r="R1138" s="208"/>
    </row>
    <row r="1139" spans="1:18">
      <c r="A1139" s="277"/>
      <c r="B1139" s="278"/>
      <c r="C1139" s="208"/>
      <c r="D1139" s="208"/>
      <c r="E1139" s="208">
        <v>46082</v>
      </c>
      <c r="F1139" s="208"/>
      <c r="G1139" s="208"/>
      <c r="H1139" s="208" t="s">
        <v>99</v>
      </c>
      <c r="I1139" s="208"/>
      <c r="J1139" s="208"/>
      <c r="K1139" s="208" t="s">
        <v>104</v>
      </c>
      <c r="L1139" s="208"/>
      <c r="M1139" s="208"/>
      <c r="N1139" s="208"/>
      <c r="O1139" s="208"/>
      <c r="P1139" s="208"/>
      <c r="Q1139" s="207"/>
      <c r="R1139" s="208"/>
    </row>
    <row r="1140" spans="1:18">
      <c r="A1140" s="277"/>
      <c r="B1140" s="278"/>
      <c r="C1140" s="208"/>
      <c r="D1140" s="208"/>
      <c r="E1140" s="208">
        <v>46082</v>
      </c>
      <c r="F1140" s="208"/>
      <c r="G1140" s="208"/>
      <c r="H1140" s="208" t="s">
        <v>99</v>
      </c>
      <c r="I1140" s="208"/>
      <c r="J1140" s="208"/>
      <c r="K1140" s="208" t="s">
        <v>104</v>
      </c>
      <c r="L1140" s="208"/>
      <c r="M1140" s="208"/>
      <c r="N1140" s="208"/>
      <c r="O1140" s="208"/>
      <c r="P1140" s="208"/>
      <c r="Q1140" s="207"/>
      <c r="R1140" s="208"/>
    </row>
    <row r="1141" spans="1:18">
      <c r="A1141" s="277"/>
      <c r="B1141" s="278"/>
      <c r="C1141" s="208"/>
      <c r="D1141" s="208"/>
      <c r="E1141" s="208">
        <v>46082</v>
      </c>
      <c r="F1141" s="208"/>
      <c r="G1141" s="208"/>
      <c r="H1141" s="208" t="s">
        <v>99</v>
      </c>
      <c r="I1141" s="208"/>
      <c r="J1141" s="208"/>
      <c r="K1141" s="208" t="s">
        <v>106</v>
      </c>
      <c r="L1141" s="208"/>
      <c r="M1141" s="208"/>
      <c r="N1141" s="208"/>
      <c r="O1141" s="208"/>
      <c r="P1141" s="208"/>
      <c r="Q1141" s="207"/>
      <c r="R1141" s="208"/>
    </row>
    <row r="1142" spans="1:18">
      <c r="A1142" s="277"/>
      <c r="B1142" s="278"/>
      <c r="C1142" s="208"/>
      <c r="D1142" s="208"/>
      <c r="E1142" s="208">
        <v>46082</v>
      </c>
      <c r="F1142" s="208"/>
      <c r="G1142" s="208"/>
      <c r="H1142" s="208" t="s">
        <v>99</v>
      </c>
      <c r="I1142" s="208"/>
      <c r="J1142" s="208"/>
      <c r="K1142" s="208" t="s">
        <v>106</v>
      </c>
      <c r="L1142" s="208"/>
      <c r="M1142" s="208"/>
      <c r="N1142" s="208"/>
      <c r="O1142" s="208"/>
      <c r="P1142" s="208"/>
      <c r="Q1142" s="207"/>
      <c r="R1142" s="208"/>
    </row>
    <row r="1143" spans="1:18">
      <c r="A1143" s="277"/>
      <c r="B1143" s="278"/>
      <c r="C1143" s="208"/>
      <c r="D1143" s="208"/>
      <c r="E1143" s="208">
        <v>46082</v>
      </c>
      <c r="F1143" s="208"/>
      <c r="G1143" s="208"/>
      <c r="H1143" s="208" t="s">
        <v>115</v>
      </c>
      <c r="I1143" s="208"/>
      <c r="J1143" s="208"/>
      <c r="K1143" s="208" t="s">
        <v>101</v>
      </c>
      <c r="L1143" s="208"/>
      <c r="M1143" s="208"/>
      <c r="N1143" s="208"/>
      <c r="O1143" s="208"/>
      <c r="P1143" s="208"/>
      <c r="Q1143" s="207"/>
      <c r="R1143" s="208"/>
    </row>
    <row r="1144" spans="1:18">
      <c r="A1144" s="277"/>
      <c r="B1144" s="278"/>
      <c r="C1144" s="208"/>
      <c r="D1144" s="208"/>
      <c r="E1144" s="208">
        <v>46082</v>
      </c>
      <c r="F1144" s="208"/>
      <c r="G1144" s="208"/>
      <c r="H1144" s="208" t="s">
        <v>80</v>
      </c>
      <c r="I1144" s="208"/>
      <c r="J1144" s="208"/>
      <c r="K1144" s="208" t="s">
        <v>59</v>
      </c>
      <c r="L1144" s="208"/>
      <c r="M1144" s="208"/>
      <c r="N1144" s="208"/>
      <c r="O1144" s="208"/>
      <c r="P1144" s="208"/>
      <c r="Q1144" s="207"/>
      <c r="R1144" s="208"/>
    </row>
    <row r="1145" spans="1:18">
      <c r="A1145" s="277"/>
      <c r="B1145" s="278"/>
      <c r="C1145" s="208"/>
      <c r="D1145" s="208"/>
      <c r="E1145" s="208">
        <v>46082</v>
      </c>
      <c r="F1145" s="208"/>
      <c r="G1145" s="208"/>
      <c r="H1145" s="208" t="s">
        <v>80</v>
      </c>
      <c r="I1145" s="208"/>
      <c r="J1145" s="208"/>
      <c r="K1145" s="208" t="s">
        <v>59</v>
      </c>
      <c r="L1145" s="208"/>
      <c r="M1145" s="208"/>
      <c r="N1145" s="208"/>
      <c r="O1145" s="208"/>
      <c r="P1145" s="208"/>
      <c r="Q1145" s="207"/>
      <c r="R1145" s="208"/>
    </row>
    <row r="1146" spans="1:18">
      <c r="A1146" s="277"/>
      <c r="B1146" s="278"/>
      <c r="C1146" s="208"/>
      <c r="D1146" s="208"/>
      <c r="E1146" s="208">
        <v>46082</v>
      </c>
      <c r="F1146" s="208"/>
      <c r="G1146" s="208"/>
      <c r="H1146" s="208" t="s">
        <v>61</v>
      </c>
      <c r="I1146" s="208"/>
      <c r="J1146" s="208"/>
      <c r="K1146" s="208" t="s">
        <v>34</v>
      </c>
      <c r="L1146" s="208"/>
      <c r="M1146" s="208"/>
      <c r="N1146" s="208"/>
      <c r="O1146" s="208"/>
      <c r="P1146" s="208"/>
      <c r="Q1146" s="207"/>
      <c r="R1146" s="208"/>
    </row>
    <row r="1147" spans="1:18">
      <c r="A1147" s="277"/>
      <c r="B1147" s="278"/>
      <c r="C1147" s="208"/>
      <c r="D1147" s="208"/>
      <c r="E1147" s="208">
        <v>46082</v>
      </c>
      <c r="F1147" s="208"/>
      <c r="G1147" s="208"/>
      <c r="H1147" s="208" t="s">
        <v>61</v>
      </c>
      <c r="I1147" s="208"/>
      <c r="J1147" s="208"/>
      <c r="K1147" s="208" t="s">
        <v>35</v>
      </c>
      <c r="L1147" s="208"/>
      <c r="M1147" s="208"/>
      <c r="N1147" s="208"/>
      <c r="O1147" s="208"/>
      <c r="P1147" s="208"/>
      <c r="Q1147" s="207"/>
      <c r="R1147" s="208"/>
    </row>
    <row r="1148" spans="1:18">
      <c r="A1148" s="277"/>
      <c r="B1148" s="278"/>
      <c r="C1148" s="208"/>
      <c r="D1148" s="208"/>
      <c r="E1148" s="208">
        <v>46082</v>
      </c>
      <c r="F1148" s="208"/>
      <c r="G1148" s="208"/>
      <c r="H1148" s="208" t="s">
        <v>61</v>
      </c>
      <c r="I1148" s="208"/>
      <c r="J1148" s="208"/>
      <c r="K1148" s="208" t="s">
        <v>35</v>
      </c>
      <c r="L1148" s="208"/>
      <c r="M1148" s="208"/>
      <c r="N1148" s="208"/>
      <c r="O1148" s="208"/>
      <c r="P1148" s="208"/>
      <c r="Q1148" s="207"/>
      <c r="R1148" s="208"/>
    </row>
    <row r="1149" spans="1:18">
      <c r="A1149" s="277"/>
      <c r="B1149" s="278"/>
      <c r="C1149" s="208"/>
      <c r="D1149" s="208"/>
      <c r="E1149" s="208">
        <v>46082</v>
      </c>
      <c r="F1149" s="208"/>
      <c r="G1149" s="208"/>
      <c r="H1149" s="208" t="s">
        <v>61</v>
      </c>
      <c r="I1149" s="208"/>
      <c r="J1149" s="208"/>
      <c r="K1149" s="208" t="s">
        <v>37</v>
      </c>
      <c r="L1149" s="208"/>
      <c r="M1149" s="208"/>
      <c r="N1149" s="208"/>
      <c r="O1149" s="208"/>
      <c r="P1149" s="208"/>
      <c r="Q1149" s="207"/>
      <c r="R1149" s="208"/>
    </row>
    <row r="1150" spans="1:18">
      <c r="A1150" s="277"/>
      <c r="B1150" s="278"/>
      <c r="C1150" s="208"/>
      <c r="D1150" s="208"/>
      <c r="E1150" s="208">
        <v>46082</v>
      </c>
      <c r="F1150" s="208"/>
      <c r="G1150" s="208"/>
      <c r="H1150" s="208" t="s">
        <v>61</v>
      </c>
      <c r="I1150" s="208"/>
      <c r="J1150" s="208"/>
      <c r="K1150" s="208" t="s">
        <v>37</v>
      </c>
      <c r="L1150" s="208"/>
      <c r="M1150" s="208"/>
      <c r="N1150" s="208"/>
      <c r="O1150" s="208"/>
      <c r="P1150" s="208"/>
      <c r="Q1150" s="207"/>
      <c r="R1150" s="208"/>
    </row>
    <row r="1151" spans="1:18">
      <c r="A1151" s="277"/>
      <c r="B1151" s="278"/>
      <c r="C1151" s="208"/>
      <c r="D1151" s="208"/>
      <c r="E1151" s="208">
        <v>46082</v>
      </c>
      <c r="F1151" s="208"/>
      <c r="G1151" s="208"/>
      <c r="H1151" s="208" t="s">
        <v>61</v>
      </c>
      <c r="I1151" s="208"/>
      <c r="J1151" s="208"/>
      <c r="K1151" s="208" t="s">
        <v>37</v>
      </c>
      <c r="L1151" s="208"/>
      <c r="M1151" s="208"/>
      <c r="N1151" s="208"/>
      <c r="O1151" s="208"/>
      <c r="P1151" s="208"/>
      <c r="Q1151" s="207"/>
      <c r="R1151" s="208"/>
    </row>
    <row r="1152" spans="1:18">
      <c r="A1152" s="277"/>
      <c r="B1152" s="278"/>
      <c r="C1152" s="208"/>
      <c r="D1152" s="208"/>
      <c r="E1152" s="208">
        <v>46082</v>
      </c>
      <c r="F1152" s="208"/>
      <c r="G1152" s="208"/>
      <c r="H1152" s="208" t="s">
        <v>61</v>
      </c>
      <c r="I1152" s="208"/>
      <c r="J1152" s="208"/>
      <c r="K1152" s="208" t="s">
        <v>38</v>
      </c>
      <c r="L1152" s="208"/>
      <c r="M1152" s="208"/>
      <c r="N1152" s="208"/>
      <c r="O1152" s="208"/>
      <c r="P1152" s="208"/>
      <c r="Q1152" s="207"/>
      <c r="R1152" s="208"/>
    </row>
    <row r="1153" spans="1:18">
      <c r="A1153" s="277"/>
      <c r="B1153" s="278"/>
      <c r="C1153" s="208"/>
      <c r="D1153" s="208"/>
      <c r="E1153" s="208">
        <v>46082</v>
      </c>
      <c r="F1153" s="208"/>
      <c r="G1153" s="208"/>
      <c r="H1153" s="208" t="s">
        <v>61</v>
      </c>
      <c r="I1153" s="208"/>
      <c r="J1153" s="208"/>
      <c r="K1153" s="208" t="s">
        <v>38</v>
      </c>
      <c r="L1153" s="208"/>
      <c r="M1153" s="208"/>
      <c r="N1153" s="208"/>
      <c r="O1153" s="208"/>
      <c r="P1153" s="208"/>
      <c r="Q1153" s="207"/>
      <c r="R1153" s="208"/>
    </row>
    <row r="1154" spans="1:18">
      <c r="A1154" s="277"/>
      <c r="B1154" s="278"/>
      <c r="C1154" s="208"/>
      <c r="D1154" s="208"/>
      <c r="E1154" s="208">
        <v>46082</v>
      </c>
      <c r="F1154" s="208"/>
      <c r="G1154" s="208"/>
      <c r="H1154" s="208" t="s">
        <v>61</v>
      </c>
      <c r="I1154" s="208"/>
      <c r="J1154" s="208"/>
      <c r="K1154" s="208" t="s">
        <v>38</v>
      </c>
      <c r="L1154" s="208"/>
      <c r="M1154" s="208"/>
      <c r="N1154" s="208"/>
      <c r="O1154" s="208"/>
      <c r="P1154" s="208"/>
      <c r="Q1154" s="207"/>
      <c r="R1154" s="208"/>
    </row>
    <row r="1155" spans="1:18">
      <c r="A1155" s="277"/>
      <c r="B1155" s="278"/>
      <c r="C1155" s="208"/>
      <c r="D1155" s="208"/>
      <c r="E1155" s="208">
        <v>46082</v>
      </c>
      <c r="F1155" s="208"/>
      <c r="G1155" s="208"/>
      <c r="H1155" s="208" t="s">
        <v>61</v>
      </c>
      <c r="I1155" s="208"/>
      <c r="J1155" s="208"/>
      <c r="K1155" s="208" t="s">
        <v>38</v>
      </c>
      <c r="L1155" s="208"/>
      <c r="M1155" s="208"/>
      <c r="N1155" s="208"/>
      <c r="O1155" s="208"/>
      <c r="P1155" s="208"/>
      <c r="Q1155" s="207"/>
      <c r="R1155" s="208"/>
    </row>
    <row r="1156" spans="1:18">
      <c r="A1156" s="277"/>
      <c r="B1156" s="278"/>
      <c r="C1156" s="208"/>
      <c r="D1156" s="208"/>
      <c r="E1156" s="208">
        <v>46082</v>
      </c>
      <c r="F1156" s="208"/>
      <c r="G1156" s="208"/>
      <c r="H1156" s="208" t="s">
        <v>132</v>
      </c>
      <c r="I1156" s="208"/>
      <c r="J1156" s="208"/>
      <c r="K1156" s="208" t="s">
        <v>106</v>
      </c>
      <c r="L1156" s="208"/>
      <c r="M1156" s="208"/>
      <c r="N1156" s="208"/>
      <c r="O1156" s="208"/>
      <c r="P1156" s="208"/>
      <c r="Q1156" s="207"/>
      <c r="R1156" s="208"/>
    </row>
    <row r="1157" spans="1:18">
      <c r="A1157" s="277"/>
      <c r="B1157" s="278"/>
      <c r="C1157" s="208"/>
      <c r="D1157" s="208"/>
      <c r="E1157" s="208">
        <v>46082</v>
      </c>
      <c r="F1157" s="208"/>
      <c r="G1157" s="208"/>
      <c r="H1157" s="208" t="s">
        <v>132</v>
      </c>
      <c r="I1157" s="208"/>
      <c r="J1157" s="208"/>
      <c r="K1157" s="208" t="s">
        <v>135</v>
      </c>
      <c r="L1157" s="208"/>
      <c r="M1157" s="208"/>
      <c r="N1157" s="208"/>
      <c r="O1157" s="208"/>
      <c r="P1157" s="208"/>
      <c r="Q1157" s="207"/>
      <c r="R1157" s="208"/>
    </row>
    <row r="1158" spans="1:18">
      <c r="A1158" s="277"/>
      <c r="B1158" s="278"/>
      <c r="C1158" s="208"/>
      <c r="D1158" s="208"/>
      <c r="E1158" s="208">
        <v>46082</v>
      </c>
      <c r="F1158" s="208"/>
      <c r="G1158" s="208"/>
      <c r="H1158" s="208" t="s">
        <v>132</v>
      </c>
      <c r="I1158" s="208"/>
      <c r="J1158" s="208"/>
      <c r="K1158" s="208" t="s">
        <v>101</v>
      </c>
      <c r="L1158" s="208"/>
      <c r="M1158" s="208"/>
      <c r="N1158" s="208"/>
      <c r="O1158" s="208"/>
      <c r="P1158" s="208"/>
      <c r="Q1158" s="207"/>
      <c r="R1158" s="208"/>
    </row>
    <row r="1159" spans="1:18">
      <c r="A1159" s="277"/>
      <c r="B1159" s="278"/>
      <c r="C1159" s="208"/>
      <c r="D1159" s="208"/>
      <c r="E1159" s="208">
        <v>46082</v>
      </c>
      <c r="F1159" s="208"/>
      <c r="G1159" s="208"/>
      <c r="H1159" s="208" t="s">
        <v>132</v>
      </c>
      <c r="I1159" s="208"/>
      <c r="J1159" s="208"/>
      <c r="K1159" s="208" t="s">
        <v>101</v>
      </c>
      <c r="L1159" s="208"/>
      <c r="M1159" s="208"/>
      <c r="N1159" s="208"/>
      <c r="O1159" s="208"/>
      <c r="P1159" s="208"/>
      <c r="Q1159" s="207"/>
      <c r="R1159" s="208"/>
    </row>
    <row r="1160" spans="1:18">
      <c r="A1160" s="277"/>
      <c r="B1160" s="278"/>
      <c r="C1160" s="208"/>
      <c r="D1160" s="208"/>
      <c r="E1160" s="208">
        <v>46082</v>
      </c>
      <c r="F1160" s="208"/>
      <c r="G1160" s="208"/>
      <c r="H1160" s="208" t="s">
        <v>132</v>
      </c>
      <c r="I1160" s="208"/>
      <c r="J1160" s="208"/>
      <c r="K1160" s="208" t="s">
        <v>101</v>
      </c>
      <c r="L1160" s="208"/>
      <c r="M1160" s="208"/>
      <c r="N1160" s="208"/>
      <c r="O1160" s="208"/>
      <c r="P1160" s="208"/>
      <c r="Q1160" s="207"/>
      <c r="R1160" s="208"/>
    </row>
    <row r="1161" spans="1:18">
      <c r="A1161" s="277"/>
      <c r="B1161" s="278"/>
      <c r="C1161" s="208"/>
      <c r="D1161" s="208"/>
      <c r="E1161" s="208">
        <v>46082</v>
      </c>
      <c r="F1161" s="208"/>
      <c r="G1161" s="208"/>
      <c r="H1161" s="208" t="s">
        <v>132</v>
      </c>
      <c r="I1161" s="208"/>
      <c r="J1161" s="208"/>
      <c r="K1161" s="208" t="s">
        <v>10</v>
      </c>
      <c r="L1161" s="208"/>
      <c r="M1161" s="208"/>
      <c r="N1161" s="208"/>
      <c r="O1161" s="208"/>
      <c r="P1161" s="208"/>
      <c r="Q1161" s="207"/>
      <c r="R1161" s="208"/>
    </row>
    <row r="1162" spans="1:18">
      <c r="A1162" s="277"/>
      <c r="B1162" s="278"/>
      <c r="C1162" s="208"/>
      <c r="D1162" s="208"/>
      <c r="E1162" s="208">
        <v>46082</v>
      </c>
      <c r="F1162" s="208"/>
      <c r="G1162" s="208"/>
      <c r="H1162" s="208" t="s">
        <v>132</v>
      </c>
      <c r="I1162" s="208"/>
      <c r="J1162" s="208"/>
      <c r="K1162" s="208" t="s">
        <v>10</v>
      </c>
      <c r="L1162" s="208"/>
      <c r="M1162" s="208"/>
      <c r="N1162" s="208"/>
      <c r="O1162" s="208"/>
      <c r="P1162" s="208"/>
      <c r="Q1162" s="207"/>
      <c r="R1162" s="208"/>
    </row>
    <row r="1163" spans="1:18">
      <c r="A1163" s="277"/>
      <c r="B1163" s="278"/>
      <c r="C1163" s="208"/>
      <c r="D1163" s="208"/>
      <c r="E1163" s="208">
        <v>46082</v>
      </c>
      <c r="F1163" s="208"/>
      <c r="G1163" s="208"/>
      <c r="H1163" s="208" t="s">
        <v>132</v>
      </c>
      <c r="I1163" s="208"/>
      <c r="J1163" s="208"/>
      <c r="K1163" s="208" t="s">
        <v>10</v>
      </c>
      <c r="L1163" s="208"/>
      <c r="M1163" s="208"/>
      <c r="N1163" s="208"/>
      <c r="O1163" s="208"/>
      <c r="P1163" s="208"/>
      <c r="Q1163" s="207"/>
      <c r="R1163" s="208"/>
    </row>
    <row r="1164" spans="1:18">
      <c r="A1164" s="277"/>
      <c r="B1164" s="278"/>
      <c r="C1164" s="208"/>
      <c r="D1164" s="208"/>
      <c r="E1164" s="208">
        <v>46082</v>
      </c>
      <c r="F1164" s="208"/>
      <c r="G1164" s="208"/>
      <c r="H1164" s="208" t="s">
        <v>132</v>
      </c>
      <c r="I1164" s="208"/>
      <c r="J1164" s="208"/>
      <c r="K1164" s="208" t="s">
        <v>101</v>
      </c>
      <c r="L1164" s="208"/>
      <c r="M1164" s="208"/>
      <c r="N1164" s="208"/>
      <c r="O1164" s="208"/>
      <c r="P1164" s="208"/>
      <c r="Q1164" s="207"/>
      <c r="R1164" s="208"/>
    </row>
    <row r="1165" spans="1:18">
      <c r="A1165" s="277"/>
      <c r="B1165" s="278"/>
      <c r="C1165" s="208"/>
      <c r="D1165" s="208"/>
      <c r="E1165" s="208">
        <v>46082</v>
      </c>
      <c r="F1165" s="208"/>
      <c r="G1165" s="208"/>
      <c r="H1165" s="208" t="s">
        <v>132</v>
      </c>
      <c r="I1165" s="208"/>
      <c r="J1165" s="208"/>
      <c r="K1165" s="208" t="s">
        <v>101</v>
      </c>
      <c r="L1165" s="208"/>
      <c r="M1165" s="208"/>
      <c r="N1165" s="208"/>
      <c r="O1165" s="208"/>
      <c r="P1165" s="208"/>
      <c r="Q1165" s="207"/>
      <c r="R1165" s="208"/>
    </row>
    <row r="1166" spans="1:18">
      <c r="A1166" s="277"/>
      <c r="B1166" s="278"/>
      <c r="C1166" s="208"/>
      <c r="D1166" s="208"/>
      <c r="E1166" s="208">
        <v>46082</v>
      </c>
      <c r="F1166" s="208"/>
      <c r="G1166" s="208"/>
      <c r="H1166" s="208" t="s">
        <v>132</v>
      </c>
      <c r="I1166" s="208"/>
      <c r="J1166" s="208"/>
      <c r="K1166" s="208" t="s">
        <v>10</v>
      </c>
      <c r="L1166" s="208"/>
      <c r="M1166" s="208"/>
      <c r="N1166" s="208"/>
      <c r="O1166" s="208"/>
      <c r="P1166" s="208"/>
      <c r="Q1166" s="207"/>
      <c r="R1166" s="208"/>
    </row>
    <row r="1167" spans="1:18">
      <c r="A1167" s="277"/>
      <c r="B1167" s="278"/>
      <c r="C1167" s="208"/>
      <c r="D1167" s="208"/>
      <c r="E1167" s="208">
        <v>46082</v>
      </c>
      <c r="F1167" s="208"/>
      <c r="G1167" s="208"/>
      <c r="H1167" s="208" t="s">
        <v>132</v>
      </c>
      <c r="I1167" s="208"/>
      <c r="J1167" s="208"/>
      <c r="K1167" s="208" t="s">
        <v>10</v>
      </c>
      <c r="L1167" s="208"/>
      <c r="M1167" s="208"/>
      <c r="N1167" s="208"/>
      <c r="O1167" s="208"/>
      <c r="P1167" s="208"/>
      <c r="Q1167" s="207"/>
      <c r="R1167" s="208"/>
    </row>
    <row r="1168" spans="1:18">
      <c r="A1168" s="277"/>
      <c r="B1168" s="278"/>
      <c r="C1168" s="208"/>
      <c r="D1168" s="208"/>
      <c r="E1168" s="208">
        <v>46113</v>
      </c>
      <c r="F1168" s="208"/>
      <c r="G1168" s="208"/>
      <c r="H1168" s="208" t="s">
        <v>57</v>
      </c>
      <c r="I1168" s="208"/>
      <c r="J1168" s="208"/>
      <c r="K1168" s="208" t="s">
        <v>90</v>
      </c>
      <c r="L1168" s="208"/>
      <c r="M1168" s="208"/>
      <c r="N1168" s="208"/>
      <c r="O1168" s="208"/>
      <c r="P1168" s="208"/>
      <c r="Q1168" s="207"/>
      <c r="R1168" s="208"/>
    </row>
    <row r="1169" spans="1:18">
      <c r="A1169" s="277"/>
      <c r="B1169" s="278"/>
      <c r="C1169" s="208"/>
      <c r="D1169" s="208"/>
      <c r="E1169" s="208">
        <v>46113</v>
      </c>
      <c r="F1169" s="208"/>
      <c r="G1169" s="208"/>
      <c r="H1169" s="208" t="s">
        <v>57</v>
      </c>
      <c r="I1169" s="208"/>
      <c r="J1169" s="208"/>
      <c r="K1169" s="208" t="s">
        <v>59</v>
      </c>
      <c r="L1169" s="208"/>
      <c r="M1169" s="208"/>
      <c r="N1169" s="208"/>
      <c r="O1169" s="208"/>
      <c r="P1169" s="208"/>
      <c r="Q1169" s="207"/>
      <c r="R1169" s="208"/>
    </row>
    <row r="1170" spans="1:18">
      <c r="A1170" s="277"/>
      <c r="B1170" s="278"/>
      <c r="C1170" s="208"/>
      <c r="D1170" s="208"/>
      <c r="E1170" s="208">
        <v>46113</v>
      </c>
      <c r="F1170" s="208"/>
      <c r="G1170" s="208"/>
      <c r="H1170" s="208" t="s">
        <v>57</v>
      </c>
      <c r="I1170" s="208"/>
      <c r="J1170" s="208"/>
      <c r="K1170" s="208" t="s">
        <v>59</v>
      </c>
      <c r="L1170" s="208"/>
      <c r="M1170" s="208"/>
      <c r="N1170" s="208"/>
      <c r="O1170" s="208"/>
      <c r="P1170" s="208"/>
      <c r="Q1170" s="207"/>
      <c r="R1170" s="208"/>
    </row>
    <row r="1171" spans="1:18">
      <c r="A1171" s="277"/>
      <c r="B1171" s="278"/>
      <c r="C1171" s="208"/>
      <c r="D1171" s="208"/>
      <c r="E1171" s="208">
        <v>46113</v>
      </c>
      <c r="F1171" s="208"/>
      <c r="G1171" s="208"/>
      <c r="H1171" s="208" t="s">
        <v>57</v>
      </c>
      <c r="I1171" s="208"/>
      <c r="J1171" s="208"/>
      <c r="K1171" s="208" t="s">
        <v>59</v>
      </c>
      <c r="L1171" s="208"/>
      <c r="M1171" s="208"/>
      <c r="N1171" s="208"/>
      <c r="O1171" s="208"/>
      <c r="P1171" s="208"/>
      <c r="Q1171" s="207"/>
      <c r="R1171" s="208"/>
    </row>
    <row r="1172" spans="1:18">
      <c r="A1172" s="277"/>
      <c r="B1172" s="278"/>
      <c r="C1172" s="208"/>
      <c r="D1172" s="208"/>
      <c r="E1172" s="208">
        <v>46113</v>
      </c>
      <c r="F1172" s="208"/>
      <c r="G1172" s="208"/>
      <c r="H1172" s="208" t="s">
        <v>57</v>
      </c>
      <c r="I1172" s="208"/>
      <c r="J1172" s="208"/>
      <c r="K1172" s="208" t="s">
        <v>59</v>
      </c>
      <c r="L1172" s="208"/>
      <c r="M1172" s="208"/>
      <c r="N1172" s="208"/>
      <c r="O1172" s="208"/>
      <c r="P1172" s="208"/>
      <c r="Q1172" s="207"/>
      <c r="R1172" s="208"/>
    </row>
    <row r="1173" spans="1:18">
      <c r="A1173" s="277"/>
      <c r="B1173" s="278"/>
      <c r="C1173" s="208"/>
      <c r="D1173" s="208"/>
      <c r="E1173" s="208">
        <v>46113</v>
      </c>
      <c r="F1173" s="208"/>
      <c r="G1173" s="208"/>
      <c r="H1173" s="208" t="s">
        <v>57</v>
      </c>
      <c r="I1173" s="208"/>
      <c r="J1173" s="208"/>
      <c r="K1173" s="208" t="s">
        <v>59</v>
      </c>
      <c r="L1173" s="208"/>
      <c r="M1173" s="208"/>
      <c r="N1173" s="208"/>
      <c r="O1173" s="208"/>
      <c r="P1173" s="208"/>
      <c r="Q1173" s="207"/>
      <c r="R1173" s="208"/>
    </row>
    <row r="1174" spans="1:18">
      <c r="A1174" s="277"/>
      <c r="B1174" s="278"/>
      <c r="C1174" s="208"/>
      <c r="D1174" s="208"/>
      <c r="E1174" s="208">
        <v>46113</v>
      </c>
      <c r="F1174" s="208"/>
      <c r="G1174" s="208"/>
      <c r="H1174" s="208" t="s">
        <v>57</v>
      </c>
      <c r="I1174" s="208"/>
      <c r="J1174" s="208"/>
      <c r="K1174" s="208" t="s">
        <v>59</v>
      </c>
      <c r="L1174" s="208"/>
      <c r="M1174" s="208"/>
      <c r="N1174" s="208"/>
      <c r="O1174" s="208"/>
      <c r="P1174" s="208"/>
      <c r="Q1174" s="207"/>
      <c r="R1174" s="208"/>
    </row>
    <row r="1175" spans="1:18">
      <c r="A1175" s="277"/>
      <c r="B1175" s="278"/>
      <c r="C1175" s="208"/>
      <c r="D1175" s="208"/>
      <c r="E1175" s="208">
        <v>46113</v>
      </c>
      <c r="F1175" s="208"/>
      <c r="G1175" s="208"/>
      <c r="H1175" s="208" t="s">
        <v>57</v>
      </c>
      <c r="I1175" s="208"/>
      <c r="J1175" s="208"/>
      <c r="K1175" s="208" t="s">
        <v>59</v>
      </c>
      <c r="L1175" s="208"/>
      <c r="M1175" s="208"/>
      <c r="N1175" s="208"/>
      <c r="O1175" s="208"/>
      <c r="P1175" s="208"/>
      <c r="Q1175" s="207"/>
      <c r="R1175" s="208"/>
    </row>
    <row r="1176" spans="1:18">
      <c r="A1176" s="277"/>
      <c r="B1176" s="278"/>
      <c r="C1176" s="208"/>
      <c r="D1176" s="208"/>
      <c r="E1176" s="208">
        <v>46113</v>
      </c>
      <c r="F1176" s="208"/>
      <c r="G1176" s="208"/>
      <c r="H1176" s="208" t="s">
        <v>99</v>
      </c>
      <c r="I1176" s="208"/>
      <c r="J1176" s="208"/>
      <c r="K1176" s="208" t="s">
        <v>101</v>
      </c>
      <c r="L1176" s="208"/>
      <c r="M1176" s="208"/>
      <c r="N1176" s="208"/>
      <c r="O1176" s="208"/>
      <c r="P1176" s="208"/>
      <c r="Q1176" s="207"/>
      <c r="R1176" s="208"/>
    </row>
    <row r="1177" spans="1:18">
      <c r="A1177" s="277"/>
      <c r="B1177" s="278"/>
      <c r="C1177" s="208"/>
      <c r="D1177" s="208"/>
      <c r="E1177" s="208">
        <v>46113</v>
      </c>
      <c r="F1177" s="208"/>
      <c r="G1177" s="208"/>
      <c r="H1177" s="208" t="s">
        <v>99</v>
      </c>
      <c r="I1177" s="208"/>
      <c r="J1177" s="208"/>
      <c r="K1177" s="208" t="s">
        <v>10</v>
      </c>
      <c r="L1177" s="208"/>
      <c r="M1177" s="208"/>
      <c r="N1177" s="208"/>
      <c r="O1177" s="208"/>
      <c r="P1177" s="208"/>
      <c r="Q1177" s="207"/>
      <c r="R1177" s="208"/>
    </row>
    <row r="1178" spans="1:18">
      <c r="A1178" s="277"/>
      <c r="B1178" s="278"/>
      <c r="C1178" s="208"/>
      <c r="D1178" s="208"/>
      <c r="E1178" s="208">
        <v>46113</v>
      </c>
      <c r="F1178" s="208"/>
      <c r="G1178" s="208"/>
      <c r="H1178" s="208" t="s">
        <v>99</v>
      </c>
      <c r="I1178" s="208"/>
      <c r="J1178" s="208"/>
      <c r="K1178" s="208" t="s">
        <v>104</v>
      </c>
      <c r="L1178" s="208"/>
      <c r="M1178" s="208"/>
      <c r="N1178" s="208"/>
      <c r="O1178" s="208"/>
      <c r="P1178" s="208"/>
      <c r="Q1178" s="207"/>
      <c r="R1178" s="208"/>
    </row>
    <row r="1179" spans="1:18">
      <c r="A1179" s="277"/>
      <c r="B1179" s="278"/>
      <c r="C1179" s="208"/>
      <c r="D1179" s="208"/>
      <c r="E1179" s="208">
        <v>46113</v>
      </c>
      <c r="F1179" s="208"/>
      <c r="G1179" s="208"/>
      <c r="H1179" s="208" t="s">
        <v>99</v>
      </c>
      <c r="I1179" s="208"/>
      <c r="J1179" s="208"/>
      <c r="K1179" s="208" t="s">
        <v>106</v>
      </c>
      <c r="L1179" s="208"/>
      <c r="M1179" s="208"/>
      <c r="N1179" s="208"/>
      <c r="O1179" s="208"/>
      <c r="P1179" s="208"/>
      <c r="Q1179" s="207"/>
      <c r="R1179" s="208"/>
    </row>
    <row r="1180" spans="1:18">
      <c r="A1180" s="277"/>
      <c r="B1180" s="278"/>
      <c r="C1180" s="208"/>
      <c r="D1180" s="208"/>
      <c r="E1180" s="208">
        <v>46113</v>
      </c>
      <c r="F1180" s="208"/>
      <c r="G1180" s="208"/>
      <c r="H1180" s="208" t="s">
        <v>99</v>
      </c>
      <c r="I1180" s="208"/>
      <c r="J1180" s="208"/>
      <c r="K1180" s="208" t="s">
        <v>101</v>
      </c>
      <c r="L1180" s="208"/>
      <c r="M1180" s="208"/>
      <c r="N1180" s="208"/>
      <c r="O1180" s="208"/>
      <c r="P1180" s="208"/>
      <c r="Q1180" s="207"/>
      <c r="R1180" s="208"/>
    </row>
    <row r="1181" spans="1:18">
      <c r="A1181" s="277"/>
      <c r="B1181" s="278"/>
      <c r="C1181" s="208"/>
      <c r="D1181" s="208"/>
      <c r="E1181" s="208">
        <v>46113</v>
      </c>
      <c r="F1181" s="208"/>
      <c r="G1181" s="208"/>
      <c r="H1181" s="208" t="s">
        <v>99</v>
      </c>
      <c r="I1181" s="208"/>
      <c r="J1181" s="208"/>
      <c r="K1181" s="208" t="s">
        <v>10</v>
      </c>
      <c r="L1181" s="208"/>
      <c r="M1181" s="208"/>
      <c r="N1181" s="208"/>
      <c r="O1181" s="208"/>
      <c r="P1181" s="208"/>
      <c r="Q1181" s="207"/>
      <c r="R1181" s="208"/>
    </row>
    <row r="1182" spans="1:18">
      <c r="A1182" s="277"/>
      <c r="B1182" s="278"/>
      <c r="C1182" s="208"/>
      <c r="D1182" s="208"/>
      <c r="E1182" s="208">
        <v>46113</v>
      </c>
      <c r="F1182" s="208"/>
      <c r="G1182" s="208"/>
      <c r="H1182" s="208" t="s">
        <v>99</v>
      </c>
      <c r="I1182" s="208"/>
      <c r="J1182" s="208"/>
      <c r="K1182" s="208" t="s">
        <v>104</v>
      </c>
      <c r="L1182" s="208"/>
      <c r="M1182" s="208"/>
      <c r="N1182" s="208"/>
      <c r="O1182" s="208"/>
      <c r="P1182" s="208"/>
      <c r="Q1182" s="207"/>
      <c r="R1182" s="208"/>
    </row>
    <row r="1183" spans="1:18">
      <c r="A1183" s="277"/>
      <c r="B1183" s="278"/>
      <c r="C1183" s="208"/>
      <c r="D1183" s="208"/>
      <c r="E1183" s="208">
        <v>46113</v>
      </c>
      <c r="F1183" s="208"/>
      <c r="G1183" s="208"/>
      <c r="H1183" s="208" t="s">
        <v>99</v>
      </c>
      <c r="I1183" s="208"/>
      <c r="J1183" s="208"/>
      <c r="K1183" s="208" t="s">
        <v>106</v>
      </c>
      <c r="L1183" s="208"/>
      <c r="M1183" s="208"/>
      <c r="N1183" s="208"/>
      <c r="O1183" s="208"/>
      <c r="P1183" s="208"/>
      <c r="Q1183" s="207"/>
      <c r="R1183" s="208"/>
    </row>
    <row r="1184" spans="1:18">
      <c r="A1184" s="277"/>
      <c r="B1184" s="278"/>
      <c r="C1184" s="208"/>
      <c r="D1184" s="208"/>
      <c r="E1184" s="208">
        <v>46113</v>
      </c>
      <c r="F1184" s="208"/>
      <c r="G1184" s="208"/>
      <c r="H1184" s="208" t="s">
        <v>99</v>
      </c>
      <c r="I1184" s="208"/>
      <c r="J1184" s="208"/>
      <c r="K1184" s="208" t="s">
        <v>106</v>
      </c>
      <c r="L1184" s="208"/>
      <c r="M1184" s="208"/>
      <c r="N1184" s="208"/>
      <c r="O1184" s="208"/>
      <c r="P1184" s="208"/>
      <c r="Q1184" s="207"/>
      <c r="R1184" s="208"/>
    </row>
    <row r="1185" spans="1:18">
      <c r="A1185" s="277"/>
      <c r="B1185" s="278"/>
      <c r="C1185" s="208"/>
      <c r="D1185" s="208"/>
      <c r="E1185" s="208">
        <v>46113</v>
      </c>
      <c r="F1185" s="208"/>
      <c r="G1185" s="208"/>
      <c r="H1185" s="208" t="s">
        <v>99</v>
      </c>
      <c r="I1185" s="208"/>
      <c r="J1185" s="208"/>
      <c r="K1185" s="208" t="s">
        <v>106</v>
      </c>
      <c r="L1185" s="208"/>
      <c r="M1185" s="208"/>
      <c r="N1185" s="208"/>
      <c r="O1185" s="208"/>
      <c r="P1185" s="208"/>
      <c r="Q1185" s="207"/>
      <c r="R1185" s="208"/>
    </row>
    <row r="1186" spans="1:18">
      <c r="A1186" s="277"/>
      <c r="B1186" s="278"/>
      <c r="C1186" s="208"/>
      <c r="D1186" s="208"/>
      <c r="E1186" s="208">
        <v>46113</v>
      </c>
      <c r="F1186" s="208"/>
      <c r="G1186" s="208"/>
      <c r="H1186" s="208" t="s">
        <v>76</v>
      </c>
      <c r="I1186" s="208"/>
      <c r="J1186" s="208"/>
      <c r="K1186" s="208" t="s">
        <v>101</v>
      </c>
      <c r="L1186" s="208"/>
      <c r="M1186" s="208"/>
      <c r="N1186" s="208"/>
      <c r="O1186" s="208"/>
      <c r="P1186" s="208"/>
      <c r="Q1186" s="207"/>
      <c r="R1186" s="208"/>
    </row>
    <row r="1187" spans="1:18">
      <c r="A1187" s="277"/>
      <c r="B1187" s="278"/>
      <c r="C1187" s="208"/>
      <c r="D1187" s="208"/>
      <c r="E1187" s="208">
        <v>46113</v>
      </c>
      <c r="F1187" s="208"/>
      <c r="G1187" s="208"/>
      <c r="H1187" s="208" t="s">
        <v>115</v>
      </c>
      <c r="I1187" s="208"/>
      <c r="J1187" s="208"/>
      <c r="K1187" s="208" t="s">
        <v>101</v>
      </c>
      <c r="L1187" s="208"/>
      <c r="M1187" s="208"/>
      <c r="N1187" s="208"/>
      <c r="O1187" s="208"/>
      <c r="P1187" s="208"/>
      <c r="Q1187" s="207"/>
      <c r="R1187" s="208"/>
    </row>
    <row r="1188" spans="1:18">
      <c r="A1188" s="277"/>
      <c r="B1188" s="278"/>
      <c r="C1188" s="208"/>
      <c r="D1188" s="208"/>
      <c r="E1188" s="208">
        <v>46113</v>
      </c>
      <c r="F1188" s="208"/>
      <c r="G1188" s="208"/>
      <c r="H1188" s="208" t="s">
        <v>115</v>
      </c>
      <c r="I1188" s="208"/>
      <c r="J1188" s="208"/>
      <c r="K1188" s="208" t="s">
        <v>101</v>
      </c>
      <c r="L1188" s="208"/>
      <c r="M1188" s="208"/>
      <c r="N1188" s="208"/>
      <c r="O1188" s="208"/>
      <c r="P1188" s="208"/>
      <c r="Q1188" s="207"/>
      <c r="R1188" s="208"/>
    </row>
    <row r="1189" spans="1:18">
      <c r="A1189" s="277"/>
      <c r="B1189" s="278"/>
      <c r="C1189" s="208"/>
      <c r="D1189" s="208"/>
      <c r="E1189" s="208">
        <v>46113</v>
      </c>
      <c r="F1189" s="208"/>
      <c r="G1189" s="208"/>
      <c r="H1189" s="208" t="s">
        <v>80</v>
      </c>
      <c r="I1189" s="208"/>
      <c r="J1189" s="208"/>
      <c r="K1189" s="208" t="s">
        <v>59</v>
      </c>
      <c r="L1189" s="208"/>
      <c r="M1189" s="208"/>
      <c r="N1189" s="208"/>
      <c r="O1189" s="208"/>
      <c r="P1189" s="208"/>
      <c r="Q1189" s="207"/>
      <c r="R1189" s="208"/>
    </row>
    <row r="1190" spans="1:18">
      <c r="A1190" s="277"/>
      <c r="B1190" s="278"/>
      <c r="C1190" s="208"/>
      <c r="D1190" s="208"/>
      <c r="E1190" s="208">
        <v>46113</v>
      </c>
      <c r="F1190" s="208"/>
      <c r="G1190" s="208"/>
      <c r="H1190" s="208" t="s">
        <v>80</v>
      </c>
      <c r="I1190" s="208"/>
      <c r="J1190" s="208"/>
      <c r="K1190" s="208" t="s">
        <v>59</v>
      </c>
      <c r="L1190" s="208"/>
      <c r="M1190" s="208"/>
      <c r="N1190" s="208"/>
      <c r="O1190" s="208"/>
      <c r="P1190" s="208"/>
      <c r="Q1190" s="207"/>
      <c r="R1190" s="208"/>
    </row>
    <row r="1191" spans="1:18">
      <c r="A1191" s="277"/>
      <c r="B1191" s="278"/>
      <c r="C1191" s="208"/>
      <c r="D1191" s="208"/>
      <c r="E1191" s="208">
        <v>46113</v>
      </c>
      <c r="F1191" s="208"/>
      <c r="G1191" s="208"/>
      <c r="H1191" s="208" t="s">
        <v>61</v>
      </c>
      <c r="I1191" s="208"/>
      <c r="J1191" s="208"/>
      <c r="K1191" s="208" t="s">
        <v>34</v>
      </c>
      <c r="L1191" s="208"/>
      <c r="M1191" s="208"/>
      <c r="N1191" s="208"/>
      <c r="O1191" s="208"/>
      <c r="P1191" s="208"/>
      <c r="Q1191" s="207"/>
      <c r="R1191" s="208"/>
    </row>
    <row r="1192" spans="1:18">
      <c r="A1192" s="277"/>
      <c r="B1192" s="278"/>
      <c r="C1192" s="208"/>
      <c r="D1192" s="208"/>
      <c r="E1192" s="208">
        <v>46113</v>
      </c>
      <c r="F1192" s="208"/>
      <c r="G1192" s="208"/>
      <c r="H1192" s="208" t="s">
        <v>61</v>
      </c>
      <c r="I1192" s="208"/>
      <c r="J1192" s="208"/>
      <c r="K1192" s="208" t="s">
        <v>35</v>
      </c>
      <c r="L1192" s="208"/>
      <c r="M1192" s="208"/>
      <c r="N1192" s="208"/>
      <c r="O1192" s="208"/>
      <c r="P1192" s="208"/>
      <c r="Q1192" s="207"/>
      <c r="R1192" s="208"/>
    </row>
    <row r="1193" spans="1:18">
      <c r="A1193" s="277"/>
      <c r="B1193" s="278"/>
      <c r="C1193" s="208"/>
      <c r="D1193" s="208"/>
      <c r="E1193" s="208">
        <v>46113</v>
      </c>
      <c r="F1193" s="208"/>
      <c r="G1193" s="208"/>
      <c r="H1193" s="208" t="s">
        <v>61</v>
      </c>
      <c r="I1193" s="208"/>
      <c r="J1193" s="208"/>
      <c r="K1193" s="208" t="s">
        <v>37</v>
      </c>
      <c r="L1193" s="208"/>
      <c r="M1193" s="208"/>
      <c r="N1193" s="208"/>
      <c r="O1193" s="208"/>
      <c r="P1193" s="208"/>
      <c r="Q1193" s="207"/>
      <c r="R1193" s="208"/>
    </row>
    <row r="1194" spans="1:18">
      <c r="A1194" s="277"/>
      <c r="B1194" s="278"/>
      <c r="C1194" s="208"/>
      <c r="D1194" s="208"/>
      <c r="E1194" s="208">
        <v>46113</v>
      </c>
      <c r="F1194" s="208"/>
      <c r="G1194" s="208"/>
      <c r="H1194" s="208" t="s">
        <v>61</v>
      </c>
      <c r="I1194" s="208"/>
      <c r="J1194" s="208"/>
      <c r="K1194" s="208" t="s">
        <v>38</v>
      </c>
      <c r="L1194" s="208"/>
      <c r="M1194" s="208"/>
      <c r="N1194" s="208"/>
      <c r="O1194" s="208"/>
      <c r="P1194" s="208"/>
      <c r="Q1194" s="207"/>
      <c r="R1194" s="208"/>
    </row>
    <row r="1195" spans="1:18">
      <c r="A1195" s="277"/>
      <c r="B1195" s="278"/>
      <c r="C1195" s="208"/>
      <c r="D1195" s="208"/>
      <c r="E1195" s="208">
        <v>46113</v>
      </c>
      <c r="F1195" s="208"/>
      <c r="G1195" s="208"/>
      <c r="H1195" s="208" t="s">
        <v>132</v>
      </c>
      <c r="I1195" s="208"/>
      <c r="J1195" s="208"/>
      <c r="K1195" s="208" t="s">
        <v>106</v>
      </c>
      <c r="L1195" s="208"/>
      <c r="M1195" s="208"/>
      <c r="N1195" s="208"/>
      <c r="O1195" s="208"/>
      <c r="P1195" s="208"/>
      <c r="Q1195" s="207"/>
      <c r="R1195" s="208"/>
    </row>
    <row r="1196" spans="1:18">
      <c r="A1196" s="277"/>
      <c r="B1196" s="278"/>
      <c r="C1196" s="208"/>
      <c r="D1196" s="208"/>
      <c r="E1196" s="208">
        <v>46113</v>
      </c>
      <c r="F1196" s="208"/>
      <c r="G1196" s="208"/>
      <c r="H1196" s="208" t="s">
        <v>132</v>
      </c>
      <c r="I1196" s="208"/>
      <c r="J1196" s="208"/>
      <c r="K1196" s="208" t="s">
        <v>135</v>
      </c>
      <c r="L1196" s="208"/>
      <c r="M1196" s="208"/>
      <c r="N1196" s="208"/>
      <c r="O1196" s="208"/>
      <c r="P1196" s="208"/>
      <c r="Q1196" s="207"/>
      <c r="R1196" s="208"/>
    </row>
    <row r="1197" spans="1:18">
      <c r="A1197" s="277"/>
      <c r="B1197" s="278"/>
      <c r="C1197" s="208"/>
      <c r="D1197" s="208"/>
      <c r="E1197" s="208">
        <v>46113</v>
      </c>
      <c r="F1197" s="208"/>
      <c r="G1197" s="208"/>
      <c r="H1197" s="208" t="s">
        <v>132</v>
      </c>
      <c r="I1197" s="208"/>
      <c r="J1197" s="208"/>
      <c r="K1197" s="208" t="s">
        <v>101</v>
      </c>
      <c r="L1197" s="208"/>
      <c r="M1197" s="208"/>
      <c r="N1197" s="208"/>
      <c r="O1197" s="208"/>
      <c r="P1197" s="208"/>
      <c r="Q1197" s="207"/>
      <c r="R1197" s="208"/>
    </row>
    <row r="1198" spans="1:18">
      <c r="A1198" s="277"/>
      <c r="B1198" s="278"/>
      <c r="C1198" s="208"/>
      <c r="D1198" s="208"/>
      <c r="E1198" s="208">
        <v>46113</v>
      </c>
      <c r="F1198" s="208"/>
      <c r="G1198" s="208"/>
      <c r="H1198" s="208" t="s">
        <v>132</v>
      </c>
      <c r="I1198" s="208"/>
      <c r="J1198" s="208"/>
      <c r="K1198" s="208" t="s">
        <v>101</v>
      </c>
      <c r="L1198" s="208"/>
      <c r="M1198" s="208"/>
      <c r="N1198" s="208"/>
      <c r="O1198" s="208"/>
      <c r="P1198" s="208"/>
      <c r="Q1198" s="207"/>
      <c r="R1198" s="208"/>
    </row>
    <row r="1199" spans="1:18">
      <c r="A1199" s="277"/>
      <c r="B1199" s="278"/>
      <c r="C1199" s="208"/>
      <c r="D1199" s="208"/>
      <c r="E1199" s="208">
        <v>46113</v>
      </c>
      <c r="F1199" s="208"/>
      <c r="G1199" s="208"/>
      <c r="H1199" s="208" t="s">
        <v>132</v>
      </c>
      <c r="I1199" s="208"/>
      <c r="J1199" s="208"/>
      <c r="K1199" s="208" t="s">
        <v>101</v>
      </c>
      <c r="L1199" s="208"/>
      <c r="M1199" s="208"/>
      <c r="N1199" s="208"/>
      <c r="O1199" s="208"/>
      <c r="P1199" s="208"/>
      <c r="Q1199" s="207"/>
      <c r="R1199" s="208"/>
    </row>
    <row r="1200" spans="1:18">
      <c r="A1200" s="277"/>
      <c r="B1200" s="278"/>
      <c r="C1200" s="208"/>
      <c r="D1200" s="208"/>
      <c r="E1200" s="208">
        <v>46113</v>
      </c>
      <c r="F1200" s="208"/>
      <c r="G1200" s="208"/>
      <c r="H1200" s="208" t="s">
        <v>132</v>
      </c>
      <c r="I1200" s="208"/>
      <c r="J1200" s="208"/>
      <c r="K1200" s="208" t="s">
        <v>10</v>
      </c>
      <c r="L1200" s="208"/>
      <c r="M1200" s="208"/>
      <c r="N1200" s="208"/>
      <c r="O1200" s="208"/>
      <c r="P1200" s="208"/>
      <c r="Q1200" s="207"/>
      <c r="R1200" s="208"/>
    </row>
    <row r="1201" spans="1:18">
      <c r="A1201" s="277"/>
      <c r="B1201" s="278"/>
      <c r="C1201" s="208"/>
      <c r="D1201" s="208"/>
      <c r="E1201" s="208">
        <v>46113</v>
      </c>
      <c r="F1201" s="208"/>
      <c r="G1201" s="208"/>
      <c r="H1201" s="208" t="s">
        <v>132</v>
      </c>
      <c r="I1201" s="208"/>
      <c r="J1201" s="208"/>
      <c r="K1201" s="208" t="s">
        <v>10</v>
      </c>
      <c r="L1201" s="208"/>
      <c r="M1201" s="208"/>
      <c r="N1201" s="208"/>
      <c r="O1201" s="208"/>
      <c r="P1201" s="208"/>
      <c r="Q1201" s="207"/>
      <c r="R1201" s="208"/>
    </row>
    <row r="1202" spans="1:18">
      <c r="A1202" s="277"/>
      <c r="B1202" s="278"/>
      <c r="C1202" s="208"/>
      <c r="D1202" s="208"/>
      <c r="E1202" s="208">
        <v>46113</v>
      </c>
      <c r="F1202" s="208"/>
      <c r="G1202" s="208"/>
      <c r="H1202" s="208" t="s">
        <v>132</v>
      </c>
      <c r="I1202" s="208"/>
      <c r="J1202" s="208"/>
      <c r="K1202" s="208" t="s">
        <v>101</v>
      </c>
      <c r="L1202" s="208"/>
      <c r="M1202" s="208"/>
      <c r="N1202" s="208"/>
      <c r="O1202" s="208"/>
      <c r="P1202" s="208"/>
      <c r="Q1202" s="207"/>
      <c r="R1202" s="208"/>
    </row>
    <row r="1203" spans="1:18">
      <c r="A1203" s="277"/>
      <c r="B1203" s="278"/>
      <c r="C1203" s="208"/>
      <c r="D1203" s="208"/>
      <c r="E1203" s="208">
        <v>46113</v>
      </c>
      <c r="F1203" s="208"/>
      <c r="G1203" s="208"/>
      <c r="H1203" s="208" t="s">
        <v>132</v>
      </c>
      <c r="I1203" s="208"/>
      <c r="J1203" s="208"/>
      <c r="K1203" s="208" t="s">
        <v>101</v>
      </c>
      <c r="L1203" s="208"/>
      <c r="M1203" s="208"/>
      <c r="N1203" s="208"/>
      <c r="O1203" s="208"/>
      <c r="P1203" s="208"/>
      <c r="Q1203" s="207"/>
      <c r="R1203" s="208"/>
    </row>
    <row r="1204" spans="1:18">
      <c r="A1204" s="277"/>
      <c r="B1204" s="278"/>
      <c r="C1204" s="208"/>
      <c r="D1204" s="208"/>
      <c r="E1204" s="208">
        <v>46113</v>
      </c>
      <c r="F1204" s="208"/>
      <c r="G1204" s="208"/>
      <c r="H1204" s="208" t="s">
        <v>132</v>
      </c>
      <c r="I1204" s="208"/>
      <c r="J1204" s="208"/>
      <c r="K1204" s="208" t="s">
        <v>10</v>
      </c>
      <c r="L1204" s="208"/>
      <c r="M1204" s="208"/>
      <c r="N1204" s="208"/>
      <c r="O1204" s="208"/>
      <c r="P1204" s="208"/>
      <c r="Q1204" s="207"/>
      <c r="R1204" s="208"/>
    </row>
    <row r="1205" spans="1:18">
      <c r="A1205" s="277"/>
      <c r="B1205" s="278"/>
      <c r="C1205" s="208"/>
      <c r="D1205" s="208"/>
      <c r="E1205" s="208">
        <v>46113</v>
      </c>
      <c r="F1205" s="208"/>
      <c r="G1205" s="208"/>
      <c r="H1205" s="208" t="s">
        <v>132</v>
      </c>
      <c r="I1205" s="208"/>
      <c r="J1205" s="208"/>
      <c r="K1205" s="208" t="s">
        <v>101</v>
      </c>
      <c r="L1205" s="208"/>
      <c r="M1205" s="208"/>
      <c r="N1205" s="208"/>
      <c r="O1205" s="208"/>
      <c r="P1205" s="208"/>
      <c r="Q1205" s="207"/>
      <c r="R1205" s="208"/>
    </row>
    <row r="1206" spans="1:18">
      <c r="A1206" s="277"/>
      <c r="B1206" s="278"/>
      <c r="C1206" s="208"/>
      <c r="D1206" s="208"/>
      <c r="E1206" s="208">
        <v>46113</v>
      </c>
      <c r="F1206" s="208"/>
      <c r="G1206" s="208"/>
      <c r="H1206" s="208" t="s">
        <v>132</v>
      </c>
      <c r="I1206" s="208"/>
      <c r="J1206" s="208"/>
      <c r="K1206" s="208" t="s">
        <v>101</v>
      </c>
      <c r="L1206" s="208"/>
      <c r="M1206" s="208"/>
      <c r="N1206" s="208"/>
      <c r="O1206" s="208"/>
      <c r="P1206" s="208"/>
      <c r="Q1206" s="207"/>
      <c r="R1206" s="208"/>
    </row>
    <row r="1207" spans="1:18">
      <c r="A1207" s="277"/>
      <c r="B1207" s="278"/>
      <c r="C1207" s="208"/>
      <c r="D1207" s="208"/>
      <c r="E1207" s="208">
        <v>46143</v>
      </c>
      <c r="F1207" s="208"/>
      <c r="G1207" s="208"/>
      <c r="H1207" s="208" t="s">
        <v>57</v>
      </c>
      <c r="I1207" s="208"/>
      <c r="J1207" s="208"/>
      <c r="K1207" s="208" t="s">
        <v>90</v>
      </c>
      <c r="L1207" s="208"/>
      <c r="M1207" s="208"/>
      <c r="N1207" s="208"/>
      <c r="O1207" s="208"/>
      <c r="P1207" s="208"/>
      <c r="Q1207" s="207"/>
      <c r="R1207" s="208"/>
    </row>
    <row r="1208" spans="1:18">
      <c r="A1208" s="277"/>
      <c r="B1208" s="278"/>
      <c r="C1208" s="208"/>
      <c r="D1208" s="208"/>
      <c r="E1208" s="208">
        <v>46143</v>
      </c>
      <c r="F1208" s="208"/>
      <c r="G1208" s="208"/>
      <c r="H1208" s="208" t="s">
        <v>57</v>
      </c>
      <c r="I1208" s="208"/>
      <c r="J1208" s="208"/>
      <c r="K1208" s="208" t="s">
        <v>59</v>
      </c>
      <c r="L1208" s="208"/>
      <c r="M1208" s="208"/>
      <c r="N1208" s="208"/>
      <c r="O1208" s="208"/>
      <c r="P1208" s="208"/>
      <c r="Q1208" s="207"/>
      <c r="R1208" s="208"/>
    </row>
    <row r="1209" spans="1:18">
      <c r="A1209" s="277"/>
      <c r="B1209" s="278"/>
      <c r="C1209" s="208"/>
      <c r="D1209" s="208"/>
      <c r="E1209" s="208">
        <v>46143</v>
      </c>
      <c r="F1209" s="208"/>
      <c r="G1209" s="208"/>
      <c r="H1209" s="208" t="s">
        <v>57</v>
      </c>
      <c r="I1209" s="208"/>
      <c r="J1209" s="208"/>
      <c r="K1209" s="208" t="s">
        <v>59</v>
      </c>
      <c r="L1209" s="208"/>
      <c r="M1209" s="208"/>
      <c r="N1209" s="208"/>
      <c r="O1209" s="208"/>
      <c r="P1209" s="208"/>
      <c r="Q1209" s="207"/>
      <c r="R1209" s="208"/>
    </row>
    <row r="1210" spans="1:18">
      <c r="A1210" s="277"/>
      <c r="B1210" s="278"/>
      <c r="C1210" s="208"/>
      <c r="D1210" s="208"/>
      <c r="E1210" s="208">
        <v>46143</v>
      </c>
      <c r="F1210" s="208"/>
      <c r="G1210" s="208"/>
      <c r="H1210" s="208" t="s">
        <v>57</v>
      </c>
      <c r="I1210" s="208"/>
      <c r="J1210" s="208"/>
      <c r="K1210" s="208" t="s">
        <v>59</v>
      </c>
      <c r="L1210" s="208"/>
      <c r="M1210" s="208"/>
      <c r="N1210" s="208"/>
      <c r="O1210" s="208"/>
      <c r="P1210" s="208"/>
      <c r="Q1210" s="207"/>
      <c r="R1210" s="208"/>
    </row>
    <row r="1211" spans="1:18">
      <c r="A1211" s="277"/>
      <c r="B1211" s="278"/>
      <c r="C1211" s="208"/>
      <c r="D1211" s="208"/>
      <c r="E1211" s="208">
        <v>46143</v>
      </c>
      <c r="F1211" s="208"/>
      <c r="G1211" s="208"/>
      <c r="H1211" s="208" t="s">
        <v>57</v>
      </c>
      <c r="I1211" s="208"/>
      <c r="J1211" s="208"/>
      <c r="K1211" s="208" t="s">
        <v>59</v>
      </c>
      <c r="L1211" s="208"/>
      <c r="M1211" s="208"/>
      <c r="N1211" s="208"/>
      <c r="O1211" s="208"/>
      <c r="P1211" s="208"/>
      <c r="Q1211" s="207"/>
      <c r="R1211" s="208"/>
    </row>
    <row r="1212" spans="1:18">
      <c r="A1212" s="277"/>
      <c r="B1212" s="278"/>
      <c r="C1212" s="208"/>
      <c r="D1212" s="208"/>
      <c r="E1212" s="208">
        <v>46143</v>
      </c>
      <c r="F1212" s="208"/>
      <c r="G1212" s="208"/>
      <c r="H1212" s="208" t="s">
        <v>99</v>
      </c>
      <c r="I1212" s="208"/>
      <c r="J1212" s="208"/>
      <c r="K1212" s="208" t="s">
        <v>101</v>
      </c>
      <c r="L1212" s="208"/>
      <c r="M1212" s="208"/>
      <c r="N1212" s="208"/>
      <c r="O1212" s="208"/>
      <c r="P1212" s="208"/>
      <c r="Q1212" s="207"/>
      <c r="R1212" s="208"/>
    </row>
    <row r="1213" spans="1:18">
      <c r="A1213" s="277"/>
      <c r="B1213" s="278"/>
      <c r="C1213" s="208"/>
      <c r="D1213" s="208"/>
      <c r="E1213" s="208">
        <v>46143</v>
      </c>
      <c r="F1213" s="208"/>
      <c r="G1213" s="208"/>
      <c r="H1213" s="208" t="s">
        <v>99</v>
      </c>
      <c r="I1213" s="208"/>
      <c r="J1213" s="208"/>
      <c r="K1213" s="208" t="s">
        <v>10</v>
      </c>
      <c r="L1213" s="208"/>
      <c r="M1213" s="208"/>
      <c r="N1213" s="208"/>
      <c r="O1213" s="208"/>
      <c r="P1213" s="208"/>
      <c r="Q1213" s="207"/>
      <c r="R1213" s="208"/>
    </row>
    <row r="1214" spans="1:18">
      <c r="A1214" s="277"/>
      <c r="B1214" s="278"/>
      <c r="C1214" s="208"/>
      <c r="D1214" s="208"/>
      <c r="E1214" s="208">
        <v>46143</v>
      </c>
      <c r="F1214" s="208"/>
      <c r="G1214" s="208"/>
      <c r="H1214" s="208" t="s">
        <v>99</v>
      </c>
      <c r="I1214" s="208"/>
      <c r="J1214" s="208"/>
      <c r="K1214" s="208" t="s">
        <v>104</v>
      </c>
      <c r="L1214" s="208"/>
      <c r="M1214" s="208"/>
      <c r="N1214" s="208"/>
      <c r="O1214" s="208"/>
      <c r="P1214" s="208"/>
      <c r="Q1214" s="207"/>
      <c r="R1214" s="208"/>
    </row>
    <row r="1215" spans="1:18">
      <c r="A1215" s="277"/>
      <c r="B1215" s="278"/>
      <c r="C1215" s="208"/>
      <c r="D1215" s="208"/>
      <c r="E1215" s="208">
        <v>46143</v>
      </c>
      <c r="F1215" s="208"/>
      <c r="G1215" s="208"/>
      <c r="H1215" s="208" t="s">
        <v>99</v>
      </c>
      <c r="I1215" s="208"/>
      <c r="J1215" s="208"/>
      <c r="K1215" s="208" t="s">
        <v>106</v>
      </c>
      <c r="L1215" s="208"/>
      <c r="M1215" s="208"/>
      <c r="N1215" s="208"/>
      <c r="O1215" s="208"/>
      <c r="P1215" s="208"/>
      <c r="Q1215" s="207"/>
      <c r="R1215" s="208"/>
    </row>
    <row r="1216" spans="1:18">
      <c r="A1216" s="277"/>
      <c r="B1216" s="278"/>
      <c r="C1216" s="208"/>
      <c r="D1216" s="208"/>
      <c r="E1216" s="208">
        <v>46143</v>
      </c>
      <c r="F1216" s="208"/>
      <c r="G1216" s="208"/>
      <c r="H1216" s="208" t="s">
        <v>99</v>
      </c>
      <c r="I1216" s="208"/>
      <c r="J1216" s="208"/>
      <c r="K1216" s="208" t="s">
        <v>101</v>
      </c>
      <c r="L1216" s="208"/>
      <c r="M1216" s="208"/>
      <c r="N1216" s="208"/>
      <c r="O1216" s="208"/>
      <c r="P1216" s="208"/>
      <c r="Q1216" s="207"/>
      <c r="R1216" s="208"/>
    </row>
    <row r="1217" spans="1:18">
      <c r="A1217" s="277"/>
      <c r="B1217" s="278"/>
      <c r="C1217" s="208"/>
      <c r="D1217" s="208"/>
      <c r="E1217" s="208">
        <v>46143</v>
      </c>
      <c r="F1217" s="208"/>
      <c r="G1217" s="208"/>
      <c r="H1217" s="208" t="s">
        <v>99</v>
      </c>
      <c r="I1217" s="208"/>
      <c r="J1217" s="208"/>
      <c r="K1217" s="208" t="s">
        <v>10</v>
      </c>
      <c r="L1217" s="208"/>
      <c r="M1217" s="208"/>
      <c r="N1217" s="208"/>
      <c r="O1217" s="208"/>
      <c r="P1217" s="208"/>
      <c r="Q1217" s="207"/>
      <c r="R1217" s="208"/>
    </row>
    <row r="1218" spans="1:18">
      <c r="A1218" s="277"/>
      <c r="B1218" s="278"/>
      <c r="C1218" s="208"/>
      <c r="D1218" s="208"/>
      <c r="E1218" s="208">
        <v>46143</v>
      </c>
      <c r="F1218" s="208"/>
      <c r="G1218" s="208"/>
      <c r="H1218" s="208" t="s">
        <v>99</v>
      </c>
      <c r="I1218" s="208"/>
      <c r="J1218" s="208"/>
      <c r="K1218" s="208" t="s">
        <v>104</v>
      </c>
      <c r="L1218" s="208"/>
      <c r="M1218" s="208"/>
      <c r="N1218" s="208"/>
      <c r="O1218" s="208"/>
      <c r="P1218" s="208"/>
      <c r="Q1218" s="207"/>
      <c r="R1218" s="208"/>
    </row>
    <row r="1219" spans="1:18">
      <c r="A1219" s="277"/>
      <c r="B1219" s="278"/>
      <c r="C1219" s="208"/>
      <c r="D1219" s="208"/>
      <c r="E1219" s="208">
        <v>46143</v>
      </c>
      <c r="F1219" s="208"/>
      <c r="G1219" s="208"/>
      <c r="H1219" s="208" t="s">
        <v>99</v>
      </c>
      <c r="I1219" s="208"/>
      <c r="J1219" s="208"/>
      <c r="K1219" s="208" t="s">
        <v>106</v>
      </c>
      <c r="L1219" s="208"/>
      <c r="M1219" s="208"/>
      <c r="N1219" s="208"/>
      <c r="O1219" s="208"/>
      <c r="P1219" s="208"/>
      <c r="Q1219" s="207"/>
      <c r="R1219" s="208"/>
    </row>
    <row r="1220" spans="1:18">
      <c r="A1220" s="277"/>
      <c r="B1220" s="278"/>
      <c r="C1220" s="208"/>
      <c r="D1220" s="208"/>
      <c r="E1220" s="208">
        <v>46143</v>
      </c>
      <c r="F1220" s="208"/>
      <c r="G1220" s="208"/>
      <c r="H1220" s="208" t="s">
        <v>115</v>
      </c>
      <c r="I1220" s="208"/>
      <c r="J1220" s="208"/>
      <c r="K1220" s="208" t="s">
        <v>101</v>
      </c>
      <c r="L1220" s="208"/>
      <c r="M1220" s="208"/>
      <c r="N1220" s="208"/>
      <c r="O1220" s="208"/>
      <c r="P1220" s="208"/>
      <c r="Q1220" s="207"/>
      <c r="R1220" s="208"/>
    </row>
    <row r="1221" spans="1:18">
      <c r="A1221" s="277"/>
      <c r="B1221" s="278"/>
      <c r="C1221" s="208"/>
      <c r="D1221" s="208"/>
      <c r="E1221" s="208">
        <v>46143</v>
      </c>
      <c r="F1221" s="208"/>
      <c r="G1221" s="208"/>
      <c r="H1221" s="208" t="s">
        <v>115</v>
      </c>
      <c r="I1221" s="208"/>
      <c r="J1221" s="208"/>
      <c r="K1221" s="208" t="s">
        <v>101</v>
      </c>
      <c r="L1221" s="208"/>
      <c r="M1221" s="208"/>
      <c r="N1221" s="208"/>
      <c r="O1221" s="208"/>
      <c r="P1221" s="208"/>
      <c r="Q1221" s="207"/>
      <c r="R1221" s="208"/>
    </row>
    <row r="1222" spans="1:18">
      <c r="A1222" s="277"/>
      <c r="B1222" s="278"/>
      <c r="C1222" s="208"/>
      <c r="D1222" s="208"/>
      <c r="E1222" s="208">
        <v>46143</v>
      </c>
      <c r="F1222" s="208"/>
      <c r="G1222" s="208"/>
      <c r="H1222" s="208" t="s">
        <v>196</v>
      </c>
      <c r="I1222" s="208"/>
      <c r="J1222" s="208"/>
      <c r="K1222" s="208" t="s">
        <v>101</v>
      </c>
      <c r="L1222" s="208"/>
      <c r="M1222" s="208"/>
      <c r="N1222" s="208"/>
      <c r="O1222" s="208"/>
      <c r="P1222" s="208"/>
      <c r="Q1222" s="207"/>
      <c r="R1222" s="208"/>
    </row>
    <row r="1223" spans="1:18">
      <c r="A1223" s="277"/>
      <c r="B1223" s="278"/>
      <c r="C1223" s="208"/>
      <c r="D1223" s="208"/>
      <c r="E1223" s="208">
        <v>46143</v>
      </c>
      <c r="F1223" s="208"/>
      <c r="G1223" s="208"/>
      <c r="H1223" s="208" t="s">
        <v>196</v>
      </c>
      <c r="I1223" s="208"/>
      <c r="J1223" s="208"/>
      <c r="K1223" s="208" t="s">
        <v>101</v>
      </c>
      <c r="L1223" s="208"/>
      <c r="M1223" s="208"/>
      <c r="N1223" s="208"/>
      <c r="O1223" s="208"/>
      <c r="P1223" s="208"/>
      <c r="Q1223" s="207"/>
      <c r="R1223" s="208"/>
    </row>
    <row r="1224" spans="1:18">
      <c r="A1224" s="277"/>
      <c r="B1224" s="278"/>
      <c r="C1224" s="208"/>
      <c r="D1224" s="208"/>
      <c r="E1224" s="208">
        <v>46143</v>
      </c>
      <c r="F1224" s="208"/>
      <c r="G1224" s="208"/>
      <c r="H1224" s="208" t="s">
        <v>61</v>
      </c>
      <c r="I1224" s="208"/>
      <c r="J1224" s="208"/>
      <c r="K1224" s="208" t="s">
        <v>37</v>
      </c>
      <c r="L1224" s="208"/>
      <c r="M1224" s="208"/>
      <c r="N1224" s="208"/>
      <c r="O1224" s="208"/>
      <c r="P1224" s="208"/>
      <c r="Q1224" s="207"/>
      <c r="R1224" s="208"/>
    </row>
    <row r="1225" spans="1:18">
      <c r="A1225" s="277"/>
      <c r="B1225" s="278"/>
      <c r="C1225" s="208"/>
      <c r="D1225" s="208"/>
      <c r="E1225" s="208">
        <v>46143</v>
      </c>
      <c r="F1225" s="208"/>
      <c r="G1225" s="208"/>
      <c r="H1225" s="208" t="s">
        <v>61</v>
      </c>
      <c r="I1225" s="208"/>
      <c r="J1225" s="208"/>
      <c r="K1225" s="208" t="s">
        <v>38</v>
      </c>
      <c r="L1225" s="208"/>
      <c r="M1225" s="208"/>
      <c r="N1225" s="208"/>
      <c r="O1225" s="208"/>
      <c r="P1225" s="208"/>
      <c r="Q1225" s="207"/>
      <c r="R1225" s="208"/>
    </row>
    <row r="1226" spans="1:18">
      <c r="A1226" s="277"/>
      <c r="B1226" s="278"/>
      <c r="C1226" s="208"/>
      <c r="D1226" s="208"/>
      <c r="E1226" s="208">
        <v>46143</v>
      </c>
      <c r="F1226" s="208"/>
      <c r="G1226" s="208"/>
      <c r="H1226" s="208" t="s">
        <v>61</v>
      </c>
      <c r="I1226" s="208"/>
      <c r="J1226" s="208"/>
      <c r="K1226" s="208" t="s">
        <v>38</v>
      </c>
      <c r="L1226" s="208"/>
      <c r="M1226" s="208"/>
      <c r="N1226" s="208"/>
      <c r="O1226" s="208"/>
      <c r="P1226" s="208"/>
      <c r="Q1226" s="207"/>
      <c r="R1226" s="208"/>
    </row>
    <row r="1227" spans="1:18">
      <c r="A1227" s="277"/>
      <c r="B1227" s="278"/>
      <c r="C1227" s="208"/>
      <c r="D1227" s="208"/>
      <c r="E1227" s="208">
        <v>46143</v>
      </c>
      <c r="F1227" s="208"/>
      <c r="G1227" s="208"/>
      <c r="H1227" s="208" t="s">
        <v>201</v>
      </c>
      <c r="I1227" s="208"/>
      <c r="J1227" s="208"/>
      <c r="K1227" s="208" t="s">
        <v>101</v>
      </c>
      <c r="L1227" s="208"/>
      <c r="M1227" s="208"/>
      <c r="N1227" s="208"/>
      <c r="O1227" s="208"/>
      <c r="P1227" s="208"/>
      <c r="Q1227" s="207"/>
      <c r="R1227" s="208"/>
    </row>
    <row r="1228" spans="1:18">
      <c r="A1228" s="277"/>
      <c r="B1228" s="278"/>
      <c r="C1228" s="208"/>
      <c r="D1228" s="208"/>
      <c r="E1228" s="208">
        <v>46143</v>
      </c>
      <c r="F1228" s="208"/>
      <c r="G1228" s="208"/>
      <c r="H1228" s="208" t="s">
        <v>204</v>
      </c>
      <c r="I1228" s="208"/>
      <c r="J1228" s="208"/>
      <c r="K1228" s="208" t="s">
        <v>59</v>
      </c>
      <c r="L1228" s="208"/>
      <c r="M1228" s="208"/>
      <c r="N1228" s="208"/>
      <c r="O1228" s="208"/>
      <c r="P1228" s="208"/>
      <c r="Q1228" s="207"/>
      <c r="R1228" s="208"/>
    </row>
    <row r="1229" spans="1:18">
      <c r="A1229" s="277"/>
      <c r="B1229" s="278"/>
      <c r="C1229" s="208"/>
      <c r="D1229" s="208"/>
      <c r="E1229" s="208">
        <v>46143</v>
      </c>
      <c r="F1229" s="208"/>
      <c r="G1229" s="208"/>
      <c r="H1229" s="208" t="s">
        <v>132</v>
      </c>
      <c r="I1229" s="208"/>
      <c r="J1229" s="208"/>
      <c r="K1229" s="208" t="s">
        <v>135</v>
      </c>
      <c r="L1229" s="208"/>
      <c r="M1229" s="208"/>
      <c r="N1229" s="208"/>
      <c r="O1229" s="208"/>
      <c r="P1229" s="208"/>
      <c r="Q1229" s="207"/>
      <c r="R1229" s="208"/>
    </row>
    <row r="1230" spans="1:18">
      <c r="A1230" s="277"/>
      <c r="B1230" s="278"/>
      <c r="C1230" s="208"/>
      <c r="D1230" s="208"/>
      <c r="E1230" s="208">
        <v>46143</v>
      </c>
      <c r="F1230" s="208"/>
      <c r="G1230" s="208"/>
      <c r="H1230" s="208" t="s">
        <v>132</v>
      </c>
      <c r="I1230" s="208"/>
      <c r="J1230" s="208"/>
      <c r="K1230" s="208" t="s">
        <v>135</v>
      </c>
      <c r="L1230" s="208"/>
      <c r="M1230" s="208"/>
      <c r="N1230" s="208"/>
      <c r="O1230" s="208"/>
      <c r="P1230" s="208"/>
      <c r="Q1230" s="207"/>
      <c r="R1230" s="208"/>
    </row>
    <row r="1231" spans="1:18">
      <c r="A1231" s="277"/>
      <c r="B1231" s="278"/>
      <c r="C1231" s="208"/>
      <c r="D1231" s="208"/>
      <c r="E1231" s="208">
        <v>46143</v>
      </c>
      <c r="F1231" s="208"/>
      <c r="G1231" s="208"/>
      <c r="H1231" s="208" t="s">
        <v>132</v>
      </c>
      <c r="I1231" s="208"/>
      <c r="J1231" s="208"/>
      <c r="K1231" s="208" t="s">
        <v>101</v>
      </c>
      <c r="L1231" s="208"/>
      <c r="M1231" s="208"/>
      <c r="N1231" s="208"/>
      <c r="O1231" s="208"/>
      <c r="P1231" s="208"/>
      <c r="Q1231" s="207"/>
      <c r="R1231" s="208"/>
    </row>
    <row r="1232" spans="1:18">
      <c r="A1232" s="277"/>
      <c r="B1232" s="278"/>
      <c r="C1232" s="208"/>
      <c r="D1232" s="208"/>
      <c r="E1232" s="208">
        <v>46143</v>
      </c>
      <c r="F1232" s="208"/>
      <c r="G1232" s="208"/>
      <c r="H1232" s="208" t="s">
        <v>132</v>
      </c>
      <c r="I1232" s="208"/>
      <c r="J1232" s="208"/>
      <c r="K1232" s="208" t="s">
        <v>101</v>
      </c>
      <c r="L1232" s="208"/>
      <c r="M1232" s="208"/>
      <c r="N1232" s="208"/>
      <c r="O1232" s="208"/>
      <c r="P1232" s="208"/>
      <c r="Q1232" s="207"/>
      <c r="R1232" s="208"/>
    </row>
    <row r="1233" spans="1:18">
      <c r="A1233" s="277"/>
      <c r="B1233" s="278"/>
      <c r="C1233" s="208"/>
      <c r="D1233" s="208"/>
      <c r="E1233" s="208">
        <v>46143</v>
      </c>
      <c r="F1233" s="208"/>
      <c r="G1233" s="208"/>
      <c r="H1233" s="208" t="s">
        <v>132</v>
      </c>
      <c r="I1233" s="208"/>
      <c r="J1233" s="208"/>
      <c r="K1233" s="208" t="s">
        <v>10</v>
      </c>
      <c r="L1233" s="208"/>
      <c r="M1233" s="208"/>
      <c r="N1233" s="208"/>
      <c r="O1233" s="208"/>
      <c r="P1233" s="208"/>
      <c r="Q1233" s="207"/>
      <c r="R1233" s="208"/>
    </row>
    <row r="1234" spans="1:18">
      <c r="A1234" s="277"/>
      <c r="B1234" s="278"/>
      <c r="C1234" s="208"/>
      <c r="D1234" s="208"/>
      <c r="E1234" s="208">
        <v>46143</v>
      </c>
      <c r="F1234" s="208"/>
      <c r="G1234" s="208"/>
      <c r="H1234" s="208" t="s">
        <v>132</v>
      </c>
      <c r="I1234" s="208"/>
      <c r="J1234" s="208"/>
      <c r="K1234" s="208" t="s">
        <v>101</v>
      </c>
      <c r="L1234" s="208"/>
      <c r="M1234" s="208"/>
      <c r="N1234" s="208"/>
      <c r="O1234" s="208"/>
      <c r="P1234" s="208"/>
      <c r="Q1234" s="207"/>
      <c r="R1234" s="208"/>
    </row>
    <row r="1235" spans="1:18">
      <c r="A1235" s="277"/>
      <c r="B1235" s="278"/>
      <c r="C1235" s="208"/>
      <c r="D1235" s="208"/>
      <c r="E1235" s="208">
        <v>46143</v>
      </c>
      <c r="F1235" s="208"/>
      <c r="G1235" s="208"/>
      <c r="H1235" s="208" t="s">
        <v>132</v>
      </c>
      <c r="I1235" s="208"/>
      <c r="J1235" s="208"/>
      <c r="K1235" s="208" t="s">
        <v>101</v>
      </c>
      <c r="L1235" s="208"/>
      <c r="M1235" s="208"/>
      <c r="N1235" s="208"/>
      <c r="O1235" s="208"/>
      <c r="P1235" s="208"/>
      <c r="Q1235" s="207"/>
      <c r="R1235" s="208"/>
    </row>
    <row r="1236" spans="1:18">
      <c r="A1236" s="277"/>
      <c r="B1236" s="278"/>
      <c r="C1236" s="208"/>
      <c r="D1236" s="208"/>
      <c r="E1236" s="208">
        <v>46143</v>
      </c>
      <c r="F1236" s="208"/>
      <c r="G1236" s="208"/>
      <c r="H1236" s="208" t="s">
        <v>132</v>
      </c>
      <c r="I1236" s="208"/>
      <c r="J1236" s="208"/>
      <c r="K1236" s="208" t="s">
        <v>101</v>
      </c>
      <c r="L1236" s="208"/>
      <c r="M1236" s="208"/>
      <c r="N1236" s="208"/>
      <c r="O1236" s="208"/>
      <c r="P1236" s="208"/>
      <c r="Q1236" s="207"/>
      <c r="R1236" s="208"/>
    </row>
    <row r="1237" spans="1:18">
      <c r="A1237" s="277"/>
      <c r="B1237" s="278"/>
      <c r="C1237" s="208"/>
      <c r="D1237" s="208"/>
      <c r="E1237" s="208">
        <v>46143</v>
      </c>
      <c r="F1237" s="208"/>
      <c r="G1237" s="208"/>
      <c r="H1237" s="208" t="s">
        <v>132</v>
      </c>
      <c r="I1237" s="208"/>
      <c r="J1237" s="208"/>
      <c r="K1237" s="208" t="s">
        <v>101</v>
      </c>
      <c r="L1237" s="208"/>
      <c r="M1237" s="208"/>
      <c r="N1237" s="208"/>
      <c r="O1237" s="208"/>
      <c r="P1237" s="208"/>
      <c r="Q1237" s="207"/>
      <c r="R1237" s="208"/>
    </row>
    <row r="1238" spans="1:18">
      <c r="A1238" s="277"/>
      <c r="B1238" s="278"/>
      <c r="C1238" s="208"/>
      <c r="D1238" s="208"/>
      <c r="E1238" s="208">
        <v>46143</v>
      </c>
      <c r="F1238" s="208"/>
      <c r="G1238" s="208"/>
      <c r="H1238" s="208" t="s">
        <v>132</v>
      </c>
      <c r="I1238" s="208"/>
      <c r="J1238" s="208"/>
      <c r="K1238" s="208" t="s">
        <v>10</v>
      </c>
      <c r="L1238" s="208"/>
      <c r="M1238" s="208"/>
      <c r="N1238" s="208"/>
      <c r="O1238" s="208"/>
      <c r="P1238" s="208"/>
      <c r="Q1238" s="207"/>
      <c r="R1238" s="208"/>
    </row>
    <row r="1239" spans="1:18">
      <c r="A1239" s="277"/>
      <c r="B1239" s="278"/>
      <c r="C1239" s="208"/>
      <c r="D1239" s="208"/>
      <c r="E1239" s="208">
        <v>46143</v>
      </c>
      <c r="F1239" s="208"/>
      <c r="G1239" s="208"/>
      <c r="H1239" s="208" t="s">
        <v>132</v>
      </c>
      <c r="I1239" s="208"/>
      <c r="J1239" s="208"/>
      <c r="K1239" s="208" t="s">
        <v>10</v>
      </c>
      <c r="L1239" s="208"/>
      <c r="M1239" s="208"/>
      <c r="N1239" s="208"/>
      <c r="O1239" s="208"/>
      <c r="P1239" s="208"/>
      <c r="Q1239" s="207"/>
      <c r="R1239" s="208"/>
    </row>
    <row r="1240" spans="1:18">
      <c r="A1240" s="277"/>
      <c r="B1240" s="278"/>
      <c r="C1240" s="208"/>
      <c r="D1240" s="208"/>
      <c r="E1240" s="208">
        <v>46143</v>
      </c>
      <c r="F1240" s="208"/>
      <c r="G1240" s="208"/>
      <c r="H1240" s="208" t="s">
        <v>132</v>
      </c>
      <c r="I1240" s="208"/>
      <c r="J1240" s="208"/>
      <c r="K1240" s="208" t="s">
        <v>101</v>
      </c>
      <c r="L1240" s="208"/>
      <c r="M1240" s="208"/>
      <c r="N1240" s="208"/>
      <c r="O1240" s="208"/>
      <c r="P1240" s="208"/>
      <c r="Q1240" s="207"/>
      <c r="R1240" s="208"/>
    </row>
    <row r="1241" spans="1:18">
      <c r="A1241" s="277"/>
      <c r="B1241" s="278"/>
      <c r="C1241" s="208"/>
      <c r="D1241" s="208"/>
      <c r="E1241" s="208">
        <v>46143</v>
      </c>
      <c r="F1241" s="208"/>
      <c r="G1241" s="208"/>
      <c r="H1241" s="208" t="s">
        <v>132</v>
      </c>
      <c r="I1241" s="208"/>
      <c r="J1241" s="208"/>
      <c r="K1241" s="208" t="s">
        <v>101</v>
      </c>
      <c r="L1241" s="208"/>
      <c r="M1241" s="208"/>
      <c r="N1241" s="208"/>
      <c r="O1241" s="208"/>
      <c r="P1241" s="208"/>
      <c r="Q1241" s="207"/>
      <c r="R1241" s="208"/>
    </row>
    <row r="1242" spans="1:18">
      <c r="A1242" s="277"/>
      <c r="B1242" s="278"/>
      <c r="C1242" s="208"/>
      <c r="D1242" s="208"/>
      <c r="E1242" s="208">
        <v>46143</v>
      </c>
      <c r="F1242" s="208"/>
      <c r="G1242" s="208"/>
      <c r="H1242" s="208" t="s">
        <v>215</v>
      </c>
      <c r="I1242" s="208"/>
      <c r="J1242" s="208"/>
      <c r="K1242" s="208" t="s">
        <v>106</v>
      </c>
      <c r="L1242" s="208"/>
      <c r="M1242" s="208"/>
      <c r="N1242" s="208"/>
      <c r="O1242" s="208"/>
      <c r="P1242" s="208"/>
      <c r="Q1242" s="207"/>
      <c r="R1242" s="208"/>
    </row>
    <row r="1243" spans="1:18">
      <c r="A1243" s="277"/>
      <c r="B1243" s="278"/>
      <c r="C1243" s="208"/>
      <c r="D1243" s="208"/>
      <c r="E1243" s="208">
        <v>46143</v>
      </c>
      <c r="F1243" s="208"/>
      <c r="G1243" s="208"/>
      <c r="H1243" s="208" t="s">
        <v>215</v>
      </c>
      <c r="I1243" s="208"/>
      <c r="J1243" s="208"/>
      <c r="K1243" s="208" t="s">
        <v>106</v>
      </c>
      <c r="L1243" s="208"/>
      <c r="M1243" s="208"/>
      <c r="N1243" s="208"/>
      <c r="O1243" s="208"/>
      <c r="P1243" s="208"/>
      <c r="Q1243" s="207"/>
      <c r="R1243" s="208"/>
    </row>
    <row r="1244" spans="1:18">
      <c r="A1244" s="277"/>
      <c r="B1244" s="278"/>
      <c r="C1244" s="208"/>
      <c r="D1244" s="208"/>
      <c r="E1244" s="208">
        <v>46174</v>
      </c>
      <c r="F1244" s="208"/>
      <c r="G1244" s="208"/>
      <c r="H1244" s="208" t="s">
        <v>99</v>
      </c>
      <c r="I1244" s="208"/>
      <c r="J1244" s="208"/>
      <c r="K1244" s="208" t="s">
        <v>101</v>
      </c>
      <c r="L1244" s="208"/>
      <c r="M1244" s="208"/>
      <c r="N1244" s="208"/>
      <c r="O1244" s="208"/>
      <c r="P1244" s="208"/>
      <c r="Q1244" s="207"/>
      <c r="R1244" s="208"/>
    </row>
    <row r="1245" spans="1:18">
      <c r="A1245" s="277"/>
      <c r="B1245" s="278"/>
      <c r="C1245" s="208"/>
      <c r="D1245" s="208"/>
      <c r="E1245" s="208">
        <v>46174</v>
      </c>
      <c r="F1245" s="208"/>
      <c r="G1245" s="208"/>
      <c r="H1245" s="208" t="s">
        <v>99</v>
      </c>
      <c r="I1245" s="208"/>
      <c r="J1245" s="208"/>
      <c r="K1245" s="208" t="s">
        <v>10</v>
      </c>
      <c r="L1245" s="208"/>
      <c r="M1245" s="208"/>
      <c r="N1245" s="208"/>
      <c r="O1245" s="208"/>
      <c r="P1245" s="208"/>
      <c r="Q1245" s="207"/>
      <c r="R1245" s="208"/>
    </row>
    <row r="1246" spans="1:18">
      <c r="A1246" s="277"/>
      <c r="B1246" s="278"/>
      <c r="C1246" s="208"/>
      <c r="D1246" s="208"/>
      <c r="E1246" s="208">
        <v>46174</v>
      </c>
      <c r="F1246" s="208"/>
      <c r="G1246" s="208"/>
      <c r="H1246" s="208" t="s">
        <v>99</v>
      </c>
      <c r="I1246" s="208"/>
      <c r="J1246" s="208"/>
      <c r="K1246" s="208" t="s">
        <v>104</v>
      </c>
      <c r="L1246" s="208"/>
      <c r="M1246" s="208"/>
      <c r="N1246" s="208"/>
      <c r="O1246" s="208"/>
      <c r="P1246" s="208"/>
      <c r="Q1246" s="207"/>
      <c r="R1246" s="208"/>
    </row>
    <row r="1247" spans="1:18">
      <c r="A1247" s="277"/>
      <c r="B1247" s="278"/>
      <c r="C1247" s="208"/>
      <c r="D1247" s="208"/>
      <c r="E1247" s="208">
        <v>46174</v>
      </c>
      <c r="F1247" s="208"/>
      <c r="G1247" s="208"/>
      <c r="H1247" s="208" t="s">
        <v>99</v>
      </c>
      <c r="I1247" s="208"/>
      <c r="J1247" s="208"/>
      <c r="K1247" s="208" t="s">
        <v>104</v>
      </c>
      <c r="L1247" s="208"/>
      <c r="M1247" s="208"/>
      <c r="N1247" s="208"/>
      <c r="O1247" s="208"/>
      <c r="P1247" s="208"/>
      <c r="Q1247" s="207"/>
      <c r="R1247" s="208"/>
    </row>
    <row r="1248" spans="1:18">
      <c r="A1248" s="277"/>
      <c r="B1248" s="278"/>
      <c r="C1248" s="208"/>
      <c r="D1248" s="208"/>
      <c r="E1248" s="208">
        <v>46174</v>
      </c>
      <c r="F1248" s="208"/>
      <c r="G1248" s="208"/>
      <c r="H1248" s="208" t="s">
        <v>99</v>
      </c>
      <c r="I1248" s="208"/>
      <c r="J1248" s="208"/>
      <c r="K1248" s="208" t="s">
        <v>106</v>
      </c>
      <c r="L1248" s="208"/>
      <c r="M1248" s="208"/>
      <c r="N1248" s="208"/>
      <c r="O1248" s="208"/>
      <c r="P1248" s="208"/>
      <c r="Q1248" s="207"/>
      <c r="R1248" s="208"/>
    </row>
    <row r="1249" spans="1:18">
      <c r="A1249" s="277"/>
      <c r="B1249" s="278"/>
      <c r="C1249" s="208"/>
      <c r="D1249" s="208"/>
      <c r="E1249" s="208">
        <v>46174</v>
      </c>
      <c r="F1249" s="208"/>
      <c r="G1249" s="208"/>
      <c r="H1249" s="208" t="s">
        <v>99</v>
      </c>
      <c r="I1249" s="208"/>
      <c r="J1249" s="208"/>
      <c r="K1249" s="208" t="s">
        <v>101</v>
      </c>
      <c r="L1249" s="208"/>
      <c r="M1249" s="208"/>
      <c r="N1249" s="208"/>
      <c r="O1249" s="208"/>
      <c r="P1249" s="208"/>
      <c r="Q1249" s="207"/>
      <c r="R1249" s="208"/>
    </row>
    <row r="1250" spans="1:18">
      <c r="A1250" s="277"/>
      <c r="B1250" s="278"/>
      <c r="C1250" s="208"/>
      <c r="D1250" s="208"/>
      <c r="E1250" s="208">
        <v>46174</v>
      </c>
      <c r="F1250" s="208"/>
      <c r="G1250" s="208"/>
      <c r="H1250" s="208" t="s">
        <v>99</v>
      </c>
      <c r="I1250" s="208"/>
      <c r="J1250" s="208"/>
      <c r="K1250" s="208" t="s">
        <v>10</v>
      </c>
      <c r="L1250" s="208"/>
      <c r="M1250" s="208"/>
      <c r="N1250" s="208"/>
      <c r="O1250" s="208"/>
      <c r="P1250" s="208"/>
      <c r="Q1250" s="207"/>
      <c r="R1250" s="208"/>
    </row>
    <row r="1251" spans="1:18">
      <c r="A1251" s="277"/>
      <c r="B1251" s="278"/>
      <c r="C1251" s="208"/>
      <c r="D1251" s="208"/>
      <c r="E1251" s="208">
        <v>46174</v>
      </c>
      <c r="F1251" s="208"/>
      <c r="G1251" s="208"/>
      <c r="H1251" s="208" t="s">
        <v>99</v>
      </c>
      <c r="I1251" s="208"/>
      <c r="J1251" s="208"/>
      <c r="K1251" s="208" t="s">
        <v>104</v>
      </c>
      <c r="L1251" s="208"/>
      <c r="M1251" s="208"/>
      <c r="N1251" s="208"/>
      <c r="O1251" s="208"/>
      <c r="P1251" s="208"/>
      <c r="Q1251" s="207"/>
      <c r="R1251" s="208"/>
    </row>
    <row r="1252" spans="1:18">
      <c r="A1252" s="277"/>
      <c r="B1252" s="278"/>
      <c r="C1252" s="208"/>
      <c r="D1252" s="208"/>
      <c r="E1252" s="208">
        <v>46174</v>
      </c>
      <c r="F1252" s="208"/>
      <c r="G1252" s="208"/>
      <c r="H1252" s="208" t="s">
        <v>99</v>
      </c>
      <c r="I1252" s="208"/>
      <c r="J1252" s="208"/>
      <c r="K1252" s="208" t="s">
        <v>106</v>
      </c>
      <c r="L1252" s="208"/>
      <c r="M1252" s="208"/>
      <c r="N1252" s="208"/>
      <c r="O1252" s="208"/>
      <c r="P1252" s="208"/>
      <c r="Q1252" s="207"/>
      <c r="R1252" s="208"/>
    </row>
    <row r="1253" spans="1:18">
      <c r="A1253" s="277"/>
      <c r="B1253" s="278"/>
      <c r="C1253" s="208"/>
      <c r="D1253" s="208"/>
      <c r="E1253" s="208">
        <v>46174</v>
      </c>
      <c r="F1253" s="208"/>
      <c r="G1253" s="208"/>
      <c r="H1253" s="208" t="s">
        <v>196</v>
      </c>
      <c r="I1253" s="208"/>
      <c r="J1253" s="208"/>
      <c r="K1253" s="208" t="s">
        <v>101</v>
      </c>
      <c r="L1253" s="208"/>
      <c r="M1253" s="208"/>
      <c r="N1253" s="208"/>
      <c r="O1253" s="208"/>
      <c r="P1253" s="208"/>
      <c r="Q1253" s="207"/>
      <c r="R1253" s="208"/>
    </row>
    <row r="1254" spans="1:18">
      <c r="A1254" s="277"/>
      <c r="B1254" s="278"/>
      <c r="C1254" s="208"/>
      <c r="D1254" s="208"/>
      <c r="E1254" s="208">
        <v>46174</v>
      </c>
      <c r="F1254" s="208"/>
      <c r="G1254" s="208"/>
      <c r="H1254" s="208" t="s">
        <v>196</v>
      </c>
      <c r="I1254" s="208"/>
      <c r="J1254" s="208"/>
      <c r="K1254" s="208" t="s">
        <v>101</v>
      </c>
      <c r="L1254" s="208"/>
      <c r="M1254" s="208"/>
      <c r="N1254" s="208"/>
      <c r="O1254" s="208"/>
      <c r="P1254" s="208"/>
      <c r="Q1254" s="207"/>
      <c r="R1254" s="208"/>
    </row>
    <row r="1255" spans="1:18">
      <c r="A1255" s="277"/>
      <c r="B1255" s="278"/>
      <c r="C1255" s="208"/>
      <c r="D1255" s="208"/>
      <c r="E1255" s="208">
        <v>46174</v>
      </c>
      <c r="F1255" s="208"/>
      <c r="G1255" s="208"/>
      <c r="H1255" s="208" t="s">
        <v>201</v>
      </c>
      <c r="I1255" s="208"/>
      <c r="J1255" s="208"/>
      <c r="K1255" s="208" t="s">
        <v>101</v>
      </c>
      <c r="L1255" s="208"/>
      <c r="M1255" s="208"/>
      <c r="N1255" s="208"/>
      <c r="O1255" s="208"/>
      <c r="P1255" s="208"/>
      <c r="Q1255" s="207"/>
      <c r="R1255" s="208"/>
    </row>
    <row r="1256" spans="1:18">
      <c r="A1256" s="277"/>
      <c r="B1256" s="278"/>
      <c r="C1256" s="208"/>
      <c r="D1256" s="208"/>
      <c r="E1256" s="208">
        <v>46174</v>
      </c>
      <c r="F1256" s="208"/>
      <c r="G1256" s="208"/>
      <c r="H1256" s="208" t="s">
        <v>201</v>
      </c>
      <c r="I1256" s="208"/>
      <c r="J1256" s="208"/>
      <c r="K1256" s="208" t="s">
        <v>101</v>
      </c>
      <c r="L1256" s="208"/>
      <c r="M1256" s="208"/>
      <c r="N1256" s="208"/>
      <c r="O1256" s="208"/>
      <c r="P1256" s="208"/>
      <c r="Q1256" s="207"/>
      <c r="R1256" s="208"/>
    </row>
    <row r="1257" spans="1:18">
      <c r="A1257" s="277"/>
      <c r="B1257" s="278"/>
      <c r="C1257" s="208"/>
      <c r="D1257" s="208"/>
      <c r="E1257" s="208">
        <v>46174</v>
      </c>
      <c r="F1257" s="208"/>
      <c r="G1257" s="208"/>
      <c r="H1257" s="208" t="s">
        <v>204</v>
      </c>
      <c r="I1257" s="208"/>
      <c r="J1257" s="208"/>
      <c r="K1257" s="208" t="s">
        <v>59</v>
      </c>
      <c r="L1257" s="208"/>
      <c r="M1257" s="208"/>
      <c r="N1257" s="208"/>
      <c r="O1257" s="208"/>
      <c r="P1257" s="208"/>
      <c r="Q1257" s="207"/>
      <c r="R1257" s="208"/>
    </row>
    <row r="1258" spans="1:18">
      <c r="A1258" s="277"/>
      <c r="B1258" s="278"/>
      <c r="C1258" s="208"/>
      <c r="D1258" s="208"/>
      <c r="E1258" s="208">
        <v>46174</v>
      </c>
      <c r="F1258" s="208"/>
      <c r="G1258" s="208"/>
      <c r="H1258" s="208" t="s">
        <v>132</v>
      </c>
      <c r="I1258" s="208"/>
      <c r="J1258" s="208"/>
      <c r="K1258" s="208" t="s">
        <v>101</v>
      </c>
      <c r="L1258" s="208"/>
      <c r="M1258" s="208"/>
      <c r="N1258" s="208"/>
      <c r="O1258" s="208"/>
      <c r="P1258" s="208"/>
      <c r="Q1258" s="207"/>
      <c r="R1258" s="208"/>
    </row>
    <row r="1259" spans="1:18">
      <c r="A1259" s="277"/>
      <c r="B1259" s="278"/>
      <c r="C1259" s="208"/>
      <c r="D1259" s="208"/>
      <c r="E1259" s="208">
        <v>46174</v>
      </c>
      <c r="F1259" s="208"/>
      <c r="G1259" s="208"/>
      <c r="H1259" s="208" t="s">
        <v>132</v>
      </c>
      <c r="I1259" s="208"/>
      <c r="J1259" s="208"/>
      <c r="K1259" s="208" t="s">
        <v>10</v>
      </c>
      <c r="L1259" s="208"/>
      <c r="M1259" s="208"/>
      <c r="N1259" s="208"/>
      <c r="O1259" s="208"/>
      <c r="P1259" s="208"/>
      <c r="Q1259" s="207"/>
      <c r="R1259" s="208"/>
    </row>
    <row r="1260" spans="1:18">
      <c r="A1260" s="277"/>
      <c r="B1260" s="278"/>
      <c r="C1260" s="208"/>
      <c r="D1260" s="208"/>
      <c r="E1260" s="208">
        <v>46174</v>
      </c>
      <c r="F1260" s="208"/>
      <c r="G1260" s="208"/>
      <c r="H1260" s="208" t="s">
        <v>132</v>
      </c>
      <c r="I1260" s="208"/>
      <c r="J1260" s="208"/>
      <c r="K1260" s="208" t="s">
        <v>101</v>
      </c>
      <c r="L1260" s="208"/>
      <c r="M1260" s="208"/>
      <c r="N1260" s="208"/>
      <c r="O1260" s="208"/>
      <c r="P1260" s="208"/>
      <c r="Q1260" s="207"/>
      <c r="R1260" s="208"/>
    </row>
    <row r="1261" spans="1:18">
      <c r="A1261" s="277"/>
      <c r="B1261" s="278"/>
      <c r="C1261" s="208"/>
      <c r="D1261" s="208"/>
      <c r="E1261" s="208">
        <v>46174</v>
      </c>
      <c r="F1261" s="208"/>
      <c r="G1261" s="208"/>
      <c r="H1261" s="208" t="s">
        <v>132</v>
      </c>
      <c r="I1261" s="208"/>
      <c r="J1261" s="208"/>
      <c r="K1261" s="208" t="s">
        <v>101</v>
      </c>
      <c r="L1261" s="208"/>
      <c r="M1261" s="208"/>
      <c r="N1261" s="208"/>
      <c r="O1261" s="208"/>
      <c r="P1261" s="208"/>
      <c r="Q1261" s="207"/>
      <c r="R1261" s="208"/>
    </row>
    <row r="1262" spans="1:18">
      <c r="A1262" s="277"/>
      <c r="B1262" s="278"/>
      <c r="C1262" s="208"/>
      <c r="D1262" s="208"/>
      <c r="E1262" s="208">
        <v>46174</v>
      </c>
      <c r="F1262" s="208"/>
      <c r="G1262" s="208"/>
      <c r="H1262" s="208" t="s">
        <v>132</v>
      </c>
      <c r="I1262" s="208"/>
      <c r="J1262" s="208"/>
      <c r="K1262" s="208" t="s">
        <v>10</v>
      </c>
      <c r="L1262" s="208"/>
      <c r="M1262" s="208"/>
      <c r="N1262" s="208"/>
      <c r="O1262" s="208"/>
      <c r="P1262" s="208"/>
      <c r="Q1262" s="207"/>
      <c r="R1262" s="208"/>
    </row>
    <row r="1263" spans="1:18">
      <c r="A1263" s="277"/>
      <c r="B1263" s="278"/>
      <c r="C1263" s="208"/>
      <c r="D1263" s="208"/>
      <c r="E1263" s="208">
        <v>46174</v>
      </c>
      <c r="F1263" s="208"/>
      <c r="G1263" s="208"/>
      <c r="H1263" s="208" t="s">
        <v>132</v>
      </c>
      <c r="I1263" s="208"/>
      <c r="J1263" s="208"/>
      <c r="K1263" s="208" t="s">
        <v>10</v>
      </c>
      <c r="L1263" s="208"/>
      <c r="M1263" s="208"/>
      <c r="N1263" s="208"/>
      <c r="O1263" s="208"/>
      <c r="P1263" s="208"/>
      <c r="Q1263" s="207"/>
      <c r="R1263" s="208"/>
    </row>
    <row r="1264" spans="1:18">
      <c r="A1264" s="277"/>
      <c r="B1264" s="278"/>
      <c r="C1264" s="208"/>
      <c r="D1264" s="208"/>
      <c r="E1264" s="208">
        <v>46174</v>
      </c>
      <c r="F1264" s="208"/>
      <c r="G1264" s="208"/>
      <c r="H1264" s="208" t="s">
        <v>132</v>
      </c>
      <c r="I1264" s="208"/>
      <c r="J1264" s="208"/>
      <c r="K1264" s="208" t="s">
        <v>10</v>
      </c>
      <c r="L1264" s="208"/>
      <c r="M1264" s="208"/>
      <c r="N1264" s="208"/>
      <c r="O1264" s="208"/>
      <c r="P1264" s="208"/>
      <c r="Q1264" s="207"/>
      <c r="R1264" s="208"/>
    </row>
    <row r="1265" spans="1:18">
      <c r="A1265" s="277"/>
      <c r="B1265" s="278"/>
      <c r="C1265" s="208"/>
      <c r="D1265" s="208"/>
      <c r="E1265" s="208">
        <v>46174</v>
      </c>
      <c r="F1265" s="208"/>
      <c r="G1265" s="208"/>
      <c r="H1265" s="208" t="s">
        <v>132</v>
      </c>
      <c r="I1265" s="208"/>
      <c r="J1265" s="208"/>
      <c r="K1265" s="208" t="s">
        <v>101</v>
      </c>
      <c r="L1265" s="208"/>
      <c r="M1265" s="208"/>
      <c r="N1265" s="208"/>
      <c r="O1265" s="208"/>
      <c r="P1265" s="208"/>
      <c r="Q1265" s="207"/>
      <c r="R1265" s="208"/>
    </row>
    <row r="1266" spans="1:18">
      <c r="A1266" s="277"/>
      <c r="B1266" s="278"/>
      <c r="C1266" s="208"/>
      <c r="D1266" s="208"/>
      <c r="E1266" s="208">
        <v>46174</v>
      </c>
      <c r="F1266" s="208"/>
      <c r="G1266" s="208"/>
      <c r="H1266" s="208" t="s">
        <v>132</v>
      </c>
      <c r="I1266" s="208"/>
      <c r="J1266" s="208"/>
      <c r="K1266" s="208" t="s">
        <v>101</v>
      </c>
      <c r="L1266" s="208"/>
      <c r="M1266" s="208"/>
      <c r="N1266" s="208"/>
      <c r="O1266" s="208"/>
      <c r="P1266" s="208"/>
      <c r="Q1266" s="207"/>
      <c r="R1266" s="208"/>
    </row>
    <row r="1267" spans="1:18">
      <c r="A1267" s="277"/>
      <c r="B1267" s="278"/>
      <c r="C1267" s="208"/>
      <c r="D1267" s="208"/>
      <c r="E1267" s="208">
        <v>46174</v>
      </c>
      <c r="F1267" s="208"/>
      <c r="G1267" s="208"/>
      <c r="H1267" s="208" t="s">
        <v>132</v>
      </c>
      <c r="I1267" s="208"/>
      <c r="J1267" s="208"/>
      <c r="K1267" s="208" t="s">
        <v>101</v>
      </c>
      <c r="L1267" s="208"/>
      <c r="M1267" s="208"/>
      <c r="N1267" s="208"/>
      <c r="O1267" s="208"/>
      <c r="P1267" s="208"/>
      <c r="Q1267" s="207"/>
      <c r="R1267" s="208"/>
    </row>
    <row r="1268" spans="1:18">
      <c r="A1268" s="277"/>
      <c r="B1268" s="278"/>
      <c r="C1268" s="208"/>
      <c r="D1268" s="208"/>
      <c r="E1268" s="208">
        <v>46174</v>
      </c>
      <c r="F1268" s="208"/>
      <c r="G1268" s="208"/>
      <c r="H1268" s="208" t="s">
        <v>132</v>
      </c>
      <c r="I1268" s="208"/>
      <c r="J1268" s="208"/>
      <c r="K1268" s="208" t="s">
        <v>101</v>
      </c>
      <c r="L1268" s="208"/>
      <c r="M1268" s="208"/>
      <c r="N1268" s="208"/>
      <c r="O1268" s="208"/>
      <c r="P1268" s="208"/>
      <c r="Q1268" s="207"/>
      <c r="R1268" s="208"/>
    </row>
    <row r="1269" spans="1:18">
      <c r="A1269" s="277"/>
      <c r="B1269" s="278"/>
      <c r="C1269" s="208"/>
      <c r="D1269" s="208"/>
      <c r="E1269" s="208">
        <v>46204</v>
      </c>
      <c r="F1269" s="208"/>
      <c r="G1269" s="208"/>
      <c r="H1269" s="208" t="s">
        <v>99</v>
      </c>
      <c r="I1269" s="208"/>
      <c r="J1269" s="208"/>
      <c r="K1269" s="208" t="s">
        <v>101</v>
      </c>
      <c r="L1269" s="208"/>
      <c r="M1269" s="208"/>
      <c r="N1269" s="208"/>
      <c r="O1269" s="208"/>
      <c r="P1269" s="208"/>
      <c r="Q1269" s="207"/>
      <c r="R1269" s="208"/>
    </row>
    <row r="1270" spans="1:18">
      <c r="A1270" s="277"/>
      <c r="B1270" s="278"/>
      <c r="C1270" s="208"/>
      <c r="D1270" s="208"/>
      <c r="E1270" s="208">
        <v>46204</v>
      </c>
      <c r="F1270" s="208"/>
      <c r="G1270" s="208"/>
      <c r="H1270" s="208" t="s">
        <v>99</v>
      </c>
      <c r="I1270" s="208"/>
      <c r="J1270" s="208"/>
      <c r="K1270" s="208" t="s">
        <v>10</v>
      </c>
      <c r="L1270" s="208"/>
      <c r="M1270" s="208"/>
      <c r="N1270" s="208"/>
      <c r="O1270" s="208"/>
      <c r="P1270" s="208"/>
      <c r="Q1270" s="207"/>
      <c r="R1270" s="208"/>
    </row>
    <row r="1271" spans="1:18">
      <c r="A1271" s="277"/>
      <c r="B1271" s="278"/>
      <c r="C1271" s="208"/>
      <c r="D1271" s="208"/>
      <c r="E1271" s="208">
        <v>46204</v>
      </c>
      <c r="F1271" s="208"/>
      <c r="G1271" s="208"/>
      <c r="H1271" s="208" t="s">
        <v>99</v>
      </c>
      <c r="I1271" s="208"/>
      <c r="J1271" s="208"/>
      <c r="K1271" s="208" t="s">
        <v>104</v>
      </c>
      <c r="L1271" s="208"/>
      <c r="M1271" s="208"/>
      <c r="N1271" s="208"/>
      <c r="O1271" s="208"/>
      <c r="P1271" s="208"/>
      <c r="Q1271" s="207"/>
      <c r="R1271" s="208"/>
    </row>
    <row r="1272" spans="1:18">
      <c r="A1272" s="277"/>
      <c r="B1272" s="278"/>
      <c r="C1272" s="208"/>
      <c r="D1272" s="208"/>
      <c r="E1272" s="208">
        <v>46204</v>
      </c>
      <c r="F1272" s="208"/>
      <c r="G1272" s="208"/>
      <c r="H1272" s="208" t="s">
        <v>99</v>
      </c>
      <c r="I1272" s="208"/>
      <c r="J1272" s="208"/>
      <c r="K1272" s="208" t="s">
        <v>106</v>
      </c>
      <c r="L1272" s="208"/>
      <c r="M1272" s="208"/>
      <c r="N1272" s="208"/>
      <c r="O1272" s="208"/>
      <c r="P1272" s="208"/>
      <c r="Q1272" s="207"/>
      <c r="R1272" s="208"/>
    </row>
    <row r="1273" spans="1:18">
      <c r="A1273" s="277"/>
      <c r="B1273" s="278"/>
      <c r="C1273" s="208"/>
      <c r="D1273" s="208"/>
      <c r="E1273" s="208">
        <v>46204</v>
      </c>
      <c r="F1273" s="208"/>
      <c r="G1273" s="208"/>
      <c r="H1273" s="208" t="s">
        <v>99</v>
      </c>
      <c r="I1273" s="208"/>
      <c r="J1273" s="208"/>
      <c r="K1273" s="208" t="s">
        <v>101</v>
      </c>
      <c r="L1273" s="208"/>
      <c r="M1273" s="208"/>
      <c r="N1273" s="208"/>
      <c r="O1273" s="208"/>
      <c r="P1273" s="208"/>
      <c r="Q1273" s="207"/>
      <c r="R1273" s="208"/>
    </row>
    <row r="1274" spans="1:18">
      <c r="A1274" s="277"/>
      <c r="B1274" s="278"/>
      <c r="C1274" s="208"/>
      <c r="D1274" s="208"/>
      <c r="E1274" s="208">
        <v>46204</v>
      </c>
      <c r="F1274" s="208"/>
      <c r="G1274" s="208"/>
      <c r="H1274" s="208" t="s">
        <v>99</v>
      </c>
      <c r="I1274" s="208"/>
      <c r="J1274" s="208"/>
      <c r="K1274" s="208" t="s">
        <v>10</v>
      </c>
      <c r="L1274" s="208"/>
      <c r="M1274" s="208"/>
      <c r="N1274" s="208"/>
      <c r="O1274" s="208"/>
      <c r="P1274" s="208"/>
      <c r="Q1274" s="207"/>
      <c r="R1274" s="208"/>
    </row>
    <row r="1275" spans="1:18">
      <c r="A1275" s="277"/>
      <c r="B1275" s="278"/>
      <c r="C1275" s="208"/>
      <c r="D1275" s="208"/>
      <c r="E1275" s="208">
        <v>46204</v>
      </c>
      <c r="F1275" s="208"/>
      <c r="G1275" s="208"/>
      <c r="H1275" s="208" t="s">
        <v>99</v>
      </c>
      <c r="I1275" s="208"/>
      <c r="J1275" s="208"/>
      <c r="K1275" s="208" t="s">
        <v>104</v>
      </c>
      <c r="L1275" s="208"/>
      <c r="M1275" s="208"/>
      <c r="N1275" s="208"/>
      <c r="O1275" s="208"/>
      <c r="P1275" s="208"/>
      <c r="Q1275" s="207"/>
      <c r="R1275" s="208"/>
    </row>
    <row r="1276" spans="1:18">
      <c r="A1276" s="277"/>
      <c r="B1276" s="278"/>
      <c r="C1276" s="208"/>
      <c r="D1276" s="208"/>
      <c r="E1276" s="208">
        <v>46204</v>
      </c>
      <c r="F1276" s="208"/>
      <c r="G1276" s="208"/>
      <c r="H1276" s="208" t="s">
        <v>99</v>
      </c>
      <c r="I1276" s="208"/>
      <c r="J1276" s="208"/>
      <c r="K1276" s="208" t="s">
        <v>106</v>
      </c>
      <c r="L1276" s="208"/>
      <c r="M1276" s="208"/>
      <c r="N1276" s="208"/>
      <c r="O1276" s="208"/>
      <c r="P1276" s="208"/>
      <c r="Q1276" s="207"/>
      <c r="R1276" s="208"/>
    </row>
    <row r="1277" spans="1:18">
      <c r="A1277" s="277"/>
      <c r="B1277" s="278"/>
      <c r="C1277" s="208"/>
      <c r="D1277" s="208"/>
      <c r="E1277" s="208">
        <v>46204</v>
      </c>
      <c r="F1277" s="208"/>
      <c r="G1277" s="208"/>
      <c r="H1277" s="208" t="s">
        <v>196</v>
      </c>
      <c r="I1277" s="208"/>
      <c r="J1277" s="208"/>
      <c r="K1277" s="208" t="s">
        <v>101</v>
      </c>
      <c r="L1277" s="208"/>
      <c r="M1277" s="208"/>
      <c r="N1277" s="208"/>
      <c r="O1277" s="208"/>
      <c r="P1277" s="208"/>
      <c r="Q1277" s="207"/>
      <c r="R1277" s="208"/>
    </row>
    <row r="1278" spans="1:18">
      <c r="A1278" s="277"/>
      <c r="B1278" s="278"/>
      <c r="C1278" s="208"/>
      <c r="D1278" s="208"/>
      <c r="E1278" s="208">
        <v>46204</v>
      </c>
      <c r="F1278" s="208"/>
      <c r="G1278" s="208"/>
      <c r="H1278" s="208" t="s">
        <v>196</v>
      </c>
      <c r="I1278" s="208"/>
      <c r="J1278" s="208"/>
      <c r="K1278" s="208" t="s">
        <v>101</v>
      </c>
      <c r="L1278" s="208"/>
      <c r="M1278" s="208"/>
      <c r="N1278" s="208"/>
      <c r="O1278" s="208"/>
      <c r="P1278" s="208"/>
      <c r="Q1278" s="207"/>
      <c r="R1278" s="208"/>
    </row>
    <row r="1279" spans="1:18">
      <c r="A1279" s="277"/>
      <c r="B1279" s="278"/>
      <c r="C1279" s="208"/>
      <c r="D1279" s="208"/>
      <c r="E1279" s="208">
        <v>46204</v>
      </c>
      <c r="F1279" s="208"/>
      <c r="G1279" s="208"/>
      <c r="H1279" s="208" t="s">
        <v>201</v>
      </c>
      <c r="I1279" s="208"/>
      <c r="J1279" s="208"/>
      <c r="K1279" s="208" t="s">
        <v>101</v>
      </c>
      <c r="L1279" s="208"/>
      <c r="M1279" s="208"/>
      <c r="N1279" s="208"/>
      <c r="O1279" s="208"/>
      <c r="P1279" s="208"/>
      <c r="Q1279" s="207"/>
      <c r="R1279" s="208"/>
    </row>
    <row r="1280" spans="1:18">
      <c r="A1280" s="277"/>
      <c r="B1280" s="278"/>
      <c r="C1280" s="208"/>
      <c r="D1280" s="208"/>
      <c r="E1280" s="208">
        <v>46204</v>
      </c>
      <c r="F1280" s="208"/>
      <c r="G1280" s="208"/>
      <c r="H1280" s="208" t="s">
        <v>201</v>
      </c>
      <c r="I1280" s="208"/>
      <c r="J1280" s="208"/>
      <c r="K1280" s="208" t="s">
        <v>101</v>
      </c>
      <c r="L1280" s="208"/>
      <c r="M1280" s="208"/>
      <c r="N1280" s="208"/>
      <c r="O1280" s="208"/>
      <c r="P1280" s="208"/>
      <c r="Q1280" s="207"/>
      <c r="R1280" s="208"/>
    </row>
    <row r="1281" spans="1:18">
      <c r="A1281" s="277"/>
      <c r="B1281" s="278"/>
      <c r="C1281" s="208"/>
      <c r="D1281" s="208"/>
      <c r="E1281" s="208">
        <v>46204</v>
      </c>
      <c r="F1281" s="208"/>
      <c r="G1281" s="208"/>
      <c r="H1281" s="208" t="s">
        <v>201</v>
      </c>
      <c r="I1281" s="208"/>
      <c r="J1281" s="208"/>
      <c r="K1281" s="208" t="s">
        <v>101</v>
      </c>
      <c r="L1281" s="208"/>
      <c r="M1281" s="208"/>
      <c r="N1281" s="208"/>
      <c r="O1281" s="208"/>
      <c r="P1281" s="208"/>
      <c r="Q1281" s="207"/>
      <c r="R1281" s="208"/>
    </row>
    <row r="1282" spans="1:18">
      <c r="A1282" s="277"/>
      <c r="B1282" s="278"/>
      <c r="C1282" s="208"/>
      <c r="D1282" s="208"/>
      <c r="E1282" s="208">
        <v>46204</v>
      </c>
      <c r="F1282" s="208"/>
      <c r="G1282" s="208"/>
      <c r="H1282" s="208" t="s">
        <v>132</v>
      </c>
      <c r="I1282" s="208"/>
      <c r="J1282" s="208"/>
      <c r="K1282" s="208" t="s">
        <v>101</v>
      </c>
      <c r="L1282" s="208"/>
      <c r="M1282" s="208"/>
      <c r="N1282" s="208"/>
      <c r="O1282" s="208"/>
      <c r="P1282" s="208"/>
      <c r="Q1282" s="207"/>
      <c r="R1282" s="208"/>
    </row>
    <row r="1283" spans="1:18">
      <c r="A1283" s="277"/>
      <c r="B1283" s="278"/>
      <c r="C1283" s="208"/>
      <c r="D1283" s="208"/>
      <c r="E1283" s="208">
        <v>46204</v>
      </c>
      <c r="F1283" s="208"/>
      <c r="G1283" s="208"/>
      <c r="H1283" s="208" t="s">
        <v>132</v>
      </c>
      <c r="I1283" s="208"/>
      <c r="J1283" s="208"/>
      <c r="K1283" s="208" t="s">
        <v>101</v>
      </c>
      <c r="L1283" s="208"/>
      <c r="M1283" s="208"/>
      <c r="N1283" s="208"/>
      <c r="O1283" s="208"/>
      <c r="P1283" s="208"/>
      <c r="Q1283" s="207"/>
      <c r="R1283" s="208"/>
    </row>
    <row r="1284" spans="1:18">
      <c r="A1284" s="277"/>
      <c r="B1284" s="278"/>
      <c r="C1284" s="208"/>
      <c r="D1284" s="208"/>
      <c r="E1284" s="208">
        <v>46204</v>
      </c>
      <c r="F1284" s="208"/>
      <c r="G1284" s="208"/>
      <c r="H1284" s="208" t="s">
        <v>132</v>
      </c>
      <c r="I1284" s="208"/>
      <c r="J1284" s="208"/>
      <c r="K1284" s="208" t="s">
        <v>101</v>
      </c>
      <c r="L1284" s="208"/>
      <c r="M1284" s="208"/>
      <c r="N1284" s="208"/>
      <c r="O1284" s="208"/>
      <c r="P1284" s="208"/>
      <c r="Q1284" s="207"/>
      <c r="R1284" s="208"/>
    </row>
    <row r="1285" spans="1:18">
      <c r="A1285" s="277"/>
      <c r="B1285" s="278"/>
      <c r="C1285" s="208"/>
      <c r="D1285" s="208"/>
      <c r="E1285" s="208">
        <v>46204</v>
      </c>
      <c r="F1285" s="208"/>
      <c r="G1285" s="208"/>
      <c r="H1285" s="208" t="s">
        <v>132</v>
      </c>
      <c r="I1285" s="208"/>
      <c r="J1285" s="208"/>
      <c r="K1285" s="208" t="s">
        <v>101</v>
      </c>
      <c r="L1285" s="208"/>
      <c r="M1285" s="208"/>
      <c r="N1285" s="208"/>
      <c r="O1285" s="208"/>
      <c r="P1285" s="208"/>
      <c r="Q1285" s="207"/>
      <c r="R1285" s="208"/>
    </row>
    <row r="1286" spans="1:18">
      <c r="A1286" s="277"/>
      <c r="B1286" s="278"/>
      <c r="C1286" s="208"/>
      <c r="D1286" s="208"/>
      <c r="E1286" s="208">
        <v>46235</v>
      </c>
      <c r="F1286" s="208"/>
      <c r="G1286" s="208"/>
      <c r="H1286" s="208" t="s">
        <v>99</v>
      </c>
      <c r="I1286" s="208"/>
      <c r="J1286" s="208"/>
      <c r="K1286" s="208" t="s">
        <v>10</v>
      </c>
      <c r="L1286" s="208"/>
      <c r="M1286" s="208"/>
      <c r="N1286" s="208"/>
      <c r="O1286" s="208"/>
      <c r="P1286" s="208"/>
      <c r="Q1286" s="207"/>
      <c r="R1286" s="208"/>
    </row>
    <row r="1287" spans="1:18">
      <c r="A1287" s="277"/>
      <c r="B1287" s="278"/>
      <c r="C1287" s="208"/>
      <c r="D1287" s="208"/>
      <c r="E1287" s="208">
        <v>46235</v>
      </c>
      <c r="F1287" s="208"/>
      <c r="G1287" s="208"/>
      <c r="H1287" s="208" t="s">
        <v>99</v>
      </c>
      <c r="I1287" s="208"/>
      <c r="J1287" s="208"/>
      <c r="K1287" s="208" t="s">
        <v>104</v>
      </c>
      <c r="L1287" s="208"/>
      <c r="M1287" s="208"/>
      <c r="N1287" s="208"/>
      <c r="O1287" s="208"/>
      <c r="P1287" s="208"/>
      <c r="Q1287" s="207"/>
      <c r="R1287" s="208"/>
    </row>
    <row r="1288" spans="1:18">
      <c r="A1288" s="277"/>
      <c r="B1288" s="278"/>
      <c r="C1288" s="208"/>
      <c r="D1288" s="208"/>
      <c r="E1288" s="208">
        <v>46235</v>
      </c>
      <c r="F1288" s="208"/>
      <c r="G1288" s="208"/>
      <c r="H1288" s="208" t="s">
        <v>196</v>
      </c>
      <c r="I1288" s="208"/>
      <c r="J1288" s="208"/>
      <c r="K1288" s="208" t="s">
        <v>101</v>
      </c>
      <c r="L1288" s="208"/>
      <c r="M1288" s="208"/>
      <c r="N1288" s="208"/>
      <c r="O1288" s="208"/>
      <c r="P1288" s="208"/>
      <c r="Q1288" s="207"/>
      <c r="R1288" s="208"/>
    </row>
    <row r="1289" spans="1:18">
      <c r="A1289" s="277"/>
      <c r="B1289" s="278"/>
      <c r="C1289" s="208"/>
      <c r="D1289" s="208"/>
      <c r="E1289" s="208">
        <v>46235</v>
      </c>
      <c r="F1289" s="208"/>
      <c r="G1289" s="208"/>
      <c r="H1289" s="208" t="s">
        <v>196</v>
      </c>
      <c r="I1289" s="208"/>
      <c r="J1289" s="208"/>
      <c r="K1289" s="208" t="s">
        <v>101</v>
      </c>
      <c r="L1289" s="208"/>
      <c r="M1289" s="208"/>
      <c r="N1289" s="208"/>
      <c r="O1289" s="208"/>
      <c r="P1289" s="208"/>
      <c r="Q1289" s="207"/>
      <c r="R1289" s="208"/>
    </row>
    <row r="1290" spans="1:18">
      <c r="A1290" s="277"/>
      <c r="B1290" s="278"/>
      <c r="C1290" s="208"/>
      <c r="D1290" s="208"/>
      <c r="E1290" s="208">
        <v>46235</v>
      </c>
      <c r="F1290" s="208"/>
      <c r="G1290" s="208"/>
      <c r="H1290" s="208" t="s">
        <v>201</v>
      </c>
      <c r="I1290" s="208"/>
      <c r="J1290" s="208"/>
      <c r="K1290" s="208" t="s">
        <v>101</v>
      </c>
      <c r="L1290" s="208"/>
      <c r="M1290" s="208"/>
      <c r="N1290" s="208"/>
      <c r="O1290" s="208"/>
      <c r="P1290" s="208"/>
      <c r="Q1290" s="207"/>
      <c r="R1290" s="208"/>
    </row>
    <row r="1291" spans="1:18">
      <c r="A1291" s="277"/>
      <c r="B1291" s="278"/>
      <c r="C1291" s="208"/>
      <c r="D1291" s="208"/>
      <c r="E1291" s="208">
        <v>46235</v>
      </c>
      <c r="F1291" s="208"/>
      <c r="G1291" s="208"/>
      <c r="H1291" s="208" t="s">
        <v>201</v>
      </c>
      <c r="I1291" s="208"/>
      <c r="J1291" s="208"/>
      <c r="K1291" s="208" t="s">
        <v>101</v>
      </c>
      <c r="L1291" s="208"/>
      <c r="M1291" s="208"/>
      <c r="N1291" s="208"/>
      <c r="O1291" s="208"/>
      <c r="P1291" s="208"/>
      <c r="Q1291" s="207"/>
      <c r="R1291" s="208"/>
    </row>
    <row r="1292" spans="1:18">
      <c r="A1292" s="277"/>
      <c r="B1292" s="278"/>
      <c r="C1292" s="208"/>
      <c r="D1292" s="208"/>
      <c r="E1292" s="208">
        <v>46235</v>
      </c>
      <c r="F1292" s="208"/>
      <c r="G1292" s="208"/>
      <c r="H1292" s="208" t="s">
        <v>132</v>
      </c>
      <c r="I1292" s="208"/>
      <c r="J1292" s="208"/>
      <c r="K1292" s="208" t="s">
        <v>101</v>
      </c>
      <c r="L1292" s="208"/>
      <c r="M1292" s="208"/>
      <c r="N1292" s="208"/>
      <c r="O1292" s="208"/>
      <c r="P1292" s="208"/>
      <c r="Q1292" s="207"/>
      <c r="R1292" s="208"/>
    </row>
    <row r="1293" spans="1:18">
      <c r="A1293" s="277"/>
      <c r="B1293" s="278"/>
      <c r="C1293" s="208"/>
      <c r="D1293" s="208"/>
      <c r="E1293" s="208">
        <v>46235</v>
      </c>
      <c r="F1293" s="208"/>
      <c r="G1293" s="208"/>
      <c r="H1293" s="208" t="s">
        <v>132</v>
      </c>
      <c r="I1293" s="208"/>
      <c r="J1293" s="208"/>
      <c r="K1293" s="208" t="s">
        <v>101</v>
      </c>
      <c r="L1293" s="208"/>
      <c r="M1293" s="208"/>
      <c r="N1293" s="208"/>
      <c r="O1293" s="208"/>
      <c r="P1293" s="208"/>
      <c r="Q1293" s="207"/>
      <c r="R1293" s="208"/>
    </row>
    <row r="1294" spans="1:18">
      <c r="A1294" s="277"/>
      <c r="B1294" s="278"/>
      <c r="C1294" s="208"/>
      <c r="D1294" s="208"/>
      <c r="E1294" s="208">
        <v>46235</v>
      </c>
      <c r="F1294" s="208"/>
      <c r="G1294" s="208"/>
      <c r="H1294" s="208" t="s">
        <v>132</v>
      </c>
      <c r="I1294" s="208"/>
      <c r="J1294" s="208"/>
      <c r="K1294" s="208" t="s">
        <v>101</v>
      </c>
      <c r="L1294" s="208"/>
      <c r="M1294" s="208"/>
      <c r="N1294" s="208"/>
      <c r="O1294" s="208"/>
      <c r="P1294" s="208"/>
      <c r="Q1294" s="207"/>
      <c r="R1294" s="208"/>
    </row>
    <row r="1295" spans="1:18">
      <c r="A1295" s="277"/>
      <c r="B1295" s="278"/>
      <c r="C1295" s="208"/>
      <c r="D1295" s="208"/>
      <c r="E1295" s="208">
        <v>46266</v>
      </c>
      <c r="F1295" s="208"/>
      <c r="G1295" s="208"/>
      <c r="H1295" s="208" t="s">
        <v>196</v>
      </c>
      <c r="I1295" s="208"/>
      <c r="J1295" s="208"/>
      <c r="K1295" s="208" t="s">
        <v>101</v>
      </c>
      <c r="L1295" s="208"/>
      <c r="M1295" s="208"/>
      <c r="N1295" s="208"/>
      <c r="O1295" s="208"/>
      <c r="P1295" s="208"/>
      <c r="Q1295" s="207"/>
      <c r="R1295" s="208"/>
    </row>
    <row r="1296" spans="1:18">
      <c r="A1296" s="277"/>
      <c r="B1296" s="278"/>
      <c r="C1296" s="208"/>
      <c r="D1296" s="208"/>
      <c r="E1296" s="208">
        <v>46266</v>
      </c>
      <c r="F1296" s="208"/>
      <c r="G1296" s="208"/>
      <c r="H1296" s="208" t="s">
        <v>196</v>
      </c>
      <c r="I1296" s="208"/>
      <c r="J1296" s="208"/>
      <c r="K1296" s="208" t="s">
        <v>101</v>
      </c>
      <c r="L1296" s="208"/>
      <c r="M1296" s="208"/>
      <c r="N1296" s="208"/>
      <c r="O1296" s="208"/>
      <c r="P1296" s="208"/>
      <c r="Q1296" s="207"/>
      <c r="R1296" s="208"/>
    </row>
    <row r="1297" spans="1:18">
      <c r="A1297" s="277"/>
      <c r="B1297" s="278"/>
      <c r="C1297" s="208" t="s">
        <v>322</v>
      </c>
      <c r="D1297" s="208"/>
      <c r="E1297" s="208" t="s">
        <v>359</v>
      </c>
      <c r="F1297" s="208">
        <v>2026</v>
      </c>
      <c r="G1297" s="208"/>
      <c r="H1297" s="208" t="s">
        <v>132</v>
      </c>
      <c r="I1297" s="208" t="s">
        <v>133</v>
      </c>
      <c r="J1297" s="208" t="s">
        <v>360</v>
      </c>
      <c r="K1297" s="208" t="s">
        <v>135</v>
      </c>
      <c r="L1297" s="208" t="s">
        <v>952</v>
      </c>
      <c r="M1297" s="208"/>
      <c r="N1297" s="208"/>
      <c r="O1297" s="208"/>
      <c r="P1297" s="208"/>
      <c r="Q1297" s="207"/>
      <c r="R1297" s="208"/>
    </row>
    <row r="1298" spans="1:18">
      <c r="A1298" s="277"/>
      <c r="B1298" s="278"/>
      <c r="C1298" s="208" t="s">
        <v>322</v>
      </c>
      <c r="D1298" s="208"/>
      <c r="E1298" s="208" t="s">
        <v>359</v>
      </c>
      <c r="F1298" s="208">
        <v>2026</v>
      </c>
      <c r="G1298" s="208"/>
      <c r="H1298" s="208" t="s">
        <v>132</v>
      </c>
      <c r="I1298" s="208" t="s">
        <v>133</v>
      </c>
      <c r="J1298" s="208" t="s">
        <v>360</v>
      </c>
      <c r="K1298" s="208" t="s">
        <v>135</v>
      </c>
      <c r="L1298" s="208" t="s">
        <v>953</v>
      </c>
      <c r="M1298" s="208"/>
      <c r="N1298" s="208"/>
      <c r="O1298" s="208"/>
      <c r="P1298" s="208"/>
      <c r="Q1298" s="207"/>
      <c r="R1298" s="208"/>
    </row>
    <row r="1299" spans="1:18">
      <c r="A1299" s="277">
        <v>945</v>
      </c>
      <c r="B1299" s="278"/>
      <c r="C1299" s="208" t="s">
        <v>322</v>
      </c>
      <c r="D1299" s="208"/>
      <c r="E1299" s="208" t="s">
        <v>359</v>
      </c>
      <c r="F1299" s="208">
        <v>2026</v>
      </c>
      <c r="G1299" s="208"/>
      <c r="H1299" s="208" t="s">
        <v>99</v>
      </c>
      <c r="I1299" s="208" t="s">
        <v>100</v>
      </c>
      <c r="J1299" s="208" t="s">
        <v>373</v>
      </c>
      <c r="K1299" s="208" t="s">
        <v>10</v>
      </c>
      <c r="L1299" s="208" t="s">
        <v>888</v>
      </c>
      <c r="M1299" s="208"/>
      <c r="N1299" s="208"/>
      <c r="O1299" s="208" t="s">
        <v>29</v>
      </c>
      <c r="P1299" s="208"/>
      <c r="Q1299" s="207"/>
      <c r="R1299" s="208"/>
    </row>
    <row r="1300" spans="1:18">
      <c r="A1300" s="277">
        <v>946</v>
      </c>
      <c r="B1300" s="278"/>
      <c r="C1300" s="208" t="s">
        <v>322</v>
      </c>
      <c r="D1300" s="208"/>
      <c r="E1300" s="208" t="s">
        <v>359</v>
      </c>
      <c r="F1300" s="208">
        <v>2026</v>
      </c>
      <c r="G1300" s="208"/>
      <c r="H1300" s="208" t="s">
        <v>99</v>
      </c>
      <c r="I1300" s="208" t="s">
        <v>100</v>
      </c>
      <c r="J1300" s="208" t="s">
        <v>373</v>
      </c>
      <c r="K1300" s="208" t="s">
        <v>10</v>
      </c>
      <c r="L1300" s="208" t="s">
        <v>888</v>
      </c>
      <c r="M1300" s="208"/>
      <c r="N1300" s="208"/>
      <c r="O1300" s="208" t="s">
        <v>29</v>
      </c>
      <c r="P1300" s="208"/>
      <c r="Q1300" s="207"/>
      <c r="R1300" s="208"/>
    </row>
    <row r="1301" spans="1:18">
      <c r="A1301" s="277"/>
      <c r="B1301" s="278"/>
      <c r="C1301" s="208"/>
      <c r="D1301" s="208"/>
      <c r="E1301" s="208"/>
      <c r="F1301" s="208">
        <v>2025</v>
      </c>
      <c r="G1301" s="208"/>
      <c r="H1301" s="208" t="s">
        <v>16</v>
      </c>
      <c r="I1301" s="208"/>
      <c r="J1301" s="208"/>
      <c r="K1301" s="208"/>
      <c r="L1301" s="208"/>
      <c r="M1301" s="208"/>
      <c r="N1301" s="208"/>
      <c r="O1301" s="208"/>
      <c r="P1301" s="208"/>
      <c r="Q1301" s="207"/>
      <c r="R1301" s="208"/>
    </row>
    <row r="1302" spans="1:18">
      <c r="A1302" s="277"/>
      <c r="B1302" s="278"/>
      <c r="C1302" s="208"/>
      <c r="D1302" s="208"/>
      <c r="E1302" s="208"/>
      <c r="F1302" s="208">
        <v>2025</v>
      </c>
      <c r="G1302" s="208"/>
      <c r="H1302" s="208" t="s">
        <v>16</v>
      </c>
      <c r="I1302" s="208"/>
      <c r="J1302" s="208"/>
      <c r="K1302" s="208"/>
      <c r="L1302" s="208"/>
      <c r="M1302" s="208"/>
      <c r="N1302" s="208"/>
      <c r="O1302" s="208"/>
      <c r="P1302" s="208"/>
      <c r="Q1302" s="207"/>
      <c r="R1302" s="208"/>
    </row>
    <row r="1303" spans="1:18">
      <c r="A1303" s="277"/>
      <c r="B1303" s="278"/>
      <c r="C1303" s="208"/>
      <c r="D1303" s="208"/>
      <c r="E1303" s="208"/>
      <c r="F1303" s="208">
        <v>2025</v>
      </c>
      <c r="G1303" s="208"/>
      <c r="H1303" s="208" t="s">
        <v>16</v>
      </c>
      <c r="I1303" s="208"/>
      <c r="J1303" s="208"/>
      <c r="K1303" s="208"/>
      <c r="L1303" s="208"/>
      <c r="M1303" s="208"/>
      <c r="N1303" s="208"/>
      <c r="O1303" s="208"/>
      <c r="P1303" s="208"/>
      <c r="Q1303" s="207"/>
      <c r="R1303" s="208"/>
    </row>
    <row r="1304" spans="1:18">
      <c r="A1304" s="277"/>
      <c r="B1304" s="278"/>
      <c r="C1304" s="208"/>
      <c r="D1304" s="208"/>
      <c r="E1304" s="208"/>
      <c r="F1304" s="208">
        <v>2025</v>
      </c>
      <c r="G1304" s="208"/>
      <c r="H1304" s="208" t="s">
        <v>16</v>
      </c>
      <c r="I1304" s="208"/>
      <c r="J1304" s="208"/>
      <c r="K1304" s="208"/>
      <c r="L1304" s="208"/>
      <c r="M1304" s="208"/>
      <c r="N1304" s="208"/>
      <c r="O1304" s="208"/>
      <c r="P1304" s="208"/>
      <c r="Q1304" s="207"/>
      <c r="R1304" s="208"/>
    </row>
    <row r="1305" spans="1:18">
      <c r="A1305" s="277"/>
      <c r="B1305" s="278"/>
      <c r="C1305" s="208"/>
      <c r="D1305" s="208"/>
      <c r="E1305" s="208"/>
      <c r="F1305" s="208">
        <v>2025</v>
      </c>
      <c r="G1305" s="208"/>
      <c r="H1305" s="208" t="s">
        <v>16</v>
      </c>
      <c r="I1305" s="208"/>
      <c r="J1305" s="208"/>
      <c r="K1305" s="208"/>
      <c r="L1305" s="208"/>
      <c r="M1305" s="208"/>
      <c r="N1305" s="208"/>
      <c r="O1305" s="208"/>
      <c r="P1305" s="208"/>
      <c r="Q1305" s="207"/>
      <c r="R1305" s="208"/>
    </row>
    <row r="1306" spans="1:18">
      <c r="A1306" s="277"/>
      <c r="B1306" s="278"/>
      <c r="C1306" s="208"/>
      <c r="D1306" s="208"/>
      <c r="E1306" s="208"/>
      <c r="F1306" s="208">
        <v>2025</v>
      </c>
      <c r="G1306" s="208"/>
      <c r="H1306" s="208" t="s">
        <v>16</v>
      </c>
      <c r="I1306" s="208"/>
      <c r="J1306" s="208"/>
      <c r="K1306" s="208"/>
      <c r="L1306" s="208"/>
      <c r="M1306" s="208"/>
      <c r="N1306" s="208"/>
      <c r="O1306" s="208"/>
      <c r="P1306" s="208"/>
      <c r="Q1306" s="207"/>
      <c r="R1306" s="208"/>
    </row>
    <row r="1307" spans="1:18">
      <c r="A1307" s="277"/>
      <c r="B1307" s="278"/>
      <c r="C1307" s="208"/>
      <c r="D1307" s="208"/>
      <c r="E1307" s="208"/>
      <c r="F1307" s="208">
        <v>2025</v>
      </c>
      <c r="G1307" s="208"/>
      <c r="H1307" s="208" t="s">
        <v>954</v>
      </c>
      <c r="I1307" s="208"/>
      <c r="J1307" s="208"/>
      <c r="K1307" s="208"/>
      <c r="L1307" s="208"/>
      <c r="M1307" s="208"/>
      <c r="N1307" s="208"/>
      <c r="O1307" s="208"/>
      <c r="P1307" s="208"/>
      <c r="Q1307" s="207"/>
      <c r="R1307" s="208"/>
    </row>
    <row r="1308" spans="1:18">
      <c r="A1308" s="277"/>
      <c r="B1308" s="278"/>
      <c r="C1308" s="208"/>
      <c r="D1308" s="208"/>
      <c r="E1308" s="208"/>
      <c r="F1308" s="208">
        <v>2025</v>
      </c>
      <c r="G1308" s="208"/>
      <c r="H1308" s="208" t="s">
        <v>16</v>
      </c>
      <c r="I1308" s="208"/>
      <c r="J1308" s="208"/>
      <c r="K1308" s="208"/>
      <c r="L1308" s="208"/>
      <c r="M1308" s="208"/>
      <c r="N1308" s="208"/>
      <c r="O1308" s="208"/>
      <c r="P1308" s="208"/>
      <c r="Q1308" s="207"/>
      <c r="R1308" s="208"/>
    </row>
    <row r="1309" spans="1:18">
      <c r="A1309" s="277"/>
      <c r="B1309" s="278"/>
      <c r="C1309" s="208"/>
      <c r="D1309" s="208"/>
      <c r="E1309" s="208"/>
      <c r="F1309" s="208">
        <v>2025</v>
      </c>
      <c r="G1309" s="208"/>
      <c r="H1309" s="208" t="s">
        <v>16</v>
      </c>
      <c r="I1309" s="208"/>
      <c r="J1309" s="208"/>
      <c r="K1309" s="208"/>
      <c r="L1309" s="208"/>
      <c r="M1309" s="208"/>
      <c r="N1309" s="208"/>
      <c r="O1309" s="208"/>
      <c r="P1309" s="208"/>
      <c r="Q1309" s="207"/>
      <c r="R1309" s="208"/>
    </row>
    <row r="1310" spans="1:18">
      <c r="A1310" s="277"/>
      <c r="B1310" s="278"/>
      <c r="C1310" s="208"/>
      <c r="D1310" s="208"/>
      <c r="E1310" s="208"/>
      <c r="F1310" s="208">
        <v>2025</v>
      </c>
      <c r="G1310" s="208"/>
      <c r="H1310" s="208" t="s">
        <v>954</v>
      </c>
      <c r="I1310" s="208"/>
      <c r="J1310" s="208"/>
      <c r="K1310" s="208"/>
      <c r="L1310" s="208"/>
      <c r="M1310" s="208"/>
      <c r="N1310" s="208"/>
      <c r="O1310" s="208"/>
      <c r="P1310" s="208"/>
      <c r="Q1310" s="207"/>
      <c r="R1310" s="208"/>
    </row>
    <row r="1311" spans="1:18">
      <c r="A1311" s="277"/>
      <c r="B1311" s="278"/>
      <c r="C1311" s="208"/>
      <c r="D1311" s="208"/>
      <c r="E1311" s="208"/>
      <c r="F1311" s="208">
        <v>2025</v>
      </c>
      <c r="G1311" s="208"/>
      <c r="H1311" s="208" t="s">
        <v>57</v>
      </c>
      <c r="I1311" s="208"/>
      <c r="J1311" s="208"/>
      <c r="K1311" s="208"/>
      <c r="L1311" s="208"/>
      <c r="M1311" s="208"/>
      <c r="N1311" s="208"/>
      <c r="O1311" s="208"/>
      <c r="P1311" s="208"/>
      <c r="Q1311" s="207"/>
      <c r="R1311" s="208"/>
    </row>
    <row r="1312" spans="1:18">
      <c r="A1312" s="277"/>
      <c r="B1312" s="278"/>
      <c r="C1312" s="208"/>
      <c r="D1312" s="208"/>
      <c r="E1312" s="208"/>
      <c r="F1312" s="208">
        <v>2025</v>
      </c>
      <c r="G1312" s="208"/>
      <c r="H1312" s="208" t="s">
        <v>57</v>
      </c>
      <c r="I1312" s="208"/>
      <c r="J1312" s="208"/>
      <c r="K1312" s="208"/>
      <c r="L1312" s="208"/>
      <c r="M1312" s="208"/>
      <c r="N1312" s="208"/>
      <c r="O1312" s="208"/>
      <c r="P1312" s="208"/>
      <c r="Q1312" s="207"/>
      <c r="R1312" s="208"/>
    </row>
    <row r="1313" spans="1:18">
      <c r="A1313" s="277"/>
      <c r="B1313" s="278"/>
      <c r="C1313" s="208"/>
      <c r="D1313" s="208"/>
      <c r="E1313" s="208"/>
      <c r="F1313" s="208">
        <v>2025</v>
      </c>
      <c r="G1313" s="208"/>
      <c r="H1313" s="208" t="s">
        <v>955</v>
      </c>
      <c r="I1313" s="208"/>
      <c r="J1313" s="208"/>
      <c r="K1313" s="208"/>
      <c r="L1313" s="208"/>
      <c r="M1313" s="208"/>
      <c r="N1313" s="208"/>
      <c r="O1313" s="208"/>
      <c r="P1313" s="208"/>
      <c r="Q1313" s="207"/>
      <c r="R1313" s="208"/>
    </row>
    <row r="1314" spans="1:18">
      <c r="A1314" s="277"/>
      <c r="B1314" s="278"/>
      <c r="C1314" s="208"/>
      <c r="D1314" s="208"/>
      <c r="E1314" s="208"/>
      <c r="F1314" s="208">
        <v>2025</v>
      </c>
      <c r="G1314" s="208"/>
      <c r="H1314" s="208" t="s">
        <v>132</v>
      </c>
      <c r="I1314" s="208"/>
      <c r="J1314" s="208"/>
      <c r="K1314" s="208"/>
      <c r="L1314" s="208"/>
      <c r="M1314" s="208"/>
      <c r="N1314" s="208"/>
      <c r="O1314" s="208"/>
      <c r="P1314" s="208"/>
      <c r="Q1314" s="207"/>
      <c r="R1314" s="208"/>
    </row>
    <row r="1315" spans="1:18">
      <c r="A1315" s="277"/>
      <c r="B1315" s="278"/>
      <c r="C1315" s="208"/>
      <c r="D1315" s="208"/>
      <c r="E1315" s="208"/>
      <c r="F1315" s="208">
        <v>2025</v>
      </c>
      <c r="G1315" s="208"/>
      <c r="H1315" s="208" t="s">
        <v>16</v>
      </c>
      <c r="I1315" s="208"/>
      <c r="J1315" s="208"/>
      <c r="K1315" s="208"/>
      <c r="L1315" s="208"/>
      <c r="M1315" s="208"/>
      <c r="N1315" s="208"/>
      <c r="O1315" s="208"/>
      <c r="P1315" s="208"/>
      <c r="Q1315" s="207"/>
      <c r="R1315" s="208"/>
    </row>
    <row r="1316" spans="1:18">
      <c r="A1316" s="277"/>
      <c r="B1316" s="278"/>
      <c r="C1316" s="208"/>
      <c r="D1316" s="208"/>
      <c r="E1316" s="208"/>
      <c r="F1316" s="208">
        <v>2025</v>
      </c>
      <c r="G1316" s="208"/>
      <c r="H1316" s="208" t="s">
        <v>16</v>
      </c>
      <c r="I1316" s="208"/>
      <c r="J1316" s="208"/>
      <c r="K1316" s="208"/>
      <c r="L1316" s="208"/>
      <c r="M1316" s="208"/>
      <c r="N1316" s="208"/>
      <c r="O1316" s="208"/>
      <c r="P1316" s="208"/>
      <c r="Q1316" s="207"/>
      <c r="R1316" s="208"/>
    </row>
    <row r="1317" spans="1:18">
      <c r="A1317" s="277"/>
      <c r="B1317" s="278"/>
      <c r="C1317" s="208"/>
      <c r="D1317" s="208"/>
      <c r="E1317" s="208"/>
      <c r="F1317" s="208">
        <v>2025</v>
      </c>
      <c r="G1317" s="208"/>
      <c r="H1317" s="208" t="s">
        <v>16</v>
      </c>
      <c r="I1317" s="208"/>
      <c r="J1317" s="208"/>
      <c r="K1317" s="208"/>
      <c r="L1317" s="208"/>
      <c r="M1317" s="208"/>
      <c r="N1317" s="208"/>
      <c r="O1317" s="208"/>
      <c r="P1317" s="208"/>
      <c r="Q1317" s="207"/>
      <c r="R1317" s="208"/>
    </row>
    <row r="1318" spans="1:18">
      <c r="A1318" s="277"/>
      <c r="B1318" s="278"/>
      <c r="C1318" s="208"/>
      <c r="D1318" s="208"/>
      <c r="E1318" s="208"/>
      <c r="F1318" s="208">
        <v>2025</v>
      </c>
      <c r="G1318" s="208"/>
      <c r="H1318" s="208" t="s">
        <v>954</v>
      </c>
      <c r="I1318" s="208"/>
      <c r="J1318" s="208"/>
      <c r="K1318" s="208"/>
      <c r="L1318" s="208"/>
      <c r="M1318" s="208"/>
      <c r="N1318" s="208"/>
      <c r="O1318" s="208"/>
      <c r="P1318" s="208"/>
      <c r="Q1318" s="207"/>
      <c r="R1318" s="208"/>
    </row>
    <row r="1319" spans="1:18">
      <c r="A1319" s="277"/>
      <c r="B1319" s="278"/>
      <c r="C1319" s="208"/>
      <c r="D1319" s="208"/>
      <c r="E1319" s="208"/>
      <c r="F1319" s="208">
        <v>2025</v>
      </c>
      <c r="G1319" s="208"/>
      <c r="H1319" s="208" t="s">
        <v>57</v>
      </c>
      <c r="I1319" s="208"/>
      <c r="J1319" s="208"/>
      <c r="K1319" s="208"/>
      <c r="L1319" s="208"/>
      <c r="M1319" s="208"/>
      <c r="N1319" s="208"/>
      <c r="O1319" s="208"/>
      <c r="P1319" s="208"/>
      <c r="Q1319" s="207"/>
      <c r="R1319" s="208"/>
    </row>
    <row r="1320" spans="1:18">
      <c r="A1320" s="277"/>
      <c r="B1320" s="278"/>
      <c r="C1320" s="208"/>
      <c r="D1320" s="208"/>
      <c r="E1320" s="208"/>
      <c r="F1320" s="208">
        <v>2025</v>
      </c>
      <c r="G1320" s="208"/>
      <c r="H1320" s="208" t="s">
        <v>57</v>
      </c>
      <c r="I1320" s="208"/>
      <c r="J1320" s="208"/>
      <c r="K1320" s="208"/>
      <c r="L1320" s="208"/>
      <c r="M1320" s="208"/>
      <c r="N1320" s="208"/>
      <c r="O1320" s="208"/>
      <c r="P1320" s="208"/>
      <c r="Q1320" s="207"/>
      <c r="R1320" s="208"/>
    </row>
    <row r="1321" spans="1:18">
      <c r="A1321" s="277"/>
      <c r="B1321" s="278"/>
      <c r="C1321" s="208"/>
      <c r="D1321" s="208"/>
      <c r="E1321" s="208"/>
      <c r="F1321" s="208">
        <v>2025</v>
      </c>
      <c r="G1321" s="208"/>
      <c r="H1321" s="208" t="s">
        <v>57</v>
      </c>
      <c r="I1321" s="208"/>
      <c r="J1321" s="208"/>
      <c r="K1321" s="208"/>
      <c r="L1321" s="208"/>
      <c r="M1321" s="208"/>
      <c r="N1321" s="208"/>
      <c r="O1321" s="208"/>
      <c r="P1321" s="208"/>
      <c r="Q1321" s="207"/>
      <c r="R1321" s="208"/>
    </row>
    <row r="1322" spans="1:18">
      <c r="A1322" s="277"/>
      <c r="B1322" s="278"/>
      <c r="C1322" s="208"/>
      <c r="D1322" s="208"/>
      <c r="E1322" s="208"/>
      <c r="F1322" s="208">
        <v>2025</v>
      </c>
      <c r="G1322" s="208"/>
      <c r="H1322" s="208" t="s">
        <v>57</v>
      </c>
      <c r="I1322" s="208"/>
      <c r="J1322" s="208"/>
      <c r="K1322" s="208"/>
      <c r="L1322" s="208"/>
      <c r="M1322" s="208"/>
      <c r="N1322" s="208"/>
      <c r="O1322" s="208"/>
      <c r="P1322" s="208"/>
      <c r="Q1322" s="207"/>
      <c r="R1322" s="208"/>
    </row>
    <row r="1323" spans="1:18">
      <c r="A1323" s="277"/>
      <c r="B1323" s="278"/>
      <c r="C1323" s="208"/>
      <c r="D1323" s="208"/>
      <c r="E1323" s="208"/>
      <c r="F1323" s="208">
        <v>2025</v>
      </c>
      <c r="G1323" s="208"/>
      <c r="H1323" s="208" t="s">
        <v>956</v>
      </c>
      <c r="I1323" s="208"/>
      <c r="J1323" s="208"/>
      <c r="K1323" s="208"/>
      <c r="L1323" s="208"/>
      <c r="M1323" s="208"/>
      <c r="N1323" s="208"/>
      <c r="O1323" s="208"/>
      <c r="P1323" s="208"/>
      <c r="Q1323" s="207"/>
      <c r="R1323" s="208"/>
    </row>
    <row r="1324" spans="1:18">
      <c r="A1324" s="277"/>
      <c r="B1324" s="278"/>
      <c r="C1324" s="208"/>
      <c r="D1324" s="208"/>
      <c r="E1324" s="208"/>
      <c r="F1324" s="208">
        <v>2025</v>
      </c>
      <c r="G1324" s="208"/>
      <c r="H1324" s="208" t="s">
        <v>956</v>
      </c>
      <c r="I1324" s="208"/>
      <c r="J1324" s="208"/>
      <c r="K1324" s="208"/>
      <c r="L1324" s="208"/>
      <c r="M1324" s="208"/>
      <c r="N1324" s="208"/>
      <c r="O1324" s="208"/>
      <c r="P1324" s="208"/>
      <c r="Q1324" s="207"/>
      <c r="R1324" s="208"/>
    </row>
    <row r="1325" spans="1:18">
      <c r="A1325" s="277"/>
      <c r="B1325" s="278"/>
      <c r="C1325" s="208"/>
      <c r="D1325" s="208"/>
      <c r="E1325" s="208"/>
      <c r="F1325" s="208">
        <v>2025</v>
      </c>
      <c r="G1325" s="208"/>
      <c r="H1325" s="208" t="s">
        <v>8</v>
      </c>
      <c r="I1325" s="208"/>
      <c r="J1325" s="208"/>
      <c r="K1325" s="208"/>
      <c r="L1325" s="208"/>
      <c r="M1325" s="208"/>
      <c r="N1325" s="208"/>
      <c r="O1325" s="208"/>
      <c r="P1325" s="208"/>
      <c r="Q1325" s="207"/>
      <c r="R1325" s="208"/>
    </row>
    <row r="1326" spans="1:18">
      <c r="A1326" s="277"/>
      <c r="B1326" s="278"/>
      <c r="C1326" s="208"/>
      <c r="D1326" s="208"/>
      <c r="E1326" s="208"/>
      <c r="F1326" s="208">
        <v>2025</v>
      </c>
      <c r="G1326" s="208"/>
      <c r="H1326" s="208" t="s">
        <v>955</v>
      </c>
      <c r="I1326" s="208"/>
      <c r="J1326" s="208"/>
      <c r="K1326" s="208"/>
      <c r="L1326" s="208"/>
      <c r="M1326" s="208"/>
      <c r="N1326" s="208"/>
      <c r="O1326" s="208"/>
      <c r="P1326" s="208"/>
      <c r="Q1326" s="207"/>
      <c r="R1326" s="208"/>
    </row>
    <row r="1327" spans="1:18">
      <c r="A1327" s="277"/>
      <c r="B1327" s="278"/>
      <c r="C1327" s="208"/>
      <c r="D1327" s="208"/>
      <c r="E1327" s="208"/>
      <c r="F1327" s="208">
        <v>2025</v>
      </c>
      <c r="G1327" s="208"/>
      <c r="H1327" s="208" t="s">
        <v>957</v>
      </c>
      <c r="I1327" s="208"/>
      <c r="J1327" s="208"/>
      <c r="K1327" s="208"/>
      <c r="L1327" s="208"/>
      <c r="M1327" s="208"/>
      <c r="N1327" s="208"/>
      <c r="O1327" s="208"/>
      <c r="P1327" s="208"/>
      <c r="Q1327" s="207"/>
      <c r="R1327" s="208"/>
    </row>
    <row r="1328" spans="1:18">
      <c r="A1328" s="277"/>
      <c r="B1328" s="278"/>
      <c r="C1328" s="208"/>
      <c r="D1328" s="208"/>
      <c r="E1328" s="208"/>
      <c r="F1328" s="208">
        <v>2025</v>
      </c>
      <c r="G1328" s="208"/>
      <c r="H1328" s="208" t="s">
        <v>204</v>
      </c>
      <c r="I1328" s="208"/>
      <c r="J1328" s="208"/>
      <c r="K1328" s="208"/>
      <c r="L1328" s="208"/>
      <c r="M1328" s="208"/>
      <c r="N1328" s="208"/>
      <c r="O1328" s="208"/>
      <c r="P1328" s="208"/>
      <c r="Q1328" s="207"/>
      <c r="R1328" s="208"/>
    </row>
    <row r="1329" spans="1:18">
      <c r="A1329" s="277"/>
      <c r="B1329" s="278"/>
      <c r="C1329" s="208"/>
      <c r="D1329" s="208"/>
      <c r="E1329" s="208"/>
      <c r="F1329" s="208">
        <v>2025</v>
      </c>
      <c r="G1329" s="208"/>
      <c r="H1329" s="208" t="s">
        <v>132</v>
      </c>
      <c r="I1329" s="208"/>
      <c r="J1329" s="208"/>
      <c r="K1329" s="208"/>
      <c r="L1329" s="208"/>
      <c r="M1329" s="208"/>
      <c r="N1329" s="208"/>
      <c r="O1329" s="208"/>
      <c r="P1329" s="208"/>
      <c r="Q1329" s="207"/>
      <c r="R1329" s="208"/>
    </row>
    <row r="1330" spans="1:18">
      <c r="A1330" s="277"/>
      <c r="B1330" s="278"/>
      <c r="C1330" s="208"/>
      <c r="D1330" s="208"/>
      <c r="E1330" s="208"/>
      <c r="F1330" s="208">
        <v>2025</v>
      </c>
      <c r="G1330" s="208"/>
      <c r="H1330" s="208" t="s">
        <v>132</v>
      </c>
      <c r="I1330" s="208"/>
      <c r="J1330" s="208"/>
      <c r="K1330" s="208"/>
      <c r="L1330" s="208"/>
      <c r="M1330" s="208"/>
      <c r="N1330" s="208"/>
      <c r="O1330" s="208"/>
      <c r="P1330" s="208"/>
      <c r="Q1330" s="207"/>
      <c r="R1330" s="208"/>
    </row>
    <row r="1331" spans="1:18">
      <c r="A1331" s="277"/>
      <c r="B1331" s="278"/>
      <c r="C1331" s="208"/>
      <c r="D1331" s="208"/>
      <c r="E1331" s="208"/>
      <c r="F1331" s="208">
        <v>2025</v>
      </c>
      <c r="G1331" s="208"/>
      <c r="H1331" s="208" t="s">
        <v>16</v>
      </c>
      <c r="I1331" s="208"/>
      <c r="J1331" s="208"/>
      <c r="K1331" s="208"/>
      <c r="L1331" s="208"/>
      <c r="M1331" s="208"/>
      <c r="N1331" s="208"/>
      <c r="O1331" s="208"/>
      <c r="P1331" s="208"/>
      <c r="Q1331" s="207"/>
      <c r="R1331" s="208"/>
    </row>
    <row r="1332" spans="1:18">
      <c r="A1332" s="277"/>
      <c r="B1332" s="278"/>
      <c r="C1332" s="208"/>
      <c r="D1332" s="208"/>
      <c r="E1332" s="208"/>
      <c r="F1332" s="208">
        <v>2025</v>
      </c>
      <c r="G1332" s="208"/>
      <c r="H1332" s="208" t="s">
        <v>16</v>
      </c>
      <c r="I1332" s="208"/>
      <c r="J1332" s="208"/>
      <c r="K1332" s="208"/>
      <c r="L1332" s="208"/>
      <c r="M1332" s="208"/>
      <c r="N1332" s="208"/>
      <c r="O1332" s="208"/>
      <c r="P1332" s="208"/>
      <c r="Q1332" s="207"/>
      <c r="R1332" s="208"/>
    </row>
    <row r="1333" spans="1:18">
      <c r="A1333" s="277"/>
      <c r="B1333" s="278"/>
      <c r="C1333" s="208"/>
      <c r="D1333" s="208"/>
      <c r="E1333" s="208"/>
      <c r="F1333" s="208">
        <v>2025</v>
      </c>
      <c r="G1333" s="208"/>
      <c r="H1333" s="208" t="s">
        <v>16</v>
      </c>
      <c r="I1333" s="208"/>
      <c r="J1333" s="208"/>
      <c r="K1333" s="208"/>
      <c r="L1333" s="208"/>
      <c r="M1333" s="208"/>
      <c r="N1333" s="208"/>
      <c r="O1333" s="208"/>
      <c r="P1333" s="208"/>
      <c r="Q1333" s="207"/>
      <c r="R1333" s="208"/>
    </row>
    <row r="1334" spans="1:18">
      <c r="A1334" s="277"/>
      <c r="B1334" s="278"/>
      <c r="C1334" s="208"/>
      <c r="D1334" s="208"/>
      <c r="E1334" s="208"/>
      <c r="F1334" s="208">
        <v>2025</v>
      </c>
      <c r="G1334" s="208"/>
      <c r="H1334" s="208" t="s">
        <v>954</v>
      </c>
      <c r="I1334" s="208"/>
      <c r="J1334" s="208"/>
      <c r="K1334" s="208"/>
      <c r="L1334" s="208"/>
      <c r="M1334" s="208"/>
      <c r="N1334" s="208"/>
      <c r="O1334" s="208"/>
      <c r="P1334" s="208"/>
      <c r="Q1334" s="207"/>
      <c r="R1334" s="208"/>
    </row>
    <row r="1335" spans="1:18">
      <c r="A1335" s="277"/>
      <c r="B1335" s="278"/>
      <c r="C1335" s="208"/>
      <c r="D1335" s="208"/>
      <c r="E1335" s="208"/>
      <c r="F1335" s="208">
        <v>2025</v>
      </c>
      <c r="G1335" s="208"/>
      <c r="H1335" s="208" t="s">
        <v>57</v>
      </c>
      <c r="I1335" s="208"/>
      <c r="J1335" s="208"/>
      <c r="K1335" s="208"/>
      <c r="L1335" s="208"/>
      <c r="M1335" s="208"/>
      <c r="N1335" s="208"/>
      <c r="O1335" s="208"/>
      <c r="P1335" s="208"/>
      <c r="Q1335" s="207"/>
      <c r="R1335" s="208"/>
    </row>
    <row r="1336" spans="1:18">
      <c r="A1336" s="277"/>
      <c r="B1336" s="278"/>
      <c r="C1336" s="208"/>
      <c r="D1336" s="208"/>
      <c r="E1336" s="208"/>
      <c r="F1336" s="208">
        <v>2025</v>
      </c>
      <c r="G1336" s="208"/>
      <c r="H1336" s="208" t="s">
        <v>57</v>
      </c>
      <c r="I1336" s="208"/>
      <c r="J1336" s="208"/>
      <c r="K1336" s="208"/>
      <c r="L1336" s="208"/>
      <c r="M1336" s="208"/>
      <c r="N1336" s="208"/>
      <c r="O1336" s="208"/>
      <c r="P1336" s="208"/>
      <c r="Q1336" s="207"/>
      <c r="R1336" s="208"/>
    </row>
    <row r="1337" spans="1:18">
      <c r="A1337" s="277"/>
      <c r="B1337" s="278"/>
      <c r="C1337" s="208"/>
      <c r="D1337" s="208"/>
      <c r="E1337" s="208"/>
      <c r="F1337" s="208">
        <v>2025</v>
      </c>
      <c r="G1337" s="208"/>
      <c r="H1337" s="208" t="s">
        <v>57</v>
      </c>
      <c r="I1337" s="208"/>
      <c r="J1337" s="208"/>
      <c r="K1337" s="208"/>
      <c r="L1337" s="208"/>
      <c r="M1337" s="208"/>
      <c r="N1337" s="208"/>
      <c r="O1337" s="208"/>
      <c r="P1337" s="208"/>
      <c r="Q1337" s="207"/>
      <c r="R1337" s="208"/>
    </row>
    <row r="1338" spans="1:18">
      <c r="A1338" s="277"/>
      <c r="B1338" s="278"/>
      <c r="C1338" s="208"/>
      <c r="D1338" s="208"/>
      <c r="E1338" s="208"/>
      <c r="F1338" s="208">
        <v>2025</v>
      </c>
      <c r="G1338" s="208"/>
      <c r="H1338" s="208" t="s">
        <v>57</v>
      </c>
      <c r="I1338" s="208"/>
      <c r="J1338" s="208"/>
      <c r="K1338" s="208"/>
      <c r="L1338" s="208"/>
      <c r="M1338" s="208"/>
      <c r="N1338" s="208"/>
      <c r="O1338" s="208"/>
      <c r="P1338" s="208"/>
      <c r="Q1338" s="207"/>
      <c r="R1338" s="208"/>
    </row>
    <row r="1339" spans="1:18">
      <c r="A1339" s="277"/>
      <c r="B1339" s="278"/>
      <c r="C1339" s="208"/>
      <c r="D1339" s="208"/>
      <c r="E1339" s="208"/>
      <c r="F1339" s="208">
        <v>2025</v>
      </c>
      <c r="G1339" s="208"/>
      <c r="H1339" s="208" t="s">
        <v>956</v>
      </c>
      <c r="I1339" s="208"/>
      <c r="J1339" s="208"/>
      <c r="K1339" s="208"/>
      <c r="L1339" s="208"/>
      <c r="M1339" s="208"/>
      <c r="N1339" s="208"/>
      <c r="O1339" s="208"/>
      <c r="P1339" s="208"/>
      <c r="Q1339" s="207"/>
      <c r="R1339" s="208"/>
    </row>
    <row r="1340" spans="1:18">
      <c r="A1340" s="277"/>
      <c r="B1340" s="278"/>
      <c r="C1340" s="208"/>
      <c r="D1340" s="208"/>
      <c r="E1340" s="208"/>
      <c r="F1340" s="208">
        <v>2025</v>
      </c>
      <c r="G1340" s="208"/>
      <c r="H1340" s="208" t="s">
        <v>956</v>
      </c>
      <c r="I1340" s="208"/>
      <c r="J1340" s="208"/>
      <c r="K1340" s="208"/>
      <c r="L1340" s="208"/>
      <c r="M1340" s="208"/>
      <c r="N1340" s="208"/>
      <c r="O1340" s="208"/>
      <c r="P1340" s="208"/>
      <c r="Q1340" s="207"/>
      <c r="R1340" s="208"/>
    </row>
    <row r="1341" spans="1:18">
      <c r="A1341" s="277"/>
      <c r="B1341" s="278"/>
      <c r="C1341" s="208"/>
      <c r="D1341" s="208"/>
      <c r="E1341" s="208"/>
      <c r="F1341" s="208">
        <v>2025</v>
      </c>
      <c r="G1341" s="208"/>
      <c r="H1341" s="208" t="s">
        <v>8</v>
      </c>
      <c r="I1341" s="208"/>
      <c r="J1341" s="208"/>
      <c r="K1341" s="208"/>
      <c r="L1341" s="208"/>
      <c r="M1341" s="208"/>
      <c r="N1341" s="208"/>
      <c r="O1341" s="208"/>
      <c r="P1341" s="208"/>
      <c r="Q1341" s="207"/>
      <c r="R1341" s="208"/>
    </row>
    <row r="1342" spans="1:18">
      <c r="A1342" s="277"/>
      <c r="B1342" s="278"/>
      <c r="C1342" s="208"/>
      <c r="D1342" s="208"/>
      <c r="E1342" s="208"/>
      <c r="F1342" s="208">
        <v>2025</v>
      </c>
      <c r="G1342" s="208"/>
      <c r="H1342" s="208" t="s">
        <v>955</v>
      </c>
      <c r="I1342" s="208"/>
      <c r="J1342" s="208"/>
      <c r="K1342" s="208"/>
      <c r="L1342" s="208"/>
      <c r="M1342" s="208"/>
      <c r="N1342" s="208"/>
      <c r="O1342" s="208"/>
      <c r="P1342" s="208"/>
      <c r="Q1342" s="207"/>
      <c r="R1342" s="208"/>
    </row>
    <row r="1343" spans="1:18">
      <c r="A1343" s="277"/>
      <c r="B1343" s="278"/>
      <c r="C1343" s="208"/>
      <c r="D1343" s="208"/>
      <c r="E1343" s="208"/>
      <c r="F1343" s="208">
        <v>2025</v>
      </c>
      <c r="G1343" s="208"/>
      <c r="H1343" s="208" t="s">
        <v>61</v>
      </c>
      <c r="I1343" s="208"/>
      <c r="J1343" s="208"/>
      <c r="K1343" s="208"/>
      <c r="L1343" s="208"/>
      <c r="M1343" s="208"/>
      <c r="N1343" s="208"/>
      <c r="O1343" s="208"/>
      <c r="P1343" s="208"/>
      <c r="Q1343" s="207"/>
      <c r="R1343" s="208"/>
    </row>
    <row r="1344" spans="1:18">
      <c r="A1344" s="277"/>
      <c r="B1344" s="278"/>
      <c r="C1344" s="208"/>
      <c r="D1344" s="208"/>
      <c r="E1344" s="208"/>
      <c r="F1344" s="208">
        <v>2025</v>
      </c>
      <c r="G1344" s="208"/>
      <c r="H1344" s="208" t="s">
        <v>957</v>
      </c>
      <c r="I1344" s="208"/>
      <c r="J1344" s="208"/>
      <c r="K1344" s="208"/>
      <c r="L1344" s="208"/>
      <c r="M1344" s="208"/>
      <c r="N1344" s="208"/>
      <c r="O1344" s="208"/>
      <c r="P1344" s="208"/>
      <c r="Q1344" s="207"/>
      <c r="R1344" s="208"/>
    </row>
    <row r="1345" spans="1:18">
      <c r="A1345" s="277"/>
      <c r="B1345" s="278"/>
      <c r="C1345" s="208"/>
      <c r="D1345" s="208"/>
      <c r="E1345" s="208"/>
      <c r="F1345" s="208">
        <v>2025</v>
      </c>
      <c r="G1345" s="208"/>
      <c r="H1345" s="208" t="s">
        <v>958</v>
      </c>
      <c r="I1345" s="208"/>
      <c r="J1345" s="208"/>
      <c r="K1345" s="208"/>
      <c r="L1345" s="208"/>
      <c r="M1345" s="208"/>
      <c r="N1345" s="208"/>
      <c r="O1345" s="208"/>
      <c r="P1345" s="208"/>
      <c r="Q1345" s="207"/>
      <c r="R1345" s="208"/>
    </row>
    <row r="1346" spans="1:18">
      <c r="A1346" s="277"/>
      <c r="B1346" s="278"/>
      <c r="C1346" s="208"/>
      <c r="D1346" s="208"/>
      <c r="E1346" s="208"/>
      <c r="F1346" s="208">
        <v>2025</v>
      </c>
      <c r="G1346" s="208"/>
      <c r="H1346" s="208" t="s">
        <v>204</v>
      </c>
      <c r="I1346" s="208"/>
      <c r="J1346" s="208"/>
      <c r="K1346" s="208"/>
      <c r="L1346" s="208"/>
      <c r="M1346" s="208"/>
      <c r="N1346" s="208"/>
      <c r="O1346" s="208"/>
      <c r="P1346" s="208"/>
      <c r="Q1346" s="207"/>
      <c r="R1346" s="208"/>
    </row>
    <row r="1347" spans="1:18">
      <c r="A1347" s="277"/>
      <c r="B1347" s="278"/>
      <c r="C1347" s="208"/>
      <c r="D1347" s="208"/>
      <c r="E1347" s="208"/>
      <c r="F1347" s="208">
        <v>2025</v>
      </c>
      <c r="G1347" s="208"/>
      <c r="H1347" s="208" t="s">
        <v>132</v>
      </c>
      <c r="I1347" s="208"/>
      <c r="J1347" s="208"/>
      <c r="K1347" s="208"/>
      <c r="L1347" s="208"/>
      <c r="M1347" s="208"/>
      <c r="N1347" s="208"/>
      <c r="O1347" s="208"/>
      <c r="P1347" s="208"/>
      <c r="Q1347" s="207"/>
      <c r="R1347" s="208"/>
    </row>
    <row r="1348" spans="1:18">
      <c r="A1348" s="277"/>
      <c r="B1348" s="278"/>
      <c r="C1348" s="208"/>
      <c r="D1348" s="208"/>
      <c r="E1348" s="208"/>
      <c r="F1348" s="208">
        <v>2025</v>
      </c>
      <c r="G1348" s="208"/>
      <c r="H1348" s="208" t="s">
        <v>132</v>
      </c>
      <c r="I1348" s="208"/>
      <c r="J1348" s="208"/>
      <c r="K1348" s="208"/>
      <c r="L1348" s="208"/>
      <c r="M1348" s="208"/>
      <c r="N1348" s="208"/>
      <c r="O1348" s="208"/>
      <c r="P1348" s="208"/>
      <c r="Q1348" s="207"/>
      <c r="R1348" s="208"/>
    </row>
    <row r="1349" spans="1:18">
      <c r="A1349" s="277"/>
      <c r="B1349" s="278"/>
      <c r="C1349" s="208"/>
      <c r="D1349" s="208"/>
      <c r="E1349" s="208"/>
      <c r="F1349" s="208">
        <v>2025</v>
      </c>
      <c r="G1349" s="208"/>
      <c r="H1349" s="208" t="s">
        <v>16</v>
      </c>
      <c r="I1349" s="208"/>
      <c r="J1349" s="208"/>
      <c r="K1349" s="208"/>
      <c r="L1349" s="208"/>
      <c r="M1349" s="208"/>
      <c r="N1349" s="208"/>
      <c r="O1349" s="208"/>
      <c r="P1349" s="208"/>
      <c r="Q1349" s="207"/>
      <c r="R1349" s="208"/>
    </row>
    <row r="1350" spans="1:18">
      <c r="A1350" s="277"/>
      <c r="B1350" s="278"/>
      <c r="C1350" s="208"/>
      <c r="D1350" s="208"/>
      <c r="E1350" s="208"/>
      <c r="F1350" s="208">
        <v>2025</v>
      </c>
      <c r="G1350" s="208"/>
      <c r="H1350" s="208" t="s">
        <v>16</v>
      </c>
      <c r="I1350" s="208"/>
      <c r="J1350" s="208"/>
      <c r="K1350" s="208"/>
      <c r="L1350" s="208"/>
      <c r="M1350" s="208"/>
      <c r="N1350" s="208"/>
      <c r="O1350" s="208"/>
      <c r="P1350" s="208"/>
      <c r="Q1350" s="207"/>
      <c r="R1350" s="208"/>
    </row>
    <row r="1351" spans="1:18">
      <c r="A1351" s="277"/>
      <c r="B1351" s="278"/>
      <c r="C1351" s="208"/>
      <c r="D1351" s="208"/>
      <c r="E1351" s="208"/>
      <c r="F1351" s="208">
        <v>2025</v>
      </c>
      <c r="G1351" s="208"/>
      <c r="H1351" s="208" t="s">
        <v>954</v>
      </c>
      <c r="I1351" s="208"/>
      <c r="J1351" s="208"/>
      <c r="K1351" s="208"/>
      <c r="L1351" s="208"/>
      <c r="M1351" s="208"/>
      <c r="N1351" s="208"/>
      <c r="O1351" s="208"/>
      <c r="P1351" s="208"/>
      <c r="Q1351" s="207"/>
      <c r="R1351" s="208"/>
    </row>
    <row r="1352" spans="1:18">
      <c r="A1352" s="277"/>
      <c r="B1352" s="278"/>
      <c r="C1352" s="208"/>
      <c r="D1352" s="208"/>
      <c r="E1352" s="208"/>
      <c r="F1352" s="208">
        <v>2025</v>
      </c>
      <c r="G1352" s="208"/>
      <c r="H1352" s="208" t="s">
        <v>57</v>
      </c>
      <c r="I1352" s="208"/>
      <c r="J1352" s="208"/>
      <c r="K1352" s="208"/>
      <c r="L1352" s="208"/>
      <c r="M1352" s="208"/>
      <c r="N1352" s="208"/>
      <c r="O1352" s="208"/>
      <c r="P1352" s="208"/>
      <c r="Q1352" s="207"/>
      <c r="R1352" s="208"/>
    </row>
    <row r="1353" spans="1:18">
      <c r="A1353" s="277"/>
      <c r="B1353" s="278"/>
      <c r="C1353" s="208"/>
      <c r="D1353" s="208"/>
      <c r="E1353" s="208"/>
      <c r="F1353" s="208">
        <v>2025</v>
      </c>
      <c r="G1353" s="208"/>
      <c r="H1353" s="208" t="s">
        <v>57</v>
      </c>
      <c r="I1353" s="208"/>
      <c r="J1353" s="208"/>
      <c r="K1353" s="208"/>
      <c r="L1353" s="208"/>
      <c r="M1353" s="208"/>
      <c r="N1353" s="208"/>
      <c r="O1353" s="208"/>
      <c r="P1353" s="208"/>
      <c r="Q1353" s="207"/>
      <c r="R1353" s="208"/>
    </row>
    <row r="1354" spans="1:18">
      <c r="A1354" s="277"/>
      <c r="B1354" s="278"/>
      <c r="C1354" s="208"/>
      <c r="D1354" s="208"/>
      <c r="E1354" s="208"/>
      <c r="F1354" s="208">
        <v>2025</v>
      </c>
      <c r="G1354" s="208"/>
      <c r="H1354" s="208" t="s">
        <v>57</v>
      </c>
      <c r="I1354" s="208"/>
      <c r="J1354" s="208"/>
      <c r="K1354" s="208"/>
      <c r="L1354" s="208"/>
      <c r="M1354" s="208"/>
      <c r="N1354" s="208"/>
      <c r="O1354" s="208"/>
      <c r="P1354" s="208"/>
      <c r="Q1354" s="207"/>
      <c r="R1354" s="208"/>
    </row>
    <row r="1355" spans="1:18">
      <c r="A1355" s="277"/>
      <c r="B1355" s="278"/>
      <c r="C1355" s="208"/>
      <c r="D1355" s="208"/>
      <c r="E1355" s="208"/>
      <c r="F1355" s="208">
        <v>2025</v>
      </c>
      <c r="G1355" s="208"/>
      <c r="H1355" s="208" t="s">
        <v>57</v>
      </c>
      <c r="I1355" s="208"/>
      <c r="J1355" s="208"/>
      <c r="K1355" s="208"/>
      <c r="L1355" s="208"/>
      <c r="M1355" s="208"/>
      <c r="N1355" s="208"/>
      <c r="O1355" s="208"/>
      <c r="P1355" s="208"/>
      <c r="Q1355" s="207"/>
      <c r="R1355" s="208"/>
    </row>
    <row r="1356" spans="1:18">
      <c r="A1356" s="277"/>
      <c r="B1356" s="278"/>
      <c r="C1356" s="208"/>
      <c r="D1356" s="208"/>
      <c r="E1356" s="208"/>
      <c r="F1356" s="208">
        <v>2025</v>
      </c>
      <c r="G1356" s="208"/>
      <c r="H1356" s="208" t="s">
        <v>57</v>
      </c>
      <c r="I1356" s="208"/>
      <c r="J1356" s="208"/>
      <c r="K1356" s="208"/>
      <c r="L1356" s="208"/>
      <c r="M1356" s="208"/>
      <c r="N1356" s="208"/>
      <c r="O1356" s="208"/>
      <c r="P1356" s="208"/>
      <c r="Q1356" s="207"/>
      <c r="R1356" s="208"/>
    </row>
    <row r="1357" spans="1:18">
      <c r="A1357" s="277"/>
      <c r="B1357" s="278"/>
      <c r="C1357" s="208"/>
      <c r="D1357" s="208"/>
      <c r="E1357" s="208"/>
      <c r="F1357" s="208">
        <v>2025</v>
      </c>
      <c r="G1357" s="208"/>
      <c r="H1357" s="208" t="s">
        <v>57</v>
      </c>
      <c r="I1357" s="208"/>
      <c r="J1357" s="208"/>
      <c r="K1357" s="208"/>
      <c r="L1357" s="208"/>
      <c r="M1357" s="208"/>
      <c r="N1357" s="208"/>
      <c r="O1357" s="208"/>
      <c r="P1357" s="208"/>
      <c r="Q1357" s="207"/>
      <c r="R1357" s="208"/>
    </row>
    <row r="1358" spans="1:18">
      <c r="A1358" s="277"/>
      <c r="B1358" s="278"/>
      <c r="C1358" s="208"/>
      <c r="D1358" s="208"/>
      <c r="E1358" s="208"/>
      <c r="F1358" s="208">
        <v>2025</v>
      </c>
      <c r="G1358" s="208"/>
      <c r="H1358" s="208" t="s">
        <v>956</v>
      </c>
      <c r="I1358" s="208"/>
      <c r="J1358" s="208"/>
      <c r="K1358" s="208"/>
      <c r="L1358" s="208"/>
      <c r="M1358" s="208"/>
      <c r="N1358" s="208"/>
      <c r="O1358" s="208"/>
      <c r="P1358" s="208"/>
      <c r="Q1358" s="207"/>
      <c r="R1358" s="208"/>
    </row>
    <row r="1359" spans="1:18">
      <c r="A1359" s="277"/>
      <c r="B1359" s="278"/>
      <c r="C1359" s="208"/>
      <c r="D1359" s="208"/>
      <c r="E1359" s="208"/>
      <c r="F1359" s="208">
        <v>2025</v>
      </c>
      <c r="G1359" s="208"/>
      <c r="H1359" s="208" t="s">
        <v>956</v>
      </c>
      <c r="I1359" s="208"/>
      <c r="J1359" s="208"/>
      <c r="K1359" s="208"/>
      <c r="L1359" s="208"/>
      <c r="M1359" s="208"/>
      <c r="N1359" s="208"/>
      <c r="O1359" s="208"/>
      <c r="P1359" s="208"/>
      <c r="Q1359" s="207"/>
      <c r="R1359" s="208"/>
    </row>
    <row r="1360" spans="1:18">
      <c r="A1360" s="277"/>
      <c r="B1360" s="278"/>
      <c r="C1360" s="208"/>
      <c r="D1360" s="208"/>
      <c r="E1360" s="208"/>
      <c r="F1360" s="208">
        <v>2025</v>
      </c>
      <c r="G1360" s="208"/>
      <c r="H1360" s="208" t="s">
        <v>8</v>
      </c>
      <c r="I1360" s="208"/>
      <c r="J1360" s="208"/>
      <c r="K1360" s="208"/>
      <c r="L1360" s="208"/>
      <c r="M1360" s="208"/>
      <c r="N1360" s="208"/>
      <c r="O1360" s="208"/>
      <c r="P1360" s="208"/>
      <c r="Q1360" s="207"/>
      <c r="R1360" s="208"/>
    </row>
    <row r="1361" spans="1:18">
      <c r="A1361" s="277"/>
      <c r="B1361" s="278"/>
      <c r="C1361" s="208"/>
      <c r="D1361" s="208"/>
      <c r="E1361" s="208"/>
      <c r="F1361" s="208">
        <v>2025</v>
      </c>
      <c r="G1361" s="208"/>
      <c r="H1361" s="208" t="s">
        <v>955</v>
      </c>
      <c r="I1361" s="208"/>
      <c r="J1361" s="208"/>
      <c r="K1361" s="208"/>
      <c r="L1361" s="208"/>
      <c r="M1361" s="208"/>
      <c r="N1361" s="208"/>
      <c r="O1361" s="208"/>
      <c r="P1361" s="208"/>
      <c r="Q1361" s="207"/>
      <c r="R1361" s="208"/>
    </row>
    <row r="1362" spans="1:18">
      <c r="A1362" s="277"/>
      <c r="B1362" s="278"/>
      <c r="C1362" s="208"/>
      <c r="D1362" s="208"/>
      <c r="E1362" s="208"/>
      <c r="F1362" s="208">
        <v>2025</v>
      </c>
      <c r="G1362" s="208"/>
      <c r="H1362" s="208" t="s">
        <v>61</v>
      </c>
      <c r="I1362" s="208"/>
      <c r="J1362" s="208"/>
      <c r="K1362" s="208"/>
      <c r="L1362" s="208"/>
      <c r="M1362" s="208"/>
      <c r="N1362" s="208"/>
      <c r="O1362" s="208"/>
      <c r="P1362" s="208"/>
      <c r="Q1362" s="207"/>
      <c r="R1362" s="208"/>
    </row>
    <row r="1363" spans="1:18">
      <c r="A1363" s="277"/>
      <c r="B1363" s="278"/>
      <c r="C1363" s="208"/>
      <c r="D1363" s="208"/>
      <c r="E1363" s="208"/>
      <c r="F1363" s="208">
        <v>2025</v>
      </c>
      <c r="G1363" s="208"/>
      <c r="H1363" s="208" t="s">
        <v>957</v>
      </c>
      <c r="I1363" s="208"/>
      <c r="J1363" s="208"/>
      <c r="K1363" s="208"/>
      <c r="L1363" s="208"/>
      <c r="M1363" s="208"/>
      <c r="N1363" s="208"/>
      <c r="O1363" s="208"/>
      <c r="P1363" s="208"/>
      <c r="Q1363" s="207"/>
      <c r="R1363" s="208"/>
    </row>
    <row r="1364" spans="1:18">
      <c r="A1364" s="277"/>
      <c r="B1364" s="278"/>
      <c r="C1364" s="208"/>
      <c r="D1364" s="208"/>
      <c r="E1364" s="208"/>
      <c r="F1364" s="208">
        <v>2025</v>
      </c>
      <c r="G1364" s="208"/>
      <c r="H1364" s="208" t="s">
        <v>958</v>
      </c>
      <c r="I1364" s="208"/>
      <c r="J1364" s="208"/>
      <c r="K1364" s="208"/>
      <c r="L1364" s="208"/>
      <c r="M1364" s="208"/>
      <c r="N1364" s="208"/>
      <c r="O1364" s="208"/>
      <c r="P1364" s="208"/>
      <c r="Q1364" s="207"/>
      <c r="R1364" s="208"/>
    </row>
    <row r="1365" spans="1:18">
      <c r="A1365" s="277"/>
      <c r="B1365" s="278"/>
      <c r="C1365" s="208"/>
      <c r="D1365" s="208"/>
      <c r="E1365" s="208"/>
      <c r="F1365" s="208">
        <v>2025</v>
      </c>
      <c r="G1365" s="208"/>
      <c r="H1365" s="208" t="s">
        <v>204</v>
      </c>
      <c r="I1365" s="208"/>
      <c r="J1365" s="208"/>
      <c r="K1365" s="208"/>
      <c r="L1365" s="208"/>
      <c r="M1365" s="208"/>
      <c r="N1365" s="208"/>
      <c r="O1365" s="208"/>
      <c r="P1365" s="208"/>
      <c r="Q1365" s="207"/>
      <c r="R1365" s="208"/>
    </row>
    <row r="1366" spans="1:18">
      <c r="A1366" s="277"/>
      <c r="B1366" s="278"/>
      <c r="C1366" s="208"/>
      <c r="D1366" s="208"/>
      <c r="E1366" s="208"/>
      <c r="F1366" s="208">
        <v>2025</v>
      </c>
      <c r="G1366" s="208"/>
      <c r="H1366" s="208" t="s">
        <v>132</v>
      </c>
      <c r="I1366" s="208"/>
      <c r="J1366" s="208"/>
      <c r="K1366" s="208"/>
      <c r="L1366" s="208"/>
      <c r="M1366" s="208"/>
      <c r="N1366" s="208"/>
      <c r="O1366" s="208"/>
      <c r="P1366" s="208"/>
      <c r="Q1366" s="207"/>
      <c r="R1366" s="208"/>
    </row>
    <row r="1367" spans="1:18">
      <c r="A1367" s="277"/>
      <c r="B1367" s="278"/>
      <c r="C1367" s="208"/>
      <c r="D1367" s="208"/>
      <c r="E1367" s="208"/>
      <c r="F1367" s="208">
        <v>2025</v>
      </c>
      <c r="G1367" s="208"/>
      <c r="H1367" s="208" t="s">
        <v>132</v>
      </c>
      <c r="I1367" s="208"/>
      <c r="J1367" s="208"/>
      <c r="K1367" s="208"/>
      <c r="L1367" s="208"/>
      <c r="M1367" s="208"/>
      <c r="N1367" s="208"/>
      <c r="O1367" s="208"/>
      <c r="P1367" s="208"/>
      <c r="Q1367" s="207"/>
      <c r="R1367" s="208"/>
    </row>
    <row r="1368" spans="1:18">
      <c r="A1368" s="277"/>
      <c r="B1368" s="278"/>
      <c r="C1368" s="208"/>
      <c r="D1368" s="208"/>
      <c r="E1368" s="208"/>
      <c r="F1368" s="208">
        <v>2025</v>
      </c>
      <c r="G1368" s="208"/>
      <c r="H1368" s="208" t="s">
        <v>16</v>
      </c>
      <c r="I1368" s="208"/>
      <c r="J1368" s="208"/>
      <c r="K1368" s="208"/>
      <c r="L1368" s="208"/>
      <c r="M1368" s="208"/>
      <c r="N1368" s="208"/>
      <c r="O1368" s="208"/>
      <c r="P1368" s="208"/>
      <c r="Q1368" s="207"/>
      <c r="R1368" s="208"/>
    </row>
    <row r="1369" spans="1:18">
      <c r="A1369" s="277"/>
      <c r="B1369" s="278"/>
      <c r="C1369" s="208"/>
      <c r="D1369" s="208"/>
      <c r="E1369" s="208"/>
      <c r="F1369" s="208">
        <v>2025</v>
      </c>
      <c r="G1369" s="208"/>
      <c r="H1369" s="208" t="s">
        <v>16</v>
      </c>
      <c r="I1369" s="208"/>
      <c r="J1369" s="208"/>
      <c r="K1369" s="208"/>
      <c r="L1369" s="208"/>
      <c r="M1369" s="208"/>
      <c r="N1369" s="208"/>
      <c r="O1369" s="208"/>
      <c r="P1369" s="208"/>
      <c r="Q1369" s="207"/>
      <c r="R1369" s="208"/>
    </row>
    <row r="1370" spans="1:18">
      <c r="A1370" s="277"/>
      <c r="B1370" s="278"/>
      <c r="C1370" s="208"/>
      <c r="D1370" s="208"/>
      <c r="E1370" s="208"/>
      <c r="F1370" s="208">
        <v>2025</v>
      </c>
      <c r="G1370" s="208"/>
      <c r="H1370" s="208" t="s">
        <v>215</v>
      </c>
      <c r="I1370" s="208"/>
      <c r="J1370" s="208"/>
      <c r="K1370" s="208"/>
      <c r="L1370" s="208"/>
      <c r="M1370" s="208"/>
      <c r="N1370" s="208"/>
      <c r="O1370" s="208"/>
      <c r="P1370" s="208"/>
      <c r="Q1370" s="207"/>
      <c r="R1370" s="208"/>
    </row>
    <row r="1371" spans="1:18">
      <c r="A1371" s="277"/>
      <c r="B1371" s="278"/>
      <c r="C1371" s="208"/>
      <c r="D1371" s="208"/>
      <c r="E1371" s="208"/>
      <c r="F1371" s="208">
        <v>2025</v>
      </c>
      <c r="G1371" s="208"/>
      <c r="H1371" s="208" t="s">
        <v>215</v>
      </c>
      <c r="I1371" s="208"/>
      <c r="J1371" s="208"/>
      <c r="K1371" s="208"/>
      <c r="L1371" s="208"/>
      <c r="M1371" s="208"/>
      <c r="N1371" s="208"/>
      <c r="O1371" s="208"/>
      <c r="P1371" s="208"/>
      <c r="Q1371" s="207"/>
      <c r="R1371" s="208"/>
    </row>
    <row r="1372" spans="1:18">
      <c r="A1372" s="277"/>
      <c r="B1372" s="278"/>
      <c r="C1372" s="208"/>
      <c r="D1372" s="208"/>
      <c r="E1372" s="208"/>
      <c r="F1372" s="208">
        <v>2025</v>
      </c>
      <c r="G1372" s="208"/>
      <c r="H1372" s="208" t="s">
        <v>57</v>
      </c>
      <c r="I1372" s="208"/>
      <c r="J1372" s="208"/>
      <c r="K1372" s="208"/>
      <c r="L1372" s="208"/>
      <c r="M1372" s="208"/>
      <c r="N1372" s="208"/>
      <c r="O1372" s="208"/>
      <c r="P1372" s="208"/>
      <c r="Q1372" s="207"/>
      <c r="R1372" s="208"/>
    </row>
    <row r="1373" spans="1:18">
      <c r="A1373" s="277"/>
      <c r="B1373" s="278"/>
      <c r="C1373" s="208"/>
      <c r="D1373" s="208"/>
      <c r="E1373" s="208"/>
      <c r="F1373" s="208">
        <v>2025</v>
      </c>
      <c r="G1373" s="208"/>
      <c r="H1373" s="208" t="s">
        <v>57</v>
      </c>
      <c r="I1373" s="208"/>
      <c r="J1373" s="208"/>
      <c r="K1373" s="208"/>
      <c r="L1373" s="208"/>
      <c r="M1373" s="208"/>
      <c r="N1373" s="208"/>
      <c r="O1373" s="208"/>
      <c r="P1373" s="208"/>
      <c r="Q1373" s="207"/>
      <c r="R1373" s="208"/>
    </row>
    <row r="1374" spans="1:18">
      <c r="A1374" s="277"/>
      <c r="B1374" s="278"/>
      <c r="C1374" s="208"/>
      <c r="D1374" s="208"/>
      <c r="E1374" s="208"/>
      <c r="F1374" s="208">
        <v>2025</v>
      </c>
      <c r="G1374" s="208"/>
      <c r="H1374" s="208" t="s">
        <v>57</v>
      </c>
      <c r="I1374" s="208"/>
      <c r="J1374" s="208"/>
      <c r="K1374" s="208"/>
      <c r="L1374" s="208"/>
      <c r="M1374" s="208"/>
      <c r="N1374" s="208"/>
      <c r="O1374" s="208"/>
      <c r="P1374" s="208"/>
      <c r="Q1374" s="207"/>
      <c r="R1374" s="208"/>
    </row>
    <row r="1375" spans="1:18">
      <c r="A1375" s="277"/>
      <c r="B1375" s="278"/>
      <c r="C1375" s="208"/>
      <c r="D1375" s="208"/>
      <c r="E1375" s="208"/>
      <c r="F1375" s="208">
        <v>2025</v>
      </c>
      <c r="G1375" s="208"/>
      <c r="H1375" s="208" t="s">
        <v>57</v>
      </c>
      <c r="I1375" s="208"/>
      <c r="J1375" s="208"/>
      <c r="K1375" s="208"/>
      <c r="L1375" s="208"/>
      <c r="M1375" s="208"/>
      <c r="N1375" s="208"/>
      <c r="O1375" s="208"/>
      <c r="P1375" s="208"/>
      <c r="Q1375" s="207"/>
      <c r="R1375" s="208"/>
    </row>
    <row r="1376" spans="1:18">
      <c r="A1376" s="277"/>
      <c r="B1376" s="278"/>
      <c r="C1376" s="208"/>
      <c r="D1376" s="208"/>
      <c r="E1376" s="208"/>
      <c r="F1376" s="208">
        <v>2025</v>
      </c>
      <c r="G1376" s="208"/>
      <c r="H1376" s="208" t="s">
        <v>57</v>
      </c>
      <c r="I1376" s="208"/>
      <c r="J1376" s="208"/>
      <c r="K1376" s="208"/>
      <c r="L1376" s="208"/>
      <c r="M1376" s="208"/>
      <c r="N1376" s="208"/>
      <c r="O1376" s="208"/>
      <c r="P1376" s="208"/>
      <c r="Q1376" s="207"/>
      <c r="R1376" s="208"/>
    </row>
    <row r="1377" spans="1:18">
      <c r="A1377" s="277"/>
      <c r="B1377" s="278"/>
      <c r="C1377" s="208"/>
      <c r="D1377" s="208"/>
      <c r="E1377" s="208"/>
      <c r="F1377" s="208">
        <v>2025</v>
      </c>
      <c r="G1377" s="208"/>
      <c r="H1377" s="208" t="s">
        <v>57</v>
      </c>
      <c r="I1377" s="208"/>
      <c r="J1377" s="208"/>
      <c r="K1377" s="208"/>
      <c r="L1377" s="208"/>
      <c r="M1377" s="208"/>
      <c r="N1377" s="208"/>
      <c r="O1377" s="208"/>
      <c r="P1377" s="208"/>
      <c r="Q1377" s="207"/>
      <c r="R1377" s="208"/>
    </row>
    <row r="1378" spans="1:18">
      <c r="A1378" s="277"/>
      <c r="B1378" s="278"/>
      <c r="C1378" s="208"/>
      <c r="D1378" s="208"/>
      <c r="E1378" s="208"/>
      <c r="F1378" s="208">
        <v>2025</v>
      </c>
      <c r="G1378" s="208"/>
      <c r="H1378" s="208" t="s">
        <v>956</v>
      </c>
      <c r="I1378" s="208"/>
      <c r="J1378" s="208"/>
      <c r="K1378" s="208"/>
      <c r="L1378" s="208"/>
      <c r="M1378" s="208"/>
      <c r="N1378" s="208"/>
      <c r="O1378" s="208"/>
      <c r="P1378" s="208"/>
      <c r="Q1378" s="207"/>
      <c r="R1378" s="208"/>
    </row>
    <row r="1379" spans="1:18">
      <c r="A1379" s="277"/>
      <c r="B1379" s="278"/>
      <c r="C1379" s="208"/>
      <c r="D1379" s="208"/>
      <c r="E1379" s="208"/>
      <c r="F1379" s="208">
        <v>2025</v>
      </c>
      <c r="G1379" s="208"/>
      <c r="H1379" s="208" t="s">
        <v>956</v>
      </c>
      <c r="I1379" s="208"/>
      <c r="J1379" s="208"/>
      <c r="K1379" s="208"/>
      <c r="L1379" s="208"/>
      <c r="M1379" s="208"/>
      <c r="N1379" s="208"/>
      <c r="O1379" s="208"/>
      <c r="P1379" s="208"/>
      <c r="Q1379" s="207"/>
      <c r="R1379" s="208"/>
    </row>
    <row r="1380" spans="1:18">
      <c r="A1380" s="277"/>
      <c r="B1380" s="278"/>
      <c r="C1380" s="208"/>
      <c r="D1380" s="208"/>
      <c r="E1380" s="208"/>
      <c r="F1380" s="208">
        <v>2025</v>
      </c>
      <c r="G1380" s="208"/>
      <c r="H1380" s="208" t="s">
        <v>8</v>
      </c>
      <c r="I1380" s="208"/>
      <c r="J1380" s="208"/>
      <c r="K1380" s="208"/>
      <c r="L1380" s="208"/>
      <c r="M1380" s="208"/>
      <c r="N1380" s="208"/>
      <c r="O1380" s="208"/>
      <c r="P1380" s="208"/>
      <c r="Q1380" s="207"/>
      <c r="R1380" s="208"/>
    </row>
    <row r="1381" spans="1:18">
      <c r="A1381" s="277"/>
      <c r="B1381" s="278"/>
      <c r="C1381" s="208"/>
      <c r="D1381" s="208"/>
      <c r="E1381" s="208"/>
      <c r="F1381" s="208">
        <v>2025</v>
      </c>
      <c r="G1381" s="208"/>
      <c r="H1381" s="208" t="s">
        <v>955</v>
      </c>
      <c r="I1381" s="208"/>
      <c r="J1381" s="208"/>
      <c r="K1381" s="208"/>
      <c r="L1381" s="208"/>
      <c r="M1381" s="208"/>
      <c r="N1381" s="208"/>
      <c r="O1381" s="208"/>
      <c r="P1381" s="208"/>
      <c r="Q1381" s="207"/>
      <c r="R1381" s="208"/>
    </row>
    <row r="1382" spans="1:18">
      <c r="A1382" s="277"/>
      <c r="B1382" s="278"/>
      <c r="C1382" s="208"/>
      <c r="D1382" s="208"/>
      <c r="E1382" s="208"/>
      <c r="F1382" s="208">
        <v>2025</v>
      </c>
      <c r="G1382" s="208"/>
      <c r="H1382" s="208" t="s">
        <v>61</v>
      </c>
      <c r="I1382" s="208"/>
      <c r="J1382" s="208"/>
      <c r="K1382" s="208"/>
      <c r="L1382" s="208"/>
      <c r="M1382" s="208"/>
      <c r="N1382" s="208"/>
      <c r="O1382" s="208"/>
      <c r="P1382" s="208"/>
      <c r="Q1382" s="207"/>
      <c r="R1382" s="208"/>
    </row>
    <row r="1383" spans="1:18">
      <c r="A1383" s="277"/>
      <c r="B1383" s="278"/>
      <c r="C1383" s="208"/>
      <c r="D1383" s="208"/>
      <c r="E1383" s="208"/>
      <c r="F1383" s="208">
        <v>2025</v>
      </c>
      <c r="G1383" s="208"/>
      <c r="H1383" s="208" t="s">
        <v>957</v>
      </c>
      <c r="I1383" s="208"/>
      <c r="J1383" s="208"/>
      <c r="K1383" s="208"/>
      <c r="L1383" s="208"/>
      <c r="M1383" s="208"/>
      <c r="N1383" s="208"/>
      <c r="O1383" s="208"/>
      <c r="P1383" s="208"/>
      <c r="Q1383" s="207"/>
      <c r="R1383" s="208"/>
    </row>
    <row r="1384" spans="1:18">
      <c r="A1384" s="277"/>
      <c r="B1384" s="278"/>
      <c r="C1384" s="208"/>
      <c r="D1384" s="208"/>
      <c r="E1384" s="208"/>
      <c r="F1384" s="208">
        <v>2025</v>
      </c>
      <c r="G1384" s="208"/>
      <c r="H1384" s="208" t="s">
        <v>958</v>
      </c>
      <c r="I1384" s="208"/>
      <c r="J1384" s="208"/>
      <c r="K1384" s="208"/>
      <c r="L1384" s="208"/>
      <c r="M1384" s="208"/>
      <c r="N1384" s="208"/>
      <c r="O1384" s="208"/>
      <c r="P1384" s="208"/>
      <c r="Q1384" s="207"/>
      <c r="R1384" s="208"/>
    </row>
    <row r="1385" spans="1:18">
      <c r="A1385" s="277"/>
      <c r="B1385" s="278"/>
      <c r="C1385" s="208"/>
      <c r="D1385" s="208"/>
      <c r="E1385" s="208"/>
      <c r="F1385" s="208">
        <v>2025</v>
      </c>
      <c r="G1385" s="208"/>
      <c r="H1385" s="208" t="s">
        <v>204</v>
      </c>
      <c r="I1385" s="208"/>
      <c r="J1385" s="208"/>
      <c r="K1385" s="208"/>
      <c r="L1385" s="208"/>
      <c r="M1385" s="208"/>
      <c r="N1385" s="208"/>
      <c r="O1385" s="208"/>
      <c r="P1385" s="208"/>
      <c r="Q1385" s="207"/>
      <c r="R1385" s="208"/>
    </row>
    <row r="1386" spans="1:18">
      <c r="A1386" s="277"/>
      <c r="B1386" s="278"/>
      <c r="C1386" s="208"/>
      <c r="D1386" s="208"/>
      <c r="E1386" s="208"/>
      <c r="F1386" s="208">
        <v>2025</v>
      </c>
      <c r="G1386" s="208"/>
      <c r="H1386" s="208" t="s">
        <v>132</v>
      </c>
      <c r="I1386" s="208"/>
      <c r="J1386" s="208"/>
      <c r="K1386" s="208"/>
      <c r="L1386" s="208"/>
      <c r="M1386" s="208"/>
      <c r="N1386" s="208"/>
      <c r="O1386" s="208"/>
      <c r="P1386" s="208"/>
      <c r="Q1386" s="207"/>
      <c r="R1386" s="208"/>
    </row>
    <row r="1387" spans="1:18">
      <c r="A1387" s="277"/>
      <c r="B1387" s="278"/>
      <c r="C1387" s="208"/>
      <c r="D1387" s="208"/>
      <c r="E1387" s="208"/>
      <c r="F1387" s="208">
        <v>2025</v>
      </c>
      <c r="G1387" s="208"/>
      <c r="H1387" s="208" t="s">
        <v>132</v>
      </c>
      <c r="I1387" s="208"/>
      <c r="J1387" s="208"/>
      <c r="K1387" s="208"/>
      <c r="L1387" s="208"/>
      <c r="M1387" s="208"/>
      <c r="N1387" s="208"/>
      <c r="O1387" s="208"/>
      <c r="P1387" s="208"/>
      <c r="Q1387" s="207"/>
      <c r="R1387" s="208"/>
    </row>
    <row r="1388" spans="1:18">
      <c r="A1388" s="277"/>
      <c r="B1388" s="278"/>
      <c r="C1388" s="208"/>
      <c r="D1388" s="208"/>
      <c r="E1388" s="208"/>
      <c r="F1388" s="208">
        <v>2025</v>
      </c>
      <c r="G1388" s="208"/>
      <c r="H1388" s="208" t="s">
        <v>16</v>
      </c>
      <c r="I1388" s="208"/>
      <c r="J1388" s="208"/>
      <c r="K1388" s="208"/>
      <c r="L1388" s="208"/>
      <c r="M1388" s="208"/>
      <c r="N1388" s="208"/>
      <c r="O1388" s="208"/>
      <c r="P1388" s="208"/>
      <c r="Q1388" s="207"/>
      <c r="R1388" s="208"/>
    </row>
    <row r="1389" spans="1:18">
      <c r="A1389" s="277"/>
      <c r="B1389" s="278"/>
      <c r="C1389" s="208"/>
      <c r="D1389" s="208"/>
      <c r="E1389" s="208"/>
      <c r="F1389" s="208">
        <v>2025</v>
      </c>
      <c r="G1389" s="208"/>
      <c r="H1389" s="208" t="s">
        <v>16</v>
      </c>
      <c r="I1389" s="208"/>
      <c r="J1389" s="208"/>
      <c r="K1389" s="208"/>
      <c r="L1389" s="208"/>
      <c r="M1389" s="208"/>
      <c r="N1389" s="208"/>
      <c r="O1389" s="208"/>
      <c r="P1389" s="208"/>
      <c r="Q1389" s="207"/>
      <c r="R1389" s="208"/>
    </row>
    <row r="1390" spans="1:18">
      <c r="A1390" s="277"/>
      <c r="B1390" s="278"/>
      <c r="C1390" s="208"/>
      <c r="D1390" s="208"/>
      <c r="E1390" s="208"/>
      <c r="F1390" s="208">
        <v>2025</v>
      </c>
      <c r="G1390" s="208"/>
      <c r="H1390" s="208" t="s">
        <v>215</v>
      </c>
      <c r="I1390" s="208"/>
      <c r="J1390" s="208"/>
      <c r="K1390" s="208"/>
      <c r="L1390" s="208"/>
      <c r="M1390" s="208"/>
      <c r="N1390" s="208"/>
      <c r="O1390" s="208"/>
      <c r="P1390" s="208"/>
      <c r="Q1390" s="207"/>
      <c r="R1390" s="208"/>
    </row>
    <row r="1391" spans="1:18">
      <c r="A1391" s="277"/>
      <c r="B1391" s="278"/>
      <c r="C1391" s="208"/>
      <c r="D1391" s="208"/>
      <c r="E1391" s="208"/>
      <c r="F1391" s="208">
        <v>2026</v>
      </c>
      <c r="G1391" s="208"/>
      <c r="H1391" s="208" t="s">
        <v>57</v>
      </c>
      <c r="I1391" s="208"/>
      <c r="J1391" s="208"/>
      <c r="K1391" s="208"/>
      <c r="L1391" s="208"/>
      <c r="M1391" s="208"/>
      <c r="N1391" s="208"/>
      <c r="O1391" s="208"/>
      <c r="P1391" s="208"/>
      <c r="Q1391" s="207"/>
      <c r="R1391" s="208"/>
    </row>
    <row r="1392" spans="1:18">
      <c r="A1392" s="277"/>
      <c r="B1392" s="278"/>
      <c r="C1392" s="208"/>
      <c r="D1392" s="208"/>
      <c r="E1392" s="208"/>
      <c r="F1392" s="208">
        <v>2026</v>
      </c>
      <c r="G1392" s="208"/>
      <c r="H1392" s="208" t="s">
        <v>57</v>
      </c>
      <c r="I1392" s="208"/>
      <c r="J1392" s="208"/>
      <c r="K1392" s="208"/>
      <c r="L1392" s="208"/>
      <c r="M1392" s="208"/>
      <c r="N1392" s="208"/>
      <c r="O1392" s="208"/>
      <c r="P1392" s="208"/>
      <c r="Q1392" s="207"/>
      <c r="R1392" s="208"/>
    </row>
    <row r="1393" spans="1:18">
      <c r="A1393" s="277"/>
      <c r="B1393" s="278"/>
      <c r="C1393" s="208"/>
      <c r="D1393" s="208"/>
      <c r="E1393" s="208"/>
      <c r="F1393" s="208">
        <v>2026</v>
      </c>
      <c r="G1393" s="208"/>
      <c r="H1393" s="208" t="s">
        <v>57</v>
      </c>
      <c r="I1393" s="208"/>
      <c r="J1393" s="208"/>
      <c r="K1393" s="208"/>
      <c r="L1393" s="208"/>
      <c r="M1393" s="208"/>
      <c r="N1393" s="208"/>
      <c r="O1393" s="208"/>
      <c r="P1393" s="208"/>
      <c r="Q1393" s="207"/>
      <c r="R1393" s="208"/>
    </row>
    <row r="1394" spans="1:18">
      <c r="A1394" s="277"/>
      <c r="B1394" s="278"/>
      <c r="C1394" s="208"/>
      <c r="D1394" s="208"/>
      <c r="E1394" s="208"/>
      <c r="F1394" s="208">
        <v>2026</v>
      </c>
      <c r="G1394" s="208"/>
      <c r="H1394" s="208" t="s">
        <v>956</v>
      </c>
      <c r="I1394" s="208"/>
      <c r="J1394" s="208"/>
      <c r="K1394" s="208"/>
      <c r="L1394" s="208"/>
      <c r="M1394" s="208"/>
      <c r="N1394" s="208"/>
      <c r="O1394" s="208"/>
      <c r="P1394" s="208"/>
      <c r="Q1394" s="207"/>
      <c r="R1394" s="208"/>
    </row>
    <row r="1395" spans="1:18">
      <c r="A1395" s="277"/>
      <c r="B1395" s="278"/>
      <c r="C1395" s="208"/>
      <c r="D1395" s="208"/>
      <c r="E1395" s="208"/>
      <c r="F1395" s="208">
        <v>2026</v>
      </c>
      <c r="G1395" s="208"/>
      <c r="H1395" s="208" t="s">
        <v>956</v>
      </c>
      <c r="I1395" s="208"/>
      <c r="J1395" s="208"/>
      <c r="K1395" s="208"/>
      <c r="L1395" s="208"/>
      <c r="M1395" s="208"/>
      <c r="N1395" s="208"/>
      <c r="O1395" s="208"/>
      <c r="P1395" s="208"/>
      <c r="Q1395" s="207"/>
      <c r="R1395" s="208"/>
    </row>
    <row r="1396" spans="1:18">
      <c r="A1396" s="277"/>
      <c r="B1396" s="278"/>
      <c r="C1396" s="208"/>
      <c r="D1396" s="208"/>
      <c r="E1396" s="208"/>
      <c r="F1396" s="208">
        <v>2026</v>
      </c>
      <c r="G1396" s="208"/>
      <c r="H1396" s="208" t="s">
        <v>8</v>
      </c>
      <c r="I1396" s="208"/>
      <c r="J1396" s="208"/>
      <c r="K1396" s="208"/>
      <c r="L1396" s="208"/>
      <c r="M1396" s="208"/>
      <c r="N1396" s="208"/>
      <c r="O1396" s="208"/>
      <c r="P1396" s="208"/>
      <c r="Q1396" s="207"/>
      <c r="R1396" s="208"/>
    </row>
    <row r="1397" spans="1:18">
      <c r="A1397" s="277"/>
      <c r="B1397" s="278"/>
      <c r="C1397" s="208"/>
      <c r="D1397" s="208"/>
      <c r="E1397" s="208"/>
      <c r="F1397" s="208">
        <v>2026</v>
      </c>
      <c r="G1397" s="208"/>
      <c r="H1397" s="208" t="s">
        <v>61</v>
      </c>
      <c r="I1397" s="208"/>
      <c r="J1397" s="208"/>
      <c r="K1397" s="208"/>
      <c r="L1397" s="208"/>
      <c r="M1397" s="208"/>
      <c r="N1397" s="208"/>
      <c r="O1397" s="208"/>
      <c r="P1397" s="208"/>
      <c r="Q1397" s="207"/>
      <c r="R1397" s="208"/>
    </row>
    <row r="1398" spans="1:18">
      <c r="A1398" s="277"/>
      <c r="B1398" s="278"/>
      <c r="C1398" s="208"/>
      <c r="D1398" s="208"/>
      <c r="E1398" s="208"/>
      <c r="F1398" s="208">
        <v>2026</v>
      </c>
      <c r="G1398" s="208"/>
      <c r="H1398" s="208" t="s">
        <v>958</v>
      </c>
      <c r="I1398" s="208"/>
      <c r="J1398" s="208"/>
      <c r="K1398" s="208"/>
      <c r="L1398" s="208"/>
      <c r="M1398" s="208"/>
      <c r="N1398" s="208"/>
      <c r="O1398" s="208"/>
      <c r="P1398" s="208"/>
      <c r="Q1398" s="207"/>
      <c r="R1398" s="208"/>
    </row>
    <row r="1399" spans="1:18">
      <c r="A1399" s="277"/>
      <c r="B1399" s="278"/>
      <c r="C1399" s="208"/>
      <c r="D1399" s="208"/>
      <c r="E1399" s="208"/>
      <c r="F1399" s="208">
        <v>2026</v>
      </c>
      <c r="G1399" s="208"/>
      <c r="H1399" s="208" t="s">
        <v>204</v>
      </c>
      <c r="I1399" s="208"/>
      <c r="J1399" s="208"/>
      <c r="K1399" s="208"/>
      <c r="L1399" s="208"/>
      <c r="M1399" s="208"/>
      <c r="N1399" s="208"/>
      <c r="O1399" s="208"/>
      <c r="P1399" s="208"/>
      <c r="Q1399" s="207"/>
      <c r="R1399" s="208"/>
    </row>
    <row r="1400" spans="1:18">
      <c r="A1400" s="277"/>
      <c r="B1400" s="278"/>
      <c r="C1400" s="208"/>
      <c r="D1400" s="208"/>
      <c r="E1400" s="208"/>
      <c r="F1400" s="208">
        <v>2026</v>
      </c>
      <c r="G1400" s="208"/>
      <c r="H1400" s="208" t="s">
        <v>132</v>
      </c>
      <c r="I1400" s="208"/>
      <c r="J1400" s="208"/>
      <c r="K1400" s="208"/>
      <c r="L1400" s="208"/>
      <c r="M1400" s="208"/>
      <c r="N1400" s="208"/>
      <c r="O1400" s="208"/>
      <c r="P1400" s="208"/>
      <c r="Q1400" s="207"/>
      <c r="R1400" s="208"/>
    </row>
    <row r="1401" spans="1:18">
      <c r="A1401" s="277"/>
      <c r="B1401" s="278"/>
      <c r="C1401" s="208"/>
      <c r="D1401" s="208"/>
      <c r="E1401" s="208"/>
      <c r="F1401" s="208">
        <v>2026</v>
      </c>
      <c r="G1401" s="208"/>
      <c r="H1401" s="208" t="s">
        <v>57</v>
      </c>
      <c r="I1401" s="208"/>
      <c r="J1401" s="208"/>
      <c r="K1401" s="208"/>
      <c r="L1401" s="208"/>
      <c r="M1401" s="208"/>
      <c r="N1401" s="208"/>
      <c r="O1401" s="208"/>
      <c r="P1401" s="208"/>
      <c r="Q1401" s="207"/>
      <c r="R1401" s="208"/>
    </row>
    <row r="1402" spans="1:18">
      <c r="A1402" s="277"/>
      <c r="B1402" s="278"/>
      <c r="C1402" s="208"/>
      <c r="D1402" s="208"/>
      <c r="E1402" s="208"/>
      <c r="F1402" s="208">
        <v>2026</v>
      </c>
      <c r="G1402" s="208"/>
      <c r="H1402" s="208" t="s">
        <v>57</v>
      </c>
      <c r="I1402" s="208"/>
      <c r="J1402" s="208"/>
      <c r="K1402" s="208"/>
      <c r="L1402" s="208"/>
      <c r="M1402" s="208"/>
      <c r="N1402" s="208"/>
      <c r="O1402" s="208"/>
      <c r="P1402" s="208"/>
      <c r="Q1402" s="207"/>
      <c r="R1402" s="208"/>
    </row>
    <row r="1403" spans="1:18">
      <c r="A1403" s="277"/>
      <c r="B1403" s="278"/>
      <c r="C1403" s="208"/>
      <c r="D1403" s="208"/>
      <c r="E1403" s="208"/>
      <c r="F1403" s="208">
        <v>2026</v>
      </c>
      <c r="G1403" s="208"/>
      <c r="H1403" s="208" t="s">
        <v>57</v>
      </c>
      <c r="I1403" s="208"/>
      <c r="J1403" s="208"/>
      <c r="K1403" s="208"/>
      <c r="L1403" s="208"/>
      <c r="M1403" s="208"/>
      <c r="N1403" s="208"/>
      <c r="O1403" s="208"/>
      <c r="P1403" s="208"/>
      <c r="Q1403" s="207"/>
      <c r="R1403" s="208"/>
    </row>
    <row r="1404" spans="1:18">
      <c r="A1404" s="277"/>
      <c r="B1404" s="278"/>
      <c r="C1404" s="208"/>
      <c r="D1404" s="208"/>
      <c r="E1404" s="208"/>
      <c r="F1404" s="208">
        <v>2026</v>
      </c>
      <c r="G1404" s="208"/>
      <c r="H1404" s="208" t="s">
        <v>956</v>
      </c>
      <c r="I1404" s="208"/>
      <c r="J1404" s="208"/>
      <c r="K1404" s="208"/>
      <c r="L1404" s="208"/>
      <c r="M1404" s="208"/>
      <c r="N1404" s="208"/>
      <c r="O1404" s="208"/>
      <c r="P1404" s="208"/>
      <c r="Q1404" s="207"/>
      <c r="R1404" s="208"/>
    </row>
    <row r="1405" spans="1:18">
      <c r="A1405" s="277"/>
      <c r="B1405" s="278"/>
      <c r="C1405" s="208"/>
      <c r="D1405" s="208"/>
      <c r="E1405" s="208"/>
      <c r="F1405" s="208">
        <v>2026</v>
      </c>
      <c r="G1405" s="208"/>
      <c r="H1405" s="208" t="s">
        <v>956</v>
      </c>
      <c r="I1405" s="208"/>
      <c r="J1405" s="208"/>
      <c r="K1405" s="208"/>
      <c r="L1405" s="208"/>
      <c r="M1405" s="208"/>
      <c r="N1405" s="208"/>
      <c r="O1405" s="208"/>
      <c r="P1405" s="208"/>
      <c r="Q1405" s="207"/>
      <c r="R1405" s="208"/>
    </row>
    <row r="1406" spans="1:18">
      <c r="A1406" s="277"/>
      <c r="B1406" s="278"/>
      <c r="C1406" s="208"/>
      <c r="D1406" s="208"/>
      <c r="E1406" s="208"/>
      <c r="F1406" s="208">
        <v>2026</v>
      </c>
      <c r="G1406" s="208"/>
      <c r="H1406" s="208" t="s">
        <v>958</v>
      </c>
      <c r="I1406" s="208"/>
      <c r="J1406" s="208"/>
      <c r="K1406" s="208"/>
      <c r="L1406" s="208"/>
      <c r="M1406" s="208"/>
      <c r="N1406" s="208"/>
      <c r="O1406" s="208"/>
      <c r="P1406" s="208"/>
      <c r="Q1406" s="207"/>
      <c r="R1406" s="208"/>
    </row>
    <row r="1407" spans="1:18">
      <c r="A1407" s="275"/>
      <c r="B1407" s="281"/>
      <c r="C1407" s="209"/>
      <c r="D1407" s="209"/>
      <c r="E1407" s="209"/>
      <c r="F1407" s="209">
        <v>2026</v>
      </c>
      <c r="G1407" s="209"/>
      <c r="H1407" s="209" t="s">
        <v>57</v>
      </c>
      <c r="I1407" s="209"/>
      <c r="J1407" s="209"/>
      <c r="K1407" s="209"/>
      <c r="L1407" s="209"/>
      <c r="M1407" s="209"/>
      <c r="N1407" s="209"/>
      <c r="O1407" s="209"/>
      <c r="P1407" s="209"/>
      <c r="Q1407" s="206"/>
      <c r="R1407" s="209"/>
    </row>
    <row r="1408" spans="1:18">
      <c r="I1408"/>
      <c r="L1408"/>
    </row>
    <row r="1409" spans="9:12">
      <c r="I1409"/>
      <c r="L1409"/>
    </row>
    <row r="1410" spans="9:12">
      <c r="I1410"/>
      <c r="L1410"/>
    </row>
    <row r="1411" spans="9:12">
      <c r="I1411"/>
      <c r="L1411"/>
    </row>
    <row r="1412" spans="9:12">
      <c r="I1412"/>
      <c r="L1412"/>
    </row>
    <row r="1413" spans="9:12">
      <c r="I1413"/>
      <c r="L1413"/>
    </row>
    <row r="1414" spans="9:12">
      <c r="I1414"/>
      <c r="L1414"/>
    </row>
    <row r="1415" spans="9:12">
      <c r="I1415"/>
      <c r="L1415"/>
    </row>
    <row r="1416" spans="9:12">
      <c r="I1416"/>
      <c r="L1416"/>
    </row>
    <row r="1417" spans="9:12">
      <c r="I1417"/>
      <c r="L1417"/>
    </row>
    <row r="1418" spans="9:12">
      <c r="I1418"/>
      <c r="L1418"/>
    </row>
    <row r="1419" spans="9:12">
      <c r="I1419"/>
      <c r="L1419"/>
    </row>
    <row r="1420" spans="9:12">
      <c r="I1420"/>
      <c r="L1420"/>
    </row>
    <row r="1421" spans="9:12">
      <c r="I1421"/>
      <c r="L1421"/>
    </row>
    <row r="1422" spans="9:12">
      <c r="I1422"/>
      <c r="L1422"/>
    </row>
    <row r="1423" spans="9:12">
      <c r="I1423"/>
      <c r="L1423"/>
    </row>
    <row r="1424" spans="9:12">
      <c r="I1424"/>
      <c r="L1424"/>
    </row>
    <row r="1425" spans="9:12">
      <c r="I1425"/>
      <c r="L1425"/>
    </row>
    <row r="1426" spans="9:12">
      <c r="I1426"/>
      <c r="L1426"/>
    </row>
    <row r="1427" spans="9:12">
      <c r="I1427"/>
      <c r="L1427"/>
    </row>
    <row r="1428" spans="9:12">
      <c r="I1428"/>
      <c r="L1428"/>
    </row>
    <row r="1429" spans="9:12">
      <c r="I1429"/>
      <c r="L1429"/>
    </row>
    <row r="1430" spans="9:12">
      <c r="I1430"/>
      <c r="L1430"/>
    </row>
    <row r="1431" spans="9:12">
      <c r="I1431"/>
      <c r="L1431"/>
    </row>
    <row r="1432" spans="9:12">
      <c r="I1432"/>
      <c r="L1432"/>
    </row>
    <row r="1433" spans="9:12">
      <c r="I1433"/>
      <c r="L1433"/>
    </row>
    <row r="1434" spans="9:12">
      <c r="I1434"/>
      <c r="L1434"/>
    </row>
    <row r="1435" spans="9:12">
      <c r="I1435"/>
      <c r="L1435"/>
    </row>
    <row r="1436" spans="9:12">
      <c r="I1436"/>
      <c r="L1436"/>
    </row>
    <row r="1437" spans="9:12">
      <c r="I1437"/>
      <c r="L1437"/>
    </row>
    <row r="1438" spans="9:12">
      <c r="I1438"/>
      <c r="L1438"/>
    </row>
    <row r="1439" spans="9:12">
      <c r="I1439"/>
      <c r="L1439"/>
    </row>
    <row r="1440" spans="9:12">
      <c r="I1440"/>
      <c r="L1440"/>
    </row>
    <row r="1441" spans="9:12">
      <c r="I1441"/>
      <c r="L1441"/>
    </row>
    <row r="1442" spans="9:12">
      <c r="I1442"/>
      <c r="L1442"/>
    </row>
    <row r="1443" spans="9:12">
      <c r="I1443"/>
      <c r="L1443"/>
    </row>
    <row r="1444" spans="9:12">
      <c r="I1444"/>
      <c r="L1444"/>
    </row>
    <row r="1445" spans="9:12">
      <c r="I1445"/>
      <c r="L1445"/>
    </row>
    <row r="1446" spans="9:12">
      <c r="I1446"/>
      <c r="L1446"/>
    </row>
    <row r="1447" spans="9:12">
      <c r="I1447"/>
      <c r="L1447"/>
    </row>
    <row r="1448" spans="9:12">
      <c r="I1448"/>
      <c r="L1448"/>
    </row>
    <row r="1449" spans="9:12">
      <c r="I1449"/>
      <c r="L1449"/>
    </row>
    <row r="1450" spans="9:12">
      <c r="I1450"/>
      <c r="L1450"/>
    </row>
    <row r="1451" spans="9:12">
      <c r="I1451"/>
      <c r="L1451"/>
    </row>
    <row r="1452" spans="9:12">
      <c r="I1452"/>
      <c r="L1452"/>
    </row>
    <row r="1453" spans="9:12">
      <c r="I1453"/>
      <c r="L1453"/>
    </row>
    <row r="1454" spans="9:12">
      <c r="I1454"/>
      <c r="L1454"/>
    </row>
    <row r="1455" spans="9:12">
      <c r="I1455"/>
      <c r="L1455"/>
    </row>
    <row r="1456" spans="9:12">
      <c r="I1456"/>
      <c r="L1456"/>
    </row>
    <row r="1457" spans="9:12">
      <c r="I1457"/>
      <c r="L1457"/>
    </row>
    <row r="1458" spans="9:12">
      <c r="I1458"/>
      <c r="L1458"/>
    </row>
    <row r="1459" spans="9:12">
      <c r="I1459"/>
      <c r="L1459"/>
    </row>
    <row r="1460" spans="9:12">
      <c r="I1460"/>
      <c r="L1460"/>
    </row>
    <row r="1461" spans="9:12">
      <c r="I1461"/>
      <c r="L1461"/>
    </row>
    <row r="1462" spans="9:12">
      <c r="I1462"/>
      <c r="L1462"/>
    </row>
    <row r="1463" spans="9:12">
      <c r="I1463"/>
      <c r="L1463"/>
    </row>
    <row r="1464" spans="9:12">
      <c r="I1464"/>
      <c r="L1464"/>
    </row>
    <row r="1465" spans="9:12">
      <c r="I1465"/>
      <c r="L1465"/>
    </row>
    <row r="1466" spans="9:12">
      <c r="I1466"/>
      <c r="L1466"/>
    </row>
    <row r="1467" spans="9:12">
      <c r="I1467"/>
      <c r="L1467"/>
    </row>
    <row r="1468" spans="9:12">
      <c r="I1468"/>
      <c r="L1468"/>
    </row>
    <row r="1469" spans="9:12">
      <c r="I1469"/>
      <c r="L1469"/>
    </row>
    <row r="1470" spans="9:12">
      <c r="I1470"/>
      <c r="L1470"/>
    </row>
    <row r="1471" spans="9:12">
      <c r="I1471"/>
      <c r="L1471"/>
    </row>
    <row r="1472" spans="9:12">
      <c r="I1472"/>
      <c r="L1472"/>
    </row>
    <row r="1473" spans="9:12">
      <c r="I1473"/>
      <c r="L1473"/>
    </row>
    <row r="1474" spans="9:12">
      <c r="I1474"/>
      <c r="L1474"/>
    </row>
    <row r="1475" spans="9:12">
      <c r="I1475"/>
      <c r="L1475"/>
    </row>
    <row r="1476" spans="9:12">
      <c r="I1476"/>
      <c r="L1476"/>
    </row>
    <row r="1477" spans="9:12">
      <c r="I1477"/>
      <c r="L1477"/>
    </row>
    <row r="1478" spans="9:12">
      <c r="I1478"/>
      <c r="L1478"/>
    </row>
    <row r="1479" spans="9:12">
      <c r="I1479"/>
      <c r="L1479"/>
    </row>
    <row r="1480" spans="9:12">
      <c r="I1480"/>
      <c r="L1480"/>
    </row>
    <row r="1481" spans="9:12">
      <c r="I1481"/>
      <c r="L1481"/>
    </row>
    <row r="1482" spans="9:12">
      <c r="I1482"/>
      <c r="L1482"/>
    </row>
    <row r="1483" spans="9:12">
      <c r="I1483"/>
      <c r="L1483"/>
    </row>
    <row r="1484" spans="9:12">
      <c r="I1484"/>
      <c r="L1484"/>
    </row>
    <row r="1485" spans="9:12">
      <c r="I1485"/>
      <c r="L1485"/>
    </row>
    <row r="1486" spans="9:12">
      <c r="I1486"/>
      <c r="L1486"/>
    </row>
    <row r="1487" spans="9:12">
      <c r="I1487"/>
      <c r="L1487"/>
    </row>
    <row r="1488" spans="9:12">
      <c r="I1488"/>
      <c r="L1488"/>
    </row>
    <row r="1489" spans="9:12">
      <c r="I1489"/>
      <c r="L1489"/>
    </row>
    <row r="1490" spans="9:12">
      <c r="I1490"/>
      <c r="L1490"/>
    </row>
    <row r="1491" spans="9:12">
      <c r="I1491"/>
      <c r="L1491"/>
    </row>
    <row r="1492" spans="9:12">
      <c r="I1492"/>
      <c r="L1492"/>
    </row>
    <row r="1493" spans="9:12">
      <c r="I1493"/>
      <c r="L1493"/>
    </row>
    <row r="1494" spans="9:12">
      <c r="I1494"/>
      <c r="L1494"/>
    </row>
    <row r="1495" spans="9:12">
      <c r="I1495"/>
      <c r="L1495"/>
    </row>
    <row r="1496" spans="9:12">
      <c r="I1496"/>
      <c r="L1496"/>
    </row>
    <row r="1497" spans="9:12">
      <c r="I1497"/>
      <c r="L1497"/>
    </row>
    <row r="1498" spans="9:12">
      <c r="I1498"/>
      <c r="L1498"/>
    </row>
    <row r="1499" spans="9:12">
      <c r="I1499"/>
      <c r="L1499"/>
    </row>
    <row r="1500" spans="9:12">
      <c r="I1500"/>
      <c r="L1500"/>
    </row>
    <row r="1501" spans="9:12">
      <c r="I1501"/>
      <c r="L1501"/>
    </row>
    <row r="1502" spans="9:12">
      <c r="I1502"/>
      <c r="L1502"/>
    </row>
    <row r="1503" spans="9:12">
      <c r="I1503"/>
      <c r="L1503"/>
    </row>
    <row r="1504" spans="9:12">
      <c r="I1504"/>
      <c r="L1504"/>
    </row>
    <row r="1505" spans="9:12">
      <c r="I1505"/>
      <c r="L1505"/>
    </row>
    <row r="1506" spans="9:12">
      <c r="I1506"/>
      <c r="L1506"/>
    </row>
    <row r="1507" spans="9:12">
      <c r="I1507"/>
      <c r="L1507"/>
    </row>
    <row r="1508" spans="9:12">
      <c r="I1508"/>
      <c r="L1508"/>
    </row>
    <row r="1509" spans="9:12">
      <c r="I1509"/>
      <c r="L1509"/>
    </row>
    <row r="1510" spans="9:12">
      <c r="I1510"/>
      <c r="L1510"/>
    </row>
    <row r="1511" spans="9:12">
      <c r="I1511"/>
      <c r="L1511"/>
    </row>
    <row r="1512" spans="9:12">
      <c r="I1512"/>
      <c r="L1512"/>
    </row>
    <row r="1513" spans="9:12">
      <c r="I1513"/>
      <c r="L1513"/>
    </row>
    <row r="1514" spans="9:12">
      <c r="I1514"/>
      <c r="L1514"/>
    </row>
    <row r="1515" spans="9:12">
      <c r="I1515"/>
      <c r="L1515"/>
    </row>
    <row r="1516" spans="9:12">
      <c r="I1516"/>
      <c r="L1516"/>
    </row>
    <row r="1517" spans="9:12">
      <c r="I1517"/>
      <c r="L1517"/>
    </row>
    <row r="1518" spans="9:12">
      <c r="I1518"/>
      <c r="L1518"/>
    </row>
    <row r="1519" spans="9:12">
      <c r="I1519"/>
      <c r="L1519"/>
    </row>
    <row r="1520" spans="9:12">
      <c r="I1520"/>
      <c r="L1520"/>
    </row>
    <row r="1521" spans="9:12">
      <c r="I1521"/>
      <c r="L1521"/>
    </row>
    <row r="1522" spans="9:12">
      <c r="I1522"/>
      <c r="L1522"/>
    </row>
    <row r="1523" spans="9:12">
      <c r="I1523"/>
      <c r="L1523"/>
    </row>
    <row r="1524" spans="9:12">
      <c r="I1524"/>
      <c r="L1524"/>
    </row>
    <row r="1525" spans="9:12">
      <c r="I1525"/>
      <c r="L1525"/>
    </row>
    <row r="1526" spans="9:12">
      <c r="I1526"/>
      <c r="L1526"/>
    </row>
    <row r="1527" spans="9:12">
      <c r="I1527"/>
      <c r="L1527"/>
    </row>
    <row r="1528" spans="9:12">
      <c r="I1528"/>
      <c r="L1528"/>
    </row>
    <row r="1529" spans="9:12">
      <c r="I1529"/>
      <c r="L1529"/>
    </row>
    <row r="1530" spans="9:12">
      <c r="I1530"/>
      <c r="L1530"/>
    </row>
    <row r="1531" spans="9:12">
      <c r="I1531"/>
      <c r="L1531"/>
    </row>
    <row r="1532" spans="9:12">
      <c r="I1532"/>
      <c r="L1532"/>
    </row>
    <row r="1533" spans="9:12">
      <c r="I1533"/>
      <c r="L1533"/>
    </row>
    <row r="1534" spans="9:12">
      <c r="I1534"/>
      <c r="L1534"/>
    </row>
    <row r="1535" spans="9:12">
      <c r="I1535"/>
      <c r="L1535"/>
    </row>
    <row r="1536" spans="9:12">
      <c r="I1536"/>
      <c r="L1536"/>
    </row>
    <row r="1537" spans="9:12">
      <c r="I1537"/>
      <c r="L1537"/>
    </row>
    <row r="1538" spans="9:12">
      <c r="I1538"/>
      <c r="L1538"/>
    </row>
    <row r="1539" spans="9:12">
      <c r="I1539"/>
      <c r="L1539"/>
    </row>
    <row r="1540" spans="9:12">
      <c r="I1540"/>
      <c r="L1540"/>
    </row>
    <row r="1541" spans="9:12">
      <c r="I1541"/>
      <c r="L1541"/>
    </row>
    <row r="1542" spans="9:12">
      <c r="I1542"/>
      <c r="L1542"/>
    </row>
    <row r="1543" spans="9:12">
      <c r="I1543"/>
      <c r="L1543"/>
    </row>
    <row r="1544" spans="9:12">
      <c r="I1544"/>
      <c r="L1544"/>
    </row>
    <row r="1545" spans="9:12">
      <c r="I1545"/>
      <c r="L1545"/>
    </row>
    <row r="1546" spans="9:12">
      <c r="I1546"/>
      <c r="L1546"/>
    </row>
    <row r="1547" spans="9:12">
      <c r="I1547"/>
      <c r="L1547"/>
    </row>
    <row r="1548" spans="9:12">
      <c r="I1548"/>
      <c r="L1548"/>
    </row>
    <row r="1549" spans="9:12">
      <c r="I1549"/>
      <c r="L1549"/>
    </row>
    <row r="1550" spans="9:12">
      <c r="I1550"/>
      <c r="L1550"/>
    </row>
    <row r="1551" spans="9:12">
      <c r="I1551"/>
      <c r="L1551"/>
    </row>
    <row r="1552" spans="9:12">
      <c r="I1552"/>
      <c r="L1552"/>
    </row>
    <row r="1553" spans="9:12">
      <c r="I1553"/>
      <c r="L1553"/>
    </row>
    <row r="1554" spans="9:12">
      <c r="I1554"/>
      <c r="L1554"/>
    </row>
    <row r="1555" spans="9:12">
      <c r="I1555"/>
      <c r="L1555"/>
    </row>
    <row r="1556" spans="9:12">
      <c r="I1556"/>
      <c r="L1556"/>
    </row>
    <row r="1557" spans="9:12">
      <c r="I1557"/>
      <c r="L1557"/>
    </row>
    <row r="1558" spans="9:12">
      <c r="I1558"/>
      <c r="L1558"/>
    </row>
    <row r="1559" spans="9:12">
      <c r="I1559"/>
      <c r="L1559"/>
    </row>
    <row r="1560" spans="9:12">
      <c r="I1560"/>
      <c r="L1560"/>
    </row>
    <row r="1561" spans="9:12">
      <c r="I1561"/>
      <c r="L1561"/>
    </row>
    <row r="1562" spans="9:12">
      <c r="I1562"/>
      <c r="L1562"/>
    </row>
    <row r="1563" spans="9:12">
      <c r="I1563"/>
      <c r="L1563"/>
    </row>
    <row r="1564" spans="9:12">
      <c r="I1564"/>
      <c r="L1564"/>
    </row>
    <row r="1565" spans="9:12">
      <c r="I1565"/>
      <c r="L1565"/>
    </row>
    <row r="1566" spans="9:12">
      <c r="I1566"/>
      <c r="L1566"/>
    </row>
    <row r="1567" spans="9:12">
      <c r="I1567"/>
      <c r="L1567"/>
    </row>
    <row r="1568" spans="9:12">
      <c r="I1568"/>
      <c r="L1568"/>
    </row>
    <row r="1569" spans="9:12">
      <c r="I1569"/>
      <c r="L1569"/>
    </row>
    <row r="1570" spans="9:12">
      <c r="I1570"/>
      <c r="L1570"/>
    </row>
    <row r="1571" spans="9:12">
      <c r="I1571"/>
      <c r="L1571"/>
    </row>
    <row r="1572" spans="9:12">
      <c r="I1572"/>
      <c r="L1572"/>
    </row>
    <row r="1573" spans="9:12">
      <c r="I1573"/>
      <c r="L1573"/>
    </row>
    <row r="1574" spans="9:12">
      <c r="I1574"/>
      <c r="L1574"/>
    </row>
    <row r="1575" spans="9:12">
      <c r="I1575"/>
      <c r="L1575"/>
    </row>
    <row r="1576" spans="9:12">
      <c r="I1576"/>
      <c r="L1576"/>
    </row>
    <row r="1577" spans="9:12">
      <c r="I1577"/>
      <c r="L1577"/>
    </row>
    <row r="1578" spans="9:12">
      <c r="I1578"/>
      <c r="L1578"/>
    </row>
    <row r="1579" spans="9:12">
      <c r="I1579"/>
      <c r="L1579"/>
    </row>
    <row r="1580" spans="9:12">
      <c r="I1580"/>
      <c r="L1580"/>
    </row>
    <row r="1581" spans="9:12">
      <c r="I1581"/>
      <c r="L1581"/>
    </row>
    <row r="1582" spans="9:12">
      <c r="I1582"/>
      <c r="L1582"/>
    </row>
    <row r="1583" spans="9:12">
      <c r="I1583"/>
      <c r="L1583"/>
    </row>
    <row r="1584" spans="9:12">
      <c r="I1584"/>
      <c r="L1584"/>
    </row>
    <row r="1585" spans="9:12">
      <c r="I1585"/>
      <c r="L1585"/>
    </row>
    <row r="1586" spans="9:12">
      <c r="I1586"/>
      <c r="L1586"/>
    </row>
    <row r="1587" spans="9:12">
      <c r="I1587"/>
      <c r="L1587"/>
    </row>
    <row r="1588" spans="9:12">
      <c r="I1588"/>
      <c r="L1588"/>
    </row>
    <row r="1589" spans="9:12">
      <c r="I1589"/>
      <c r="L1589"/>
    </row>
    <row r="1590" spans="9:12">
      <c r="I1590"/>
      <c r="L1590"/>
    </row>
    <row r="1591" spans="9:12">
      <c r="I1591"/>
      <c r="L1591"/>
    </row>
    <row r="1592" spans="9:12">
      <c r="I1592"/>
      <c r="L1592"/>
    </row>
    <row r="1593" spans="9:12">
      <c r="I1593"/>
      <c r="L1593"/>
    </row>
    <row r="1594" spans="9:12">
      <c r="I1594"/>
      <c r="L1594"/>
    </row>
    <row r="1595" spans="9:12">
      <c r="I1595"/>
      <c r="L1595"/>
    </row>
    <row r="1596" spans="9:12">
      <c r="I1596"/>
      <c r="L1596"/>
    </row>
    <row r="1597" spans="9:12">
      <c r="I1597"/>
      <c r="L1597"/>
    </row>
    <row r="1598" spans="9:12">
      <c r="I1598"/>
      <c r="L1598"/>
    </row>
    <row r="1599" spans="9:12">
      <c r="I1599"/>
      <c r="L1599"/>
    </row>
    <row r="1600" spans="9:12">
      <c r="I1600"/>
      <c r="L1600"/>
    </row>
    <row r="1601" spans="9:12">
      <c r="I1601"/>
      <c r="L1601"/>
    </row>
    <row r="1602" spans="9:12">
      <c r="I1602"/>
      <c r="L1602"/>
    </row>
    <row r="1603" spans="9:12">
      <c r="I1603"/>
      <c r="L1603"/>
    </row>
    <row r="1604" spans="9:12">
      <c r="I1604"/>
      <c r="L1604"/>
    </row>
    <row r="1605" spans="9:12">
      <c r="I1605"/>
      <c r="L1605"/>
    </row>
    <row r="1606" spans="9:12">
      <c r="I1606"/>
      <c r="L1606"/>
    </row>
    <row r="1607" spans="9:12">
      <c r="I1607"/>
      <c r="L1607"/>
    </row>
    <row r="1608" spans="9:12">
      <c r="I1608"/>
      <c r="L1608"/>
    </row>
    <row r="1609" spans="9:12">
      <c r="I1609"/>
      <c r="L1609"/>
    </row>
    <row r="1610" spans="9:12">
      <c r="I1610"/>
      <c r="L1610"/>
    </row>
    <row r="1611" spans="9:12">
      <c r="I1611"/>
      <c r="L1611"/>
    </row>
    <row r="1612" spans="9:12">
      <c r="I1612"/>
      <c r="L1612"/>
    </row>
    <row r="1613" spans="9:12">
      <c r="I1613"/>
      <c r="L1613"/>
    </row>
    <row r="1614" spans="9:12">
      <c r="I1614"/>
      <c r="L1614"/>
    </row>
    <row r="1615" spans="9:12">
      <c r="I1615"/>
      <c r="L1615"/>
    </row>
    <row r="1616" spans="9:12">
      <c r="I1616"/>
      <c r="L1616"/>
    </row>
    <row r="1617" spans="9:12">
      <c r="I1617"/>
      <c r="L1617"/>
    </row>
    <row r="1618" spans="9:12">
      <c r="I1618"/>
      <c r="L1618"/>
    </row>
    <row r="1619" spans="9:12">
      <c r="I1619"/>
      <c r="L1619"/>
    </row>
    <row r="1620" spans="9:12">
      <c r="I1620"/>
      <c r="L1620"/>
    </row>
    <row r="1621" spans="9:12">
      <c r="I1621"/>
      <c r="L1621"/>
    </row>
    <row r="1622" spans="9:12">
      <c r="I1622"/>
      <c r="L1622"/>
    </row>
    <row r="1623" spans="9:12">
      <c r="I1623"/>
      <c r="L1623"/>
    </row>
    <row r="1624" spans="9:12">
      <c r="I1624"/>
      <c r="L1624"/>
    </row>
    <row r="1625" spans="9:12">
      <c r="I1625"/>
      <c r="L1625"/>
    </row>
    <row r="1626" spans="9:12">
      <c r="I1626"/>
      <c r="L1626"/>
    </row>
    <row r="1627" spans="9:12">
      <c r="I1627"/>
      <c r="L1627"/>
    </row>
    <row r="1628" spans="9:12">
      <c r="I1628"/>
      <c r="L1628"/>
    </row>
    <row r="1629" spans="9:12">
      <c r="I1629"/>
      <c r="L1629"/>
    </row>
    <row r="1630" spans="9:12">
      <c r="I1630"/>
      <c r="L1630"/>
    </row>
    <row r="1631" spans="9:12">
      <c r="I1631"/>
      <c r="L1631"/>
    </row>
    <row r="1632" spans="9:12">
      <c r="I1632"/>
      <c r="L1632"/>
    </row>
    <row r="1633" spans="9:12">
      <c r="I1633"/>
      <c r="L1633"/>
    </row>
    <row r="1634" spans="9:12">
      <c r="I1634"/>
      <c r="L1634"/>
    </row>
    <row r="1635" spans="9:12">
      <c r="I1635"/>
      <c r="L1635"/>
    </row>
    <row r="1636" spans="9:12">
      <c r="I1636"/>
      <c r="L1636"/>
    </row>
    <row r="1637" spans="9:12">
      <c r="I1637"/>
      <c r="L1637"/>
    </row>
    <row r="1638" spans="9:12">
      <c r="I1638"/>
      <c r="L1638"/>
    </row>
    <row r="1639" spans="9:12">
      <c r="I1639"/>
      <c r="L1639"/>
    </row>
    <row r="1640" spans="9:12">
      <c r="I1640"/>
      <c r="L1640"/>
    </row>
    <row r="1641" spans="9:12">
      <c r="I1641"/>
      <c r="L1641"/>
    </row>
    <row r="1642" spans="9:12">
      <c r="I1642"/>
      <c r="L1642"/>
    </row>
    <row r="1643" spans="9:12">
      <c r="I1643"/>
      <c r="L1643"/>
    </row>
    <row r="1644" spans="9:12">
      <c r="I1644"/>
      <c r="L1644"/>
    </row>
    <row r="1645" spans="9:12">
      <c r="I1645"/>
      <c r="L1645"/>
    </row>
    <row r="1646" spans="9:12">
      <c r="I1646"/>
      <c r="L1646"/>
    </row>
    <row r="1647" spans="9:12">
      <c r="I1647"/>
      <c r="L1647"/>
    </row>
    <row r="1648" spans="9:12">
      <c r="I1648"/>
      <c r="L1648"/>
    </row>
    <row r="1649" spans="9:12">
      <c r="I1649"/>
      <c r="L1649"/>
    </row>
    <row r="1650" spans="9:12">
      <c r="I1650"/>
      <c r="L1650"/>
    </row>
    <row r="1651" spans="9:12">
      <c r="I1651"/>
      <c r="L1651"/>
    </row>
    <row r="1652" spans="9:12">
      <c r="I1652"/>
      <c r="L1652"/>
    </row>
    <row r="1653" spans="9:12">
      <c r="I1653"/>
      <c r="L1653"/>
    </row>
    <row r="1654" spans="9:12">
      <c r="I1654"/>
      <c r="L1654"/>
    </row>
    <row r="1655" spans="9:12">
      <c r="I1655"/>
      <c r="L1655"/>
    </row>
    <row r="1656" spans="9:12">
      <c r="I1656"/>
      <c r="L1656"/>
    </row>
    <row r="1657" spans="9:12">
      <c r="I1657"/>
      <c r="L1657"/>
    </row>
    <row r="1658" spans="9:12">
      <c r="I1658"/>
      <c r="L1658"/>
    </row>
    <row r="1659" spans="9:12">
      <c r="I1659"/>
      <c r="L1659"/>
    </row>
    <row r="1660" spans="9:12">
      <c r="I1660"/>
      <c r="L1660"/>
    </row>
    <row r="1661" spans="9:12">
      <c r="I1661"/>
      <c r="L1661"/>
    </row>
    <row r="1662" spans="9:12">
      <c r="I1662"/>
      <c r="L1662"/>
    </row>
    <row r="1663" spans="9:12">
      <c r="I1663"/>
      <c r="L1663"/>
    </row>
    <row r="1664" spans="9:12">
      <c r="I1664"/>
      <c r="L1664"/>
    </row>
    <row r="1665" spans="9:12">
      <c r="I1665"/>
      <c r="L1665"/>
    </row>
    <row r="1666" spans="9:12">
      <c r="I1666"/>
      <c r="L1666"/>
    </row>
    <row r="1667" spans="9:12">
      <c r="I1667"/>
      <c r="L1667"/>
    </row>
    <row r="1668" spans="9:12">
      <c r="I1668"/>
      <c r="L1668"/>
    </row>
    <row r="1669" spans="9:12">
      <c r="I1669"/>
      <c r="L1669"/>
    </row>
    <row r="1670" spans="9:12">
      <c r="I1670"/>
      <c r="L1670"/>
    </row>
    <row r="1671" spans="9:12">
      <c r="I1671"/>
      <c r="L1671"/>
    </row>
    <row r="1672" spans="9:12">
      <c r="I1672"/>
      <c r="L1672"/>
    </row>
    <row r="1673" spans="9:12">
      <c r="I1673"/>
      <c r="L1673"/>
    </row>
    <row r="1674" spans="9:12">
      <c r="I1674"/>
      <c r="L1674"/>
    </row>
    <row r="1675" spans="9:12">
      <c r="I1675"/>
      <c r="L1675"/>
    </row>
    <row r="1676" spans="9:12">
      <c r="I1676"/>
      <c r="L1676"/>
    </row>
    <row r="1677" spans="9:12">
      <c r="I1677"/>
      <c r="L1677"/>
    </row>
    <row r="1678" spans="9:12">
      <c r="I1678"/>
      <c r="L1678"/>
    </row>
    <row r="1679" spans="9:12">
      <c r="I1679"/>
      <c r="L1679"/>
    </row>
    <row r="1680" spans="9:12">
      <c r="I1680"/>
      <c r="L1680"/>
    </row>
    <row r="1681" spans="9:12">
      <c r="I1681"/>
      <c r="L1681"/>
    </row>
    <row r="1682" spans="9:12">
      <c r="I1682"/>
      <c r="L1682"/>
    </row>
    <row r="1683" spans="9:12">
      <c r="I1683"/>
      <c r="L1683"/>
    </row>
    <row r="1684" spans="9:12">
      <c r="I1684"/>
      <c r="L1684"/>
    </row>
    <row r="1685" spans="9:12">
      <c r="I1685"/>
      <c r="L1685"/>
    </row>
    <row r="1686" spans="9:12">
      <c r="I1686"/>
      <c r="L1686"/>
    </row>
    <row r="1687" spans="9:12">
      <c r="I1687"/>
      <c r="L1687"/>
    </row>
    <row r="1688" spans="9:12">
      <c r="I1688"/>
      <c r="L1688"/>
    </row>
    <row r="1689" spans="9:12">
      <c r="I1689"/>
      <c r="L1689"/>
    </row>
    <row r="1690" spans="9:12">
      <c r="I1690"/>
      <c r="L1690"/>
    </row>
    <row r="1691" spans="9:12">
      <c r="I1691"/>
      <c r="L1691"/>
    </row>
    <row r="1692" spans="9:12">
      <c r="I1692"/>
      <c r="L1692"/>
    </row>
    <row r="1693" spans="9:12">
      <c r="I1693"/>
      <c r="L1693"/>
    </row>
    <row r="1694" spans="9:12">
      <c r="I1694"/>
      <c r="L1694"/>
    </row>
    <row r="1695" spans="9:12">
      <c r="I1695"/>
      <c r="L1695"/>
    </row>
    <row r="1696" spans="9:12">
      <c r="I1696"/>
      <c r="L1696"/>
    </row>
    <row r="1697" spans="9:12">
      <c r="I1697"/>
      <c r="L1697"/>
    </row>
    <row r="1698" spans="9:12">
      <c r="I1698"/>
      <c r="L1698"/>
    </row>
    <row r="1699" spans="9:12">
      <c r="I1699"/>
      <c r="L1699"/>
    </row>
    <row r="1700" spans="9:12">
      <c r="I1700"/>
      <c r="L1700"/>
    </row>
    <row r="1701" spans="9:12">
      <c r="I1701"/>
      <c r="L1701"/>
    </row>
    <row r="1702" spans="9:12">
      <c r="I1702"/>
      <c r="L1702"/>
    </row>
    <row r="1703" spans="9:12">
      <c r="I1703"/>
      <c r="L1703"/>
    </row>
    <row r="1704" spans="9:12">
      <c r="I1704"/>
      <c r="L1704"/>
    </row>
    <row r="1705" spans="9:12">
      <c r="I1705"/>
      <c r="L1705"/>
    </row>
    <row r="1706" spans="9:12">
      <c r="I1706"/>
      <c r="L1706"/>
    </row>
    <row r="1707" spans="9:12">
      <c r="I1707"/>
      <c r="L1707"/>
    </row>
    <row r="1708" spans="9:12">
      <c r="I1708"/>
      <c r="L1708"/>
    </row>
    <row r="1709" spans="9:12">
      <c r="I1709"/>
      <c r="L1709"/>
    </row>
    <row r="1710" spans="9:12">
      <c r="I1710"/>
      <c r="L1710"/>
    </row>
    <row r="1711" spans="9:12">
      <c r="I1711"/>
      <c r="L1711"/>
    </row>
    <row r="1712" spans="9:12">
      <c r="I1712"/>
      <c r="L1712"/>
    </row>
    <row r="1713" spans="9:12">
      <c r="I1713"/>
      <c r="L1713"/>
    </row>
    <row r="1714" spans="9:12">
      <c r="I1714"/>
      <c r="L1714"/>
    </row>
    <row r="1715" spans="9:12">
      <c r="I1715"/>
      <c r="L1715"/>
    </row>
    <row r="1716" spans="9:12">
      <c r="I1716"/>
      <c r="L1716"/>
    </row>
    <row r="1717" spans="9:12">
      <c r="I1717"/>
      <c r="L1717"/>
    </row>
    <row r="1718" spans="9:12">
      <c r="I1718"/>
      <c r="L1718"/>
    </row>
    <row r="1719" spans="9:12">
      <c r="I1719"/>
      <c r="L1719"/>
    </row>
    <row r="1720" spans="9:12">
      <c r="I1720"/>
      <c r="L1720"/>
    </row>
    <row r="1721" spans="9:12">
      <c r="I1721"/>
      <c r="L1721"/>
    </row>
    <row r="1722" spans="9:12">
      <c r="I1722"/>
      <c r="L1722"/>
    </row>
    <row r="1723" spans="9:12">
      <c r="I1723"/>
      <c r="L1723"/>
    </row>
    <row r="1724" spans="9:12">
      <c r="I1724"/>
      <c r="L1724"/>
    </row>
    <row r="1725" spans="9:12">
      <c r="I1725"/>
      <c r="L1725"/>
    </row>
    <row r="1726" spans="9:12">
      <c r="I1726"/>
      <c r="L1726"/>
    </row>
    <row r="1727" spans="9:12">
      <c r="I1727"/>
      <c r="L1727"/>
    </row>
    <row r="1728" spans="9:12">
      <c r="I1728"/>
      <c r="L1728"/>
    </row>
    <row r="1729" spans="9:12">
      <c r="I1729"/>
      <c r="L1729"/>
    </row>
    <row r="1730" spans="9:12">
      <c r="I1730"/>
      <c r="L1730"/>
    </row>
    <row r="1731" spans="9:12">
      <c r="I1731"/>
      <c r="L1731"/>
    </row>
    <row r="1732" spans="9:12">
      <c r="I1732"/>
      <c r="L1732"/>
    </row>
    <row r="1733" spans="9:12">
      <c r="I1733"/>
      <c r="L1733"/>
    </row>
    <row r="1734" spans="9:12">
      <c r="I1734"/>
      <c r="L1734"/>
    </row>
    <row r="1735" spans="9:12">
      <c r="I1735"/>
      <c r="L1735"/>
    </row>
    <row r="1736" spans="9:12">
      <c r="I1736"/>
      <c r="L1736"/>
    </row>
    <row r="1737" spans="9:12">
      <c r="I1737"/>
      <c r="L1737"/>
    </row>
    <row r="1738" spans="9:12">
      <c r="I1738"/>
      <c r="L1738"/>
    </row>
    <row r="1739" spans="9:12">
      <c r="I1739"/>
      <c r="L1739"/>
    </row>
    <row r="1740" spans="9:12">
      <c r="I1740"/>
      <c r="L1740"/>
    </row>
    <row r="1741" spans="9:12">
      <c r="I1741"/>
      <c r="L1741"/>
    </row>
    <row r="1742" spans="9:12">
      <c r="I1742"/>
      <c r="L1742"/>
    </row>
    <row r="1743" spans="9:12">
      <c r="I1743"/>
      <c r="L1743"/>
    </row>
    <row r="1744" spans="9:12">
      <c r="I1744"/>
      <c r="L1744"/>
    </row>
    <row r="1745" spans="9:12">
      <c r="I1745"/>
      <c r="L1745"/>
    </row>
    <row r="1746" spans="9:12">
      <c r="I1746"/>
      <c r="L1746"/>
    </row>
    <row r="1747" spans="9:12">
      <c r="I1747"/>
      <c r="L1747"/>
    </row>
    <row r="1748" spans="9:12">
      <c r="I1748"/>
      <c r="L1748"/>
    </row>
    <row r="1749" spans="9:12">
      <c r="I1749"/>
      <c r="L1749"/>
    </row>
    <row r="1750" spans="9:12">
      <c r="I1750"/>
      <c r="L1750"/>
    </row>
    <row r="1751" spans="9:12">
      <c r="I1751"/>
      <c r="L1751"/>
    </row>
    <row r="1752" spans="9:12">
      <c r="I1752"/>
      <c r="L1752"/>
    </row>
    <row r="1753" spans="9:12">
      <c r="I1753"/>
      <c r="L1753"/>
    </row>
    <row r="1754" spans="9:12">
      <c r="I1754"/>
      <c r="L1754"/>
    </row>
    <row r="1755" spans="9:12">
      <c r="I1755"/>
      <c r="L1755"/>
    </row>
    <row r="1756" spans="9:12">
      <c r="I1756"/>
      <c r="L1756"/>
    </row>
    <row r="1757" spans="9:12">
      <c r="I1757"/>
      <c r="L1757"/>
    </row>
    <row r="1758" spans="9:12">
      <c r="I1758"/>
      <c r="L1758"/>
    </row>
    <row r="1759" spans="9:12">
      <c r="I1759"/>
      <c r="L1759"/>
    </row>
    <row r="1760" spans="9:12">
      <c r="I1760"/>
      <c r="L1760"/>
    </row>
    <row r="1761" spans="9:12">
      <c r="I1761"/>
      <c r="L1761"/>
    </row>
    <row r="1762" spans="9:12">
      <c r="I1762"/>
      <c r="L1762"/>
    </row>
    <row r="1763" spans="9:12">
      <c r="I1763"/>
      <c r="L1763"/>
    </row>
    <row r="1764" spans="9:12">
      <c r="I1764"/>
      <c r="L1764"/>
    </row>
    <row r="1765" spans="9:12">
      <c r="I1765"/>
      <c r="L1765"/>
    </row>
    <row r="1766" spans="9:12">
      <c r="I1766"/>
      <c r="L1766"/>
    </row>
    <row r="1767" spans="9:12">
      <c r="I1767"/>
      <c r="L1767"/>
    </row>
    <row r="1768" spans="9:12">
      <c r="I1768"/>
      <c r="L1768"/>
    </row>
    <row r="1769" spans="9:12">
      <c r="I1769"/>
      <c r="L1769"/>
    </row>
    <row r="1770" spans="9:12">
      <c r="I1770"/>
      <c r="L1770"/>
    </row>
    <row r="1771" spans="9:12">
      <c r="I1771"/>
      <c r="L1771"/>
    </row>
    <row r="1772" spans="9:12">
      <c r="I1772"/>
      <c r="L1772"/>
    </row>
    <row r="1773" spans="9:12">
      <c r="I1773"/>
      <c r="L1773"/>
    </row>
    <row r="1774" spans="9:12">
      <c r="I1774"/>
      <c r="L1774"/>
    </row>
    <row r="1775" spans="9:12">
      <c r="I1775"/>
      <c r="L1775"/>
    </row>
    <row r="1776" spans="9:12">
      <c r="I1776"/>
      <c r="L1776"/>
    </row>
    <row r="1777" spans="9:12">
      <c r="I1777"/>
      <c r="L1777"/>
    </row>
    <row r="1778" spans="9:12">
      <c r="I1778"/>
      <c r="L1778"/>
    </row>
    <row r="1779" spans="9:12">
      <c r="I1779"/>
      <c r="L1779"/>
    </row>
    <row r="1780" spans="9:12">
      <c r="I1780"/>
      <c r="L1780"/>
    </row>
    <row r="1781" spans="9:12">
      <c r="I1781"/>
      <c r="L1781"/>
    </row>
    <row r="1782" spans="9:12">
      <c r="I1782"/>
      <c r="L1782"/>
    </row>
    <row r="1783" spans="9:12">
      <c r="I1783"/>
      <c r="L1783"/>
    </row>
    <row r="1784" spans="9:12">
      <c r="I1784"/>
      <c r="L1784"/>
    </row>
    <row r="1785" spans="9:12">
      <c r="I1785"/>
      <c r="L1785"/>
    </row>
    <row r="1786" spans="9:12">
      <c r="I1786"/>
      <c r="L1786"/>
    </row>
    <row r="1787" spans="9:12">
      <c r="I1787"/>
      <c r="L1787"/>
    </row>
    <row r="1788" spans="9:12">
      <c r="I1788"/>
      <c r="L1788"/>
    </row>
    <row r="1789" spans="9:12">
      <c r="I1789"/>
      <c r="L1789"/>
    </row>
    <row r="1790" spans="9:12">
      <c r="I1790"/>
      <c r="L1790"/>
    </row>
    <row r="1791" spans="9:12">
      <c r="I1791"/>
      <c r="L1791"/>
    </row>
    <row r="1792" spans="9:12">
      <c r="I1792"/>
      <c r="L1792"/>
    </row>
    <row r="1793" spans="9:12">
      <c r="I1793"/>
      <c r="L1793"/>
    </row>
    <row r="1794" spans="9:12">
      <c r="I1794"/>
      <c r="L1794"/>
    </row>
    <row r="1795" spans="9:12">
      <c r="I1795"/>
      <c r="L1795"/>
    </row>
    <row r="1796" spans="9:12">
      <c r="I1796"/>
      <c r="L1796"/>
    </row>
    <row r="1797" spans="9:12">
      <c r="I1797"/>
      <c r="L1797"/>
    </row>
    <row r="1798" spans="9:12">
      <c r="I1798"/>
      <c r="L1798"/>
    </row>
    <row r="1799" spans="9:12">
      <c r="I1799"/>
      <c r="L1799"/>
    </row>
    <row r="1800" spans="9:12">
      <c r="I1800"/>
      <c r="L1800"/>
    </row>
    <row r="1801" spans="9:12">
      <c r="I1801"/>
      <c r="L1801"/>
    </row>
    <row r="1802" spans="9:12">
      <c r="I1802"/>
      <c r="L1802"/>
    </row>
    <row r="1803" spans="9:12">
      <c r="I1803"/>
      <c r="L1803"/>
    </row>
    <row r="1804" spans="9:12">
      <c r="I1804"/>
      <c r="L1804"/>
    </row>
    <row r="1805" spans="9:12">
      <c r="I1805"/>
      <c r="L1805"/>
    </row>
    <row r="1806" spans="9:12">
      <c r="I1806"/>
      <c r="L1806"/>
    </row>
    <row r="1807" spans="9:12">
      <c r="I1807"/>
      <c r="L1807"/>
    </row>
    <row r="1808" spans="9:12">
      <c r="I1808"/>
      <c r="L1808"/>
    </row>
    <row r="1809" spans="9:12">
      <c r="I1809"/>
      <c r="L1809"/>
    </row>
    <row r="1810" spans="9:12">
      <c r="I1810"/>
      <c r="L1810"/>
    </row>
    <row r="1811" spans="9:12">
      <c r="I1811"/>
      <c r="L1811"/>
    </row>
    <row r="1812" spans="9:12">
      <c r="I1812"/>
      <c r="L1812"/>
    </row>
    <row r="1813" spans="9:12">
      <c r="I1813"/>
      <c r="L1813"/>
    </row>
    <row r="1814" spans="9:12">
      <c r="I1814"/>
      <c r="L1814"/>
    </row>
    <row r="1815" spans="9:12">
      <c r="I1815"/>
      <c r="L1815"/>
    </row>
    <row r="1816" spans="9:12">
      <c r="I1816"/>
      <c r="L1816"/>
    </row>
    <row r="1817" spans="9:12">
      <c r="I1817"/>
      <c r="L1817"/>
    </row>
    <row r="1818" spans="9:12">
      <c r="I1818"/>
      <c r="L1818"/>
    </row>
    <row r="1819" spans="9:12">
      <c r="I1819"/>
      <c r="L1819"/>
    </row>
    <row r="1820" spans="9:12">
      <c r="I1820"/>
      <c r="L1820"/>
    </row>
    <row r="1821" spans="9:12">
      <c r="I1821"/>
      <c r="L1821"/>
    </row>
    <row r="1822" spans="9:12">
      <c r="I1822"/>
      <c r="L1822"/>
    </row>
    <row r="1823" spans="9:12">
      <c r="I1823"/>
      <c r="L1823"/>
    </row>
    <row r="1824" spans="9:12">
      <c r="I1824"/>
      <c r="L1824"/>
    </row>
    <row r="1825" spans="9:12">
      <c r="I1825"/>
      <c r="L1825"/>
    </row>
    <row r="1826" spans="9:12">
      <c r="I1826"/>
      <c r="L1826"/>
    </row>
    <row r="1827" spans="9:12">
      <c r="I1827"/>
      <c r="L1827"/>
    </row>
    <row r="1828" spans="9:12">
      <c r="I1828"/>
      <c r="L1828"/>
    </row>
    <row r="1829" spans="9:12">
      <c r="I1829"/>
      <c r="L1829"/>
    </row>
    <row r="1830" spans="9:12">
      <c r="I1830"/>
      <c r="L1830"/>
    </row>
    <row r="1831" spans="9:12">
      <c r="I1831"/>
      <c r="L1831"/>
    </row>
    <row r="1832" spans="9:12">
      <c r="I1832"/>
      <c r="L1832"/>
    </row>
    <row r="1833" spans="9:12">
      <c r="I1833"/>
      <c r="L1833"/>
    </row>
    <row r="1834" spans="9:12">
      <c r="I1834"/>
      <c r="L1834"/>
    </row>
    <row r="1835" spans="9:12">
      <c r="I1835"/>
      <c r="L1835"/>
    </row>
    <row r="1836" spans="9:12">
      <c r="I1836"/>
      <c r="L1836"/>
    </row>
    <row r="1837" spans="9:12">
      <c r="I1837"/>
      <c r="L1837"/>
    </row>
    <row r="1838" spans="9:12">
      <c r="I1838"/>
      <c r="L1838"/>
    </row>
    <row r="1839" spans="9:12">
      <c r="I1839"/>
      <c r="L1839"/>
    </row>
    <row r="1840" spans="9:12">
      <c r="I1840"/>
      <c r="L1840"/>
    </row>
    <row r="1841" spans="9:12">
      <c r="I1841"/>
      <c r="L1841"/>
    </row>
    <row r="1842" spans="9:12">
      <c r="I1842"/>
      <c r="L1842"/>
    </row>
    <row r="1843" spans="9:12">
      <c r="I1843"/>
      <c r="L1843"/>
    </row>
    <row r="1844" spans="9:12">
      <c r="I1844"/>
      <c r="L1844"/>
    </row>
    <row r="1845" spans="9:12">
      <c r="I1845"/>
      <c r="L1845"/>
    </row>
    <row r="1846" spans="9:12">
      <c r="I1846"/>
      <c r="L1846"/>
    </row>
    <row r="1847" spans="9:12">
      <c r="I1847"/>
      <c r="L1847"/>
    </row>
    <row r="1848" spans="9:12">
      <c r="I1848"/>
      <c r="L1848"/>
    </row>
    <row r="1849" spans="9:12">
      <c r="I1849"/>
      <c r="L1849"/>
    </row>
    <row r="1850" spans="9:12">
      <c r="I1850"/>
      <c r="L1850"/>
    </row>
    <row r="1851" spans="9:12">
      <c r="I1851"/>
      <c r="L1851"/>
    </row>
    <row r="1852" spans="9:12">
      <c r="I1852"/>
      <c r="L1852"/>
    </row>
    <row r="1853" spans="9:12">
      <c r="I1853"/>
      <c r="L1853"/>
    </row>
    <row r="1854" spans="9:12">
      <c r="I1854"/>
      <c r="L1854"/>
    </row>
    <row r="1855" spans="9:12">
      <c r="I1855"/>
      <c r="L1855"/>
    </row>
    <row r="1856" spans="9:12">
      <c r="I1856"/>
      <c r="L1856"/>
    </row>
    <row r="1857" spans="9:12">
      <c r="I1857"/>
      <c r="L1857"/>
    </row>
    <row r="1858" spans="9:12">
      <c r="I1858"/>
      <c r="L1858"/>
    </row>
    <row r="1859" spans="9:12">
      <c r="I1859"/>
      <c r="L1859"/>
    </row>
    <row r="1860" spans="9:12">
      <c r="I1860"/>
      <c r="L1860"/>
    </row>
    <row r="1861" spans="9:12">
      <c r="I1861"/>
      <c r="L1861"/>
    </row>
    <row r="1862" spans="9:12">
      <c r="I1862"/>
      <c r="L1862"/>
    </row>
    <row r="1863" spans="9:12">
      <c r="I1863"/>
      <c r="L1863"/>
    </row>
    <row r="1864" spans="9:12">
      <c r="I1864"/>
      <c r="L1864"/>
    </row>
    <row r="1865" spans="9:12">
      <c r="I1865"/>
      <c r="L1865"/>
    </row>
    <row r="1866" spans="9:12">
      <c r="I1866"/>
      <c r="L1866"/>
    </row>
    <row r="1867" spans="9:12">
      <c r="I1867"/>
      <c r="L1867"/>
    </row>
    <row r="1868" spans="9:12">
      <c r="I1868"/>
      <c r="L1868"/>
    </row>
    <row r="1869" spans="9:12">
      <c r="I1869"/>
      <c r="L1869"/>
    </row>
    <row r="1870" spans="9:12">
      <c r="I1870"/>
      <c r="L1870"/>
    </row>
    <row r="1871" spans="9:12">
      <c r="I1871"/>
      <c r="L1871"/>
    </row>
    <row r="1872" spans="9:12">
      <c r="I1872"/>
      <c r="L1872"/>
    </row>
    <row r="1873" spans="9:12">
      <c r="I1873"/>
      <c r="L1873"/>
    </row>
    <row r="1874" spans="9:12">
      <c r="I1874"/>
      <c r="L1874"/>
    </row>
    <row r="1875" spans="9:12">
      <c r="I1875"/>
      <c r="L1875"/>
    </row>
    <row r="1876" spans="9:12">
      <c r="I1876"/>
      <c r="L1876"/>
    </row>
    <row r="1877" spans="9:12">
      <c r="I1877"/>
      <c r="L1877"/>
    </row>
    <row r="1878" spans="9:12">
      <c r="I1878"/>
      <c r="L1878"/>
    </row>
    <row r="1879" spans="9:12">
      <c r="I1879"/>
      <c r="L1879"/>
    </row>
    <row r="1880" spans="9:12">
      <c r="I1880"/>
      <c r="L1880"/>
    </row>
    <row r="1881" spans="9:12">
      <c r="I1881"/>
      <c r="L1881"/>
    </row>
    <row r="1882" spans="9:12">
      <c r="I1882"/>
      <c r="L1882"/>
    </row>
    <row r="1883" spans="9:12">
      <c r="I1883"/>
      <c r="L1883"/>
    </row>
    <row r="1884" spans="9:12">
      <c r="I1884"/>
      <c r="L1884"/>
    </row>
    <row r="1885" spans="9:12">
      <c r="I1885"/>
      <c r="L1885"/>
    </row>
    <row r="1886" spans="9:12">
      <c r="I1886"/>
      <c r="L1886"/>
    </row>
    <row r="1887" spans="9:12">
      <c r="I1887"/>
      <c r="L1887"/>
    </row>
    <row r="1888" spans="9:12">
      <c r="I1888"/>
      <c r="L1888"/>
    </row>
    <row r="1889" spans="9:12">
      <c r="I1889"/>
      <c r="L1889"/>
    </row>
    <row r="1890" spans="9:12">
      <c r="I1890"/>
      <c r="L1890"/>
    </row>
    <row r="1891" spans="9:12">
      <c r="I1891"/>
      <c r="L1891"/>
    </row>
    <row r="1892" spans="9:12">
      <c r="I1892"/>
      <c r="L1892"/>
    </row>
    <row r="1893" spans="9:12">
      <c r="I1893"/>
      <c r="L1893"/>
    </row>
    <row r="1894" spans="9:12">
      <c r="I1894"/>
      <c r="L1894"/>
    </row>
    <row r="1895" spans="9:12">
      <c r="I1895"/>
      <c r="L1895"/>
    </row>
    <row r="1896" spans="9:12">
      <c r="I1896"/>
      <c r="L1896"/>
    </row>
    <row r="1897" spans="9:12">
      <c r="I1897"/>
      <c r="L1897"/>
    </row>
    <row r="1898" spans="9:12">
      <c r="I1898"/>
      <c r="L1898"/>
    </row>
    <row r="1899" spans="9:12">
      <c r="I1899"/>
      <c r="L1899"/>
    </row>
    <row r="1900" spans="9:12">
      <c r="I1900"/>
      <c r="L1900"/>
    </row>
    <row r="1901" spans="9:12">
      <c r="I1901"/>
      <c r="L1901"/>
    </row>
    <row r="1902" spans="9:12">
      <c r="I1902"/>
      <c r="L1902"/>
    </row>
    <row r="1903" spans="9:12">
      <c r="I1903"/>
      <c r="L1903"/>
    </row>
    <row r="1904" spans="9:12">
      <c r="I1904"/>
      <c r="L1904"/>
    </row>
    <row r="1905" spans="9:12">
      <c r="I1905"/>
      <c r="L1905"/>
    </row>
    <row r="1906" spans="9:12">
      <c r="I1906"/>
      <c r="L1906"/>
    </row>
    <row r="1907" spans="9:12">
      <c r="I1907"/>
      <c r="L1907"/>
    </row>
    <row r="1908" spans="9:12">
      <c r="I1908"/>
      <c r="L1908"/>
    </row>
    <row r="1909" spans="9:12">
      <c r="I1909"/>
      <c r="L1909"/>
    </row>
    <row r="1910" spans="9:12">
      <c r="I1910"/>
      <c r="L1910"/>
    </row>
    <row r="1911" spans="9:12">
      <c r="I1911"/>
      <c r="L1911"/>
    </row>
    <row r="1912" spans="9:12">
      <c r="I1912"/>
      <c r="L1912"/>
    </row>
    <row r="1913" spans="9:12">
      <c r="I1913"/>
      <c r="L1913"/>
    </row>
    <row r="1914" spans="9:12">
      <c r="I1914"/>
      <c r="L1914"/>
    </row>
    <row r="1915" spans="9:12">
      <c r="I1915"/>
      <c r="L1915"/>
    </row>
    <row r="1916" spans="9:12">
      <c r="I1916"/>
      <c r="L1916"/>
    </row>
    <row r="1917" spans="9:12">
      <c r="I1917"/>
      <c r="L1917"/>
    </row>
    <row r="1918" spans="9:12">
      <c r="I1918"/>
      <c r="L1918"/>
    </row>
    <row r="1919" spans="9:12">
      <c r="I1919"/>
      <c r="L1919"/>
    </row>
    <row r="1920" spans="9:12">
      <c r="I1920"/>
      <c r="L1920"/>
    </row>
    <row r="1921" spans="9:12">
      <c r="I1921"/>
      <c r="L1921"/>
    </row>
    <row r="1922" spans="9:12">
      <c r="I1922"/>
      <c r="L1922"/>
    </row>
    <row r="1923" spans="9:12">
      <c r="I1923"/>
      <c r="L1923"/>
    </row>
    <row r="1924" spans="9:12">
      <c r="I1924"/>
      <c r="L1924"/>
    </row>
    <row r="1925" spans="9:12">
      <c r="I1925"/>
      <c r="L1925"/>
    </row>
    <row r="1926" spans="9:12">
      <c r="I1926"/>
      <c r="L1926"/>
    </row>
    <row r="1927" spans="9:12">
      <c r="I1927"/>
      <c r="L1927"/>
    </row>
    <row r="1928" spans="9:12">
      <c r="I1928"/>
      <c r="L1928"/>
    </row>
    <row r="1929" spans="9:12">
      <c r="I1929"/>
      <c r="L1929"/>
    </row>
    <row r="1930" spans="9:12">
      <c r="I1930"/>
      <c r="L1930"/>
    </row>
    <row r="1931" spans="9:12">
      <c r="I1931"/>
      <c r="L1931"/>
    </row>
    <row r="1932" spans="9:12">
      <c r="I1932"/>
      <c r="L1932"/>
    </row>
    <row r="1933" spans="9:12">
      <c r="I1933"/>
      <c r="L1933"/>
    </row>
    <row r="1934" spans="9:12">
      <c r="I1934"/>
      <c r="L1934"/>
    </row>
    <row r="1935" spans="9:12">
      <c r="I1935"/>
      <c r="L1935"/>
    </row>
    <row r="1936" spans="9:12">
      <c r="I1936"/>
      <c r="L1936"/>
    </row>
    <row r="1937" spans="9:12">
      <c r="I1937"/>
      <c r="L1937"/>
    </row>
    <row r="1938" spans="9:12">
      <c r="I1938"/>
      <c r="L1938"/>
    </row>
    <row r="1939" spans="9:12">
      <c r="I1939"/>
      <c r="L1939"/>
    </row>
    <row r="1940" spans="9:12">
      <c r="I1940"/>
      <c r="L1940"/>
    </row>
    <row r="1941" spans="9:12">
      <c r="I1941"/>
      <c r="L1941"/>
    </row>
    <row r="1942" spans="9:12">
      <c r="I1942"/>
      <c r="L1942"/>
    </row>
    <row r="1943" spans="9:12">
      <c r="I1943"/>
      <c r="L1943"/>
    </row>
    <row r="1944" spans="9:12">
      <c r="I1944"/>
      <c r="L1944"/>
    </row>
    <row r="1945" spans="9:12">
      <c r="I1945"/>
      <c r="L1945"/>
    </row>
    <row r="1946" spans="9:12">
      <c r="I1946"/>
      <c r="L1946"/>
    </row>
    <row r="1947" spans="9:12">
      <c r="I1947"/>
      <c r="L1947"/>
    </row>
    <row r="1948" spans="9:12">
      <c r="I1948"/>
      <c r="L1948"/>
    </row>
    <row r="1949" spans="9:12">
      <c r="I1949"/>
      <c r="L1949"/>
    </row>
    <row r="1950" spans="9:12">
      <c r="I1950"/>
      <c r="L1950"/>
    </row>
    <row r="1951" spans="9:12">
      <c r="I1951"/>
      <c r="L1951"/>
    </row>
    <row r="1952" spans="9:12">
      <c r="I1952"/>
      <c r="L1952"/>
    </row>
    <row r="1953" spans="9:12">
      <c r="I1953"/>
      <c r="L1953"/>
    </row>
    <row r="1954" spans="9:12">
      <c r="I1954"/>
      <c r="L1954"/>
    </row>
    <row r="1955" spans="9:12">
      <c r="I1955"/>
      <c r="L1955"/>
    </row>
    <row r="1956" spans="9:12">
      <c r="I1956"/>
      <c r="L1956"/>
    </row>
    <row r="1957" spans="9:12">
      <c r="I1957"/>
      <c r="L1957"/>
    </row>
    <row r="1958" spans="9:12">
      <c r="I1958"/>
      <c r="L1958"/>
    </row>
    <row r="1959" spans="9:12">
      <c r="I1959"/>
      <c r="L1959"/>
    </row>
    <row r="1960" spans="9:12">
      <c r="I1960"/>
      <c r="L1960"/>
    </row>
    <row r="1961" spans="9:12">
      <c r="I1961"/>
      <c r="L1961"/>
    </row>
    <row r="1962" spans="9:12">
      <c r="I1962"/>
      <c r="L1962"/>
    </row>
    <row r="1963" spans="9:12">
      <c r="I1963"/>
      <c r="L1963"/>
    </row>
    <row r="1964" spans="9:12">
      <c r="I1964"/>
      <c r="L1964"/>
    </row>
    <row r="1965" spans="9:12">
      <c r="I1965"/>
      <c r="L1965"/>
    </row>
    <row r="1966" spans="9:12">
      <c r="I1966"/>
      <c r="L1966"/>
    </row>
    <row r="1967" spans="9:12">
      <c r="I1967"/>
      <c r="L1967"/>
    </row>
    <row r="1968" spans="9:12">
      <c r="I1968"/>
      <c r="L1968"/>
    </row>
    <row r="1969" spans="9:12">
      <c r="I1969"/>
      <c r="L1969"/>
    </row>
    <row r="1970" spans="9:12">
      <c r="I1970"/>
      <c r="L1970"/>
    </row>
    <row r="1971" spans="9:12">
      <c r="I1971"/>
      <c r="L1971"/>
    </row>
    <row r="1972" spans="9:12">
      <c r="I1972"/>
      <c r="L1972"/>
    </row>
    <row r="1973" spans="9:12">
      <c r="I1973"/>
      <c r="L1973"/>
    </row>
    <row r="1974" spans="9:12">
      <c r="I1974"/>
      <c r="L1974"/>
    </row>
    <row r="1975" spans="9:12">
      <c r="I1975"/>
      <c r="L1975"/>
    </row>
    <row r="1976" spans="9:12">
      <c r="I1976"/>
      <c r="L1976"/>
    </row>
    <row r="1977" spans="9:12">
      <c r="I1977"/>
      <c r="L1977"/>
    </row>
    <row r="1978" spans="9:12">
      <c r="I1978"/>
      <c r="L1978"/>
    </row>
    <row r="1979" spans="9:12">
      <c r="I1979"/>
      <c r="L1979"/>
    </row>
    <row r="1980" spans="9:12">
      <c r="I1980"/>
      <c r="L1980"/>
    </row>
    <row r="1981" spans="9:12">
      <c r="I1981"/>
      <c r="L1981"/>
    </row>
    <row r="1982" spans="9:12">
      <c r="I1982"/>
      <c r="L1982"/>
    </row>
    <row r="1983" spans="9:12">
      <c r="I1983"/>
      <c r="L1983"/>
    </row>
    <row r="1984" spans="9:12">
      <c r="I1984"/>
      <c r="L1984"/>
    </row>
    <row r="1985" spans="9:12">
      <c r="I1985"/>
      <c r="L1985"/>
    </row>
    <row r="1986" spans="9:12">
      <c r="I1986"/>
      <c r="L1986"/>
    </row>
    <row r="1987" spans="9:12">
      <c r="I1987"/>
      <c r="L1987"/>
    </row>
    <row r="1988" spans="9:12">
      <c r="I1988"/>
      <c r="L1988"/>
    </row>
    <row r="1989" spans="9:12">
      <c r="I1989"/>
      <c r="L1989"/>
    </row>
    <row r="1990" spans="9:12">
      <c r="I1990"/>
      <c r="L1990"/>
    </row>
    <row r="1991" spans="9:12">
      <c r="I1991"/>
      <c r="L1991"/>
    </row>
    <row r="1992" spans="9:12">
      <c r="I1992"/>
      <c r="L1992"/>
    </row>
    <row r="1993" spans="9:12">
      <c r="I1993"/>
      <c r="L1993"/>
    </row>
    <row r="1994" spans="9:12">
      <c r="I1994"/>
      <c r="L1994"/>
    </row>
    <row r="1995" spans="9:12">
      <c r="I1995"/>
      <c r="L1995"/>
    </row>
    <row r="1996" spans="9:12">
      <c r="I1996"/>
      <c r="L1996"/>
    </row>
    <row r="1997" spans="9:12">
      <c r="I1997"/>
      <c r="L1997"/>
    </row>
    <row r="1998" spans="9:12">
      <c r="I1998"/>
      <c r="L1998"/>
    </row>
    <row r="1999" spans="9:12">
      <c r="I1999"/>
      <c r="L1999"/>
    </row>
    <row r="2000" spans="9:12">
      <c r="I2000"/>
      <c r="L2000"/>
    </row>
    <row r="2001" spans="9:12">
      <c r="I2001"/>
      <c r="L2001"/>
    </row>
    <row r="2002" spans="9:12">
      <c r="I2002"/>
      <c r="L2002"/>
    </row>
    <row r="2003" spans="9:12">
      <c r="I2003"/>
      <c r="L2003"/>
    </row>
    <row r="2004" spans="9:12">
      <c r="I2004"/>
      <c r="L2004"/>
    </row>
    <row r="2005" spans="9:12">
      <c r="I2005"/>
      <c r="L2005"/>
    </row>
    <row r="2006" spans="9:12">
      <c r="I2006"/>
      <c r="L2006"/>
    </row>
    <row r="2007" spans="9:12">
      <c r="I2007"/>
      <c r="L2007"/>
    </row>
    <row r="2008" spans="9:12">
      <c r="I2008"/>
      <c r="L2008"/>
    </row>
    <row r="2009" spans="9:12">
      <c r="I2009"/>
      <c r="L2009"/>
    </row>
    <row r="2010" spans="9:12">
      <c r="I2010"/>
      <c r="L2010"/>
    </row>
    <row r="2011" spans="9:12">
      <c r="I2011"/>
      <c r="L2011"/>
    </row>
    <row r="2012" spans="9:12">
      <c r="I2012"/>
      <c r="L2012"/>
    </row>
    <row r="2013" spans="9:12">
      <c r="I2013"/>
      <c r="L2013"/>
    </row>
    <row r="2014" spans="9:12">
      <c r="I2014"/>
      <c r="L2014"/>
    </row>
    <row r="2015" spans="9:12">
      <c r="I2015"/>
      <c r="L2015"/>
    </row>
    <row r="2016" spans="9:12">
      <c r="I2016"/>
      <c r="L2016"/>
    </row>
    <row r="2017" spans="9:12">
      <c r="I2017"/>
      <c r="L2017"/>
    </row>
    <row r="2018" spans="9:12">
      <c r="I2018"/>
      <c r="L2018"/>
    </row>
    <row r="2019" spans="9:12">
      <c r="I2019"/>
      <c r="L2019"/>
    </row>
    <row r="2020" spans="9:12">
      <c r="I2020"/>
      <c r="L2020"/>
    </row>
    <row r="2021" spans="9:12">
      <c r="I2021"/>
      <c r="L2021"/>
    </row>
    <row r="2022" spans="9:12">
      <c r="I2022"/>
      <c r="L2022"/>
    </row>
    <row r="2023" spans="9:12">
      <c r="I2023"/>
      <c r="L2023"/>
    </row>
    <row r="2024" spans="9:12">
      <c r="I2024"/>
      <c r="L2024"/>
    </row>
    <row r="2025" spans="9:12">
      <c r="I2025"/>
      <c r="L2025"/>
    </row>
    <row r="2026" spans="9:12">
      <c r="I2026"/>
      <c r="L2026"/>
    </row>
    <row r="2027" spans="9:12">
      <c r="I2027"/>
      <c r="L2027"/>
    </row>
    <row r="2028" spans="9:12">
      <c r="I2028"/>
      <c r="L2028"/>
    </row>
    <row r="2029" spans="9:12">
      <c r="I2029"/>
      <c r="L2029"/>
    </row>
    <row r="2030" spans="9:12">
      <c r="I2030"/>
      <c r="L2030"/>
    </row>
    <row r="2031" spans="9:12">
      <c r="I2031"/>
      <c r="L2031"/>
    </row>
    <row r="2032" spans="9:12">
      <c r="I2032"/>
      <c r="L2032"/>
    </row>
    <row r="2033" spans="9:12">
      <c r="I2033"/>
      <c r="L2033"/>
    </row>
    <row r="2034" spans="9:12">
      <c r="I2034"/>
      <c r="L2034"/>
    </row>
    <row r="2035" spans="9:12">
      <c r="I2035"/>
      <c r="L2035"/>
    </row>
    <row r="2036" spans="9:12">
      <c r="I2036"/>
      <c r="L2036"/>
    </row>
    <row r="2037" spans="9:12">
      <c r="I2037"/>
      <c r="L2037"/>
    </row>
    <row r="2038" spans="9:12">
      <c r="I2038"/>
      <c r="L2038"/>
    </row>
    <row r="2039" spans="9:12">
      <c r="I2039"/>
      <c r="L2039"/>
    </row>
    <row r="2040" spans="9:12">
      <c r="I2040"/>
      <c r="L2040"/>
    </row>
    <row r="2041" spans="9:12">
      <c r="I2041"/>
      <c r="L2041"/>
    </row>
    <row r="2042" spans="9:12">
      <c r="I2042"/>
      <c r="L2042"/>
    </row>
    <row r="2043" spans="9:12">
      <c r="I2043"/>
      <c r="L2043"/>
    </row>
    <row r="2044" spans="9:12">
      <c r="I2044"/>
      <c r="L2044"/>
    </row>
    <row r="2045" spans="9:12">
      <c r="I2045"/>
      <c r="L2045"/>
    </row>
    <row r="2046" spans="9:12">
      <c r="I2046"/>
      <c r="L2046"/>
    </row>
    <row r="2047" spans="9:12">
      <c r="I2047"/>
      <c r="L2047"/>
    </row>
    <row r="2048" spans="9:12">
      <c r="I2048"/>
      <c r="L2048"/>
    </row>
    <row r="2049" spans="9:12">
      <c r="I2049"/>
      <c r="L2049"/>
    </row>
    <row r="2050" spans="9:12">
      <c r="I2050"/>
      <c r="L2050"/>
    </row>
    <row r="2051" spans="9:12">
      <c r="I2051"/>
      <c r="L2051"/>
    </row>
    <row r="2052" spans="9:12">
      <c r="I2052"/>
      <c r="L2052"/>
    </row>
    <row r="2053" spans="9:12">
      <c r="I2053"/>
      <c r="L2053"/>
    </row>
    <row r="2054" spans="9:12">
      <c r="I2054"/>
      <c r="L2054"/>
    </row>
    <row r="2055" spans="9:12">
      <c r="I2055"/>
      <c r="L2055"/>
    </row>
    <row r="2056" spans="9:12">
      <c r="I2056"/>
      <c r="L2056"/>
    </row>
    <row r="2057" spans="9:12">
      <c r="I2057"/>
      <c r="L2057"/>
    </row>
    <row r="2058" spans="9:12">
      <c r="I2058"/>
      <c r="L2058"/>
    </row>
    <row r="2059" spans="9:12">
      <c r="I2059"/>
      <c r="L2059"/>
    </row>
    <row r="2060" spans="9:12">
      <c r="I2060"/>
      <c r="L2060"/>
    </row>
    <row r="2061" spans="9:12">
      <c r="I2061"/>
      <c r="L2061"/>
    </row>
    <row r="2062" spans="9:12">
      <c r="I2062"/>
      <c r="L2062"/>
    </row>
    <row r="2063" spans="9:12">
      <c r="I2063"/>
      <c r="L2063"/>
    </row>
    <row r="2064" spans="9:12">
      <c r="I2064"/>
      <c r="L2064"/>
    </row>
    <row r="2065" spans="9:12">
      <c r="I2065"/>
      <c r="L2065"/>
    </row>
    <row r="2066" spans="9:12">
      <c r="I2066"/>
      <c r="L2066"/>
    </row>
    <row r="2067" spans="9:12">
      <c r="I2067"/>
      <c r="L2067"/>
    </row>
    <row r="2068" spans="9:12">
      <c r="I2068"/>
      <c r="L2068"/>
    </row>
    <row r="2069" spans="9:12">
      <c r="I2069"/>
      <c r="L2069"/>
    </row>
    <row r="2070" spans="9:12">
      <c r="I2070"/>
      <c r="L2070"/>
    </row>
    <row r="2071" spans="9:12">
      <c r="I2071"/>
      <c r="L2071"/>
    </row>
    <row r="2072" spans="9:12">
      <c r="I2072"/>
      <c r="L2072"/>
    </row>
    <row r="2073" spans="9:12">
      <c r="I2073"/>
      <c r="L2073"/>
    </row>
    <row r="2074" spans="9:12">
      <c r="I2074"/>
      <c r="L2074"/>
    </row>
    <row r="2075" spans="9:12">
      <c r="I2075"/>
      <c r="L2075"/>
    </row>
    <row r="2076" spans="9:12">
      <c r="I2076"/>
      <c r="L2076"/>
    </row>
    <row r="2077" spans="9:12">
      <c r="I2077"/>
      <c r="L2077"/>
    </row>
    <row r="2078" spans="9:12">
      <c r="I2078"/>
      <c r="L2078"/>
    </row>
    <row r="2079" spans="9:12">
      <c r="I2079"/>
      <c r="L2079"/>
    </row>
    <row r="2080" spans="9:12">
      <c r="I2080"/>
      <c r="L2080"/>
    </row>
    <row r="2081" spans="9:12">
      <c r="I2081"/>
      <c r="L2081"/>
    </row>
    <row r="2082" spans="9:12">
      <c r="I2082"/>
      <c r="L2082"/>
    </row>
    <row r="2083" spans="9:12">
      <c r="I2083"/>
      <c r="L2083"/>
    </row>
    <row r="2084" spans="9:12">
      <c r="I2084"/>
      <c r="L2084"/>
    </row>
    <row r="2085" spans="9:12">
      <c r="I2085"/>
      <c r="L2085"/>
    </row>
    <row r="2086" spans="9:12">
      <c r="I2086"/>
      <c r="L2086"/>
    </row>
    <row r="2087" spans="9:12">
      <c r="I2087"/>
      <c r="L2087"/>
    </row>
    <row r="2088" spans="9:12">
      <c r="I2088"/>
      <c r="L2088"/>
    </row>
    <row r="2089" spans="9:12">
      <c r="I2089"/>
      <c r="L2089"/>
    </row>
    <row r="2090" spans="9:12">
      <c r="I2090"/>
      <c r="L2090"/>
    </row>
    <row r="2091" spans="9:12">
      <c r="I2091"/>
      <c r="L2091"/>
    </row>
    <row r="2092" spans="9:12">
      <c r="I2092"/>
      <c r="L2092"/>
    </row>
    <row r="2093" spans="9:12">
      <c r="I2093"/>
      <c r="L2093"/>
    </row>
    <row r="2094" spans="9:12">
      <c r="I2094"/>
      <c r="L2094"/>
    </row>
    <row r="2095" spans="9:12">
      <c r="I2095"/>
      <c r="L2095"/>
    </row>
    <row r="2096" spans="9:12">
      <c r="I2096"/>
      <c r="L2096"/>
    </row>
    <row r="2097" spans="9:12">
      <c r="I2097"/>
      <c r="L2097"/>
    </row>
    <row r="2098" spans="9:12">
      <c r="I2098"/>
      <c r="L2098"/>
    </row>
    <row r="2099" spans="9:12">
      <c r="I2099"/>
      <c r="L2099"/>
    </row>
    <row r="2100" spans="9:12">
      <c r="I2100"/>
      <c r="L2100"/>
    </row>
    <row r="2101" spans="9:12">
      <c r="I2101"/>
      <c r="L2101"/>
    </row>
    <row r="2102" spans="9:12">
      <c r="I2102"/>
      <c r="L2102"/>
    </row>
    <row r="2103" spans="9:12">
      <c r="I2103"/>
      <c r="L2103"/>
    </row>
    <row r="2104" spans="9:12">
      <c r="I2104"/>
      <c r="L2104"/>
    </row>
    <row r="2105" spans="9:12">
      <c r="I2105"/>
      <c r="L2105"/>
    </row>
    <row r="2106" spans="9:12">
      <c r="I2106"/>
      <c r="L2106"/>
    </row>
    <row r="2107" spans="9:12">
      <c r="I2107"/>
      <c r="L2107"/>
    </row>
    <row r="2108" spans="9:12">
      <c r="I2108"/>
      <c r="L2108"/>
    </row>
    <row r="2109" spans="9:12">
      <c r="I2109"/>
      <c r="L2109"/>
    </row>
    <row r="2110" spans="9:12">
      <c r="I2110"/>
      <c r="L2110"/>
    </row>
    <row r="2111" spans="9:12">
      <c r="I2111"/>
      <c r="L2111"/>
    </row>
    <row r="2112" spans="9:12">
      <c r="I2112"/>
      <c r="L2112"/>
    </row>
    <row r="2113" spans="9:12">
      <c r="I2113"/>
      <c r="L2113"/>
    </row>
    <row r="2114" spans="9:12">
      <c r="I2114"/>
      <c r="L2114"/>
    </row>
    <row r="2115" spans="9:12">
      <c r="I2115"/>
      <c r="L2115"/>
    </row>
    <row r="2116" spans="9:12">
      <c r="I2116"/>
      <c r="L2116"/>
    </row>
    <row r="2117" spans="9:12">
      <c r="I2117"/>
      <c r="L2117"/>
    </row>
    <row r="2118" spans="9:12">
      <c r="I2118"/>
      <c r="L2118"/>
    </row>
    <row r="2119" spans="9:12">
      <c r="I2119"/>
      <c r="L2119"/>
    </row>
    <row r="2120" spans="9:12">
      <c r="I2120"/>
      <c r="L2120"/>
    </row>
    <row r="2121" spans="9:12">
      <c r="I2121"/>
      <c r="L2121"/>
    </row>
    <row r="2122" spans="9:12">
      <c r="I2122"/>
      <c r="L2122"/>
    </row>
    <row r="2123" spans="9:12">
      <c r="I2123"/>
      <c r="L2123"/>
    </row>
    <row r="2124" spans="9:12">
      <c r="I2124"/>
      <c r="L2124"/>
    </row>
    <row r="2125" spans="9:12">
      <c r="I2125"/>
      <c r="L2125"/>
    </row>
    <row r="2126" spans="9:12">
      <c r="I2126"/>
      <c r="L2126"/>
    </row>
    <row r="2127" spans="9:12">
      <c r="I2127"/>
      <c r="L2127"/>
    </row>
    <row r="2128" spans="9:12">
      <c r="I2128"/>
      <c r="L2128"/>
    </row>
    <row r="2129" spans="9:12">
      <c r="I2129"/>
      <c r="L2129"/>
    </row>
    <row r="2130" spans="9:12">
      <c r="I2130"/>
      <c r="L2130"/>
    </row>
    <row r="2131" spans="9:12">
      <c r="I2131"/>
      <c r="L2131"/>
    </row>
    <row r="2132" spans="9:12">
      <c r="I2132"/>
      <c r="L2132"/>
    </row>
    <row r="2133" spans="9:12">
      <c r="I2133"/>
      <c r="L2133"/>
    </row>
    <row r="2134" spans="9:12">
      <c r="I2134"/>
      <c r="L2134"/>
    </row>
    <row r="2135" spans="9:12">
      <c r="I2135"/>
      <c r="L2135"/>
    </row>
    <row r="2136" spans="9:12">
      <c r="I2136"/>
      <c r="L2136"/>
    </row>
    <row r="2137" spans="9:12">
      <c r="I2137"/>
      <c r="L2137"/>
    </row>
    <row r="2138" spans="9:12">
      <c r="I2138"/>
      <c r="L2138"/>
    </row>
    <row r="2139" spans="9:12">
      <c r="I2139"/>
      <c r="L2139"/>
    </row>
    <row r="2140" spans="9:12">
      <c r="I2140"/>
      <c r="L2140"/>
    </row>
    <row r="2141" spans="9:12">
      <c r="I2141"/>
      <c r="L2141"/>
    </row>
    <row r="2142" spans="9:12">
      <c r="I2142"/>
      <c r="L2142"/>
    </row>
    <row r="2143" spans="9:12">
      <c r="I2143"/>
      <c r="L2143"/>
    </row>
    <row r="2144" spans="9:12">
      <c r="I2144"/>
      <c r="L2144"/>
    </row>
    <row r="2145" spans="9:12">
      <c r="I2145"/>
      <c r="L2145"/>
    </row>
    <row r="2146" spans="9:12">
      <c r="I2146"/>
      <c r="L2146"/>
    </row>
    <row r="2147" spans="9:12">
      <c r="I2147"/>
      <c r="L2147"/>
    </row>
    <row r="2148" spans="9:12">
      <c r="I2148"/>
      <c r="L2148"/>
    </row>
    <row r="2149" spans="9:12">
      <c r="I2149"/>
      <c r="L2149"/>
    </row>
    <row r="2150" spans="9:12">
      <c r="I2150"/>
      <c r="L2150"/>
    </row>
    <row r="2151" spans="9:12">
      <c r="I2151"/>
      <c r="L2151"/>
    </row>
    <row r="2152" spans="9:12">
      <c r="I2152"/>
      <c r="L2152"/>
    </row>
    <row r="2153" spans="9:12">
      <c r="I2153"/>
      <c r="L2153"/>
    </row>
    <row r="2154" spans="9:12">
      <c r="I2154"/>
      <c r="L2154"/>
    </row>
    <row r="2155" spans="9:12">
      <c r="I2155"/>
      <c r="L2155"/>
    </row>
    <row r="2156" spans="9:12">
      <c r="I2156"/>
      <c r="L2156"/>
    </row>
    <row r="2157" spans="9:12">
      <c r="I2157"/>
      <c r="L2157"/>
    </row>
    <row r="2158" spans="9:12">
      <c r="I2158"/>
      <c r="L2158"/>
    </row>
    <row r="2159" spans="9:12">
      <c r="I2159"/>
      <c r="L2159"/>
    </row>
    <row r="2160" spans="9:12">
      <c r="I2160"/>
      <c r="L2160"/>
    </row>
    <row r="2161" spans="9:12">
      <c r="I2161"/>
      <c r="L2161"/>
    </row>
    <row r="2162" spans="9:12">
      <c r="I2162"/>
      <c r="L2162"/>
    </row>
    <row r="2163" spans="9:12">
      <c r="I2163"/>
      <c r="L2163"/>
    </row>
    <row r="2164" spans="9:12">
      <c r="I2164"/>
      <c r="L2164"/>
    </row>
    <row r="2165" spans="9:12">
      <c r="I2165"/>
      <c r="L2165"/>
    </row>
    <row r="2166" spans="9:12">
      <c r="I2166"/>
      <c r="L2166"/>
    </row>
    <row r="2167" spans="9:12">
      <c r="I2167"/>
      <c r="L2167"/>
    </row>
    <row r="2168" spans="9:12">
      <c r="I2168"/>
      <c r="L2168"/>
    </row>
    <row r="2169" spans="9:12">
      <c r="I2169"/>
      <c r="L2169"/>
    </row>
    <row r="2170" spans="9:12">
      <c r="I2170"/>
      <c r="L2170"/>
    </row>
    <row r="2171" spans="9:12">
      <c r="I2171"/>
      <c r="L2171"/>
    </row>
    <row r="2172" spans="9:12">
      <c r="I2172"/>
      <c r="L2172"/>
    </row>
    <row r="2173" spans="9:12">
      <c r="I2173"/>
      <c r="L2173"/>
    </row>
    <row r="2174" spans="9:12">
      <c r="I2174"/>
      <c r="L2174"/>
    </row>
    <row r="2175" spans="9:12">
      <c r="I2175"/>
      <c r="L2175"/>
    </row>
    <row r="2176" spans="9:12">
      <c r="I2176"/>
      <c r="L2176"/>
    </row>
    <row r="2177" spans="9:12">
      <c r="I2177"/>
      <c r="L2177"/>
    </row>
    <row r="2178" spans="9:12">
      <c r="I2178"/>
      <c r="L2178"/>
    </row>
    <row r="2179" spans="9:12">
      <c r="I2179"/>
      <c r="L2179"/>
    </row>
    <row r="2180" spans="9:12">
      <c r="I2180"/>
      <c r="L2180"/>
    </row>
    <row r="2181" spans="9:12">
      <c r="I2181"/>
      <c r="L2181"/>
    </row>
    <row r="2182" spans="9:12">
      <c r="I2182"/>
      <c r="L2182"/>
    </row>
    <row r="2183" spans="9:12">
      <c r="I2183"/>
      <c r="L2183"/>
    </row>
    <row r="2184" spans="9:12">
      <c r="I2184"/>
      <c r="L2184"/>
    </row>
    <row r="2185" spans="9:12">
      <c r="I2185"/>
      <c r="L2185"/>
    </row>
    <row r="2186" spans="9:12">
      <c r="I2186"/>
      <c r="L2186"/>
    </row>
    <row r="2187" spans="9:12">
      <c r="I2187"/>
      <c r="L2187"/>
    </row>
    <row r="2188" spans="9:12">
      <c r="I2188"/>
      <c r="L2188"/>
    </row>
    <row r="2189" spans="9:12">
      <c r="I2189"/>
      <c r="L2189"/>
    </row>
    <row r="2190" spans="9:12">
      <c r="I2190"/>
      <c r="L2190"/>
    </row>
    <row r="2191" spans="9:12">
      <c r="I2191"/>
      <c r="L2191"/>
    </row>
    <row r="2192" spans="9:12">
      <c r="I2192"/>
      <c r="L2192"/>
    </row>
    <row r="2193" spans="9:12">
      <c r="I2193"/>
      <c r="L2193"/>
    </row>
    <row r="2194" spans="9:12">
      <c r="I2194"/>
      <c r="L2194"/>
    </row>
    <row r="2195" spans="9:12">
      <c r="I2195"/>
      <c r="L2195"/>
    </row>
    <row r="2196" spans="9:12">
      <c r="I2196"/>
      <c r="L2196"/>
    </row>
    <row r="2197" spans="9:12">
      <c r="I2197"/>
      <c r="L2197"/>
    </row>
    <row r="2198" spans="9:12">
      <c r="I2198"/>
      <c r="L2198"/>
    </row>
    <row r="2199" spans="9:12">
      <c r="I2199"/>
      <c r="L2199"/>
    </row>
    <row r="2200" spans="9:12">
      <c r="I2200"/>
      <c r="L2200"/>
    </row>
    <row r="2201" spans="9:12">
      <c r="I2201"/>
      <c r="L2201"/>
    </row>
    <row r="2202" spans="9:12">
      <c r="I2202"/>
      <c r="L2202"/>
    </row>
    <row r="2203" spans="9:12">
      <c r="I2203"/>
      <c r="L2203"/>
    </row>
    <row r="2204" spans="9:12">
      <c r="I2204"/>
      <c r="L2204"/>
    </row>
    <row r="2205" spans="9:12">
      <c r="I2205"/>
      <c r="L2205"/>
    </row>
    <row r="2206" spans="9:12">
      <c r="I2206"/>
      <c r="L2206"/>
    </row>
    <row r="2207" spans="9:12">
      <c r="I2207"/>
      <c r="L2207"/>
    </row>
    <row r="2208" spans="9:12">
      <c r="I2208"/>
      <c r="L2208"/>
    </row>
    <row r="2209" spans="9:12">
      <c r="I2209"/>
      <c r="L2209"/>
    </row>
    <row r="2210" spans="9:12">
      <c r="I2210"/>
      <c r="L2210"/>
    </row>
    <row r="2211" spans="9:12">
      <c r="I2211"/>
      <c r="L2211"/>
    </row>
    <row r="2212" spans="9:12">
      <c r="I2212"/>
      <c r="L2212"/>
    </row>
    <row r="2213" spans="9:12">
      <c r="I2213"/>
      <c r="L2213"/>
    </row>
    <row r="2214" spans="9:12">
      <c r="I2214"/>
      <c r="L2214"/>
    </row>
    <row r="2215" spans="9:12">
      <c r="I2215"/>
      <c r="L2215"/>
    </row>
    <row r="2216" spans="9:12">
      <c r="I2216"/>
      <c r="L2216"/>
    </row>
    <row r="2217" spans="9:12">
      <c r="I2217"/>
      <c r="L2217"/>
    </row>
    <row r="2218" spans="9:12">
      <c r="I2218"/>
      <c r="L2218"/>
    </row>
    <row r="2219" spans="9:12">
      <c r="I2219"/>
      <c r="L2219"/>
    </row>
    <row r="2220" spans="9:12">
      <c r="I2220"/>
      <c r="L2220"/>
    </row>
    <row r="2221" spans="9:12">
      <c r="I2221"/>
      <c r="L2221"/>
    </row>
    <row r="2222" spans="9:12">
      <c r="I2222"/>
      <c r="L2222"/>
    </row>
    <row r="2223" spans="9:12">
      <c r="I2223"/>
      <c r="L2223"/>
    </row>
    <row r="2224" spans="9:12">
      <c r="I2224"/>
      <c r="L2224"/>
    </row>
    <row r="2225" spans="9:12">
      <c r="I2225"/>
      <c r="L2225"/>
    </row>
    <row r="2226" spans="9:12">
      <c r="I2226"/>
      <c r="L2226"/>
    </row>
    <row r="2227" spans="9:12">
      <c r="I2227"/>
      <c r="L2227"/>
    </row>
    <row r="2228" spans="9:12">
      <c r="I2228"/>
      <c r="L2228"/>
    </row>
    <row r="2229" spans="9:12">
      <c r="I2229"/>
      <c r="L2229"/>
    </row>
    <row r="2230" spans="9:12">
      <c r="I2230"/>
      <c r="L2230"/>
    </row>
    <row r="2231" spans="9:12">
      <c r="I2231"/>
      <c r="L2231"/>
    </row>
    <row r="2232" spans="9:12">
      <c r="I2232"/>
      <c r="L2232"/>
    </row>
    <row r="2233" spans="9:12">
      <c r="I2233"/>
      <c r="L2233"/>
    </row>
    <row r="2234" spans="9:12">
      <c r="I2234"/>
      <c r="L2234"/>
    </row>
    <row r="2235" spans="9:12">
      <c r="I2235"/>
      <c r="L2235"/>
    </row>
    <row r="2236" spans="9:12">
      <c r="I2236"/>
      <c r="L2236"/>
    </row>
    <row r="2237" spans="9:12">
      <c r="I2237"/>
      <c r="L2237"/>
    </row>
    <row r="2238" spans="9:12">
      <c r="I2238"/>
      <c r="L2238"/>
    </row>
    <row r="2239" spans="9:12">
      <c r="I2239"/>
      <c r="L2239"/>
    </row>
    <row r="2240" spans="9:12">
      <c r="I2240"/>
      <c r="L2240"/>
    </row>
    <row r="2241" spans="9:12">
      <c r="I2241"/>
      <c r="L2241"/>
    </row>
    <row r="2242" spans="9:12">
      <c r="I2242"/>
      <c r="L2242"/>
    </row>
    <row r="2243" spans="9:12">
      <c r="I2243"/>
      <c r="L2243"/>
    </row>
    <row r="2244" spans="9:12">
      <c r="I2244"/>
      <c r="L2244"/>
    </row>
    <row r="2245" spans="9:12">
      <c r="I2245"/>
      <c r="L2245"/>
    </row>
    <row r="2246" spans="9:12">
      <c r="I2246"/>
      <c r="L2246"/>
    </row>
    <row r="2247" spans="9:12">
      <c r="I2247"/>
      <c r="L2247"/>
    </row>
    <row r="2248" spans="9:12">
      <c r="I2248"/>
      <c r="L2248"/>
    </row>
    <row r="2249" spans="9:12">
      <c r="I2249"/>
      <c r="L2249"/>
    </row>
    <row r="2250" spans="9:12">
      <c r="I2250"/>
      <c r="L2250"/>
    </row>
    <row r="2251" spans="9:12">
      <c r="I2251"/>
      <c r="L2251"/>
    </row>
    <row r="2252" spans="9:12">
      <c r="I2252"/>
      <c r="L2252"/>
    </row>
    <row r="2253" spans="9:12">
      <c r="I2253"/>
      <c r="L2253"/>
    </row>
    <row r="2254" spans="9:12">
      <c r="I2254"/>
      <c r="L2254"/>
    </row>
    <row r="2255" spans="9:12">
      <c r="I2255"/>
      <c r="L2255"/>
    </row>
    <row r="2256" spans="9:12">
      <c r="I2256"/>
      <c r="L2256"/>
    </row>
    <row r="2257" spans="9:12">
      <c r="I2257"/>
      <c r="L2257"/>
    </row>
    <row r="2258" spans="9:12">
      <c r="I2258"/>
      <c r="L2258"/>
    </row>
    <row r="2259" spans="9:12">
      <c r="I2259"/>
      <c r="L2259"/>
    </row>
    <row r="2260" spans="9:12">
      <c r="I2260"/>
      <c r="L2260"/>
    </row>
    <row r="2261" spans="9:12">
      <c r="I2261"/>
      <c r="L2261"/>
    </row>
    <row r="2262" spans="9:12">
      <c r="I2262"/>
      <c r="L2262"/>
    </row>
    <row r="2263" spans="9:12">
      <c r="I2263"/>
      <c r="L2263"/>
    </row>
    <row r="2264" spans="9:12">
      <c r="I2264"/>
      <c r="L2264"/>
    </row>
    <row r="2265" spans="9:12">
      <c r="I2265"/>
      <c r="L2265"/>
    </row>
    <row r="2266" spans="9:12">
      <c r="I2266"/>
      <c r="L2266"/>
    </row>
    <row r="2267" spans="9:12">
      <c r="I2267"/>
      <c r="L2267"/>
    </row>
    <row r="2268" spans="9:12">
      <c r="I2268"/>
      <c r="L2268"/>
    </row>
    <row r="2269" spans="9:12">
      <c r="I2269"/>
      <c r="L2269"/>
    </row>
    <row r="2270" spans="9:12">
      <c r="I2270"/>
      <c r="L2270"/>
    </row>
    <row r="2271" spans="9:12">
      <c r="I2271"/>
      <c r="L2271"/>
    </row>
    <row r="2272" spans="9:12">
      <c r="I2272"/>
      <c r="L2272"/>
    </row>
    <row r="2273" spans="9:12">
      <c r="I2273"/>
      <c r="L2273"/>
    </row>
    <row r="2274" spans="9:12">
      <c r="I2274"/>
      <c r="L2274"/>
    </row>
    <row r="2275" spans="9:12">
      <c r="I2275"/>
      <c r="L2275"/>
    </row>
    <row r="2276" spans="9:12">
      <c r="I2276"/>
      <c r="L2276"/>
    </row>
    <row r="2277" spans="9:12">
      <c r="I2277"/>
      <c r="L2277"/>
    </row>
    <row r="2278" spans="9:12">
      <c r="I2278"/>
      <c r="L2278"/>
    </row>
    <row r="2279" spans="9:12">
      <c r="I2279"/>
      <c r="L2279"/>
    </row>
    <row r="2280" spans="9:12">
      <c r="I2280"/>
      <c r="L2280"/>
    </row>
    <row r="2281" spans="9:12">
      <c r="I2281"/>
      <c r="L2281"/>
    </row>
    <row r="2282" spans="9:12">
      <c r="I2282"/>
      <c r="L2282"/>
    </row>
    <row r="2283" spans="9:12">
      <c r="I2283"/>
      <c r="L2283"/>
    </row>
    <row r="2284" spans="9:12">
      <c r="I2284"/>
      <c r="L2284"/>
    </row>
    <row r="2285" spans="9:12">
      <c r="I2285"/>
      <c r="L2285"/>
    </row>
    <row r="2286" spans="9:12">
      <c r="I2286"/>
      <c r="L2286"/>
    </row>
    <row r="2287" spans="9:12">
      <c r="I2287"/>
      <c r="L2287"/>
    </row>
    <row r="2288" spans="9:12">
      <c r="I2288"/>
      <c r="L2288"/>
    </row>
    <row r="2289" spans="9:12">
      <c r="I2289"/>
      <c r="L2289"/>
    </row>
    <row r="2290" spans="9:12">
      <c r="I2290"/>
      <c r="L2290"/>
    </row>
    <row r="2291" spans="9:12">
      <c r="I2291"/>
      <c r="L2291"/>
    </row>
    <row r="2292" spans="9:12">
      <c r="I2292"/>
      <c r="L2292"/>
    </row>
    <row r="2293" spans="9:12">
      <c r="I2293"/>
      <c r="L2293"/>
    </row>
    <row r="2294" spans="9:12">
      <c r="I2294"/>
      <c r="L2294"/>
    </row>
    <row r="2295" spans="9:12">
      <c r="I2295"/>
      <c r="L2295"/>
    </row>
    <row r="2296" spans="9:12">
      <c r="I2296"/>
      <c r="L2296"/>
    </row>
    <row r="2297" spans="9:12">
      <c r="I2297"/>
      <c r="L2297"/>
    </row>
    <row r="2298" spans="9:12">
      <c r="I2298"/>
      <c r="L2298"/>
    </row>
    <row r="2299" spans="9:12">
      <c r="I2299"/>
      <c r="L2299"/>
    </row>
    <row r="2300" spans="9:12">
      <c r="I2300"/>
      <c r="L2300"/>
    </row>
    <row r="2301" spans="9:12">
      <c r="I2301"/>
      <c r="L2301"/>
    </row>
    <row r="2302" spans="9:12">
      <c r="I2302"/>
      <c r="L2302"/>
    </row>
    <row r="2303" spans="9:12">
      <c r="I2303"/>
      <c r="L2303"/>
    </row>
    <row r="2304" spans="9:12">
      <c r="I2304"/>
      <c r="L2304"/>
    </row>
    <row r="2305" spans="9:12">
      <c r="I2305"/>
      <c r="L2305"/>
    </row>
    <row r="2306" spans="9:12">
      <c r="I2306"/>
      <c r="L2306"/>
    </row>
    <row r="2307" spans="9:12">
      <c r="I2307"/>
      <c r="L2307"/>
    </row>
    <row r="2308" spans="9:12">
      <c r="I2308"/>
      <c r="L2308"/>
    </row>
    <row r="2309" spans="9:12">
      <c r="I2309"/>
      <c r="L2309"/>
    </row>
    <row r="2310" spans="9:12">
      <c r="I2310"/>
      <c r="L2310"/>
    </row>
    <row r="2311" spans="9:12">
      <c r="I2311"/>
      <c r="L2311"/>
    </row>
    <row r="2312" spans="9:12">
      <c r="I2312"/>
      <c r="L2312"/>
    </row>
    <row r="2313" spans="9:12">
      <c r="I2313"/>
      <c r="L2313"/>
    </row>
    <row r="2314" spans="9:12">
      <c r="I2314"/>
      <c r="L2314"/>
    </row>
    <row r="2315" spans="9:12">
      <c r="I2315"/>
      <c r="L2315"/>
    </row>
    <row r="2316" spans="9:12">
      <c r="I2316"/>
      <c r="L2316"/>
    </row>
    <row r="2317" spans="9:12">
      <c r="I2317"/>
      <c r="L2317"/>
    </row>
    <row r="2318" spans="9:12">
      <c r="I2318"/>
      <c r="L2318"/>
    </row>
    <row r="2319" spans="9:12">
      <c r="I2319"/>
      <c r="L2319"/>
    </row>
    <row r="2320" spans="9:12">
      <c r="I2320"/>
      <c r="L2320"/>
    </row>
    <row r="2321" spans="9:12">
      <c r="I2321"/>
      <c r="L2321"/>
    </row>
    <row r="2322" spans="9:12">
      <c r="I2322"/>
      <c r="L2322"/>
    </row>
    <row r="2323" spans="9:12">
      <c r="I2323"/>
      <c r="L2323"/>
    </row>
    <row r="2324" spans="9:12">
      <c r="I2324"/>
      <c r="L2324"/>
    </row>
    <row r="2325" spans="9:12">
      <c r="I2325"/>
      <c r="L2325"/>
    </row>
    <row r="2326" spans="9:12">
      <c r="I2326"/>
      <c r="L2326"/>
    </row>
    <row r="2327" spans="9:12">
      <c r="I2327"/>
      <c r="L2327"/>
    </row>
    <row r="2328" spans="9:12">
      <c r="I2328"/>
      <c r="L2328"/>
    </row>
    <row r="2329" spans="9:12">
      <c r="I2329"/>
      <c r="L2329"/>
    </row>
    <row r="2330" spans="9:12">
      <c r="I2330"/>
      <c r="L2330"/>
    </row>
    <row r="2331" spans="9:12">
      <c r="I2331"/>
      <c r="L2331"/>
    </row>
    <row r="2332" spans="9:12">
      <c r="I2332"/>
      <c r="L2332"/>
    </row>
    <row r="2333" spans="9:12">
      <c r="I2333"/>
      <c r="L2333"/>
    </row>
    <row r="2334" spans="9:12">
      <c r="I2334"/>
      <c r="L2334"/>
    </row>
    <row r="2335" spans="9:12">
      <c r="I2335"/>
      <c r="L2335"/>
    </row>
    <row r="2336" spans="9:12">
      <c r="I2336"/>
      <c r="L2336"/>
    </row>
    <row r="2337" spans="9:12">
      <c r="I2337"/>
      <c r="L2337"/>
    </row>
    <row r="2338" spans="9:12">
      <c r="I2338"/>
      <c r="L2338"/>
    </row>
    <row r="2339" spans="9:12">
      <c r="I2339"/>
      <c r="L2339"/>
    </row>
    <row r="2340" spans="9:12">
      <c r="I2340"/>
      <c r="L2340"/>
    </row>
    <row r="2341" spans="9:12">
      <c r="I2341"/>
      <c r="L2341"/>
    </row>
    <row r="2342" spans="9:12">
      <c r="I2342"/>
      <c r="L2342"/>
    </row>
    <row r="2343" spans="9:12">
      <c r="I2343"/>
      <c r="L2343"/>
    </row>
    <row r="2344" spans="9:12">
      <c r="I2344"/>
      <c r="L2344"/>
    </row>
    <row r="2345" spans="9:12">
      <c r="I2345"/>
      <c r="L2345"/>
    </row>
    <row r="2346" spans="9:12">
      <c r="I2346"/>
      <c r="L2346"/>
    </row>
    <row r="2347" spans="9:12">
      <c r="I2347"/>
      <c r="L2347"/>
    </row>
    <row r="2348" spans="9:12">
      <c r="I2348"/>
      <c r="L2348"/>
    </row>
    <row r="2349" spans="9:12">
      <c r="I2349"/>
      <c r="L2349"/>
    </row>
    <row r="2350" spans="9:12">
      <c r="I2350"/>
      <c r="L2350"/>
    </row>
    <row r="2351" spans="9:12">
      <c r="I2351"/>
      <c r="L2351"/>
    </row>
    <row r="2352" spans="9:12">
      <c r="I2352"/>
      <c r="L2352"/>
    </row>
    <row r="2353" spans="9:12">
      <c r="I2353"/>
      <c r="L2353"/>
    </row>
    <row r="2354" spans="9:12">
      <c r="I2354"/>
      <c r="L2354"/>
    </row>
    <row r="2355" spans="9:12">
      <c r="I2355"/>
      <c r="L2355"/>
    </row>
    <row r="2356" spans="9:12">
      <c r="I2356"/>
      <c r="L2356"/>
    </row>
    <row r="2357" spans="9:12">
      <c r="I2357"/>
      <c r="L2357"/>
    </row>
    <row r="2358" spans="9:12">
      <c r="I2358"/>
      <c r="L2358"/>
    </row>
    <row r="2359" spans="9:12">
      <c r="I2359"/>
      <c r="L2359"/>
    </row>
    <row r="2360" spans="9:12">
      <c r="I2360"/>
      <c r="L2360"/>
    </row>
    <row r="2361" spans="9:12">
      <c r="I2361"/>
      <c r="L2361"/>
    </row>
    <row r="2362" spans="9:12">
      <c r="I2362"/>
      <c r="L2362"/>
    </row>
    <row r="2363" spans="9:12">
      <c r="I2363"/>
      <c r="L2363"/>
    </row>
    <row r="2364" spans="9:12">
      <c r="I2364"/>
      <c r="L2364"/>
    </row>
    <row r="2365" spans="9:12">
      <c r="I2365"/>
      <c r="L2365"/>
    </row>
    <row r="2366" spans="9:12">
      <c r="I2366"/>
      <c r="L2366"/>
    </row>
    <row r="2367" spans="9:12">
      <c r="I2367"/>
      <c r="L2367"/>
    </row>
    <row r="2368" spans="9:12">
      <c r="I2368"/>
      <c r="L2368"/>
    </row>
    <row r="2369" spans="9:12">
      <c r="I2369"/>
      <c r="L2369"/>
    </row>
    <row r="2370" spans="9:12">
      <c r="I2370"/>
      <c r="L2370"/>
    </row>
    <row r="2371" spans="9:12">
      <c r="I2371"/>
      <c r="L2371"/>
    </row>
    <row r="2372" spans="9:12">
      <c r="I2372"/>
      <c r="L2372"/>
    </row>
    <row r="2373" spans="9:12">
      <c r="I2373"/>
      <c r="L2373"/>
    </row>
    <row r="2374" spans="9:12">
      <c r="I2374"/>
      <c r="L2374"/>
    </row>
    <row r="2375" spans="9:12">
      <c r="I2375"/>
      <c r="L2375"/>
    </row>
    <row r="2376" spans="9:12">
      <c r="I2376"/>
      <c r="L2376"/>
    </row>
    <row r="2377" spans="9:12">
      <c r="I2377"/>
      <c r="L2377"/>
    </row>
    <row r="2378" spans="9:12">
      <c r="I2378"/>
      <c r="L2378"/>
    </row>
    <row r="2379" spans="9:12">
      <c r="I2379"/>
      <c r="L2379"/>
    </row>
    <row r="2380" spans="9:12">
      <c r="I2380"/>
      <c r="L2380"/>
    </row>
    <row r="2381" spans="9:12">
      <c r="I2381"/>
      <c r="L2381"/>
    </row>
    <row r="2382" spans="9:12">
      <c r="I2382"/>
      <c r="L2382"/>
    </row>
    <row r="2383" spans="9:12">
      <c r="I2383"/>
      <c r="L2383"/>
    </row>
    <row r="2384" spans="9:12">
      <c r="I2384"/>
      <c r="L2384"/>
    </row>
    <row r="2385" spans="9:12">
      <c r="I2385"/>
      <c r="L2385"/>
    </row>
    <row r="2386" spans="9:12">
      <c r="I2386"/>
      <c r="L2386"/>
    </row>
    <row r="2387" spans="9:12">
      <c r="I2387"/>
      <c r="L2387"/>
    </row>
    <row r="2388" spans="9:12">
      <c r="I2388"/>
      <c r="L2388"/>
    </row>
    <row r="2389" spans="9:12">
      <c r="I2389"/>
      <c r="L2389"/>
    </row>
    <row r="2390" spans="9:12">
      <c r="I2390"/>
      <c r="L2390"/>
    </row>
    <row r="2391" spans="9:12">
      <c r="I2391"/>
      <c r="L2391"/>
    </row>
    <row r="2392" spans="9:12">
      <c r="I2392"/>
      <c r="L2392"/>
    </row>
    <row r="2393" spans="9:12">
      <c r="I2393"/>
      <c r="L2393"/>
    </row>
    <row r="2394" spans="9:12">
      <c r="I2394"/>
      <c r="L2394"/>
    </row>
    <row r="2395" spans="9:12">
      <c r="I2395"/>
      <c r="L2395"/>
    </row>
    <row r="2396" spans="9:12">
      <c r="I2396"/>
      <c r="L2396"/>
    </row>
    <row r="2397" spans="9:12">
      <c r="I2397"/>
      <c r="L2397"/>
    </row>
    <row r="2398" spans="9:12">
      <c r="I2398"/>
      <c r="L2398"/>
    </row>
    <row r="2399" spans="9:12">
      <c r="I2399"/>
      <c r="L2399"/>
    </row>
    <row r="2400" spans="9:12">
      <c r="I2400"/>
      <c r="L2400"/>
    </row>
    <row r="2401" spans="9:12">
      <c r="I2401"/>
      <c r="L2401"/>
    </row>
    <row r="2402" spans="9:12">
      <c r="I2402"/>
      <c r="L2402"/>
    </row>
    <row r="2403" spans="9:12">
      <c r="I2403"/>
      <c r="L2403"/>
    </row>
    <row r="2404" spans="9:12">
      <c r="I2404"/>
      <c r="L2404"/>
    </row>
    <row r="2405" spans="9:12">
      <c r="I2405"/>
      <c r="L2405"/>
    </row>
    <row r="2406" spans="9:12">
      <c r="I2406"/>
      <c r="L2406"/>
    </row>
    <row r="2407" spans="9:12">
      <c r="I2407"/>
      <c r="L2407"/>
    </row>
    <row r="2408" spans="9:12">
      <c r="I2408"/>
      <c r="L2408"/>
    </row>
    <row r="2409" spans="9:12">
      <c r="I2409"/>
      <c r="L2409"/>
    </row>
    <row r="2410" spans="9:12">
      <c r="I2410"/>
      <c r="L2410"/>
    </row>
    <row r="2411" spans="9:12">
      <c r="I2411"/>
      <c r="L2411"/>
    </row>
    <row r="2412" spans="9:12">
      <c r="I2412"/>
      <c r="L2412"/>
    </row>
    <row r="2413" spans="9:12">
      <c r="I2413"/>
      <c r="L2413"/>
    </row>
    <row r="2414" spans="9:12">
      <c r="I2414"/>
      <c r="L2414"/>
    </row>
    <row r="2415" spans="9:12">
      <c r="I2415"/>
      <c r="L2415"/>
    </row>
    <row r="2416" spans="9:12">
      <c r="I2416"/>
      <c r="L2416"/>
    </row>
    <row r="2417" spans="9:12">
      <c r="I2417"/>
      <c r="L2417"/>
    </row>
    <row r="2418" spans="9:12">
      <c r="I2418"/>
      <c r="L2418"/>
    </row>
    <row r="2419" spans="9:12">
      <c r="I2419"/>
      <c r="L2419"/>
    </row>
    <row r="2420" spans="9:12">
      <c r="I2420"/>
      <c r="L2420"/>
    </row>
    <row r="2421" spans="9:12">
      <c r="I2421"/>
      <c r="L2421"/>
    </row>
    <row r="2422" spans="9:12">
      <c r="I2422"/>
      <c r="L2422"/>
    </row>
    <row r="2423" spans="9:12">
      <c r="I2423"/>
      <c r="L2423"/>
    </row>
    <row r="2424" spans="9:12">
      <c r="I2424"/>
      <c r="L2424"/>
    </row>
    <row r="2425" spans="9:12">
      <c r="I2425"/>
      <c r="L2425"/>
    </row>
    <row r="2426" spans="9:12">
      <c r="I2426"/>
      <c r="L2426"/>
    </row>
    <row r="2427" spans="9:12">
      <c r="I2427"/>
      <c r="L2427"/>
    </row>
    <row r="2428" spans="9:12">
      <c r="I2428"/>
      <c r="L2428"/>
    </row>
    <row r="2429" spans="9:12">
      <c r="I2429"/>
      <c r="L2429"/>
    </row>
    <row r="2430" spans="9:12">
      <c r="I2430"/>
      <c r="L2430"/>
    </row>
    <row r="2431" spans="9:12">
      <c r="I2431"/>
      <c r="L2431"/>
    </row>
    <row r="2432" spans="9:12">
      <c r="I2432"/>
      <c r="L2432"/>
    </row>
    <row r="2433" spans="9:12">
      <c r="I2433"/>
      <c r="L2433"/>
    </row>
    <row r="2434" spans="9:12">
      <c r="I2434"/>
      <c r="L2434"/>
    </row>
    <row r="2435" spans="9:12">
      <c r="I2435"/>
      <c r="L2435"/>
    </row>
    <row r="2436" spans="9:12">
      <c r="I2436"/>
      <c r="L2436"/>
    </row>
    <row r="2437" spans="9:12">
      <c r="I2437"/>
      <c r="L2437"/>
    </row>
    <row r="2438" spans="9:12">
      <c r="I2438"/>
      <c r="L2438"/>
    </row>
    <row r="2439" spans="9:12">
      <c r="I2439"/>
      <c r="L2439"/>
    </row>
    <row r="2440" spans="9:12">
      <c r="I2440"/>
      <c r="L2440"/>
    </row>
    <row r="2441" spans="9:12">
      <c r="I2441"/>
      <c r="L2441"/>
    </row>
    <row r="2442" spans="9:12">
      <c r="I2442"/>
      <c r="L2442"/>
    </row>
    <row r="2443" spans="9:12">
      <c r="I2443"/>
      <c r="L2443"/>
    </row>
    <row r="2444" spans="9:12">
      <c r="I2444"/>
      <c r="L2444"/>
    </row>
    <row r="2445" spans="9:12">
      <c r="I2445"/>
      <c r="L2445"/>
    </row>
    <row r="2446" spans="9:12">
      <c r="I2446"/>
      <c r="L2446"/>
    </row>
    <row r="2447" spans="9:12">
      <c r="I2447"/>
      <c r="L2447"/>
    </row>
    <row r="2448" spans="9:12">
      <c r="I2448"/>
      <c r="L2448"/>
    </row>
    <row r="2449" spans="9:12">
      <c r="I2449"/>
      <c r="L2449"/>
    </row>
    <row r="2450" spans="9:12">
      <c r="I2450"/>
      <c r="L2450"/>
    </row>
    <row r="2451" spans="9:12">
      <c r="I2451"/>
      <c r="L2451"/>
    </row>
    <row r="2452" spans="9:12">
      <c r="I2452"/>
      <c r="L2452"/>
    </row>
    <row r="2453" spans="9:12">
      <c r="I2453"/>
      <c r="L2453"/>
    </row>
    <row r="2454" spans="9:12">
      <c r="I2454"/>
      <c r="L2454"/>
    </row>
    <row r="2455" spans="9:12">
      <c r="I2455"/>
      <c r="L2455"/>
    </row>
    <row r="2456" spans="9:12">
      <c r="I2456"/>
      <c r="L2456"/>
    </row>
    <row r="2457" spans="9:12">
      <c r="I2457"/>
      <c r="L2457"/>
    </row>
    <row r="2458" spans="9:12">
      <c r="I2458"/>
      <c r="L2458"/>
    </row>
    <row r="2459" spans="9:12">
      <c r="I2459"/>
      <c r="L2459"/>
    </row>
    <row r="2460" spans="9:12">
      <c r="I2460"/>
      <c r="L2460"/>
    </row>
    <row r="2461" spans="9:12">
      <c r="I2461"/>
      <c r="L2461"/>
    </row>
    <row r="2462" spans="9:12">
      <c r="I2462"/>
      <c r="L2462"/>
    </row>
    <row r="2463" spans="9:12">
      <c r="I2463"/>
      <c r="L2463"/>
    </row>
    <row r="2464" spans="9:12">
      <c r="I2464"/>
      <c r="L2464"/>
    </row>
    <row r="2465" spans="9:12">
      <c r="I2465"/>
      <c r="L2465"/>
    </row>
    <row r="2466" spans="9:12">
      <c r="I2466"/>
      <c r="L2466"/>
    </row>
    <row r="2467" spans="9:12">
      <c r="I2467"/>
      <c r="L2467"/>
    </row>
    <row r="2468" spans="9:12">
      <c r="I2468"/>
      <c r="L2468"/>
    </row>
    <row r="2469" spans="9:12">
      <c r="I2469"/>
      <c r="L2469"/>
    </row>
    <row r="2470" spans="9:12">
      <c r="I2470"/>
      <c r="L2470"/>
    </row>
    <row r="2471" spans="9:12">
      <c r="I2471"/>
      <c r="L2471"/>
    </row>
    <row r="2472" spans="9:12">
      <c r="I2472"/>
      <c r="L2472"/>
    </row>
    <row r="2473" spans="9:12">
      <c r="I2473"/>
      <c r="L2473"/>
    </row>
    <row r="2474" spans="9:12">
      <c r="I2474"/>
      <c r="L2474"/>
    </row>
    <row r="2475" spans="9:12">
      <c r="I2475"/>
      <c r="L2475"/>
    </row>
    <row r="2476" spans="9:12">
      <c r="I2476"/>
      <c r="L2476"/>
    </row>
    <row r="2477" spans="9:12">
      <c r="I2477"/>
      <c r="L2477"/>
    </row>
    <row r="2478" spans="9:12">
      <c r="I2478"/>
      <c r="L2478"/>
    </row>
    <row r="2479" spans="9:12">
      <c r="I2479"/>
      <c r="L2479"/>
    </row>
    <row r="2480" spans="9:12">
      <c r="I2480"/>
      <c r="L2480"/>
    </row>
    <row r="2481" spans="9:12">
      <c r="I2481"/>
      <c r="L2481"/>
    </row>
    <row r="2482" spans="9:12">
      <c r="I2482"/>
      <c r="L2482"/>
    </row>
    <row r="2483" spans="9:12">
      <c r="I2483"/>
      <c r="L2483"/>
    </row>
    <row r="2484" spans="9:12">
      <c r="I2484"/>
      <c r="L2484"/>
    </row>
    <row r="2485" spans="9:12">
      <c r="I2485"/>
      <c r="L2485"/>
    </row>
    <row r="2486" spans="9:12">
      <c r="I2486"/>
      <c r="L2486"/>
    </row>
    <row r="2487" spans="9:12">
      <c r="I2487"/>
      <c r="L2487"/>
    </row>
    <row r="2488" spans="9:12">
      <c r="I2488"/>
      <c r="L2488"/>
    </row>
    <row r="2489" spans="9:12">
      <c r="I2489"/>
      <c r="L2489"/>
    </row>
    <row r="2490" spans="9:12">
      <c r="I2490"/>
      <c r="L2490"/>
    </row>
    <row r="2491" spans="9:12">
      <c r="I2491"/>
      <c r="L2491"/>
    </row>
    <row r="2492" spans="9:12">
      <c r="I2492"/>
      <c r="L2492"/>
    </row>
    <row r="2493" spans="9:12">
      <c r="I2493"/>
      <c r="L2493"/>
    </row>
    <row r="2494" spans="9:12">
      <c r="I2494"/>
      <c r="L2494"/>
    </row>
    <row r="2495" spans="9:12">
      <c r="I2495"/>
      <c r="L2495"/>
    </row>
    <row r="2496" spans="9:12">
      <c r="I2496"/>
      <c r="L2496"/>
    </row>
    <row r="2497" spans="9:12">
      <c r="I2497"/>
      <c r="L2497"/>
    </row>
    <row r="2498" spans="9:12">
      <c r="I2498"/>
      <c r="L2498"/>
    </row>
    <row r="2499" spans="9:12">
      <c r="I2499"/>
      <c r="L2499"/>
    </row>
    <row r="2500" spans="9:12">
      <c r="I2500"/>
      <c r="L2500"/>
    </row>
    <row r="2501" spans="9:12">
      <c r="I2501"/>
      <c r="L2501"/>
    </row>
    <row r="2502" spans="9:12">
      <c r="I2502"/>
      <c r="L2502"/>
    </row>
    <row r="2503" spans="9:12">
      <c r="I2503"/>
      <c r="L2503"/>
    </row>
    <row r="2504" spans="9:12">
      <c r="I2504"/>
      <c r="L2504"/>
    </row>
    <row r="2505" spans="9:12">
      <c r="I2505"/>
      <c r="L2505"/>
    </row>
    <row r="2506" spans="9:12">
      <c r="I2506"/>
      <c r="L2506"/>
    </row>
    <row r="2507" spans="9:12">
      <c r="I2507"/>
      <c r="L2507"/>
    </row>
    <row r="2508" spans="9:12">
      <c r="I2508"/>
      <c r="L2508"/>
    </row>
    <row r="2509" spans="9:12">
      <c r="I2509"/>
      <c r="L2509"/>
    </row>
    <row r="2510" spans="9:12">
      <c r="I2510"/>
      <c r="L2510"/>
    </row>
    <row r="2511" spans="9:12">
      <c r="I2511"/>
      <c r="L2511"/>
    </row>
    <row r="2512" spans="9:12">
      <c r="I2512"/>
      <c r="L2512"/>
    </row>
    <row r="2513" spans="9:12">
      <c r="I2513"/>
      <c r="L2513"/>
    </row>
    <row r="2514" spans="9:12">
      <c r="I2514"/>
      <c r="L2514"/>
    </row>
    <row r="2515" spans="9:12">
      <c r="I2515"/>
      <c r="L2515"/>
    </row>
    <row r="2516" spans="9:12">
      <c r="I2516"/>
      <c r="L2516"/>
    </row>
    <row r="2517" spans="9:12">
      <c r="I2517"/>
      <c r="L2517"/>
    </row>
    <row r="2518" spans="9:12">
      <c r="I2518"/>
      <c r="L2518"/>
    </row>
    <row r="2519" spans="9:12">
      <c r="I2519"/>
      <c r="L2519"/>
    </row>
    <row r="2520" spans="9:12">
      <c r="I2520"/>
      <c r="L2520"/>
    </row>
    <row r="2521" spans="9:12">
      <c r="I2521"/>
      <c r="L2521"/>
    </row>
    <row r="2522" spans="9:12">
      <c r="I2522"/>
      <c r="L2522"/>
    </row>
    <row r="2523" spans="9:12">
      <c r="I2523"/>
      <c r="L2523"/>
    </row>
    <row r="2524" spans="9:12">
      <c r="I2524"/>
      <c r="L2524"/>
    </row>
    <row r="2525" spans="9:12">
      <c r="I2525"/>
      <c r="L2525"/>
    </row>
    <row r="2526" spans="9:12">
      <c r="I2526"/>
      <c r="L2526"/>
    </row>
    <row r="2527" spans="9:12">
      <c r="I2527"/>
      <c r="L2527"/>
    </row>
    <row r="2528" spans="9:12">
      <c r="I2528"/>
      <c r="L2528"/>
    </row>
    <row r="2529" spans="9:12">
      <c r="I2529"/>
      <c r="L2529"/>
    </row>
    <row r="2530" spans="9:12">
      <c r="I2530"/>
      <c r="L2530"/>
    </row>
    <row r="2531" spans="9:12">
      <c r="I2531"/>
      <c r="L2531"/>
    </row>
    <row r="2532" spans="9:12">
      <c r="I2532"/>
      <c r="L2532"/>
    </row>
    <row r="2533" spans="9:12">
      <c r="I2533"/>
      <c r="L2533"/>
    </row>
    <row r="2534" spans="9:12">
      <c r="I2534"/>
      <c r="L2534"/>
    </row>
    <row r="2535" spans="9:12">
      <c r="I2535"/>
      <c r="L2535"/>
    </row>
    <row r="2536" spans="9:12">
      <c r="I2536"/>
      <c r="L2536"/>
    </row>
    <row r="2537" spans="9:12">
      <c r="I2537"/>
      <c r="L2537"/>
    </row>
    <row r="2538" spans="9:12">
      <c r="I2538"/>
      <c r="L2538"/>
    </row>
    <row r="2539" spans="9:12">
      <c r="I2539"/>
      <c r="L2539"/>
    </row>
    <row r="2540" spans="9:12">
      <c r="I2540"/>
      <c r="L2540"/>
    </row>
    <row r="2541" spans="9:12">
      <c r="I2541"/>
      <c r="L2541"/>
    </row>
    <row r="2542" spans="9:12">
      <c r="I2542"/>
      <c r="L2542"/>
    </row>
    <row r="2543" spans="9:12">
      <c r="I2543"/>
      <c r="L2543"/>
    </row>
    <row r="2544" spans="9:12">
      <c r="I2544"/>
      <c r="L2544"/>
    </row>
    <row r="2545" spans="9:12">
      <c r="I2545"/>
      <c r="L2545"/>
    </row>
    <row r="2546" spans="9:12">
      <c r="I2546"/>
      <c r="L2546"/>
    </row>
    <row r="2547" spans="9:12">
      <c r="I2547"/>
      <c r="L2547"/>
    </row>
    <row r="2548" spans="9:12">
      <c r="I2548"/>
      <c r="L2548"/>
    </row>
    <row r="2549" spans="9:12">
      <c r="I2549"/>
      <c r="L2549"/>
    </row>
    <row r="2550" spans="9:12">
      <c r="I2550"/>
      <c r="L2550"/>
    </row>
    <row r="2551" spans="9:12">
      <c r="I2551"/>
      <c r="L2551"/>
    </row>
    <row r="2552" spans="9:12">
      <c r="I2552"/>
      <c r="L2552"/>
    </row>
    <row r="2553" spans="9:12">
      <c r="I2553"/>
      <c r="L2553"/>
    </row>
    <row r="2554" spans="9:12">
      <c r="I2554"/>
      <c r="L2554"/>
    </row>
    <row r="2555" spans="9:12">
      <c r="I2555"/>
      <c r="L2555"/>
    </row>
    <row r="2556" spans="9:12">
      <c r="I2556"/>
      <c r="L2556"/>
    </row>
    <row r="2557" spans="9:12">
      <c r="I2557"/>
      <c r="L2557"/>
    </row>
    <row r="2558" spans="9:12">
      <c r="I2558"/>
      <c r="L2558"/>
    </row>
    <row r="2559" spans="9:12">
      <c r="I2559"/>
      <c r="L2559"/>
    </row>
    <row r="2560" spans="9:12">
      <c r="I2560"/>
      <c r="L2560"/>
    </row>
    <row r="2561" spans="9:12">
      <c r="I2561"/>
      <c r="L2561"/>
    </row>
    <row r="2562" spans="9:12">
      <c r="I2562"/>
      <c r="L2562"/>
    </row>
    <row r="2563" spans="9:12">
      <c r="I2563"/>
      <c r="L2563"/>
    </row>
    <row r="2564" spans="9:12">
      <c r="I2564"/>
      <c r="L2564"/>
    </row>
    <row r="2565" spans="9:12">
      <c r="I2565"/>
      <c r="L2565"/>
    </row>
    <row r="2566" spans="9:12">
      <c r="I2566"/>
      <c r="L2566"/>
    </row>
    <row r="2567" spans="9:12">
      <c r="I2567"/>
      <c r="L2567"/>
    </row>
    <row r="2568" spans="9:12">
      <c r="I2568"/>
      <c r="L2568"/>
    </row>
    <row r="2569" spans="9:12">
      <c r="I2569"/>
      <c r="L2569"/>
    </row>
    <row r="2570" spans="9:12">
      <c r="I2570"/>
      <c r="L2570"/>
    </row>
    <row r="2571" spans="9:12">
      <c r="I2571"/>
      <c r="L2571"/>
    </row>
    <row r="2572" spans="9:12">
      <c r="I2572"/>
      <c r="L2572"/>
    </row>
    <row r="2573" spans="9:12">
      <c r="I2573"/>
      <c r="L2573"/>
    </row>
    <row r="2574" spans="9:12">
      <c r="I2574"/>
      <c r="L2574"/>
    </row>
    <row r="2575" spans="9:12">
      <c r="I2575"/>
      <c r="L2575"/>
    </row>
    <row r="2576" spans="9:12">
      <c r="I2576"/>
      <c r="L2576"/>
    </row>
    <row r="2577" spans="9:12">
      <c r="I2577"/>
      <c r="L2577"/>
    </row>
    <row r="2578" spans="9:12">
      <c r="I2578"/>
      <c r="L2578"/>
    </row>
    <row r="2579" spans="9:12">
      <c r="I2579"/>
      <c r="L2579"/>
    </row>
    <row r="2580" spans="9:12">
      <c r="I2580"/>
      <c r="L2580"/>
    </row>
    <row r="2581" spans="9:12">
      <c r="I2581"/>
      <c r="L2581"/>
    </row>
    <row r="2582" spans="9:12">
      <c r="I2582"/>
      <c r="L2582"/>
    </row>
    <row r="2583" spans="9:12">
      <c r="I2583"/>
      <c r="L2583"/>
    </row>
    <row r="2584" spans="9:12">
      <c r="I2584"/>
      <c r="L2584"/>
    </row>
    <row r="2585" spans="9:12">
      <c r="I2585"/>
      <c r="L2585"/>
    </row>
    <row r="2586" spans="9:12">
      <c r="I2586"/>
      <c r="L2586"/>
    </row>
    <row r="2587" spans="9:12">
      <c r="I2587"/>
      <c r="L2587"/>
    </row>
    <row r="2588" spans="9:12">
      <c r="I2588"/>
      <c r="L2588"/>
    </row>
    <row r="2589" spans="9:12">
      <c r="I2589"/>
      <c r="L2589"/>
    </row>
    <row r="2590" spans="9:12">
      <c r="I2590"/>
      <c r="L2590"/>
    </row>
    <row r="2591" spans="9:12">
      <c r="I2591"/>
      <c r="L2591"/>
    </row>
    <row r="2592" spans="9:12">
      <c r="I2592"/>
      <c r="L2592"/>
    </row>
    <row r="2593" spans="9:12">
      <c r="I2593"/>
      <c r="L2593"/>
    </row>
    <row r="2594" spans="9:12">
      <c r="I2594"/>
      <c r="L2594"/>
    </row>
    <row r="2595" spans="9:12">
      <c r="I2595"/>
      <c r="L2595"/>
    </row>
    <row r="2596" spans="9:12">
      <c r="I2596"/>
      <c r="L2596"/>
    </row>
    <row r="2597" spans="9:12">
      <c r="I2597"/>
      <c r="L2597"/>
    </row>
    <row r="2598" spans="9:12">
      <c r="I2598"/>
      <c r="L2598"/>
    </row>
    <row r="2599" spans="9:12">
      <c r="I2599"/>
      <c r="L2599"/>
    </row>
    <row r="2600" spans="9:12">
      <c r="I2600"/>
      <c r="L2600"/>
    </row>
    <row r="2601" spans="9:12">
      <c r="I2601"/>
      <c r="L2601"/>
    </row>
    <row r="2602" spans="9:12">
      <c r="I2602"/>
      <c r="L2602"/>
    </row>
    <row r="2603" spans="9:12">
      <c r="I2603"/>
      <c r="L2603"/>
    </row>
    <row r="2604" spans="9:12">
      <c r="I2604"/>
      <c r="L2604"/>
    </row>
    <row r="2605" spans="9:12">
      <c r="I2605"/>
      <c r="L2605"/>
    </row>
    <row r="2606" spans="9:12">
      <c r="I2606"/>
      <c r="L2606"/>
    </row>
    <row r="2607" spans="9:12">
      <c r="I2607"/>
      <c r="L2607"/>
    </row>
    <row r="2608" spans="9:12">
      <c r="I2608"/>
      <c r="L2608"/>
    </row>
    <row r="2609" spans="9:12">
      <c r="I2609"/>
      <c r="L2609"/>
    </row>
    <row r="2610" spans="9:12">
      <c r="I2610"/>
      <c r="L2610"/>
    </row>
    <row r="2611" spans="9:12">
      <c r="I2611"/>
      <c r="L2611"/>
    </row>
    <row r="2612" spans="9:12">
      <c r="I2612"/>
      <c r="L2612"/>
    </row>
    <row r="2613" spans="9:12">
      <c r="I2613"/>
      <c r="L2613"/>
    </row>
    <row r="2614" spans="9:12">
      <c r="I2614"/>
      <c r="L2614"/>
    </row>
    <row r="2615" spans="9:12">
      <c r="I2615"/>
      <c r="L2615"/>
    </row>
    <row r="2616" spans="9:12">
      <c r="I2616"/>
      <c r="L2616"/>
    </row>
    <row r="2617" spans="9:12">
      <c r="I2617"/>
      <c r="L2617"/>
    </row>
    <row r="2618" spans="9:12">
      <c r="I2618"/>
      <c r="L2618"/>
    </row>
    <row r="2619" spans="9:12">
      <c r="I2619"/>
      <c r="L2619"/>
    </row>
    <row r="2620" spans="9:12">
      <c r="I2620"/>
      <c r="L2620"/>
    </row>
    <row r="2621" spans="9:12">
      <c r="I2621"/>
      <c r="L2621"/>
    </row>
    <row r="2622" spans="9:12">
      <c r="I2622"/>
      <c r="L2622"/>
    </row>
    <row r="2623" spans="9:12">
      <c r="I2623"/>
      <c r="L2623"/>
    </row>
    <row r="2624" spans="9:12">
      <c r="I2624"/>
      <c r="L2624"/>
    </row>
    <row r="2625" spans="9:12">
      <c r="I2625"/>
      <c r="L2625"/>
    </row>
    <row r="2626" spans="9:12">
      <c r="I2626"/>
      <c r="L2626"/>
    </row>
    <row r="2627" spans="9:12">
      <c r="I2627"/>
      <c r="L2627"/>
    </row>
    <row r="2628" spans="9:12">
      <c r="I2628"/>
      <c r="L2628"/>
    </row>
    <row r="2629" spans="9:12">
      <c r="I2629"/>
      <c r="L2629"/>
    </row>
    <row r="2630" spans="9:12">
      <c r="I2630"/>
      <c r="L2630"/>
    </row>
    <row r="2631" spans="9:12">
      <c r="I2631"/>
      <c r="L2631"/>
    </row>
    <row r="2632" spans="9:12">
      <c r="I2632"/>
      <c r="L2632"/>
    </row>
    <row r="2633" spans="9:12">
      <c r="I2633"/>
      <c r="L2633"/>
    </row>
    <row r="2634" spans="9:12">
      <c r="I2634"/>
      <c r="L2634"/>
    </row>
    <row r="2635" spans="9:12">
      <c r="I2635"/>
      <c r="L2635"/>
    </row>
    <row r="2636" spans="9:12">
      <c r="I2636"/>
      <c r="L2636"/>
    </row>
    <row r="2637" spans="9:12">
      <c r="I2637"/>
      <c r="L2637"/>
    </row>
    <row r="2638" spans="9:12">
      <c r="I2638"/>
      <c r="L2638"/>
    </row>
    <row r="2639" spans="9:12">
      <c r="I2639"/>
      <c r="L2639"/>
    </row>
    <row r="2640" spans="9:12">
      <c r="I2640"/>
      <c r="L2640"/>
    </row>
    <row r="2641" spans="9:12">
      <c r="I2641"/>
      <c r="L2641"/>
    </row>
    <row r="2642" spans="9:12">
      <c r="I2642"/>
      <c r="L2642"/>
    </row>
    <row r="2643" spans="9:12">
      <c r="I2643"/>
      <c r="L2643"/>
    </row>
    <row r="2644" spans="9:12">
      <c r="I2644"/>
      <c r="L2644"/>
    </row>
    <row r="2645" spans="9:12">
      <c r="I2645"/>
      <c r="L2645"/>
    </row>
    <row r="2646" spans="9:12">
      <c r="I2646"/>
      <c r="L2646"/>
    </row>
    <row r="2647" spans="9:12">
      <c r="I2647"/>
      <c r="L2647"/>
    </row>
    <row r="2648" spans="9:12">
      <c r="I2648"/>
      <c r="L2648"/>
    </row>
    <row r="2649" spans="9:12">
      <c r="I2649"/>
      <c r="L2649"/>
    </row>
    <row r="2650" spans="9:12">
      <c r="I2650"/>
      <c r="L2650"/>
    </row>
    <row r="2651" spans="9:12">
      <c r="I2651"/>
      <c r="L2651"/>
    </row>
    <row r="2652" spans="9:12">
      <c r="I2652"/>
      <c r="L2652"/>
    </row>
    <row r="2653" spans="9:12">
      <c r="I2653"/>
      <c r="L2653"/>
    </row>
    <row r="2654" spans="9:12">
      <c r="I2654"/>
      <c r="L2654"/>
    </row>
    <row r="2655" spans="9:12">
      <c r="I2655"/>
      <c r="L2655"/>
    </row>
    <row r="2656" spans="9:12">
      <c r="I2656"/>
      <c r="L2656"/>
    </row>
    <row r="2657" spans="9:12">
      <c r="I2657"/>
      <c r="L2657"/>
    </row>
    <row r="2658" spans="9:12">
      <c r="I2658"/>
      <c r="L2658"/>
    </row>
    <row r="2659" spans="9:12">
      <c r="I2659"/>
      <c r="L2659"/>
    </row>
    <row r="2660" spans="9:12">
      <c r="I2660"/>
      <c r="L2660"/>
    </row>
    <row r="2661" spans="9:12">
      <c r="I2661"/>
      <c r="L2661"/>
    </row>
    <row r="2662" spans="9:12">
      <c r="I2662"/>
      <c r="L2662"/>
    </row>
    <row r="2663" spans="9:12">
      <c r="I2663"/>
      <c r="L2663"/>
    </row>
    <row r="2664" spans="9:12">
      <c r="I2664"/>
      <c r="L2664"/>
    </row>
    <row r="2665" spans="9:12">
      <c r="I2665"/>
      <c r="L2665"/>
    </row>
    <row r="2666" spans="9:12">
      <c r="I2666"/>
      <c r="L2666"/>
    </row>
    <row r="2667" spans="9:12">
      <c r="I2667"/>
      <c r="L2667"/>
    </row>
    <row r="2668" spans="9:12">
      <c r="I2668"/>
      <c r="L2668"/>
    </row>
    <row r="2669" spans="9:12">
      <c r="I2669"/>
      <c r="L2669"/>
    </row>
    <row r="2670" spans="9:12">
      <c r="I2670"/>
      <c r="L2670"/>
    </row>
    <row r="2671" spans="9:12">
      <c r="I2671"/>
      <c r="L2671"/>
    </row>
    <row r="2672" spans="9:12">
      <c r="I2672"/>
      <c r="L2672"/>
    </row>
    <row r="2673" spans="9:12">
      <c r="I2673"/>
      <c r="L2673"/>
    </row>
    <row r="2674" spans="9:12">
      <c r="I2674"/>
      <c r="L2674"/>
    </row>
    <row r="2675" spans="9:12">
      <c r="I2675"/>
      <c r="L2675"/>
    </row>
    <row r="2676" spans="9:12">
      <c r="I2676"/>
      <c r="L2676"/>
    </row>
    <row r="2677" spans="9:12">
      <c r="I2677"/>
      <c r="L2677"/>
    </row>
    <row r="2678" spans="9:12">
      <c r="I2678"/>
      <c r="L2678"/>
    </row>
    <row r="2679" spans="9:12">
      <c r="I2679"/>
      <c r="L2679"/>
    </row>
    <row r="2680" spans="9:12">
      <c r="I2680"/>
      <c r="L2680"/>
    </row>
    <row r="2681" spans="9:12">
      <c r="I2681"/>
      <c r="L2681"/>
    </row>
    <row r="2682" spans="9:12">
      <c r="I2682"/>
      <c r="L2682"/>
    </row>
    <row r="2683" spans="9:12">
      <c r="I2683"/>
      <c r="L2683"/>
    </row>
    <row r="2684" spans="9:12">
      <c r="I2684"/>
      <c r="L2684"/>
    </row>
    <row r="2685" spans="9:12">
      <c r="I2685"/>
      <c r="L2685"/>
    </row>
    <row r="2686" spans="9:12">
      <c r="I2686"/>
      <c r="L2686"/>
    </row>
    <row r="2687" spans="9:12">
      <c r="I2687"/>
      <c r="L2687"/>
    </row>
    <row r="2688" spans="9:12">
      <c r="I2688"/>
      <c r="L2688"/>
    </row>
    <row r="2689" spans="9:12">
      <c r="I2689"/>
      <c r="L2689"/>
    </row>
    <row r="2690" spans="9:12">
      <c r="I2690"/>
      <c r="L2690"/>
    </row>
    <row r="2691" spans="9:12">
      <c r="I2691"/>
      <c r="L2691"/>
    </row>
    <row r="2692" spans="9:12">
      <c r="I2692"/>
      <c r="L2692"/>
    </row>
    <row r="2693" spans="9:12">
      <c r="I2693"/>
      <c r="L2693"/>
    </row>
    <row r="2694" spans="9:12">
      <c r="I2694"/>
      <c r="L2694"/>
    </row>
    <row r="2695" spans="9:12">
      <c r="I2695"/>
      <c r="L2695"/>
    </row>
    <row r="2696" spans="9:12">
      <c r="I2696"/>
      <c r="L2696"/>
    </row>
    <row r="2697" spans="9:12">
      <c r="I2697"/>
      <c r="L2697"/>
    </row>
    <row r="2698" spans="9:12">
      <c r="I2698"/>
      <c r="L2698"/>
    </row>
    <row r="2699" spans="9:12">
      <c r="I2699"/>
      <c r="L2699"/>
    </row>
    <row r="2700" spans="9:12">
      <c r="I2700"/>
      <c r="L2700"/>
    </row>
    <row r="2701" spans="9:12">
      <c r="I2701"/>
      <c r="L2701"/>
    </row>
    <row r="2702" spans="9:12">
      <c r="I2702"/>
      <c r="L2702"/>
    </row>
    <row r="2703" spans="9:12">
      <c r="I2703"/>
      <c r="L2703"/>
    </row>
    <row r="2704" spans="9:12">
      <c r="I2704"/>
      <c r="L2704"/>
    </row>
    <row r="2705" spans="9:12">
      <c r="I2705"/>
      <c r="L2705"/>
    </row>
    <row r="2706" spans="9:12">
      <c r="I2706"/>
      <c r="L2706"/>
    </row>
    <row r="2707" spans="9:12">
      <c r="I2707"/>
      <c r="L2707"/>
    </row>
    <row r="2708" spans="9:12">
      <c r="I2708"/>
      <c r="L2708"/>
    </row>
    <row r="2709" spans="9:12">
      <c r="I2709"/>
      <c r="L2709"/>
    </row>
    <row r="2710" spans="9:12">
      <c r="I2710"/>
      <c r="L2710"/>
    </row>
    <row r="2711" spans="9:12">
      <c r="I2711"/>
      <c r="L2711"/>
    </row>
    <row r="2712" spans="9:12">
      <c r="I2712"/>
      <c r="L2712"/>
    </row>
    <row r="2713" spans="9:12">
      <c r="I2713"/>
      <c r="L2713"/>
    </row>
    <row r="2714" spans="9:12">
      <c r="I2714"/>
      <c r="L2714"/>
    </row>
    <row r="2715" spans="9:12">
      <c r="I2715"/>
      <c r="L2715"/>
    </row>
    <row r="2716" spans="9:12">
      <c r="I2716"/>
      <c r="L2716"/>
    </row>
    <row r="2717" spans="9:12">
      <c r="I2717"/>
      <c r="L2717"/>
    </row>
    <row r="2718" spans="9:12">
      <c r="I2718"/>
      <c r="L2718"/>
    </row>
    <row r="2719" spans="9:12">
      <c r="I2719"/>
      <c r="L2719"/>
    </row>
    <row r="2720" spans="9:12">
      <c r="I2720"/>
      <c r="L2720"/>
    </row>
    <row r="2721" spans="9:12">
      <c r="I2721"/>
      <c r="L2721"/>
    </row>
    <row r="2722" spans="9:12">
      <c r="I2722"/>
      <c r="L2722"/>
    </row>
    <row r="2723" spans="9:12">
      <c r="I2723"/>
      <c r="L2723"/>
    </row>
    <row r="2724" spans="9:12">
      <c r="I2724"/>
      <c r="L2724"/>
    </row>
    <row r="2725" spans="9:12">
      <c r="I2725"/>
      <c r="L2725"/>
    </row>
    <row r="2726" spans="9:12">
      <c r="I2726"/>
      <c r="L2726"/>
    </row>
    <row r="2727" spans="9:12">
      <c r="I2727"/>
      <c r="L2727"/>
    </row>
    <row r="2728" spans="9:12">
      <c r="I2728"/>
      <c r="L2728"/>
    </row>
    <row r="2729" spans="9:12">
      <c r="I2729"/>
      <c r="L2729"/>
    </row>
    <row r="2730" spans="9:12">
      <c r="I2730"/>
      <c r="L2730"/>
    </row>
    <row r="2731" spans="9:12">
      <c r="I2731"/>
      <c r="L2731"/>
    </row>
    <row r="2732" spans="9:12">
      <c r="I2732"/>
      <c r="L2732"/>
    </row>
    <row r="2733" spans="9:12">
      <c r="I2733"/>
      <c r="L2733"/>
    </row>
    <row r="2734" spans="9:12">
      <c r="I2734"/>
      <c r="L2734"/>
    </row>
    <row r="2735" spans="9:12">
      <c r="I2735"/>
      <c r="L2735"/>
    </row>
    <row r="2736" spans="9:12">
      <c r="I2736"/>
      <c r="L2736"/>
    </row>
    <row r="2737" spans="9:12">
      <c r="I2737"/>
      <c r="L2737"/>
    </row>
    <row r="2738" spans="9:12">
      <c r="I2738"/>
      <c r="L2738"/>
    </row>
    <row r="2739" spans="9:12">
      <c r="I2739"/>
      <c r="L2739"/>
    </row>
    <row r="2740" spans="9:12">
      <c r="I2740"/>
      <c r="L2740"/>
    </row>
    <row r="2741" spans="9:12">
      <c r="I2741"/>
      <c r="L2741"/>
    </row>
    <row r="2742" spans="9:12">
      <c r="I2742"/>
      <c r="L2742"/>
    </row>
    <row r="2743" spans="9:12">
      <c r="I2743"/>
      <c r="L2743"/>
    </row>
    <row r="2744" spans="9:12">
      <c r="I2744"/>
      <c r="L2744"/>
    </row>
    <row r="2745" spans="9:12">
      <c r="I2745"/>
      <c r="L2745"/>
    </row>
    <row r="2746" spans="9:12">
      <c r="I2746"/>
      <c r="L2746"/>
    </row>
    <row r="2747" spans="9:12">
      <c r="I2747"/>
      <c r="L2747"/>
    </row>
    <row r="2748" spans="9:12">
      <c r="I2748"/>
      <c r="L2748"/>
    </row>
    <row r="2749" spans="9:12">
      <c r="I2749"/>
      <c r="L2749"/>
    </row>
    <row r="2750" spans="9:12">
      <c r="I2750"/>
      <c r="L2750"/>
    </row>
    <row r="2751" spans="9:12">
      <c r="I2751"/>
      <c r="L2751"/>
    </row>
    <row r="2752" spans="9:12">
      <c r="I2752"/>
      <c r="L2752"/>
    </row>
    <row r="2753" spans="9:12">
      <c r="I2753"/>
      <c r="L2753"/>
    </row>
    <row r="2754" spans="9:12">
      <c r="I2754"/>
      <c r="L2754"/>
    </row>
    <row r="2755" spans="9:12">
      <c r="I2755"/>
      <c r="L2755"/>
    </row>
    <row r="2756" spans="9:12">
      <c r="I2756"/>
      <c r="L2756"/>
    </row>
    <row r="2757" spans="9:12">
      <c r="I2757"/>
      <c r="L2757"/>
    </row>
    <row r="2758" spans="9:12">
      <c r="I2758"/>
      <c r="L2758"/>
    </row>
    <row r="2759" spans="9:12">
      <c r="I2759"/>
      <c r="L2759"/>
    </row>
    <row r="2760" spans="9:12">
      <c r="I2760"/>
      <c r="L2760"/>
    </row>
    <row r="2761" spans="9:12">
      <c r="I2761"/>
      <c r="L2761"/>
    </row>
    <row r="2762" spans="9:12">
      <c r="I2762"/>
      <c r="L2762"/>
    </row>
    <row r="2763" spans="9:12">
      <c r="I2763"/>
      <c r="L2763"/>
    </row>
    <row r="2764" spans="9:12">
      <c r="I2764"/>
      <c r="L2764"/>
    </row>
    <row r="2765" spans="9:12">
      <c r="I2765"/>
      <c r="L2765"/>
    </row>
    <row r="2766" spans="9:12">
      <c r="I2766"/>
      <c r="L2766"/>
    </row>
    <row r="2767" spans="9:12">
      <c r="I2767"/>
      <c r="L2767"/>
    </row>
    <row r="2768" spans="9:12">
      <c r="I2768"/>
      <c r="L2768"/>
    </row>
    <row r="2769" spans="9:12">
      <c r="I2769"/>
      <c r="L2769"/>
    </row>
    <row r="2770" spans="9:12">
      <c r="I2770"/>
      <c r="L2770"/>
    </row>
    <row r="2771" spans="9:12">
      <c r="I2771"/>
      <c r="L2771"/>
    </row>
    <row r="2772" spans="9:12">
      <c r="I2772"/>
      <c r="L2772"/>
    </row>
    <row r="2773" spans="9:12">
      <c r="I2773"/>
      <c r="L2773"/>
    </row>
    <row r="2774" spans="9:12">
      <c r="I2774"/>
      <c r="L2774"/>
    </row>
    <row r="2775" spans="9:12">
      <c r="I2775"/>
      <c r="L2775"/>
    </row>
    <row r="2776" spans="9:12">
      <c r="I2776"/>
      <c r="L2776"/>
    </row>
    <row r="2777" spans="9:12">
      <c r="I2777"/>
      <c r="L2777"/>
    </row>
    <row r="2778" spans="9:12">
      <c r="I2778"/>
      <c r="L2778"/>
    </row>
    <row r="2779" spans="9:12">
      <c r="I2779"/>
      <c r="L2779"/>
    </row>
    <row r="2780" spans="9:12">
      <c r="I2780"/>
      <c r="L2780"/>
    </row>
    <row r="2781" spans="9:12">
      <c r="I2781"/>
      <c r="L2781"/>
    </row>
    <row r="2782" spans="9:12">
      <c r="I2782"/>
      <c r="L2782"/>
    </row>
    <row r="2783" spans="9:12">
      <c r="I2783"/>
      <c r="L2783"/>
    </row>
    <row r="2784" spans="9:12">
      <c r="I2784"/>
      <c r="L2784"/>
    </row>
    <row r="2785" spans="9:12">
      <c r="I2785"/>
      <c r="L2785"/>
    </row>
    <row r="2786" spans="9:12">
      <c r="I2786"/>
      <c r="L2786"/>
    </row>
    <row r="2787" spans="9:12">
      <c r="I2787"/>
      <c r="L2787"/>
    </row>
    <row r="2788" spans="9:12">
      <c r="I2788"/>
      <c r="L2788"/>
    </row>
    <row r="2789" spans="9:12">
      <c r="I2789"/>
      <c r="L2789"/>
    </row>
    <row r="2790" spans="9:12">
      <c r="I2790"/>
      <c r="L2790"/>
    </row>
    <row r="2791" spans="9:12">
      <c r="I2791"/>
      <c r="L2791"/>
    </row>
    <row r="2792" spans="9:12">
      <c r="I2792"/>
      <c r="L2792"/>
    </row>
    <row r="2793" spans="9:12">
      <c r="I2793"/>
      <c r="L2793"/>
    </row>
    <row r="2794" spans="9:12">
      <c r="I2794"/>
      <c r="L2794"/>
    </row>
    <row r="2795" spans="9:12">
      <c r="I2795"/>
      <c r="L2795"/>
    </row>
    <row r="2796" spans="9:12">
      <c r="I2796"/>
      <c r="L2796"/>
    </row>
    <row r="2797" spans="9:12">
      <c r="I2797"/>
      <c r="L2797"/>
    </row>
    <row r="2798" spans="9:12">
      <c r="I2798"/>
      <c r="L2798"/>
    </row>
    <row r="2799" spans="9:12">
      <c r="I2799"/>
      <c r="L2799"/>
    </row>
    <row r="2800" spans="9:12">
      <c r="I2800"/>
      <c r="L2800"/>
    </row>
    <row r="2801" spans="9:12">
      <c r="I2801"/>
      <c r="L2801"/>
    </row>
    <row r="2802" spans="9:12">
      <c r="I2802"/>
      <c r="L2802"/>
    </row>
    <row r="2803" spans="9:12">
      <c r="I2803"/>
      <c r="L2803"/>
    </row>
    <row r="2804" spans="9:12">
      <c r="I2804"/>
      <c r="L2804"/>
    </row>
    <row r="2805" spans="9:12">
      <c r="I2805"/>
      <c r="L2805"/>
    </row>
    <row r="2806" spans="9:12">
      <c r="I2806"/>
      <c r="L2806"/>
    </row>
    <row r="2807" spans="9:12">
      <c r="I2807"/>
      <c r="L2807"/>
    </row>
    <row r="2808" spans="9:12">
      <c r="I2808"/>
      <c r="L2808"/>
    </row>
    <row r="2809" spans="9:12">
      <c r="I2809"/>
      <c r="L2809"/>
    </row>
    <row r="2810" spans="9:12">
      <c r="I2810"/>
      <c r="L2810"/>
    </row>
    <row r="2811" spans="9:12">
      <c r="I2811"/>
      <c r="L2811"/>
    </row>
    <row r="2812" spans="9:12">
      <c r="I2812"/>
      <c r="L2812"/>
    </row>
    <row r="2813" spans="9:12">
      <c r="I2813"/>
      <c r="L2813"/>
    </row>
    <row r="2814" spans="9:12">
      <c r="I2814"/>
      <c r="L2814"/>
    </row>
    <row r="2815" spans="9:12">
      <c r="I2815"/>
      <c r="L2815"/>
    </row>
    <row r="2816" spans="9:12">
      <c r="I2816"/>
      <c r="L2816"/>
    </row>
    <row r="2817" spans="9:12">
      <c r="I2817"/>
      <c r="L2817"/>
    </row>
    <row r="2818" spans="9:12">
      <c r="I2818"/>
      <c r="L2818"/>
    </row>
    <row r="2819" spans="9:12">
      <c r="I2819"/>
      <c r="L2819"/>
    </row>
    <row r="2820" spans="9:12">
      <c r="I2820"/>
      <c r="L2820"/>
    </row>
    <row r="2821" spans="9:12">
      <c r="I2821"/>
      <c r="L2821"/>
    </row>
    <row r="2822" spans="9:12">
      <c r="I2822"/>
      <c r="L2822"/>
    </row>
    <row r="2823" spans="9:12">
      <c r="I2823"/>
      <c r="L2823"/>
    </row>
    <row r="2824" spans="9:12">
      <c r="I2824"/>
      <c r="L2824"/>
    </row>
    <row r="2825" spans="9:12">
      <c r="I2825"/>
      <c r="L2825"/>
    </row>
    <row r="2826" spans="9:12">
      <c r="I2826"/>
      <c r="L2826"/>
    </row>
    <row r="2827" spans="9:12">
      <c r="I2827"/>
      <c r="L2827"/>
    </row>
    <row r="2828" spans="9:12">
      <c r="I2828"/>
      <c r="L2828"/>
    </row>
    <row r="2829" spans="9:12">
      <c r="I2829"/>
      <c r="L2829"/>
    </row>
    <row r="2830" spans="9:12">
      <c r="I2830"/>
      <c r="L2830"/>
    </row>
    <row r="2831" spans="9:12">
      <c r="I2831"/>
      <c r="L2831"/>
    </row>
    <row r="2832" spans="9:12">
      <c r="I2832"/>
      <c r="L2832"/>
    </row>
    <row r="2833" spans="9:12">
      <c r="I2833"/>
      <c r="L2833"/>
    </row>
    <row r="2834" spans="9:12">
      <c r="I2834"/>
      <c r="L2834"/>
    </row>
    <row r="2835" spans="9:12">
      <c r="I2835"/>
      <c r="L2835"/>
    </row>
    <row r="2836" spans="9:12">
      <c r="I2836"/>
      <c r="L2836"/>
    </row>
    <row r="2837" spans="9:12">
      <c r="I2837"/>
      <c r="L2837"/>
    </row>
    <row r="2838" spans="9:12">
      <c r="I2838"/>
      <c r="L2838"/>
    </row>
    <row r="2839" spans="9:12">
      <c r="I2839"/>
      <c r="L2839"/>
    </row>
    <row r="2840" spans="9:12">
      <c r="I2840"/>
      <c r="L2840"/>
    </row>
    <row r="2841" spans="9:12">
      <c r="I2841"/>
      <c r="L2841"/>
    </row>
    <row r="2842" spans="9:12">
      <c r="I2842"/>
      <c r="L2842"/>
    </row>
    <row r="2843" spans="9:12">
      <c r="I2843"/>
      <c r="L2843"/>
    </row>
    <row r="2844" spans="9:12">
      <c r="I2844"/>
      <c r="L2844"/>
    </row>
    <row r="2845" spans="9:12">
      <c r="I2845"/>
      <c r="L2845"/>
    </row>
    <row r="2846" spans="9:12">
      <c r="I2846"/>
      <c r="L2846"/>
    </row>
    <row r="2847" spans="9:12">
      <c r="I2847"/>
      <c r="L2847"/>
    </row>
    <row r="2848" spans="9:12">
      <c r="I2848"/>
      <c r="L2848"/>
    </row>
    <row r="2849" spans="9:12">
      <c r="I2849"/>
      <c r="L2849"/>
    </row>
    <row r="2850" spans="9:12">
      <c r="I2850"/>
      <c r="L2850"/>
    </row>
    <row r="2851" spans="9:12">
      <c r="I2851"/>
      <c r="L2851"/>
    </row>
    <row r="2852" spans="9:12">
      <c r="I2852"/>
      <c r="L2852"/>
    </row>
    <row r="2853" spans="9:12">
      <c r="I2853"/>
      <c r="L2853"/>
    </row>
    <row r="2854" spans="9:12">
      <c r="I2854"/>
      <c r="L2854"/>
    </row>
    <row r="2855" spans="9:12">
      <c r="I2855"/>
      <c r="L2855"/>
    </row>
    <row r="2856" spans="9:12">
      <c r="I2856"/>
      <c r="L2856"/>
    </row>
    <row r="2857" spans="9:12">
      <c r="I2857"/>
      <c r="L2857"/>
    </row>
    <row r="2858" spans="9:12">
      <c r="I2858"/>
      <c r="L2858"/>
    </row>
    <row r="2859" spans="9:12">
      <c r="I2859"/>
      <c r="L2859"/>
    </row>
    <row r="2860" spans="9:12">
      <c r="I2860"/>
      <c r="L2860"/>
    </row>
    <row r="2861" spans="9:12">
      <c r="I2861"/>
      <c r="L2861"/>
    </row>
    <row r="2862" spans="9:12">
      <c r="I2862"/>
      <c r="L2862"/>
    </row>
    <row r="2863" spans="9:12">
      <c r="I2863"/>
      <c r="L2863"/>
    </row>
    <row r="2864" spans="9:12">
      <c r="I2864"/>
      <c r="L2864"/>
    </row>
    <row r="2865" spans="9:12">
      <c r="I2865"/>
      <c r="L2865"/>
    </row>
    <row r="2866" spans="9:12">
      <c r="I2866"/>
      <c r="L2866"/>
    </row>
    <row r="2867" spans="9:12">
      <c r="I2867"/>
      <c r="L2867"/>
    </row>
    <row r="2868" spans="9:12">
      <c r="I2868"/>
      <c r="L2868"/>
    </row>
    <row r="2869" spans="9:12">
      <c r="I2869"/>
      <c r="L2869"/>
    </row>
    <row r="2870" spans="9:12">
      <c r="I2870"/>
      <c r="L2870"/>
    </row>
    <row r="2871" spans="9:12">
      <c r="I2871"/>
      <c r="L2871"/>
    </row>
    <row r="2872" spans="9:12">
      <c r="I2872"/>
      <c r="L2872"/>
    </row>
    <row r="2873" spans="9:12">
      <c r="I2873"/>
      <c r="L2873"/>
    </row>
    <row r="2874" spans="9:12">
      <c r="I2874"/>
      <c r="L2874"/>
    </row>
    <row r="2875" spans="9:12">
      <c r="I2875"/>
      <c r="L2875"/>
    </row>
    <row r="2876" spans="9:12">
      <c r="I2876"/>
      <c r="L2876"/>
    </row>
    <row r="2877" spans="9:12">
      <c r="I2877"/>
      <c r="L2877"/>
    </row>
    <row r="2878" spans="9:12">
      <c r="I2878"/>
      <c r="L2878"/>
    </row>
    <row r="2879" spans="9:12">
      <c r="I2879"/>
      <c r="L2879"/>
    </row>
    <row r="2880" spans="9:12">
      <c r="I2880"/>
      <c r="L2880"/>
    </row>
    <row r="2881" spans="9:12">
      <c r="I2881"/>
      <c r="L2881"/>
    </row>
    <row r="2882" spans="9:12">
      <c r="I2882"/>
      <c r="L2882"/>
    </row>
    <row r="2883" spans="9:12">
      <c r="I2883"/>
      <c r="L2883"/>
    </row>
    <row r="2884" spans="9:12">
      <c r="I2884"/>
      <c r="L2884"/>
    </row>
    <row r="2885" spans="9:12">
      <c r="I2885"/>
      <c r="L2885"/>
    </row>
    <row r="2886" spans="9:12">
      <c r="I2886"/>
      <c r="L2886"/>
    </row>
    <row r="2887" spans="9:12">
      <c r="I2887"/>
      <c r="L2887"/>
    </row>
    <row r="2888" spans="9:12">
      <c r="I2888"/>
      <c r="L2888"/>
    </row>
    <row r="2889" spans="9:12">
      <c r="I2889"/>
      <c r="L2889"/>
    </row>
    <row r="2890" spans="9:12">
      <c r="I2890"/>
      <c r="L2890"/>
    </row>
    <row r="2891" spans="9:12">
      <c r="I2891"/>
      <c r="L2891"/>
    </row>
    <row r="2892" spans="9:12">
      <c r="I2892"/>
      <c r="L2892"/>
    </row>
    <row r="2893" spans="9:12">
      <c r="I2893"/>
      <c r="L2893"/>
    </row>
    <row r="2894" spans="9:12">
      <c r="I2894"/>
      <c r="L2894"/>
    </row>
    <row r="2895" spans="9:12">
      <c r="I2895"/>
      <c r="L2895"/>
    </row>
    <row r="2896" spans="9:12">
      <c r="I2896"/>
      <c r="L2896"/>
    </row>
    <row r="2897" spans="9:12">
      <c r="I2897"/>
      <c r="L2897"/>
    </row>
    <row r="2898" spans="9:12">
      <c r="I2898"/>
      <c r="L2898"/>
    </row>
    <row r="2899" spans="9:12">
      <c r="I2899"/>
      <c r="L2899"/>
    </row>
    <row r="2900" spans="9:12">
      <c r="I2900"/>
      <c r="L2900"/>
    </row>
    <row r="2901" spans="9:12">
      <c r="I2901"/>
      <c r="L2901"/>
    </row>
    <row r="2902" spans="9:12">
      <c r="I2902"/>
      <c r="L2902"/>
    </row>
    <row r="2903" spans="9:12">
      <c r="I2903"/>
      <c r="L2903"/>
    </row>
    <row r="2904" spans="9:12">
      <c r="I2904"/>
      <c r="L2904"/>
    </row>
    <row r="2905" spans="9:12">
      <c r="I2905"/>
      <c r="L2905"/>
    </row>
    <row r="2906" spans="9:12">
      <c r="I2906"/>
      <c r="L2906"/>
    </row>
    <row r="2907" spans="9:12">
      <c r="I2907"/>
      <c r="L2907"/>
    </row>
    <row r="2908" spans="9:12">
      <c r="I2908"/>
      <c r="L2908"/>
    </row>
    <row r="2909" spans="9:12">
      <c r="I2909"/>
      <c r="L2909"/>
    </row>
    <row r="2910" spans="9:12">
      <c r="I2910"/>
      <c r="L2910"/>
    </row>
    <row r="2911" spans="9:12">
      <c r="I2911"/>
      <c r="L2911"/>
    </row>
    <row r="2912" spans="9:12">
      <c r="I2912"/>
      <c r="L2912"/>
    </row>
    <row r="2913" spans="9:12">
      <c r="I2913"/>
      <c r="L2913"/>
    </row>
    <row r="2914" spans="9:12">
      <c r="I2914"/>
      <c r="L2914"/>
    </row>
    <row r="2915" spans="9:12">
      <c r="I2915"/>
      <c r="L2915"/>
    </row>
    <row r="2916" spans="9:12">
      <c r="I2916"/>
      <c r="L2916"/>
    </row>
    <row r="2917" spans="9:12">
      <c r="I2917"/>
      <c r="L2917"/>
    </row>
    <row r="2918" spans="9:12">
      <c r="I2918"/>
      <c r="L2918"/>
    </row>
    <row r="2919" spans="9:12">
      <c r="I2919"/>
      <c r="L2919"/>
    </row>
    <row r="2920" spans="9:12">
      <c r="I2920"/>
      <c r="L2920"/>
    </row>
    <row r="2921" spans="9:12">
      <c r="I2921"/>
      <c r="L2921"/>
    </row>
    <row r="2922" spans="9:12">
      <c r="I2922"/>
      <c r="L2922"/>
    </row>
    <row r="2923" spans="9:12">
      <c r="I2923"/>
      <c r="L2923"/>
    </row>
    <row r="2924" spans="9:12">
      <c r="I2924"/>
      <c r="L2924"/>
    </row>
    <row r="2925" spans="9:12">
      <c r="I2925"/>
      <c r="L2925"/>
    </row>
    <row r="2926" spans="9:12">
      <c r="I2926"/>
      <c r="L2926"/>
    </row>
    <row r="2927" spans="9:12">
      <c r="I2927"/>
      <c r="L2927"/>
    </row>
    <row r="2928" spans="9:12">
      <c r="I2928"/>
      <c r="L2928"/>
    </row>
    <row r="2929" spans="9:12">
      <c r="I2929"/>
      <c r="L2929"/>
    </row>
    <row r="2930" spans="9:12">
      <c r="I2930"/>
      <c r="L2930"/>
    </row>
    <row r="2931" spans="9:12">
      <c r="I2931"/>
      <c r="L2931"/>
    </row>
    <row r="2932" spans="9:12">
      <c r="I2932"/>
      <c r="L2932"/>
    </row>
    <row r="2933" spans="9:12">
      <c r="I2933"/>
      <c r="L2933"/>
    </row>
    <row r="2934" spans="9:12">
      <c r="I2934"/>
      <c r="L2934"/>
    </row>
    <row r="2935" spans="9:12">
      <c r="I2935"/>
      <c r="L2935"/>
    </row>
    <row r="2936" spans="9:12">
      <c r="I2936"/>
      <c r="L2936"/>
    </row>
    <row r="2937" spans="9:12">
      <c r="I2937"/>
      <c r="L2937"/>
    </row>
    <row r="2938" spans="9:12">
      <c r="I2938"/>
      <c r="L2938"/>
    </row>
    <row r="2939" spans="9:12">
      <c r="I2939"/>
      <c r="L2939"/>
    </row>
    <row r="2940" spans="9:12">
      <c r="I2940"/>
      <c r="L2940"/>
    </row>
    <row r="2941" spans="9:12">
      <c r="I2941"/>
      <c r="L2941"/>
    </row>
    <row r="2942" spans="9:12">
      <c r="I2942"/>
      <c r="L2942"/>
    </row>
    <row r="2943" spans="9:12">
      <c r="I2943"/>
      <c r="L2943"/>
    </row>
    <row r="2944" spans="9:12">
      <c r="I2944"/>
      <c r="L2944"/>
    </row>
    <row r="2945" spans="9:12">
      <c r="I2945"/>
      <c r="L2945"/>
    </row>
    <row r="2946" spans="9:12">
      <c r="I2946"/>
      <c r="L2946"/>
    </row>
    <row r="2947" spans="9:12">
      <c r="I2947"/>
      <c r="L2947"/>
    </row>
    <row r="2948" spans="9:12">
      <c r="I2948"/>
      <c r="L2948"/>
    </row>
    <row r="2949" spans="9:12">
      <c r="I2949"/>
      <c r="L2949"/>
    </row>
    <row r="2950" spans="9:12">
      <c r="I2950"/>
      <c r="L2950"/>
    </row>
    <row r="2951" spans="9:12">
      <c r="I2951"/>
      <c r="L2951"/>
    </row>
    <row r="2952" spans="9:12">
      <c r="I2952"/>
      <c r="L2952"/>
    </row>
    <row r="2953" spans="9:12">
      <c r="I2953"/>
      <c r="L2953"/>
    </row>
    <row r="2954" spans="9:12">
      <c r="I2954"/>
      <c r="L2954"/>
    </row>
    <row r="2955" spans="9:12">
      <c r="I2955"/>
      <c r="L2955"/>
    </row>
    <row r="2956" spans="9:12">
      <c r="I2956"/>
      <c r="L2956"/>
    </row>
    <row r="2957" spans="9:12">
      <c r="I2957"/>
      <c r="L2957"/>
    </row>
    <row r="2958" spans="9:12">
      <c r="I2958"/>
      <c r="L2958"/>
    </row>
    <row r="2959" spans="9:12">
      <c r="I2959"/>
      <c r="L2959"/>
    </row>
    <row r="2960" spans="9:12">
      <c r="I2960"/>
      <c r="L2960"/>
    </row>
    <row r="2961" spans="9:12">
      <c r="I2961"/>
      <c r="L2961"/>
    </row>
    <row r="2962" spans="9:12">
      <c r="I2962"/>
      <c r="L2962"/>
    </row>
    <row r="2963" spans="9:12">
      <c r="I2963"/>
      <c r="L2963"/>
    </row>
    <row r="2964" spans="9:12">
      <c r="I2964"/>
      <c r="L2964"/>
    </row>
    <row r="2965" spans="9:12">
      <c r="I2965"/>
      <c r="L2965"/>
    </row>
    <row r="2966" spans="9:12">
      <c r="I2966"/>
      <c r="L2966"/>
    </row>
    <row r="2967" spans="9:12">
      <c r="I2967"/>
      <c r="L2967"/>
    </row>
    <row r="2968" spans="9:12">
      <c r="I2968"/>
      <c r="L2968"/>
    </row>
    <row r="2969" spans="9:12">
      <c r="I2969"/>
      <c r="L2969"/>
    </row>
    <row r="2970" spans="9:12">
      <c r="I2970"/>
      <c r="L2970"/>
    </row>
    <row r="2971" spans="9:12">
      <c r="I2971"/>
      <c r="L2971"/>
    </row>
    <row r="2972" spans="9:12">
      <c r="I2972"/>
      <c r="L2972"/>
    </row>
    <row r="2973" spans="9:12">
      <c r="I2973"/>
      <c r="L2973"/>
    </row>
    <row r="2974" spans="9:12">
      <c r="I2974"/>
      <c r="L2974"/>
    </row>
    <row r="2975" spans="9:12">
      <c r="I2975"/>
      <c r="L2975"/>
    </row>
    <row r="2976" spans="9:12">
      <c r="I2976"/>
      <c r="L2976"/>
    </row>
    <row r="2977" spans="9:12">
      <c r="I2977"/>
      <c r="L2977"/>
    </row>
    <row r="2978" spans="9:12">
      <c r="I2978"/>
      <c r="L2978"/>
    </row>
    <row r="2979" spans="9:12">
      <c r="I2979"/>
      <c r="L2979"/>
    </row>
    <row r="2980" spans="9:12">
      <c r="I2980"/>
      <c r="L2980"/>
    </row>
    <row r="2981" spans="9:12">
      <c r="I2981"/>
      <c r="L2981"/>
    </row>
    <row r="2982" spans="9:12">
      <c r="I2982"/>
      <c r="L2982"/>
    </row>
    <row r="2983" spans="9:12">
      <c r="I2983"/>
      <c r="L2983"/>
    </row>
    <row r="2984" spans="9:12">
      <c r="I2984"/>
      <c r="L2984"/>
    </row>
    <row r="2985" spans="9:12">
      <c r="I2985"/>
      <c r="L2985"/>
    </row>
    <row r="2986" spans="9:12">
      <c r="I2986"/>
      <c r="L2986"/>
    </row>
    <row r="2987" spans="9:12">
      <c r="I2987"/>
      <c r="L2987"/>
    </row>
    <row r="2988" spans="9:12">
      <c r="I2988"/>
      <c r="L2988"/>
    </row>
    <row r="2989" spans="9:12">
      <c r="I2989"/>
      <c r="L2989"/>
    </row>
    <row r="2990" spans="9:12">
      <c r="I2990"/>
      <c r="L2990"/>
    </row>
    <row r="2991" spans="9:12">
      <c r="I2991"/>
      <c r="L2991"/>
    </row>
    <row r="2992" spans="9:12">
      <c r="I2992"/>
      <c r="L2992"/>
    </row>
    <row r="2993" spans="9:12">
      <c r="I2993"/>
      <c r="L2993"/>
    </row>
    <row r="2994" spans="9:12">
      <c r="I2994"/>
      <c r="L2994"/>
    </row>
    <row r="2995" spans="9:12">
      <c r="I2995"/>
      <c r="L2995"/>
    </row>
    <row r="2996" spans="9:12">
      <c r="I2996"/>
      <c r="L2996"/>
    </row>
    <row r="2997" spans="9:12">
      <c r="I2997"/>
      <c r="L2997"/>
    </row>
    <row r="2998" spans="9:12">
      <c r="I2998"/>
      <c r="L2998"/>
    </row>
    <row r="2999" spans="9:12">
      <c r="I2999"/>
      <c r="L2999"/>
    </row>
    <row r="3000" spans="9:12">
      <c r="I3000"/>
      <c r="L3000"/>
    </row>
    <row r="3001" spans="9:12">
      <c r="I3001"/>
      <c r="L3001"/>
    </row>
    <row r="3002" spans="9:12">
      <c r="I3002"/>
      <c r="L3002"/>
    </row>
    <row r="3003" spans="9:12">
      <c r="I3003"/>
      <c r="L3003"/>
    </row>
    <row r="3004" spans="9:12">
      <c r="I3004"/>
      <c r="L3004"/>
    </row>
    <row r="3005" spans="9:12">
      <c r="I3005"/>
      <c r="L3005"/>
    </row>
    <row r="3006" spans="9:12">
      <c r="I3006"/>
      <c r="L3006"/>
    </row>
    <row r="3007" spans="9:12">
      <c r="I3007"/>
      <c r="L3007"/>
    </row>
    <row r="3008" spans="9:12">
      <c r="I3008"/>
      <c r="L3008"/>
    </row>
    <row r="3009" spans="9:12">
      <c r="I3009"/>
      <c r="L3009"/>
    </row>
    <row r="3010" spans="9:12">
      <c r="I3010"/>
      <c r="L3010"/>
    </row>
    <row r="3011" spans="9:12">
      <c r="I3011"/>
      <c r="L3011"/>
    </row>
    <row r="3012" spans="9:12">
      <c r="I3012"/>
      <c r="L3012"/>
    </row>
    <row r="3013" spans="9:12">
      <c r="I3013"/>
      <c r="L3013"/>
    </row>
    <row r="3014" spans="9:12">
      <c r="I3014"/>
      <c r="L3014"/>
    </row>
    <row r="3015" spans="9:12">
      <c r="I3015"/>
      <c r="L3015"/>
    </row>
    <row r="3016" spans="9:12">
      <c r="I3016"/>
      <c r="L3016"/>
    </row>
    <row r="3017" spans="9:12">
      <c r="I3017"/>
      <c r="L3017"/>
    </row>
    <row r="3018" spans="9:12">
      <c r="I3018"/>
      <c r="L3018"/>
    </row>
    <row r="3019" spans="9:12">
      <c r="I3019"/>
      <c r="L3019"/>
    </row>
    <row r="3020" spans="9:12">
      <c r="I3020"/>
      <c r="L3020"/>
    </row>
    <row r="3021" spans="9:12">
      <c r="I3021"/>
      <c r="L3021"/>
    </row>
    <row r="3022" spans="9:12">
      <c r="I3022"/>
      <c r="L3022"/>
    </row>
    <row r="3023" spans="9:12">
      <c r="I3023"/>
      <c r="L3023"/>
    </row>
    <row r="3024" spans="9:12">
      <c r="I3024"/>
      <c r="L3024"/>
    </row>
    <row r="3025" spans="9:12">
      <c r="I3025"/>
      <c r="L3025"/>
    </row>
    <row r="3026" spans="9:12">
      <c r="I3026"/>
      <c r="L3026"/>
    </row>
    <row r="3027" spans="9:12">
      <c r="I3027"/>
      <c r="L3027"/>
    </row>
    <row r="3028" spans="9:12">
      <c r="I3028"/>
      <c r="L3028"/>
    </row>
    <row r="3029" spans="9:12">
      <c r="I3029"/>
      <c r="L3029"/>
    </row>
    <row r="3030" spans="9:12">
      <c r="I3030"/>
      <c r="L3030"/>
    </row>
    <row r="3031" spans="9:12">
      <c r="I3031"/>
      <c r="L3031"/>
    </row>
    <row r="3032" spans="9:12">
      <c r="I3032"/>
      <c r="L3032"/>
    </row>
    <row r="3033" spans="9:12">
      <c r="I3033"/>
      <c r="L3033"/>
    </row>
    <row r="3034" spans="9:12">
      <c r="I3034"/>
      <c r="L3034"/>
    </row>
    <row r="3035" spans="9:12">
      <c r="I3035"/>
      <c r="L3035"/>
    </row>
    <row r="3036" spans="9:12">
      <c r="I3036"/>
      <c r="L3036"/>
    </row>
    <row r="3037" spans="9:12">
      <c r="I3037"/>
      <c r="L3037"/>
    </row>
    <row r="3038" spans="9:12">
      <c r="I3038"/>
      <c r="L3038"/>
    </row>
    <row r="3039" spans="9:12">
      <c r="I3039"/>
      <c r="L3039"/>
    </row>
    <row r="3040" spans="9:12">
      <c r="I3040"/>
      <c r="L3040"/>
    </row>
    <row r="3041" spans="9:12">
      <c r="I3041"/>
      <c r="L3041"/>
    </row>
    <row r="3042" spans="9:12">
      <c r="I3042"/>
      <c r="L3042"/>
    </row>
    <row r="3043" spans="9:12">
      <c r="I3043"/>
      <c r="L3043"/>
    </row>
    <row r="3044" spans="9:12">
      <c r="I3044"/>
      <c r="L3044"/>
    </row>
    <row r="3045" spans="9:12">
      <c r="I3045"/>
      <c r="L3045"/>
    </row>
    <row r="3046" spans="9:12">
      <c r="I3046"/>
      <c r="L3046"/>
    </row>
    <row r="3047" spans="9:12">
      <c r="I3047"/>
      <c r="L3047"/>
    </row>
    <row r="3048" spans="9:12">
      <c r="I3048"/>
      <c r="L3048"/>
    </row>
    <row r="3049" spans="9:12">
      <c r="I3049"/>
      <c r="L3049"/>
    </row>
    <row r="3050" spans="9:12">
      <c r="I3050"/>
      <c r="L3050"/>
    </row>
    <row r="3051" spans="9:12">
      <c r="I3051"/>
      <c r="L3051"/>
    </row>
    <row r="3052" spans="9:12">
      <c r="I3052"/>
      <c r="L3052"/>
    </row>
    <row r="3053" spans="9:12">
      <c r="I3053"/>
      <c r="L3053"/>
    </row>
    <row r="3054" spans="9:12">
      <c r="I3054"/>
      <c r="L3054"/>
    </row>
    <row r="3055" spans="9:12">
      <c r="I3055"/>
      <c r="L3055"/>
    </row>
    <row r="3056" spans="9:12">
      <c r="I3056"/>
      <c r="L3056"/>
    </row>
    <row r="3057" spans="9:12">
      <c r="I3057"/>
      <c r="L3057"/>
    </row>
    <row r="3058" spans="9:12">
      <c r="I3058"/>
      <c r="L3058"/>
    </row>
    <row r="3059" spans="9:12">
      <c r="I3059"/>
      <c r="L3059"/>
    </row>
    <row r="3060" spans="9:12">
      <c r="I3060"/>
      <c r="L3060"/>
    </row>
    <row r="3061" spans="9:12">
      <c r="I3061"/>
      <c r="L3061"/>
    </row>
    <row r="3062" spans="9:12">
      <c r="I3062"/>
      <c r="L3062"/>
    </row>
    <row r="3063" spans="9:12">
      <c r="I3063"/>
      <c r="L3063"/>
    </row>
    <row r="3064" spans="9:12">
      <c r="I3064"/>
      <c r="L3064"/>
    </row>
    <row r="3065" spans="9:12">
      <c r="I3065"/>
      <c r="L3065"/>
    </row>
    <row r="3066" spans="9:12">
      <c r="I3066"/>
      <c r="L3066"/>
    </row>
    <row r="3067" spans="9:12">
      <c r="I3067"/>
      <c r="L3067"/>
    </row>
    <row r="3068" spans="9:12">
      <c r="I3068"/>
      <c r="L3068"/>
    </row>
    <row r="3069" spans="9:12">
      <c r="I3069"/>
      <c r="L3069"/>
    </row>
    <row r="3070" spans="9:12">
      <c r="I3070"/>
      <c r="L3070"/>
    </row>
    <row r="3071" spans="9:12">
      <c r="I3071"/>
      <c r="L3071"/>
    </row>
    <row r="3072" spans="9:12">
      <c r="I3072"/>
      <c r="L3072"/>
    </row>
    <row r="3073" spans="9:12">
      <c r="I3073"/>
      <c r="L3073"/>
    </row>
    <row r="3074" spans="9:12">
      <c r="I3074"/>
      <c r="L3074"/>
    </row>
    <row r="3075" spans="9:12">
      <c r="I3075"/>
      <c r="L3075"/>
    </row>
    <row r="3076" spans="9:12">
      <c r="I3076"/>
      <c r="L3076"/>
    </row>
    <row r="3077" spans="9:12">
      <c r="I3077"/>
      <c r="L3077"/>
    </row>
    <row r="3078" spans="9:12">
      <c r="I3078"/>
      <c r="L3078"/>
    </row>
    <row r="3079" spans="9:12">
      <c r="I3079"/>
      <c r="L3079"/>
    </row>
    <row r="3080" spans="9:12">
      <c r="I3080"/>
      <c r="L3080"/>
    </row>
    <row r="3081" spans="9:12">
      <c r="I3081"/>
      <c r="L3081"/>
    </row>
    <row r="3082" spans="9:12">
      <c r="I3082"/>
      <c r="L3082"/>
    </row>
    <row r="3083" spans="9:12">
      <c r="I3083"/>
      <c r="L3083"/>
    </row>
    <row r="3084" spans="9:12">
      <c r="I3084"/>
      <c r="L3084"/>
    </row>
    <row r="3085" spans="9:12">
      <c r="I3085"/>
      <c r="L3085"/>
    </row>
    <row r="3086" spans="9:12">
      <c r="I3086"/>
      <c r="L3086"/>
    </row>
    <row r="3087" spans="9:12">
      <c r="I3087"/>
      <c r="L3087"/>
    </row>
    <row r="3088" spans="9:12">
      <c r="I3088"/>
      <c r="L3088"/>
    </row>
    <row r="3089" spans="9:12">
      <c r="I3089"/>
      <c r="L3089"/>
    </row>
    <row r="3090" spans="9:12">
      <c r="I3090"/>
      <c r="L3090"/>
    </row>
    <row r="3091" spans="9:12">
      <c r="I3091"/>
      <c r="L3091"/>
    </row>
    <row r="3092" spans="9:12">
      <c r="I3092"/>
      <c r="L3092"/>
    </row>
    <row r="3093" spans="9:12">
      <c r="I3093"/>
      <c r="L3093"/>
    </row>
    <row r="3094" spans="9:12">
      <c r="I3094"/>
      <c r="L3094"/>
    </row>
    <row r="3095" spans="9:12">
      <c r="I3095"/>
      <c r="L3095"/>
    </row>
    <row r="3096" spans="9:12">
      <c r="I3096"/>
      <c r="L3096"/>
    </row>
    <row r="3097" spans="9:12">
      <c r="I3097"/>
      <c r="L3097"/>
    </row>
    <row r="3098" spans="9:12">
      <c r="I3098"/>
      <c r="L3098"/>
    </row>
    <row r="3099" spans="9:12">
      <c r="I3099"/>
      <c r="L3099"/>
    </row>
    <row r="3100" spans="9:12">
      <c r="I3100"/>
      <c r="L3100"/>
    </row>
    <row r="3101" spans="9:12">
      <c r="I3101"/>
      <c r="L3101"/>
    </row>
    <row r="3102" spans="9:12">
      <c r="I3102"/>
      <c r="L3102"/>
    </row>
    <row r="3103" spans="9:12">
      <c r="I3103"/>
      <c r="L3103"/>
    </row>
    <row r="3104" spans="9:12">
      <c r="I3104"/>
      <c r="L3104"/>
    </row>
    <row r="3105" spans="9:12">
      <c r="I3105"/>
      <c r="L3105"/>
    </row>
    <row r="3106" spans="9:12">
      <c r="I3106"/>
      <c r="L3106"/>
    </row>
    <row r="3107" spans="9:12">
      <c r="I3107"/>
      <c r="L3107"/>
    </row>
    <row r="3108" spans="9:12">
      <c r="I3108"/>
      <c r="L3108"/>
    </row>
    <row r="3109" spans="9:12">
      <c r="I3109"/>
      <c r="L3109"/>
    </row>
    <row r="3110" spans="9:12">
      <c r="I3110"/>
      <c r="L3110"/>
    </row>
    <row r="3111" spans="9:12">
      <c r="I3111"/>
      <c r="L3111"/>
    </row>
    <row r="3112" spans="9:12">
      <c r="I3112"/>
      <c r="L3112"/>
    </row>
    <row r="3113" spans="9:12">
      <c r="I3113"/>
      <c r="L3113"/>
    </row>
    <row r="3114" spans="9:12">
      <c r="I3114"/>
      <c r="L3114"/>
    </row>
    <row r="3115" spans="9:12">
      <c r="I3115"/>
      <c r="L3115"/>
    </row>
    <row r="3116" spans="9:12">
      <c r="I3116"/>
      <c r="L3116"/>
    </row>
    <row r="3117" spans="9:12">
      <c r="I3117"/>
      <c r="L3117"/>
    </row>
    <row r="3118" spans="9:12">
      <c r="I3118"/>
      <c r="L3118"/>
    </row>
    <row r="3119" spans="9:12">
      <c r="I3119"/>
      <c r="L3119"/>
    </row>
    <row r="3120" spans="9:12">
      <c r="I3120"/>
      <c r="L3120"/>
    </row>
    <row r="3121" spans="9:12">
      <c r="I3121"/>
      <c r="L3121"/>
    </row>
    <row r="3122" spans="9:12">
      <c r="I3122"/>
      <c r="L3122"/>
    </row>
    <row r="3123" spans="9:12">
      <c r="I3123"/>
      <c r="L3123"/>
    </row>
    <row r="3124" spans="9:12">
      <c r="I3124"/>
      <c r="L3124"/>
    </row>
    <row r="3125" spans="9:12">
      <c r="I3125"/>
      <c r="L3125"/>
    </row>
    <row r="3126" spans="9:12">
      <c r="I3126"/>
      <c r="L3126"/>
    </row>
    <row r="3127" spans="9:12">
      <c r="I3127"/>
      <c r="L3127"/>
    </row>
    <row r="3128" spans="9:12">
      <c r="I3128"/>
      <c r="L3128"/>
    </row>
    <row r="3129" spans="9:12">
      <c r="I3129"/>
      <c r="L3129"/>
    </row>
    <row r="3130" spans="9:12">
      <c r="I3130"/>
      <c r="L3130"/>
    </row>
    <row r="3131" spans="9:12">
      <c r="I3131"/>
      <c r="L3131"/>
    </row>
    <row r="3132" spans="9:12">
      <c r="I3132"/>
      <c r="L3132"/>
    </row>
    <row r="3133" spans="9:12">
      <c r="I3133"/>
      <c r="L3133"/>
    </row>
    <row r="3134" spans="9:12">
      <c r="I3134"/>
      <c r="L3134"/>
    </row>
    <row r="3135" spans="9:12">
      <c r="I3135"/>
      <c r="L3135"/>
    </row>
    <row r="3136" spans="9:12">
      <c r="I3136"/>
      <c r="L3136"/>
    </row>
    <row r="3137" spans="9:12">
      <c r="I3137"/>
      <c r="L3137"/>
    </row>
    <row r="3138" spans="9:12">
      <c r="I3138"/>
      <c r="L3138"/>
    </row>
    <row r="3139" spans="9:12">
      <c r="I3139"/>
      <c r="L3139"/>
    </row>
    <row r="3140" spans="9:12">
      <c r="I3140"/>
      <c r="L3140"/>
    </row>
    <row r="3141" spans="9:12">
      <c r="I3141"/>
      <c r="L3141"/>
    </row>
    <row r="3142" spans="9:12">
      <c r="I3142"/>
      <c r="L3142"/>
    </row>
    <row r="3143" spans="9:12">
      <c r="I3143"/>
      <c r="L3143"/>
    </row>
    <row r="3144" spans="9:12">
      <c r="I3144"/>
      <c r="L3144"/>
    </row>
    <row r="3145" spans="9:12">
      <c r="I3145"/>
      <c r="L3145"/>
    </row>
    <row r="3146" spans="9:12">
      <c r="I3146"/>
      <c r="L3146"/>
    </row>
    <row r="3147" spans="9:12">
      <c r="I3147"/>
      <c r="L3147"/>
    </row>
    <row r="3148" spans="9:12">
      <c r="I3148"/>
      <c r="L3148"/>
    </row>
    <row r="3149" spans="9:12">
      <c r="I3149"/>
      <c r="L3149"/>
    </row>
    <row r="3150" spans="9:12">
      <c r="I3150"/>
      <c r="L3150"/>
    </row>
    <row r="3151" spans="9:12">
      <c r="I3151"/>
      <c r="L3151"/>
    </row>
    <row r="3152" spans="9:12">
      <c r="I3152"/>
      <c r="L3152"/>
    </row>
    <row r="3153" spans="9:12">
      <c r="I3153"/>
      <c r="L3153"/>
    </row>
    <row r="3154" spans="9:12">
      <c r="I3154"/>
      <c r="L3154"/>
    </row>
    <row r="3155" spans="9:12">
      <c r="I3155"/>
      <c r="L3155"/>
    </row>
    <row r="3156" spans="9:12">
      <c r="I3156"/>
      <c r="L3156"/>
    </row>
    <row r="3157" spans="9:12">
      <c r="I3157"/>
      <c r="L3157"/>
    </row>
    <row r="3158" spans="9:12">
      <c r="I3158"/>
      <c r="L3158"/>
    </row>
    <row r="3159" spans="9:12">
      <c r="I3159"/>
      <c r="L3159"/>
    </row>
    <row r="3160" spans="9:12">
      <c r="I3160"/>
      <c r="L3160"/>
    </row>
    <row r="3161" spans="9:12">
      <c r="I3161"/>
      <c r="L3161"/>
    </row>
    <row r="3162" spans="9:12">
      <c r="I3162"/>
      <c r="L3162"/>
    </row>
    <row r="3163" spans="9:12">
      <c r="I3163"/>
      <c r="L3163"/>
    </row>
    <row r="3164" spans="9:12">
      <c r="I3164"/>
      <c r="L3164"/>
    </row>
    <row r="3165" spans="9:12">
      <c r="I3165"/>
      <c r="L3165"/>
    </row>
    <row r="3166" spans="9:12">
      <c r="I3166"/>
      <c r="L3166"/>
    </row>
    <row r="3167" spans="9:12">
      <c r="I3167"/>
      <c r="L3167"/>
    </row>
    <row r="3168" spans="9:12">
      <c r="I3168"/>
      <c r="L3168"/>
    </row>
    <row r="3169" spans="9:12">
      <c r="I3169"/>
      <c r="L3169"/>
    </row>
    <row r="3170" spans="9:12">
      <c r="I3170"/>
      <c r="L3170"/>
    </row>
    <row r="3171" spans="9:12">
      <c r="I3171"/>
      <c r="L3171"/>
    </row>
    <row r="3172" spans="9:12">
      <c r="I3172"/>
      <c r="L3172"/>
    </row>
    <row r="3173" spans="9:12">
      <c r="I3173"/>
      <c r="L3173"/>
    </row>
    <row r="3174" spans="9:12">
      <c r="I3174"/>
      <c r="L3174"/>
    </row>
    <row r="3175" spans="9:12">
      <c r="I3175"/>
      <c r="L3175"/>
    </row>
    <row r="3176" spans="9:12">
      <c r="I3176"/>
      <c r="L3176"/>
    </row>
    <row r="3177" spans="9:12">
      <c r="I3177"/>
      <c r="L3177"/>
    </row>
    <row r="3178" spans="9:12">
      <c r="I3178"/>
      <c r="L3178"/>
    </row>
    <row r="3179" spans="9:12">
      <c r="I3179"/>
      <c r="L3179"/>
    </row>
    <row r="3180" spans="9:12">
      <c r="I3180"/>
      <c r="L3180"/>
    </row>
    <row r="3181" spans="9:12">
      <c r="I3181"/>
      <c r="L3181"/>
    </row>
    <row r="3182" spans="9:12">
      <c r="I3182"/>
      <c r="L3182"/>
    </row>
    <row r="3183" spans="9:12">
      <c r="I3183"/>
      <c r="L3183"/>
    </row>
    <row r="3184" spans="9:12">
      <c r="I3184"/>
      <c r="L3184"/>
    </row>
    <row r="3185" spans="9:12">
      <c r="I3185"/>
      <c r="L3185"/>
    </row>
    <row r="3186" spans="9:12">
      <c r="I3186"/>
      <c r="L3186"/>
    </row>
    <row r="3187" spans="9:12">
      <c r="I3187"/>
      <c r="L3187"/>
    </row>
    <row r="3188" spans="9:12">
      <c r="I3188"/>
      <c r="L3188"/>
    </row>
    <row r="3189" spans="9:12">
      <c r="I3189"/>
      <c r="L3189"/>
    </row>
    <row r="3190" spans="9:12">
      <c r="I3190"/>
      <c r="L3190"/>
    </row>
    <row r="3191" spans="9:12">
      <c r="I3191"/>
      <c r="L3191"/>
    </row>
    <row r="3192" spans="9:12">
      <c r="I3192"/>
      <c r="L3192"/>
    </row>
    <row r="3193" spans="9:12">
      <c r="I3193"/>
      <c r="L3193"/>
    </row>
    <row r="3194" spans="9:12">
      <c r="I3194"/>
      <c r="L3194"/>
    </row>
    <row r="3195" spans="9:12">
      <c r="I3195"/>
      <c r="L3195"/>
    </row>
    <row r="3196" spans="9:12">
      <c r="I3196"/>
      <c r="L3196"/>
    </row>
    <row r="3197" spans="9:12">
      <c r="I3197"/>
      <c r="L3197"/>
    </row>
    <row r="3198" spans="9:12">
      <c r="I3198"/>
      <c r="L3198"/>
    </row>
    <row r="3199" spans="9:12">
      <c r="I3199"/>
      <c r="L3199"/>
    </row>
    <row r="3200" spans="9:12">
      <c r="I3200"/>
      <c r="L3200"/>
    </row>
    <row r="3201" spans="9:12">
      <c r="I3201"/>
      <c r="L3201"/>
    </row>
    <row r="3202" spans="9:12">
      <c r="I3202"/>
      <c r="L3202"/>
    </row>
    <row r="3203" spans="9:12">
      <c r="I3203"/>
      <c r="L3203"/>
    </row>
    <row r="3204" spans="9:12">
      <c r="I3204"/>
      <c r="L3204"/>
    </row>
    <row r="3205" spans="9:12">
      <c r="I3205"/>
      <c r="L3205"/>
    </row>
    <row r="3206" spans="9:12">
      <c r="I3206"/>
      <c r="L3206"/>
    </row>
    <row r="3207" spans="9:12">
      <c r="I3207"/>
      <c r="L3207"/>
    </row>
    <row r="3208" spans="9:12">
      <c r="I3208"/>
      <c r="L3208"/>
    </row>
    <row r="3209" spans="9:12">
      <c r="I3209"/>
      <c r="L3209"/>
    </row>
    <row r="3210" spans="9:12">
      <c r="I3210"/>
      <c r="L3210"/>
    </row>
    <row r="3211" spans="9:12">
      <c r="I3211"/>
      <c r="L3211"/>
    </row>
    <row r="3212" spans="9:12">
      <c r="I3212"/>
      <c r="L3212"/>
    </row>
    <row r="3213" spans="9:12">
      <c r="I3213"/>
      <c r="L3213"/>
    </row>
    <row r="3214" spans="9:12">
      <c r="I3214"/>
      <c r="L3214"/>
    </row>
    <row r="3215" spans="9:12">
      <c r="I3215"/>
      <c r="L3215"/>
    </row>
    <row r="3216" spans="9:12">
      <c r="I3216"/>
      <c r="L3216"/>
    </row>
    <row r="3217" spans="9:12">
      <c r="I3217"/>
      <c r="L3217"/>
    </row>
    <row r="3218" spans="9:12">
      <c r="I3218"/>
      <c r="L3218"/>
    </row>
    <row r="3219" spans="9:12">
      <c r="I3219"/>
      <c r="L3219"/>
    </row>
    <row r="3220" spans="9:12">
      <c r="I3220"/>
      <c r="L3220"/>
    </row>
    <row r="3221" spans="9:12">
      <c r="I3221"/>
      <c r="L3221"/>
    </row>
    <row r="3222" spans="9:12">
      <c r="I3222"/>
      <c r="L3222"/>
    </row>
    <row r="3223" spans="9:12">
      <c r="I3223"/>
      <c r="L3223"/>
    </row>
    <row r="3224" spans="9:12">
      <c r="I3224"/>
      <c r="L3224"/>
    </row>
    <row r="3225" spans="9:12">
      <c r="I3225"/>
      <c r="L3225"/>
    </row>
    <row r="3226" spans="9:12">
      <c r="I3226"/>
      <c r="L3226"/>
    </row>
    <row r="3227" spans="9:12">
      <c r="I3227"/>
      <c r="L3227"/>
    </row>
    <row r="3228" spans="9:12">
      <c r="I3228"/>
      <c r="L3228"/>
    </row>
    <row r="3229" spans="9:12">
      <c r="I3229"/>
      <c r="L3229"/>
    </row>
    <row r="3230" spans="9:12">
      <c r="I3230"/>
      <c r="L3230"/>
    </row>
    <row r="3231" spans="9:12">
      <c r="I3231"/>
      <c r="L3231"/>
    </row>
    <row r="3232" spans="9:12">
      <c r="I3232"/>
      <c r="L3232"/>
    </row>
    <row r="3233" spans="9:12">
      <c r="I3233"/>
      <c r="L3233"/>
    </row>
    <row r="3234" spans="9:12">
      <c r="I3234"/>
      <c r="L3234"/>
    </row>
    <row r="3235" spans="9:12">
      <c r="I3235"/>
      <c r="L3235"/>
    </row>
    <row r="3236" spans="9:12">
      <c r="I3236"/>
      <c r="L3236"/>
    </row>
    <row r="3237" spans="9:12">
      <c r="I3237"/>
      <c r="L3237"/>
    </row>
    <row r="3238" spans="9:12">
      <c r="I3238"/>
      <c r="L3238"/>
    </row>
    <row r="3239" spans="9:12">
      <c r="I3239"/>
      <c r="L3239"/>
    </row>
    <row r="3240" spans="9:12">
      <c r="I3240"/>
      <c r="L3240"/>
    </row>
    <row r="3241" spans="9:12">
      <c r="I3241"/>
      <c r="L3241"/>
    </row>
    <row r="3242" spans="9:12">
      <c r="I3242"/>
      <c r="L3242"/>
    </row>
    <row r="3243" spans="9:12">
      <c r="I3243"/>
      <c r="L3243"/>
    </row>
    <row r="3244" spans="9:12">
      <c r="I3244"/>
      <c r="L3244"/>
    </row>
    <row r="3245" spans="9:12">
      <c r="I3245"/>
      <c r="L3245"/>
    </row>
    <row r="3246" spans="9:12">
      <c r="I3246"/>
      <c r="L3246"/>
    </row>
    <row r="3247" spans="9:12">
      <c r="I3247"/>
      <c r="L3247"/>
    </row>
    <row r="3248" spans="9:12">
      <c r="I3248"/>
      <c r="L3248"/>
    </row>
    <row r="3249" spans="9:12">
      <c r="I3249"/>
      <c r="L3249"/>
    </row>
    <row r="3250" spans="9:12">
      <c r="I3250"/>
      <c r="L3250"/>
    </row>
    <row r="3251" spans="9:12">
      <c r="I3251"/>
      <c r="L3251"/>
    </row>
    <row r="3252" spans="9:12">
      <c r="I3252"/>
      <c r="L3252"/>
    </row>
    <row r="3253" spans="9:12">
      <c r="I3253"/>
      <c r="L3253"/>
    </row>
    <row r="3254" spans="9:12">
      <c r="I3254"/>
      <c r="L3254"/>
    </row>
    <row r="3255" spans="9:12">
      <c r="I3255"/>
      <c r="L3255"/>
    </row>
    <row r="3256" spans="9:12">
      <c r="I3256"/>
      <c r="L3256"/>
    </row>
    <row r="3257" spans="9:12">
      <c r="I3257"/>
      <c r="L3257"/>
    </row>
    <row r="3258" spans="9:12">
      <c r="I3258"/>
      <c r="L3258"/>
    </row>
    <row r="3259" spans="9:12">
      <c r="I3259"/>
      <c r="L3259"/>
    </row>
    <row r="3260" spans="9:12">
      <c r="I3260"/>
      <c r="L3260"/>
    </row>
    <row r="3261" spans="9:12">
      <c r="I3261"/>
      <c r="L3261"/>
    </row>
    <row r="3262" spans="9:12">
      <c r="I3262"/>
      <c r="L3262"/>
    </row>
    <row r="3263" spans="9:12">
      <c r="I3263"/>
      <c r="L3263"/>
    </row>
    <row r="3264" spans="9:12">
      <c r="I3264"/>
      <c r="L3264"/>
    </row>
    <row r="3265" spans="9:12">
      <c r="I3265"/>
      <c r="L3265"/>
    </row>
    <row r="3266" spans="9:12">
      <c r="I3266"/>
      <c r="L3266"/>
    </row>
    <row r="3267" spans="9:12">
      <c r="I3267"/>
      <c r="L3267"/>
    </row>
    <row r="3268" spans="9:12">
      <c r="I3268"/>
      <c r="L3268"/>
    </row>
    <row r="3269" spans="9:12">
      <c r="I3269"/>
      <c r="L3269"/>
    </row>
    <row r="3270" spans="9:12">
      <c r="I3270"/>
      <c r="L3270"/>
    </row>
    <row r="3271" spans="9:12">
      <c r="I3271"/>
      <c r="L3271"/>
    </row>
    <row r="3272" spans="9:12">
      <c r="I3272"/>
      <c r="L3272"/>
    </row>
    <row r="3273" spans="9:12">
      <c r="I3273"/>
      <c r="L3273"/>
    </row>
    <row r="3274" spans="9:12">
      <c r="I3274"/>
      <c r="L3274"/>
    </row>
    <row r="3275" spans="9:12">
      <c r="I3275"/>
      <c r="L3275"/>
    </row>
    <row r="3276" spans="9:12">
      <c r="I3276"/>
      <c r="L3276"/>
    </row>
    <row r="3277" spans="9:12">
      <c r="I3277"/>
      <c r="L3277"/>
    </row>
    <row r="3278" spans="9:12">
      <c r="I3278"/>
      <c r="L3278"/>
    </row>
    <row r="3279" spans="9:12">
      <c r="I3279"/>
      <c r="L3279"/>
    </row>
    <row r="3280" spans="9:12">
      <c r="I3280"/>
      <c r="L3280"/>
    </row>
    <row r="3281" spans="9:12">
      <c r="I3281"/>
      <c r="L3281"/>
    </row>
    <row r="3282" spans="9:12">
      <c r="I3282"/>
      <c r="L3282"/>
    </row>
    <row r="3283" spans="9:12">
      <c r="I3283"/>
      <c r="L3283"/>
    </row>
    <row r="3284" spans="9:12">
      <c r="I3284"/>
      <c r="L3284"/>
    </row>
    <row r="3285" spans="9:12">
      <c r="I3285"/>
      <c r="L3285"/>
    </row>
    <row r="3286" spans="9:12">
      <c r="I3286"/>
      <c r="L3286"/>
    </row>
    <row r="3287" spans="9:12">
      <c r="I3287"/>
      <c r="L3287"/>
    </row>
    <row r="3288" spans="9:12">
      <c r="I3288"/>
      <c r="L3288"/>
    </row>
    <row r="3289" spans="9:12">
      <c r="I3289"/>
      <c r="L3289"/>
    </row>
    <row r="3290" spans="9:12">
      <c r="I3290"/>
      <c r="L3290"/>
    </row>
    <row r="3291" spans="9:12">
      <c r="I3291"/>
      <c r="L3291"/>
    </row>
    <row r="3292" spans="9:12">
      <c r="I3292"/>
      <c r="L3292"/>
    </row>
    <row r="3293" spans="9:12">
      <c r="I3293"/>
      <c r="L3293"/>
    </row>
    <row r="3294" spans="9:12">
      <c r="I3294"/>
      <c r="L3294"/>
    </row>
    <row r="3295" spans="9:12">
      <c r="I3295"/>
      <c r="L3295"/>
    </row>
    <row r="3296" spans="9:12">
      <c r="I3296"/>
      <c r="L3296"/>
    </row>
    <row r="3297" spans="9:12">
      <c r="I3297"/>
      <c r="L3297"/>
    </row>
    <row r="3298" spans="9:12">
      <c r="I3298"/>
      <c r="L3298"/>
    </row>
    <row r="3299" spans="9:12">
      <c r="I3299"/>
      <c r="L3299"/>
    </row>
    <row r="3300" spans="9:12">
      <c r="I3300"/>
      <c r="L3300"/>
    </row>
    <row r="3301" spans="9:12">
      <c r="I3301"/>
      <c r="L3301"/>
    </row>
    <row r="3302" spans="9:12">
      <c r="I3302"/>
      <c r="L3302"/>
    </row>
    <row r="3303" spans="9:12">
      <c r="I3303"/>
      <c r="L3303"/>
    </row>
    <row r="3304" spans="9:12">
      <c r="I3304"/>
      <c r="L3304"/>
    </row>
    <row r="3305" spans="9:12">
      <c r="I3305"/>
      <c r="L3305"/>
    </row>
    <row r="3306" spans="9:12">
      <c r="I3306"/>
      <c r="L3306"/>
    </row>
    <row r="3307" spans="9:12">
      <c r="I3307"/>
      <c r="L3307"/>
    </row>
    <row r="3308" spans="9:12">
      <c r="I3308"/>
      <c r="L3308"/>
    </row>
    <row r="3309" spans="9:12">
      <c r="I3309"/>
      <c r="L3309"/>
    </row>
    <row r="3310" spans="9:12">
      <c r="I3310"/>
      <c r="L3310"/>
    </row>
    <row r="3311" spans="9:12">
      <c r="I3311"/>
      <c r="L3311"/>
    </row>
    <row r="3312" spans="9:12">
      <c r="I3312"/>
      <c r="L3312"/>
    </row>
    <row r="3313" spans="9:12">
      <c r="I3313"/>
      <c r="L3313"/>
    </row>
    <row r="3314" spans="9:12">
      <c r="I3314"/>
      <c r="L3314"/>
    </row>
    <row r="3315" spans="9:12">
      <c r="I3315"/>
      <c r="L3315"/>
    </row>
    <row r="3316" spans="9:12">
      <c r="I3316"/>
      <c r="L3316"/>
    </row>
    <row r="3317" spans="9:12">
      <c r="I3317"/>
      <c r="L3317"/>
    </row>
    <row r="3318" spans="9:12">
      <c r="I3318"/>
      <c r="L3318"/>
    </row>
    <row r="3319" spans="9:12">
      <c r="I3319"/>
      <c r="L3319"/>
    </row>
    <row r="3320" spans="9:12">
      <c r="I3320"/>
      <c r="L3320"/>
    </row>
    <row r="3321" spans="9:12">
      <c r="I3321"/>
      <c r="L3321"/>
    </row>
    <row r="3322" spans="9:12">
      <c r="I3322"/>
      <c r="L3322"/>
    </row>
    <row r="3323" spans="9:12">
      <c r="I3323"/>
      <c r="L3323"/>
    </row>
    <row r="3324" spans="9:12">
      <c r="I3324"/>
      <c r="L3324"/>
    </row>
    <row r="3325" spans="9:12">
      <c r="I3325"/>
      <c r="L3325"/>
    </row>
    <row r="3326" spans="9:12">
      <c r="I3326"/>
      <c r="L3326"/>
    </row>
    <row r="3327" spans="9:12">
      <c r="I3327"/>
      <c r="L3327"/>
    </row>
    <row r="3328" spans="9:12">
      <c r="I3328"/>
      <c r="L3328"/>
    </row>
    <row r="3329" spans="9:12">
      <c r="I3329"/>
      <c r="L3329"/>
    </row>
    <row r="3330" spans="9:12">
      <c r="I3330"/>
      <c r="L3330"/>
    </row>
    <row r="3331" spans="9:12">
      <c r="I3331"/>
      <c r="L3331"/>
    </row>
    <row r="3332" spans="9:12">
      <c r="I3332"/>
      <c r="L3332"/>
    </row>
    <row r="3333" spans="9:12">
      <c r="I3333"/>
      <c r="L3333"/>
    </row>
    <row r="3334" spans="9:12">
      <c r="I3334"/>
      <c r="L3334"/>
    </row>
    <row r="3335" spans="9:12">
      <c r="I3335"/>
      <c r="L3335"/>
    </row>
    <row r="3336" spans="9:12">
      <c r="I3336"/>
      <c r="L3336"/>
    </row>
    <row r="3337" spans="9:12">
      <c r="I3337"/>
      <c r="L3337"/>
    </row>
    <row r="3338" spans="9:12">
      <c r="I3338"/>
      <c r="L3338"/>
    </row>
    <row r="3339" spans="9:12">
      <c r="I3339"/>
      <c r="L3339"/>
    </row>
    <row r="3340" spans="9:12">
      <c r="I3340"/>
      <c r="L3340"/>
    </row>
    <row r="3341" spans="9:12">
      <c r="I3341"/>
      <c r="L3341"/>
    </row>
    <row r="3342" spans="9:12">
      <c r="I3342"/>
      <c r="L3342"/>
    </row>
    <row r="3343" spans="9:12">
      <c r="I3343"/>
      <c r="L3343"/>
    </row>
    <row r="3344" spans="9:12">
      <c r="I3344"/>
      <c r="L3344"/>
    </row>
    <row r="3345" spans="9:12">
      <c r="I3345"/>
      <c r="L3345"/>
    </row>
    <row r="3346" spans="9:12">
      <c r="I3346"/>
      <c r="L3346"/>
    </row>
    <row r="3347" spans="9:12">
      <c r="I3347"/>
      <c r="L3347"/>
    </row>
    <row r="3348" spans="9:12">
      <c r="I3348"/>
      <c r="L3348"/>
    </row>
    <row r="3349" spans="9:12">
      <c r="I3349"/>
      <c r="L3349"/>
    </row>
    <row r="3350" spans="9:12">
      <c r="I3350"/>
      <c r="L3350"/>
    </row>
    <row r="3351" spans="9:12">
      <c r="I3351"/>
      <c r="L3351"/>
    </row>
    <row r="3352" spans="9:12">
      <c r="I3352"/>
      <c r="L3352"/>
    </row>
    <row r="3353" spans="9:12">
      <c r="I3353"/>
      <c r="L3353"/>
    </row>
    <row r="3354" spans="9:12">
      <c r="I3354"/>
      <c r="L3354"/>
    </row>
    <row r="3355" spans="9:12">
      <c r="I3355"/>
      <c r="L3355"/>
    </row>
    <row r="3356" spans="9:12">
      <c r="I3356"/>
      <c r="L3356"/>
    </row>
    <row r="3357" spans="9:12">
      <c r="I3357"/>
      <c r="L3357"/>
    </row>
    <row r="3358" spans="9:12">
      <c r="I3358"/>
      <c r="L3358"/>
    </row>
    <row r="3359" spans="9:12">
      <c r="I3359"/>
      <c r="L3359"/>
    </row>
    <row r="3360" spans="9:12">
      <c r="I3360"/>
      <c r="L3360"/>
    </row>
    <row r="3361" spans="9:12">
      <c r="I3361"/>
      <c r="L3361"/>
    </row>
    <row r="3362" spans="9:12">
      <c r="I3362"/>
      <c r="L3362"/>
    </row>
    <row r="3363" spans="9:12">
      <c r="I3363"/>
      <c r="L3363"/>
    </row>
    <row r="3364" spans="9:12">
      <c r="I3364"/>
      <c r="L3364"/>
    </row>
    <row r="3365" spans="9:12">
      <c r="I3365"/>
      <c r="L3365"/>
    </row>
    <row r="3366" spans="9:12">
      <c r="I3366"/>
      <c r="L3366"/>
    </row>
    <row r="3367" spans="9:12">
      <c r="I3367"/>
      <c r="L3367"/>
    </row>
    <row r="3368" spans="9:12">
      <c r="I3368"/>
      <c r="L3368"/>
    </row>
    <row r="3369" spans="9:12">
      <c r="I3369"/>
      <c r="L3369"/>
    </row>
    <row r="3370" spans="9:12">
      <c r="I3370"/>
      <c r="L3370"/>
    </row>
    <row r="3371" spans="9:12">
      <c r="I3371"/>
      <c r="L3371"/>
    </row>
    <row r="3372" spans="9:12">
      <c r="I3372"/>
      <c r="L3372"/>
    </row>
    <row r="3373" spans="9:12">
      <c r="I3373"/>
      <c r="L3373"/>
    </row>
    <row r="3374" spans="9:12">
      <c r="I3374"/>
      <c r="L3374"/>
    </row>
    <row r="3375" spans="9:12">
      <c r="I3375"/>
      <c r="L3375"/>
    </row>
    <row r="3376" spans="9:12">
      <c r="I3376"/>
      <c r="L3376"/>
    </row>
    <row r="3377" spans="9:12">
      <c r="I3377"/>
      <c r="L3377"/>
    </row>
    <row r="3378" spans="9:12">
      <c r="I3378"/>
      <c r="L3378"/>
    </row>
    <row r="3379" spans="9:12">
      <c r="I3379"/>
      <c r="L3379"/>
    </row>
    <row r="3380" spans="9:12">
      <c r="I3380"/>
      <c r="L3380"/>
    </row>
    <row r="3381" spans="9:12">
      <c r="I3381"/>
      <c r="L3381"/>
    </row>
    <row r="3382" spans="9:12">
      <c r="I3382"/>
      <c r="L3382"/>
    </row>
    <row r="3383" spans="9:12">
      <c r="I3383"/>
      <c r="L3383"/>
    </row>
    <row r="3384" spans="9:12">
      <c r="I3384"/>
      <c r="L3384"/>
    </row>
    <row r="3385" spans="9:12">
      <c r="I3385"/>
      <c r="L3385"/>
    </row>
    <row r="3386" spans="9:12">
      <c r="I3386"/>
      <c r="L3386"/>
    </row>
    <row r="3387" spans="9:12">
      <c r="I3387"/>
      <c r="L3387"/>
    </row>
    <row r="3388" spans="9:12">
      <c r="I3388"/>
      <c r="L3388"/>
    </row>
    <row r="3389" spans="9:12">
      <c r="I3389"/>
      <c r="L3389"/>
    </row>
    <row r="3390" spans="9:12">
      <c r="I3390"/>
      <c r="L3390"/>
    </row>
    <row r="3391" spans="9:12">
      <c r="I3391"/>
      <c r="L3391"/>
    </row>
    <row r="3392" spans="9:12">
      <c r="I3392"/>
      <c r="L3392"/>
    </row>
    <row r="3393" spans="9:12">
      <c r="I3393"/>
      <c r="L3393"/>
    </row>
    <row r="3394" spans="9:12">
      <c r="I3394"/>
      <c r="L3394"/>
    </row>
    <row r="3395" spans="9:12">
      <c r="I3395"/>
      <c r="L3395"/>
    </row>
    <row r="3396" spans="9:12">
      <c r="I3396"/>
      <c r="L3396"/>
    </row>
    <row r="3397" spans="9:12">
      <c r="I3397"/>
      <c r="L3397"/>
    </row>
    <row r="3398" spans="9:12">
      <c r="I3398"/>
      <c r="L3398"/>
    </row>
    <row r="3399" spans="9:12">
      <c r="I3399"/>
      <c r="L3399"/>
    </row>
    <row r="3400" spans="9:12">
      <c r="I3400"/>
      <c r="L3400"/>
    </row>
    <row r="3401" spans="9:12">
      <c r="I3401"/>
      <c r="L3401"/>
    </row>
    <row r="3402" spans="9:12">
      <c r="I3402"/>
      <c r="L3402"/>
    </row>
    <row r="3403" spans="9:12">
      <c r="I3403"/>
      <c r="L3403"/>
    </row>
    <row r="3404" spans="9:12">
      <c r="I3404"/>
      <c r="L3404"/>
    </row>
    <row r="3405" spans="9:12">
      <c r="I3405"/>
      <c r="L3405"/>
    </row>
    <row r="3406" spans="9:12">
      <c r="I3406"/>
      <c r="L3406"/>
    </row>
    <row r="3407" spans="9:12">
      <c r="I3407"/>
      <c r="L3407"/>
    </row>
    <row r="3408" spans="9:12">
      <c r="I3408"/>
      <c r="L3408"/>
    </row>
    <row r="3409" spans="9:12">
      <c r="I3409"/>
      <c r="L3409"/>
    </row>
    <row r="3410" spans="9:12">
      <c r="I3410"/>
      <c r="L3410"/>
    </row>
    <row r="3411" spans="9:12">
      <c r="I3411"/>
      <c r="L3411"/>
    </row>
    <row r="3412" spans="9:12">
      <c r="I3412"/>
      <c r="L3412"/>
    </row>
    <row r="3413" spans="9:12">
      <c r="I3413"/>
      <c r="L3413"/>
    </row>
    <row r="3414" spans="9:12">
      <c r="I3414"/>
      <c r="L3414"/>
    </row>
    <row r="3415" spans="9:12">
      <c r="I3415"/>
      <c r="L3415"/>
    </row>
    <row r="3416" spans="9:12">
      <c r="I3416"/>
      <c r="L3416"/>
    </row>
    <row r="3417" spans="9:12">
      <c r="I3417"/>
      <c r="L3417"/>
    </row>
    <row r="3418" spans="9:12">
      <c r="I3418"/>
      <c r="L3418"/>
    </row>
    <row r="3419" spans="9:12">
      <c r="I3419"/>
      <c r="L3419"/>
    </row>
    <row r="3420" spans="9:12">
      <c r="I3420"/>
      <c r="L3420"/>
    </row>
    <row r="3421" spans="9:12">
      <c r="I3421"/>
      <c r="L3421"/>
    </row>
    <row r="3422" spans="9:12">
      <c r="I3422"/>
      <c r="L3422"/>
    </row>
    <row r="3423" spans="9:12">
      <c r="I3423"/>
      <c r="L3423"/>
    </row>
    <row r="3424" spans="9:12">
      <c r="I3424"/>
      <c r="L3424"/>
    </row>
    <row r="3425" spans="9:12">
      <c r="I3425"/>
      <c r="L3425"/>
    </row>
    <row r="3426" spans="9:12">
      <c r="I3426"/>
      <c r="L3426"/>
    </row>
    <row r="3427" spans="9:12">
      <c r="I3427"/>
      <c r="L3427"/>
    </row>
    <row r="3428" spans="9:12">
      <c r="I3428"/>
      <c r="L3428"/>
    </row>
    <row r="3429" spans="9:12">
      <c r="I3429"/>
      <c r="L3429"/>
    </row>
    <row r="3430" spans="9:12">
      <c r="I3430"/>
      <c r="L3430"/>
    </row>
    <row r="3431" spans="9:12">
      <c r="I3431"/>
      <c r="L3431"/>
    </row>
    <row r="3432" spans="9:12">
      <c r="I3432"/>
      <c r="L3432"/>
    </row>
    <row r="3433" spans="9:12">
      <c r="I3433"/>
      <c r="L3433"/>
    </row>
    <row r="3434" spans="9:12">
      <c r="I3434"/>
      <c r="L3434"/>
    </row>
    <row r="3435" spans="9:12">
      <c r="I3435"/>
      <c r="L3435"/>
    </row>
    <row r="3436" spans="9:12">
      <c r="I3436"/>
      <c r="L3436"/>
    </row>
    <row r="3437" spans="9:12">
      <c r="I3437"/>
      <c r="L3437"/>
    </row>
    <row r="3438" spans="9:12">
      <c r="I3438"/>
      <c r="L3438"/>
    </row>
    <row r="3439" spans="9:12">
      <c r="I3439"/>
      <c r="L3439"/>
    </row>
    <row r="3440" spans="9:12">
      <c r="I3440"/>
      <c r="L3440"/>
    </row>
    <row r="3441" spans="9:12">
      <c r="I3441"/>
      <c r="L3441"/>
    </row>
    <row r="3442" spans="9:12">
      <c r="I3442"/>
      <c r="L3442"/>
    </row>
    <row r="3443" spans="9:12">
      <c r="I3443"/>
      <c r="L3443"/>
    </row>
    <row r="3444" spans="9:12">
      <c r="I3444"/>
      <c r="L3444"/>
    </row>
    <row r="3445" spans="9:12">
      <c r="I3445"/>
      <c r="L3445"/>
    </row>
    <row r="3446" spans="9:12">
      <c r="I3446"/>
      <c r="L3446"/>
    </row>
    <row r="3447" spans="9:12">
      <c r="I3447"/>
      <c r="L3447"/>
    </row>
    <row r="3448" spans="9:12">
      <c r="I3448"/>
      <c r="L3448"/>
    </row>
    <row r="3449" spans="9:12">
      <c r="I3449"/>
      <c r="L3449"/>
    </row>
    <row r="3450" spans="9:12">
      <c r="I3450"/>
      <c r="L3450"/>
    </row>
    <row r="3451" spans="9:12">
      <c r="I3451"/>
      <c r="L3451"/>
    </row>
    <row r="3452" spans="9:12">
      <c r="I3452"/>
      <c r="L3452"/>
    </row>
    <row r="3453" spans="9:12">
      <c r="I3453"/>
      <c r="L3453"/>
    </row>
    <row r="3454" spans="9:12">
      <c r="I3454"/>
      <c r="L3454"/>
    </row>
    <row r="3455" spans="9:12">
      <c r="I3455"/>
      <c r="L3455"/>
    </row>
    <row r="3456" spans="9:12">
      <c r="I3456"/>
      <c r="L3456"/>
    </row>
    <row r="3457" spans="9:12">
      <c r="I3457"/>
      <c r="L3457"/>
    </row>
    <row r="3458" spans="9:12">
      <c r="I3458"/>
      <c r="L3458"/>
    </row>
    <row r="3459" spans="9:12">
      <c r="I3459"/>
      <c r="L3459"/>
    </row>
    <row r="3460" spans="9:12">
      <c r="I3460"/>
      <c r="L3460"/>
    </row>
    <row r="3461" spans="9:12">
      <c r="I3461"/>
      <c r="L3461"/>
    </row>
    <row r="3462" spans="9:12">
      <c r="I3462"/>
      <c r="L3462"/>
    </row>
    <row r="3463" spans="9:12">
      <c r="I3463"/>
      <c r="L3463"/>
    </row>
    <row r="3464" spans="9:12">
      <c r="I3464"/>
      <c r="L3464"/>
    </row>
    <row r="3465" spans="9:12">
      <c r="I3465"/>
      <c r="L3465"/>
    </row>
    <row r="3466" spans="9:12">
      <c r="I3466"/>
      <c r="L3466"/>
    </row>
    <row r="3467" spans="9:12">
      <c r="I3467"/>
      <c r="L3467"/>
    </row>
    <row r="3468" spans="9:12">
      <c r="I3468"/>
      <c r="L3468"/>
    </row>
    <row r="3469" spans="9:12">
      <c r="I3469"/>
      <c r="L3469"/>
    </row>
    <row r="3470" spans="9:12">
      <c r="I3470"/>
      <c r="L3470"/>
    </row>
    <row r="3471" spans="9:12">
      <c r="I3471"/>
      <c r="L3471"/>
    </row>
    <row r="3472" spans="9:12">
      <c r="I3472"/>
      <c r="L3472"/>
    </row>
    <row r="3473" spans="9:12">
      <c r="I3473"/>
      <c r="L3473"/>
    </row>
    <row r="3474" spans="9:12">
      <c r="I3474"/>
      <c r="L3474"/>
    </row>
    <row r="3475" spans="9:12">
      <c r="I3475"/>
      <c r="L3475"/>
    </row>
    <row r="3476" spans="9:12">
      <c r="I3476"/>
      <c r="L3476"/>
    </row>
    <row r="3477" spans="9:12">
      <c r="I3477"/>
      <c r="L3477"/>
    </row>
    <row r="3478" spans="9:12">
      <c r="I3478"/>
      <c r="L3478"/>
    </row>
    <row r="3479" spans="9:12">
      <c r="I3479"/>
      <c r="L3479"/>
    </row>
    <row r="3480" spans="9:12">
      <c r="I3480"/>
      <c r="L3480"/>
    </row>
    <row r="3481" spans="9:12">
      <c r="I3481"/>
      <c r="L3481"/>
    </row>
    <row r="3482" spans="9:12">
      <c r="I3482"/>
      <c r="L3482"/>
    </row>
    <row r="3483" spans="9:12">
      <c r="I3483"/>
      <c r="L3483"/>
    </row>
    <row r="3484" spans="9:12">
      <c r="I3484"/>
      <c r="L3484"/>
    </row>
    <row r="3485" spans="9:12">
      <c r="I3485"/>
      <c r="L3485"/>
    </row>
    <row r="3486" spans="9:12">
      <c r="I3486"/>
      <c r="L3486"/>
    </row>
    <row r="3487" spans="9:12">
      <c r="I3487"/>
      <c r="L3487"/>
    </row>
    <row r="3488" spans="9:12">
      <c r="I3488"/>
      <c r="L3488"/>
    </row>
    <row r="3489" spans="9:12">
      <c r="I3489"/>
      <c r="L3489"/>
    </row>
    <row r="3490" spans="9:12">
      <c r="I3490"/>
      <c r="L3490"/>
    </row>
    <row r="3491" spans="9:12">
      <c r="I3491"/>
      <c r="L3491"/>
    </row>
    <row r="3492" spans="9:12">
      <c r="I3492"/>
      <c r="L3492"/>
    </row>
    <row r="3493" spans="9:12">
      <c r="I3493"/>
      <c r="L3493"/>
    </row>
    <row r="3494" spans="9:12">
      <c r="I3494"/>
      <c r="L3494"/>
    </row>
    <row r="3495" spans="9:12">
      <c r="I3495"/>
      <c r="L3495"/>
    </row>
    <row r="3496" spans="9:12">
      <c r="I3496"/>
      <c r="L3496"/>
    </row>
    <row r="3497" spans="9:12">
      <c r="I3497"/>
      <c r="L3497"/>
    </row>
    <row r="3498" spans="9:12">
      <c r="I3498"/>
      <c r="L3498"/>
    </row>
    <row r="3499" spans="9:12">
      <c r="I3499"/>
      <c r="L3499"/>
    </row>
    <row r="3500" spans="9:12">
      <c r="I3500"/>
      <c r="L3500"/>
    </row>
    <row r="3501" spans="9:12">
      <c r="I3501"/>
      <c r="L3501"/>
    </row>
    <row r="3502" spans="9:12">
      <c r="I3502"/>
      <c r="L3502"/>
    </row>
    <row r="3503" spans="9:12">
      <c r="I3503"/>
      <c r="L3503"/>
    </row>
    <row r="3504" spans="9:12">
      <c r="I3504"/>
      <c r="L3504"/>
    </row>
    <row r="3505" spans="9:12">
      <c r="I3505"/>
      <c r="L3505"/>
    </row>
    <row r="3506" spans="9:12">
      <c r="I3506"/>
      <c r="L3506"/>
    </row>
    <row r="3507" spans="9:12">
      <c r="I3507"/>
      <c r="L3507"/>
    </row>
    <row r="3508" spans="9:12">
      <c r="I3508"/>
      <c r="L3508"/>
    </row>
    <row r="3509" spans="9:12">
      <c r="I3509"/>
      <c r="L3509"/>
    </row>
    <row r="3510" spans="9:12">
      <c r="I3510"/>
      <c r="L3510"/>
    </row>
    <row r="3511" spans="9:12">
      <c r="I3511"/>
      <c r="L3511"/>
    </row>
    <row r="3512" spans="9:12">
      <c r="I3512"/>
      <c r="L3512"/>
    </row>
    <row r="3513" spans="9:12">
      <c r="I3513"/>
      <c r="L3513"/>
    </row>
    <row r="3514" spans="9:12">
      <c r="I3514"/>
      <c r="L3514"/>
    </row>
    <row r="3515" spans="9:12">
      <c r="I3515"/>
      <c r="L3515"/>
    </row>
    <row r="3516" spans="9:12">
      <c r="I3516"/>
      <c r="L3516"/>
    </row>
    <row r="3517" spans="9:12">
      <c r="I3517"/>
      <c r="L3517"/>
    </row>
    <row r="3518" spans="9:12">
      <c r="I3518"/>
      <c r="L3518"/>
    </row>
    <row r="3519" spans="9:12">
      <c r="I3519"/>
      <c r="L3519"/>
    </row>
    <row r="3520" spans="9:12">
      <c r="I3520"/>
      <c r="L3520"/>
    </row>
    <row r="3521" spans="9:12">
      <c r="I3521"/>
      <c r="L3521"/>
    </row>
    <row r="3522" spans="9:12">
      <c r="I3522"/>
      <c r="L3522"/>
    </row>
    <row r="3523" spans="9:12">
      <c r="I3523"/>
      <c r="L3523"/>
    </row>
    <row r="3524" spans="9:12">
      <c r="I3524"/>
      <c r="L3524"/>
    </row>
    <row r="3525" spans="9:12">
      <c r="I3525"/>
      <c r="L3525"/>
    </row>
    <row r="3526" spans="9:12">
      <c r="I3526"/>
      <c r="L3526"/>
    </row>
    <row r="3527" spans="9:12">
      <c r="I3527"/>
      <c r="L3527"/>
    </row>
    <row r="3528" spans="9:12">
      <c r="I3528"/>
      <c r="L3528"/>
    </row>
    <row r="3529" spans="9:12">
      <c r="I3529"/>
      <c r="L3529"/>
    </row>
    <row r="3530" spans="9:12">
      <c r="I3530"/>
      <c r="L3530"/>
    </row>
    <row r="3531" spans="9:12">
      <c r="I3531"/>
      <c r="L3531"/>
    </row>
    <row r="3532" spans="9:12">
      <c r="I3532"/>
      <c r="L3532"/>
    </row>
    <row r="3533" spans="9:12">
      <c r="I3533"/>
      <c r="L3533"/>
    </row>
    <row r="3534" spans="9:12">
      <c r="I3534"/>
      <c r="L3534"/>
    </row>
    <row r="3535" spans="9:12">
      <c r="I3535"/>
      <c r="L3535"/>
    </row>
    <row r="3536" spans="9:12">
      <c r="I3536"/>
      <c r="L3536"/>
    </row>
    <row r="3537" spans="9:12">
      <c r="I3537"/>
      <c r="L3537"/>
    </row>
    <row r="3538" spans="9:12">
      <c r="I3538"/>
      <c r="L3538"/>
    </row>
    <row r="3539" spans="9:12">
      <c r="I3539"/>
      <c r="L3539"/>
    </row>
    <row r="3540" spans="9:12">
      <c r="I3540"/>
      <c r="L3540"/>
    </row>
    <row r="3541" spans="9:12">
      <c r="I3541"/>
      <c r="L3541"/>
    </row>
    <row r="3542" spans="9:12">
      <c r="I3542"/>
      <c r="L3542"/>
    </row>
    <row r="3543" spans="9:12">
      <c r="I3543"/>
      <c r="L3543"/>
    </row>
    <row r="3544" spans="9:12">
      <c r="I3544"/>
      <c r="L3544"/>
    </row>
    <row r="3545" spans="9:12">
      <c r="I3545"/>
      <c r="L3545"/>
    </row>
    <row r="3546" spans="9:12">
      <c r="I3546"/>
      <c r="L3546"/>
    </row>
    <row r="3547" spans="9:12">
      <c r="I3547"/>
      <c r="L3547"/>
    </row>
    <row r="3548" spans="9:12">
      <c r="I3548"/>
      <c r="L3548"/>
    </row>
    <row r="3549" spans="9:12">
      <c r="I3549"/>
      <c r="L3549"/>
    </row>
    <row r="3550" spans="9:12">
      <c r="I3550"/>
      <c r="L3550"/>
    </row>
    <row r="3551" spans="9:12">
      <c r="I3551"/>
      <c r="L3551"/>
    </row>
    <row r="3552" spans="9:12">
      <c r="I3552"/>
      <c r="L3552"/>
    </row>
    <row r="3553" spans="9:12">
      <c r="I3553"/>
      <c r="L3553"/>
    </row>
    <row r="3554" spans="9:12">
      <c r="I3554"/>
      <c r="L3554"/>
    </row>
    <row r="3555" spans="9:12">
      <c r="I3555"/>
      <c r="L3555"/>
    </row>
    <row r="3556" spans="9:12">
      <c r="I3556"/>
      <c r="L3556"/>
    </row>
    <row r="3557" spans="9:12">
      <c r="I3557"/>
      <c r="L3557"/>
    </row>
    <row r="3558" spans="9:12">
      <c r="I3558"/>
      <c r="L3558"/>
    </row>
    <row r="3559" spans="9:12">
      <c r="I3559"/>
      <c r="L3559"/>
    </row>
    <row r="3560" spans="9:12">
      <c r="I3560"/>
      <c r="L3560"/>
    </row>
    <row r="3561" spans="9:12">
      <c r="I3561"/>
      <c r="L3561"/>
    </row>
    <row r="3562" spans="9:12">
      <c r="I3562"/>
      <c r="L3562"/>
    </row>
    <row r="3563" spans="9:12">
      <c r="I3563"/>
      <c r="L3563"/>
    </row>
    <row r="3564" spans="9:12">
      <c r="I3564"/>
      <c r="L3564"/>
    </row>
    <row r="3565" spans="9:12">
      <c r="I3565"/>
      <c r="L3565"/>
    </row>
    <row r="3566" spans="9:12">
      <c r="I3566"/>
      <c r="L3566"/>
    </row>
    <row r="3567" spans="9:12">
      <c r="I3567"/>
      <c r="L3567"/>
    </row>
    <row r="3568" spans="9:12">
      <c r="I3568"/>
      <c r="L3568"/>
    </row>
    <row r="3569" spans="9:12">
      <c r="I3569"/>
      <c r="L3569"/>
    </row>
    <row r="3570" spans="9:12">
      <c r="I3570"/>
      <c r="L3570"/>
    </row>
    <row r="3571" spans="9:12">
      <c r="I3571"/>
      <c r="L3571"/>
    </row>
    <row r="3572" spans="9:12">
      <c r="I3572"/>
      <c r="L3572"/>
    </row>
    <row r="3573" spans="9:12">
      <c r="I3573"/>
      <c r="L3573"/>
    </row>
    <row r="3574" spans="9:12">
      <c r="I3574"/>
      <c r="L3574"/>
    </row>
    <row r="3575" spans="9:12">
      <c r="I3575"/>
      <c r="L3575"/>
    </row>
    <row r="3576" spans="9:12">
      <c r="I3576"/>
      <c r="L3576"/>
    </row>
    <row r="3577" spans="9:12">
      <c r="I3577"/>
      <c r="L3577"/>
    </row>
    <row r="3578" spans="9:12">
      <c r="I3578"/>
      <c r="L3578"/>
    </row>
    <row r="3579" spans="9:12">
      <c r="I3579"/>
      <c r="L3579"/>
    </row>
    <row r="3580" spans="9:12">
      <c r="I3580"/>
      <c r="L3580"/>
    </row>
    <row r="3581" spans="9:12">
      <c r="I3581"/>
      <c r="L3581"/>
    </row>
    <row r="3582" spans="9:12">
      <c r="I3582"/>
      <c r="L3582"/>
    </row>
    <row r="3583" spans="9:12">
      <c r="I3583"/>
      <c r="L3583"/>
    </row>
    <row r="3584" spans="9:12">
      <c r="I3584"/>
      <c r="L3584"/>
    </row>
    <row r="3585" spans="9:12">
      <c r="I3585"/>
      <c r="L3585"/>
    </row>
    <row r="3586" spans="9:12">
      <c r="I3586"/>
      <c r="L3586"/>
    </row>
    <row r="3587" spans="9:12">
      <c r="I3587"/>
      <c r="L3587"/>
    </row>
    <row r="3588" spans="9:12">
      <c r="I3588"/>
      <c r="L3588"/>
    </row>
    <row r="3589" spans="9:12">
      <c r="I3589"/>
      <c r="L3589"/>
    </row>
    <row r="3590" spans="9:12">
      <c r="I3590"/>
      <c r="L3590"/>
    </row>
    <row r="3591" spans="9:12">
      <c r="I3591"/>
      <c r="L3591"/>
    </row>
    <row r="3592" spans="9:12">
      <c r="I3592"/>
      <c r="L3592"/>
    </row>
    <row r="3593" spans="9:12">
      <c r="I3593"/>
      <c r="L3593"/>
    </row>
    <row r="3594" spans="9:12">
      <c r="I3594"/>
      <c r="L3594"/>
    </row>
    <row r="3595" spans="9:12">
      <c r="I3595"/>
      <c r="L3595"/>
    </row>
    <row r="3596" spans="9:12">
      <c r="I3596"/>
      <c r="L3596"/>
    </row>
    <row r="3597" spans="9:12">
      <c r="I3597"/>
      <c r="L3597"/>
    </row>
    <row r="3598" spans="9:12">
      <c r="I3598"/>
      <c r="L3598"/>
    </row>
    <row r="3599" spans="9:12">
      <c r="I3599"/>
      <c r="L3599"/>
    </row>
    <row r="3600" spans="9:12">
      <c r="I3600"/>
      <c r="L3600"/>
    </row>
    <row r="3601" spans="9:12">
      <c r="I3601"/>
      <c r="L3601"/>
    </row>
    <row r="3602" spans="9:12">
      <c r="I3602"/>
      <c r="L3602"/>
    </row>
    <row r="3603" spans="9:12">
      <c r="I3603"/>
      <c r="L3603"/>
    </row>
    <row r="3604" spans="9:12">
      <c r="I3604"/>
      <c r="L3604"/>
    </row>
    <row r="3605" spans="9:12">
      <c r="I3605"/>
      <c r="L3605"/>
    </row>
    <row r="3606" spans="9:12">
      <c r="I3606"/>
      <c r="L3606"/>
    </row>
    <row r="3607" spans="9:12">
      <c r="I3607"/>
      <c r="L3607"/>
    </row>
    <row r="3608" spans="9:12">
      <c r="I3608"/>
      <c r="L3608"/>
    </row>
    <row r="3609" spans="9:12">
      <c r="I3609"/>
      <c r="L3609"/>
    </row>
    <row r="3610" spans="9:12">
      <c r="I3610"/>
      <c r="L3610"/>
    </row>
    <row r="3611" spans="9:12">
      <c r="I3611"/>
      <c r="L3611"/>
    </row>
    <row r="3612" spans="9:12">
      <c r="I3612"/>
      <c r="L3612"/>
    </row>
    <row r="3613" spans="9:12">
      <c r="I3613"/>
      <c r="L3613"/>
    </row>
    <row r="3614" spans="9:12">
      <c r="I3614"/>
      <c r="L3614"/>
    </row>
    <row r="3615" spans="9:12">
      <c r="I3615"/>
      <c r="L3615"/>
    </row>
    <row r="3616" spans="9:12">
      <c r="I3616"/>
      <c r="L3616"/>
    </row>
    <row r="3617" spans="9:12">
      <c r="I3617"/>
      <c r="L3617"/>
    </row>
    <row r="3618" spans="9:12">
      <c r="I3618"/>
      <c r="L3618"/>
    </row>
    <row r="3619" spans="9:12">
      <c r="I3619"/>
      <c r="L3619"/>
    </row>
    <row r="3620" spans="9:12">
      <c r="I3620"/>
      <c r="L3620"/>
    </row>
    <row r="3621" spans="9:12">
      <c r="I3621"/>
      <c r="L3621"/>
    </row>
    <row r="3622" spans="9:12">
      <c r="I3622"/>
      <c r="L3622"/>
    </row>
    <row r="3623" spans="9:12">
      <c r="I3623"/>
      <c r="L3623"/>
    </row>
    <row r="3624" spans="9:12">
      <c r="I3624"/>
      <c r="L3624"/>
    </row>
    <row r="3625" spans="9:12">
      <c r="I3625"/>
      <c r="L3625"/>
    </row>
    <row r="3626" spans="9:12">
      <c r="I3626"/>
      <c r="L3626"/>
    </row>
    <row r="3627" spans="9:12">
      <c r="I3627"/>
      <c r="L3627"/>
    </row>
    <row r="3628" spans="9:12">
      <c r="I3628"/>
      <c r="L3628"/>
    </row>
    <row r="3629" spans="9:12">
      <c r="I3629"/>
      <c r="L3629"/>
    </row>
    <row r="3630" spans="9:12">
      <c r="I3630"/>
      <c r="L3630"/>
    </row>
    <row r="3631" spans="9:12">
      <c r="I3631"/>
      <c r="L3631"/>
    </row>
    <row r="3632" spans="9:12">
      <c r="I3632"/>
      <c r="L3632"/>
    </row>
    <row r="3633" spans="9:12">
      <c r="I3633"/>
      <c r="L3633"/>
    </row>
    <row r="3634" spans="9:12">
      <c r="I3634"/>
      <c r="L3634"/>
    </row>
    <row r="3635" spans="9:12">
      <c r="I3635"/>
      <c r="L3635"/>
    </row>
    <row r="3636" spans="9:12">
      <c r="I3636"/>
      <c r="L3636"/>
    </row>
    <row r="3637" spans="9:12">
      <c r="I3637"/>
      <c r="L3637"/>
    </row>
    <row r="3638" spans="9:12">
      <c r="I3638"/>
      <c r="L3638"/>
    </row>
    <row r="3639" spans="9:12">
      <c r="I3639"/>
      <c r="L3639"/>
    </row>
    <row r="3640" spans="9:12">
      <c r="I3640"/>
      <c r="L3640"/>
    </row>
    <row r="3641" spans="9:12">
      <c r="I3641"/>
      <c r="L3641"/>
    </row>
    <row r="3642" spans="9:12">
      <c r="I3642"/>
      <c r="L3642"/>
    </row>
    <row r="3643" spans="9:12">
      <c r="I3643"/>
      <c r="L3643"/>
    </row>
    <row r="3644" spans="9:12">
      <c r="I3644"/>
      <c r="L3644"/>
    </row>
    <row r="3645" spans="9:12">
      <c r="I3645"/>
      <c r="L3645"/>
    </row>
    <row r="3646" spans="9:12">
      <c r="I3646"/>
      <c r="L3646"/>
    </row>
    <row r="3647" spans="9:12">
      <c r="I3647"/>
      <c r="L3647"/>
    </row>
    <row r="3648" spans="9:12">
      <c r="I3648"/>
      <c r="L3648"/>
    </row>
    <row r="3649" spans="9:12">
      <c r="I3649"/>
      <c r="L3649"/>
    </row>
    <row r="3650" spans="9:12">
      <c r="I3650"/>
      <c r="L3650"/>
    </row>
    <row r="3651" spans="9:12">
      <c r="I3651"/>
      <c r="L3651"/>
    </row>
    <row r="3652" spans="9:12">
      <c r="I3652"/>
      <c r="L3652"/>
    </row>
    <row r="3653" spans="9:12">
      <c r="I3653"/>
      <c r="L3653"/>
    </row>
    <row r="3654" spans="9:12">
      <c r="I3654"/>
      <c r="L3654"/>
    </row>
    <row r="3655" spans="9:12">
      <c r="I3655"/>
      <c r="L3655"/>
    </row>
    <row r="3656" spans="9:12">
      <c r="I3656"/>
      <c r="L3656"/>
    </row>
    <row r="3657" spans="9:12">
      <c r="I3657"/>
      <c r="L3657"/>
    </row>
    <row r="3658" spans="9:12">
      <c r="I3658"/>
      <c r="L3658"/>
    </row>
    <row r="3659" spans="9:12">
      <c r="I3659"/>
      <c r="L3659"/>
    </row>
    <row r="3660" spans="9:12">
      <c r="I3660"/>
      <c r="L3660"/>
    </row>
    <row r="3661" spans="9:12">
      <c r="I3661"/>
      <c r="L3661"/>
    </row>
    <row r="3662" spans="9:12">
      <c r="I3662"/>
      <c r="L3662"/>
    </row>
    <row r="3663" spans="9:12">
      <c r="I3663"/>
      <c r="L3663"/>
    </row>
    <row r="3664" spans="9:12">
      <c r="I3664"/>
      <c r="L3664"/>
    </row>
    <row r="3665" spans="9:12">
      <c r="I3665"/>
      <c r="L3665"/>
    </row>
    <row r="3666" spans="9:12">
      <c r="I3666"/>
      <c r="L3666"/>
    </row>
    <row r="3667" spans="9:12">
      <c r="I3667"/>
      <c r="L3667"/>
    </row>
    <row r="3668" spans="9:12">
      <c r="I3668"/>
      <c r="L3668"/>
    </row>
    <row r="3669" spans="9:12">
      <c r="I3669"/>
      <c r="L3669"/>
    </row>
    <row r="3670" spans="9:12">
      <c r="I3670"/>
      <c r="L3670"/>
    </row>
    <row r="3671" spans="9:12">
      <c r="I3671"/>
      <c r="L3671"/>
    </row>
    <row r="3672" spans="9:12">
      <c r="I3672"/>
      <c r="L3672"/>
    </row>
    <row r="3673" spans="9:12">
      <c r="I3673"/>
      <c r="L3673"/>
    </row>
    <row r="3674" spans="9:12">
      <c r="I3674"/>
      <c r="L3674"/>
    </row>
    <row r="3675" spans="9:12">
      <c r="I3675"/>
      <c r="L3675"/>
    </row>
    <row r="3676" spans="9:12">
      <c r="I3676"/>
      <c r="L3676"/>
    </row>
    <row r="3677" spans="9:12">
      <c r="I3677"/>
      <c r="L3677"/>
    </row>
    <row r="3678" spans="9:12">
      <c r="I3678"/>
      <c r="L3678"/>
    </row>
    <row r="3679" spans="9:12">
      <c r="I3679"/>
      <c r="L3679"/>
    </row>
    <row r="3680" spans="9:12">
      <c r="I3680"/>
      <c r="L3680"/>
    </row>
    <row r="3681" spans="9:12">
      <c r="I3681"/>
      <c r="L3681"/>
    </row>
    <row r="3682" spans="9:12">
      <c r="I3682"/>
      <c r="L3682"/>
    </row>
    <row r="3683" spans="9:12">
      <c r="I3683"/>
      <c r="L3683"/>
    </row>
    <row r="3684" spans="9:12">
      <c r="I3684"/>
      <c r="L3684"/>
    </row>
    <row r="3685" spans="9:12">
      <c r="I3685"/>
      <c r="L3685"/>
    </row>
    <row r="3686" spans="9:12">
      <c r="I3686"/>
      <c r="L3686"/>
    </row>
    <row r="3687" spans="9:12">
      <c r="I3687"/>
      <c r="L3687"/>
    </row>
    <row r="3688" spans="9:12">
      <c r="I3688"/>
      <c r="L3688"/>
    </row>
    <row r="3689" spans="9:12">
      <c r="I3689"/>
      <c r="L3689"/>
    </row>
    <row r="3690" spans="9:12">
      <c r="I3690"/>
      <c r="L3690"/>
    </row>
    <row r="3691" spans="9:12">
      <c r="I3691"/>
      <c r="L3691"/>
    </row>
    <row r="3692" spans="9:12">
      <c r="I3692"/>
      <c r="L3692"/>
    </row>
    <row r="3693" spans="9:12">
      <c r="I3693"/>
      <c r="L3693"/>
    </row>
    <row r="3694" spans="9:12">
      <c r="I3694"/>
      <c r="L3694"/>
    </row>
    <row r="3695" spans="9:12">
      <c r="I3695"/>
      <c r="L3695"/>
    </row>
    <row r="3696" spans="9:12">
      <c r="I3696"/>
      <c r="L3696"/>
    </row>
    <row r="3697" spans="9:12">
      <c r="I3697"/>
      <c r="L3697"/>
    </row>
    <row r="3698" spans="9:12">
      <c r="I3698"/>
      <c r="L3698"/>
    </row>
    <row r="3699" spans="9:12">
      <c r="I3699"/>
      <c r="L3699"/>
    </row>
    <row r="3700" spans="9:12">
      <c r="I3700"/>
      <c r="L3700"/>
    </row>
    <row r="3701" spans="9:12">
      <c r="I3701"/>
      <c r="L3701"/>
    </row>
    <row r="3702" spans="9:12">
      <c r="I3702"/>
      <c r="L3702"/>
    </row>
    <row r="3703" spans="9:12">
      <c r="I3703"/>
      <c r="L3703"/>
    </row>
    <row r="3704" spans="9:12">
      <c r="I3704"/>
      <c r="L3704"/>
    </row>
    <row r="3705" spans="9:12">
      <c r="I3705"/>
      <c r="L3705"/>
    </row>
    <row r="3706" spans="9:12">
      <c r="I3706"/>
      <c r="L3706"/>
    </row>
    <row r="3707" spans="9:12">
      <c r="I3707"/>
      <c r="L3707"/>
    </row>
    <row r="3708" spans="9:12">
      <c r="I3708"/>
      <c r="L3708"/>
    </row>
    <row r="3709" spans="9:12">
      <c r="I3709"/>
      <c r="L3709"/>
    </row>
    <row r="3710" spans="9:12">
      <c r="I3710"/>
      <c r="L3710"/>
    </row>
    <row r="3711" spans="9:12">
      <c r="I3711"/>
      <c r="L3711"/>
    </row>
    <row r="3712" spans="9:12">
      <c r="I3712"/>
      <c r="L3712"/>
    </row>
    <row r="3713" spans="9:12">
      <c r="I3713"/>
      <c r="L3713"/>
    </row>
    <row r="3714" spans="9:12">
      <c r="I3714"/>
      <c r="L3714"/>
    </row>
    <row r="3715" spans="9:12">
      <c r="I3715"/>
      <c r="L3715"/>
    </row>
    <row r="3716" spans="9:12">
      <c r="I3716"/>
      <c r="L3716"/>
    </row>
    <row r="3717" spans="9:12">
      <c r="I3717"/>
      <c r="L3717"/>
    </row>
    <row r="3718" spans="9:12">
      <c r="I3718"/>
      <c r="L3718"/>
    </row>
    <row r="3719" spans="9:12">
      <c r="I3719"/>
      <c r="L3719"/>
    </row>
    <row r="3720" spans="9:12">
      <c r="I3720"/>
      <c r="L3720"/>
    </row>
    <row r="3721" spans="9:12">
      <c r="I3721"/>
      <c r="L3721"/>
    </row>
    <row r="3722" spans="9:12">
      <c r="I3722"/>
      <c r="L3722"/>
    </row>
    <row r="3723" spans="9:12">
      <c r="I3723"/>
      <c r="L3723"/>
    </row>
    <row r="3724" spans="9:12">
      <c r="I3724"/>
      <c r="L3724"/>
    </row>
    <row r="3725" spans="9:12">
      <c r="I3725"/>
      <c r="L3725"/>
    </row>
    <row r="3726" spans="9:12">
      <c r="I3726"/>
      <c r="L3726"/>
    </row>
    <row r="3727" spans="9:12">
      <c r="I3727"/>
      <c r="L3727"/>
    </row>
    <row r="3728" spans="9:12">
      <c r="I3728"/>
      <c r="L3728"/>
    </row>
    <row r="3729" spans="9:12">
      <c r="I3729"/>
      <c r="L3729"/>
    </row>
    <row r="3730" spans="9:12">
      <c r="I3730"/>
      <c r="L3730"/>
    </row>
    <row r="3731" spans="9:12">
      <c r="I3731"/>
      <c r="L3731"/>
    </row>
    <row r="3732" spans="9:12">
      <c r="I3732"/>
      <c r="L3732"/>
    </row>
    <row r="3733" spans="9:12">
      <c r="I3733"/>
      <c r="L3733"/>
    </row>
    <row r="3734" spans="9:12">
      <c r="I3734"/>
      <c r="L3734"/>
    </row>
    <row r="3735" spans="9:12">
      <c r="I3735"/>
      <c r="L3735"/>
    </row>
    <row r="3736" spans="9:12">
      <c r="I3736"/>
      <c r="L3736"/>
    </row>
    <row r="3737" spans="9:12">
      <c r="I3737"/>
      <c r="L3737"/>
    </row>
    <row r="3738" spans="9:12">
      <c r="I3738"/>
      <c r="L3738"/>
    </row>
    <row r="3739" spans="9:12">
      <c r="I3739"/>
      <c r="L3739"/>
    </row>
    <row r="3740" spans="9:12">
      <c r="I3740"/>
      <c r="L3740"/>
    </row>
    <row r="3741" spans="9:12">
      <c r="I3741"/>
      <c r="L3741"/>
    </row>
    <row r="3742" spans="9:12">
      <c r="I3742"/>
      <c r="L3742"/>
    </row>
    <row r="3743" spans="9:12">
      <c r="I3743"/>
      <c r="L3743"/>
    </row>
    <row r="3744" spans="9:12">
      <c r="I3744"/>
      <c r="L3744"/>
    </row>
    <row r="3745" spans="9:12">
      <c r="I3745"/>
      <c r="L3745"/>
    </row>
    <row r="3746" spans="9:12">
      <c r="I3746"/>
      <c r="L3746"/>
    </row>
    <row r="3747" spans="9:12">
      <c r="I3747"/>
      <c r="L3747"/>
    </row>
    <row r="3748" spans="9:12">
      <c r="I3748"/>
      <c r="L3748"/>
    </row>
    <row r="3749" spans="9:12">
      <c r="I3749"/>
      <c r="L3749"/>
    </row>
    <row r="3750" spans="9:12">
      <c r="I3750"/>
      <c r="L3750"/>
    </row>
    <row r="3751" spans="9:12">
      <c r="I3751"/>
      <c r="L3751"/>
    </row>
    <row r="3752" spans="9:12">
      <c r="I3752"/>
      <c r="L3752"/>
    </row>
    <row r="3753" spans="9:12">
      <c r="I3753"/>
      <c r="L3753"/>
    </row>
    <row r="3754" spans="9:12">
      <c r="I3754"/>
      <c r="L3754"/>
    </row>
    <row r="3755" spans="9:12">
      <c r="I3755"/>
      <c r="L3755"/>
    </row>
    <row r="3756" spans="9:12">
      <c r="I3756"/>
      <c r="L3756"/>
    </row>
    <row r="3757" spans="9:12">
      <c r="I3757"/>
      <c r="L3757"/>
    </row>
    <row r="3758" spans="9:12">
      <c r="I3758"/>
      <c r="L3758"/>
    </row>
    <row r="3759" spans="9:12">
      <c r="I3759"/>
      <c r="L3759"/>
    </row>
    <row r="3760" spans="9:12">
      <c r="I3760"/>
      <c r="L3760"/>
    </row>
    <row r="3761" spans="9:12">
      <c r="I3761"/>
      <c r="L3761"/>
    </row>
    <row r="3762" spans="9:12">
      <c r="I3762"/>
      <c r="L3762"/>
    </row>
    <row r="3763" spans="9:12">
      <c r="I3763"/>
      <c r="L3763"/>
    </row>
    <row r="3764" spans="9:12">
      <c r="I3764"/>
      <c r="L3764"/>
    </row>
    <row r="3765" spans="9:12">
      <c r="I3765"/>
      <c r="L3765"/>
    </row>
    <row r="3766" spans="9:12">
      <c r="I3766"/>
      <c r="L3766"/>
    </row>
    <row r="3767" spans="9:12">
      <c r="I3767"/>
      <c r="L3767"/>
    </row>
    <row r="3768" spans="9:12">
      <c r="I3768"/>
      <c r="L3768"/>
    </row>
    <row r="3769" spans="9:12">
      <c r="I3769"/>
      <c r="L3769"/>
    </row>
    <row r="3770" spans="9:12">
      <c r="I3770"/>
      <c r="L3770"/>
    </row>
    <row r="3771" spans="9:12">
      <c r="I3771"/>
      <c r="L3771"/>
    </row>
    <row r="3772" spans="9:12">
      <c r="I3772"/>
      <c r="L3772"/>
    </row>
    <row r="3773" spans="9:12">
      <c r="I3773"/>
      <c r="L3773"/>
    </row>
    <row r="3774" spans="9:12">
      <c r="I3774"/>
      <c r="L3774"/>
    </row>
    <row r="3775" spans="9:12">
      <c r="I3775"/>
      <c r="L3775"/>
    </row>
    <row r="3776" spans="9:12">
      <c r="I3776"/>
      <c r="L3776"/>
    </row>
    <row r="3777" spans="9:12">
      <c r="I3777"/>
      <c r="L3777"/>
    </row>
    <row r="3778" spans="9:12">
      <c r="I3778"/>
      <c r="L3778"/>
    </row>
    <row r="3779" spans="9:12">
      <c r="I3779"/>
      <c r="L3779"/>
    </row>
    <row r="3780" spans="9:12">
      <c r="I3780"/>
      <c r="L3780"/>
    </row>
    <row r="3781" spans="9:12">
      <c r="I3781"/>
      <c r="L3781"/>
    </row>
    <row r="3782" spans="9:12">
      <c r="I3782"/>
      <c r="L3782"/>
    </row>
    <row r="3783" spans="9:12">
      <c r="I3783"/>
      <c r="L3783"/>
    </row>
    <row r="3784" spans="9:12">
      <c r="I3784"/>
      <c r="L3784"/>
    </row>
    <row r="3785" spans="9:12">
      <c r="I3785"/>
      <c r="L3785"/>
    </row>
    <row r="3786" spans="9:12">
      <c r="I3786"/>
      <c r="L3786"/>
    </row>
    <row r="3787" spans="9:12">
      <c r="I3787"/>
      <c r="L3787"/>
    </row>
    <row r="3788" spans="9:12">
      <c r="I3788"/>
      <c r="L3788"/>
    </row>
    <row r="3789" spans="9:12">
      <c r="I3789"/>
      <c r="L3789"/>
    </row>
    <row r="3790" spans="9:12">
      <c r="I3790"/>
      <c r="L3790"/>
    </row>
    <row r="3791" spans="9:12">
      <c r="I3791"/>
      <c r="L3791"/>
    </row>
    <row r="3792" spans="9:12">
      <c r="I3792"/>
      <c r="L3792"/>
    </row>
    <row r="3793" spans="9:12">
      <c r="I3793"/>
      <c r="L3793"/>
    </row>
    <row r="3794" spans="9:12">
      <c r="I3794"/>
      <c r="L3794"/>
    </row>
    <row r="3795" spans="9:12">
      <c r="I3795"/>
      <c r="L3795"/>
    </row>
    <row r="3796" spans="9:12">
      <c r="I3796"/>
      <c r="L3796"/>
    </row>
    <row r="3797" spans="9:12">
      <c r="I3797"/>
      <c r="L3797"/>
    </row>
    <row r="3798" spans="9:12">
      <c r="I3798"/>
      <c r="L3798"/>
    </row>
    <row r="3799" spans="9:12">
      <c r="I3799"/>
      <c r="L3799"/>
    </row>
    <row r="3800" spans="9:12">
      <c r="I3800"/>
      <c r="L3800"/>
    </row>
    <row r="3801" spans="9:12">
      <c r="I3801"/>
      <c r="L3801"/>
    </row>
    <row r="3802" spans="9:12">
      <c r="I3802"/>
      <c r="L3802"/>
    </row>
    <row r="3803" spans="9:12">
      <c r="I3803"/>
      <c r="L3803"/>
    </row>
    <row r="3804" spans="9:12">
      <c r="I3804"/>
      <c r="L3804"/>
    </row>
    <row r="3805" spans="9:12">
      <c r="I3805"/>
      <c r="L3805"/>
    </row>
    <row r="3806" spans="9:12">
      <c r="I3806"/>
      <c r="L3806"/>
    </row>
    <row r="3807" spans="9:12">
      <c r="I3807"/>
      <c r="L3807"/>
    </row>
    <row r="3808" spans="9:12">
      <c r="I3808"/>
      <c r="L3808"/>
    </row>
    <row r="3809" spans="9:12">
      <c r="I3809"/>
      <c r="L3809"/>
    </row>
    <row r="3810" spans="9:12">
      <c r="I3810"/>
      <c r="L3810"/>
    </row>
    <row r="3811" spans="9:12">
      <c r="I3811"/>
      <c r="L3811"/>
    </row>
    <row r="3812" spans="9:12">
      <c r="I3812"/>
      <c r="L3812"/>
    </row>
    <row r="3813" spans="9:12">
      <c r="I3813"/>
      <c r="L3813"/>
    </row>
    <row r="3814" spans="9:12">
      <c r="I3814"/>
      <c r="L3814"/>
    </row>
    <row r="3815" spans="9:12">
      <c r="I3815"/>
      <c r="L3815"/>
    </row>
    <row r="3816" spans="9:12">
      <c r="I3816"/>
      <c r="L3816"/>
    </row>
    <row r="3817" spans="9:12">
      <c r="I3817"/>
      <c r="L3817"/>
    </row>
    <row r="3818" spans="9:12">
      <c r="I3818"/>
      <c r="L3818"/>
    </row>
    <row r="3819" spans="9:12">
      <c r="I3819"/>
      <c r="L3819"/>
    </row>
    <row r="3820" spans="9:12">
      <c r="I3820"/>
      <c r="L3820"/>
    </row>
    <row r="3821" spans="9:12">
      <c r="I3821"/>
      <c r="L3821"/>
    </row>
    <row r="3822" spans="9:12">
      <c r="I3822"/>
      <c r="L3822"/>
    </row>
    <row r="3823" spans="9:12">
      <c r="I3823"/>
      <c r="L3823"/>
    </row>
    <row r="3824" spans="9:12">
      <c r="I3824"/>
      <c r="L3824"/>
    </row>
    <row r="3825" spans="9:12">
      <c r="I3825"/>
      <c r="L3825"/>
    </row>
    <row r="3826" spans="9:12">
      <c r="I3826"/>
      <c r="L3826"/>
    </row>
    <row r="3827" spans="9:12">
      <c r="I3827"/>
      <c r="L3827"/>
    </row>
    <row r="3828" spans="9:12">
      <c r="I3828"/>
      <c r="L3828"/>
    </row>
    <row r="3829" spans="9:12">
      <c r="I3829"/>
      <c r="L3829"/>
    </row>
    <row r="3830" spans="9:12">
      <c r="I3830"/>
      <c r="L3830"/>
    </row>
    <row r="3831" spans="9:12">
      <c r="I3831"/>
      <c r="L3831"/>
    </row>
    <row r="3832" spans="9:12">
      <c r="I3832"/>
      <c r="L3832"/>
    </row>
    <row r="3833" spans="9:12">
      <c r="I3833"/>
      <c r="L3833"/>
    </row>
    <row r="3834" spans="9:12">
      <c r="I3834"/>
      <c r="L3834"/>
    </row>
    <row r="3835" spans="9:12">
      <c r="I3835"/>
      <c r="L3835"/>
    </row>
    <row r="3836" spans="9:12">
      <c r="I3836"/>
      <c r="L3836"/>
    </row>
    <row r="3837" spans="9:12">
      <c r="I3837"/>
      <c r="L3837"/>
    </row>
    <row r="3838" spans="9:12">
      <c r="I3838"/>
      <c r="L3838"/>
    </row>
    <row r="3839" spans="9:12">
      <c r="I3839"/>
      <c r="L3839"/>
    </row>
    <row r="3840" spans="9:12">
      <c r="I3840"/>
      <c r="L3840"/>
    </row>
    <row r="3841" spans="9:12">
      <c r="I3841"/>
      <c r="L3841"/>
    </row>
    <row r="3842" spans="9:12">
      <c r="I3842"/>
      <c r="L3842"/>
    </row>
    <row r="3843" spans="9:12">
      <c r="I3843"/>
      <c r="L3843"/>
    </row>
    <row r="3844" spans="9:12">
      <c r="I3844"/>
      <c r="L3844"/>
    </row>
    <row r="3845" spans="9:12">
      <c r="I3845"/>
      <c r="L3845"/>
    </row>
    <row r="3846" spans="9:12">
      <c r="I3846"/>
      <c r="L3846"/>
    </row>
    <row r="3847" spans="9:12">
      <c r="I3847"/>
      <c r="L3847"/>
    </row>
    <row r="3848" spans="9:12">
      <c r="I3848"/>
      <c r="L3848"/>
    </row>
    <row r="3849" spans="9:12">
      <c r="I3849"/>
      <c r="L3849"/>
    </row>
    <row r="3850" spans="9:12">
      <c r="I3850"/>
      <c r="L3850"/>
    </row>
    <row r="3851" spans="9:12">
      <c r="I3851"/>
      <c r="L3851"/>
    </row>
    <row r="3852" spans="9:12">
      <c r="I3852"/>
      <c r="L3852"/>
    </row>
    <row r="3853" spans="9:12">
      <c r="I3853"/>
      <c r="L3853"/>
    </row>
    <row r="3854" spans="9:12">
      <c r="I3854"/>
      <c r="L3854"/>
    </row>
    <row r="3855" spans="9:12">
      <c r="I3855"/>
      <c r="L3855"/>
    </row>
    <row r="3856" spans="9:12">
      <c r="I3856"/>
      <c r="L3856"/>
    </row>
    <row r="3857" spans="9:12">
      <c r="I3857"/>
      <c r="L3857"/>
    </row>
    <row r="3858" spans="9:12">
      <c r="I3858"/>
      <c r="L3858"/>
    </row>
    <row r="3859" spans="9:12">
      <c r="I3859"/>
      <c r="L3859"/>
    </row>
    <row r="3860" spans="9:12">
      <c r="I3860"/>
      <c r="L3860"/>
    </row>
    <row r="3861" spans="9:12">
      <c r="I3861"/>
      <c r="L3861"/>
    </row>
    <row r="3862" spans="9:12">
      <c r="I3862"/>
      <c r="L3862"/>
    </row>
    <row r="3863" spans="9:12">
      <c r="I3863"/>
      <c r="L3863"/>
    </row>
    <row r="3864" spans="9:12">
      <c r="I3864"/>
      <c r="L3864"/>
    </row>
    <row r="3865" spans="9:12">
      <c r="I3865"/>
      <c r="L3865"/>
    </row>
    <row r="3866" spans="9:12">
      <c r="I3866"/>
      <c r="L3866"/>
    </row>
    <row r="3867" spans="9:12">
      <c r="I3867"/>
      <c r="L3867"/>
    </row>
    <row r="3868" spans="9:12">
      <c r="I3868"/>
      <c r="L3868"/>
    </row>
    <row r="3869" spans="9:12">
      <c r="I3869"/>
      <c r="L3869"/>
    </row>
    <row r="3870" spans="9:12">
      <c r="I3870"/>
      <c r="L3870"/>
    </row>
    <row r="3871" spans="9:12">
      <c r="I3871"/>
      <c r="L3871"/>
    </row>
    <row r="3872" spans="9:12">
      <c r="I3872"/>
      <c r="L3872"/>
    </row>
    <row r="3873" spans="9:12">
      <c r="I3873"/>
      <c r="L3873"/>
    </row>
    <row r="3874" spans="9:12">
      <c r="I3874"/>
      <c r="L3874"/>
    </row>
    <row r="3875" spans="9:12">
      <c r="I3875"/>
      <c r="L3875"/>
    </row>
    <row r="3876" spans="9:12">
      <c r="I3876"/>
      <c r="L3876"/>
    </row>
    <row r="3877" spans="9:12">
      <c r="I3877"/>
      <c r="L3877"/>
    </row>
    <row r="3878" spans="9:12">
      <c r="I3878"/>
      <c r="L3878"/>
    </row>
    <row r="3879" spans="9:12">
      <c r="I3879"/>
      <c r="L3879"/>
    </row>
    <row r="3880" spans="9:12">
      <c r="I3880"/>
      <c r="L3880"/>
    </row>
    <row r="3881" spans="9:12">
      <c r="I3881"/>
      <c r="L3881"/>
    </row>
    <row r="3882" spans="9:12">
      <c r="I3882"/>
      <c r="L3882"/>
    </row>
    <row r="3883" spans="9:12">
      <c r="I3883"/>
      <c r="L3883"/>
    </row>
    <row r="3884" spans="9:12">
      <c r="I3884"/>
      <c r="L3884"/>
    </row>
    <row r="3885" spans="9:12">
      <c r="I3885"/>
      <c r="L3885"/>
    </row>
    <row r="3886" spans="9:12">
      <c r="I3886"/>
      <c r="L3886"/>
    </row>
    <row r="3887" spans="9:12">
      <c r="I3887"/>
      <c r="L3887"/>
    </row>
    <row r="3888" spans="9:12">
      <c r="I3888"/>
      <c r="L3888"/>
    </row>
    <row r="3889" spans="9:12">
      <c r="I3889"/>
      <c r="L3889"/>
    </row>
    <row r="3890" spans="9:12">
      <c r="I3890"/>
      <c r="L3890"/>
    </row>
    <row r="3891" spans="9:12">
      <c r="I3891"/>
      <c r="L3891"/>
    </row>
    <row r="3892" spans="9:12">
      <c r="I3892"/>
      <c r="L3892"/>
    </row>
    <row r="3893" spans="9:12">
      <c r="I3893"/>
      <c r="L3893"/>
    </row>
    <row r="3894" spans="9:12">
      <c r="I3894"/>
      <c r="L3894"/>
    </row>
    <row r="3895" spans="9:12">
      <c r="I3895"/>
      <c r="L3895"/>
    </row>
    <row r="3896" spans="9:12">
      <c r="I3896"/>
      <c r="L3896"/>
    </row>
    <row r="3897" spans="9:12">
      <c r="I3897"/>
      <c r="L3897"/>
    </row>
    <row r="3898" spans="9:12">
      <c r="I3898"/>
      <c r="L3898"/>
    </row>
    <row r="3899" spans="9:12">
      <c r="I3899"/>
      <c r="L3899"/>
    </row>
    <row r="3900" spans="9:12">
      <c r="I3900"/>
      <c r="L3900"/>
    </row>
    <row r="3901" spans="9:12">
      <c r="I3901"/>
      <c r="L3901"/>
    </row>
    <row r="3902" spans="9:12">
      <c r="I3902"/>
      <c r="L3902"/>
    </row>
    <row r="3903" spans="9:12">
      <c r="I3903"/>
      <c r="L3903"/>
    </row>
    <row r="3904" spans="9:12">
      <c r="I3904"/>
      <c r="L3904"/>
    </row>
    <row r="3905" spans="9:12">
      <c r="I3905"/>
      <c r="L3905"/>
    </row>
    <row r="3906" spans="9:12">
      <c r="I3906"/>
      <c r="L3906"/>
    </row>
    <row r="3907" spans="9:12">
      <c r="I3907"/>
      <c r="L3907"/>
    </row>
    <row r="3908" spans="9:12">
      <c r="I3908"/>
      <c r="L3908"/>
    </row>
    <row r="3909" spans="9:12">
      <c r="I3909"/>
      <c r="L3909"/>
    </row>
    <row r="3910" spans="9:12">
      <c r="I3910"/>
      <c r="L3910"/>
    </row>
    <row r="3911" spans="9:12">
      <c r="I3911"/>
      <c r="L3911"/>
    </row>
    <row r="3912" spans="9:12">
      <c r="I3912"/>
      <c r="L3912"/>
    </row>
    <row r="3913" spans="9:12">
      <c r="I3913"/>
      <c r="L3913"/>
    </row>
    <row r="3914" spans="9:12">
      <c r="I3914"/>
      <c r="L3914"/>
    </row>
    <row r="3915" spans="9:12">
      <c r="I3915"/>
      <c r="L3915"/>
    </row>
    <row r="3916" spans="9:12">
      <c r="I3916"/>
      <c r="L3916"/>
    </row>
    <row r="3917" spans="9:12">
      <c r="I3917"/>
      <c r="L3917"/>
    </row>
    <row r="3918" spans="9:12">
      <c r="I3918"/>
      <c r="L3918"/>
    </row>
    <row r="3919" spans="9:12">
      <c r="I3919"/>
      <c r="L3919"/>
    </row>
    <row r="3920" spans="9:12">
      <c r="I3920"/>
      <c r="L3920"/>
    </row>
    <row r="3921" spans="9:12">
      <c r="I3921"/>
      <c r="L3921"/>
    </row>
    <row r="3922" spans="9:12">
      <c r="I3922"/>
      <c r="L3922"/>
    </row>
    <row r="3923" spans="9:12">
      <c r="I3923"/>
      <c r="L3923"/>
    </row>
    <row r="3924" spans="9:12">
      <c r="I3924"/>
      <c r="L3924"/>
    </row>
    <row r="3925" spans="9:12">
      <c r="I3925"/>
      <c r="L3925"/>
    </row>
    <row r="3926" spans="9:12">
      <c r="I3926"/>
      <c r="L3926"/>
    </row>
    <row r="3927" spans="9:12">
      <c r="I3927"/>
      <c r="L3927"/>
    </row>
    <row r="3928" spans="9:12">
      <c r="I3928"/>
      <c r="L3928"/>
    </row>
    <row r="3929" spans="9:12">
      <c r="I3929"/>
      <c r="L3929"/>
    </row>
    <row r="3930" spans="9:12">
      <c r="I3930"/>
      <c r="L3930"/>
    </row>
    <row r="3931" spans="9:12">
      <c r="I3931"/>
      <c r="L3931"/>
    </row>
    <row r="3932" spans="9:12">
      <c r="I3932"/>
      <c r="L3932"/>
    </row>
    <row r="3933" spans="9:12">
      <c r="I3933"/>
      <c r="L3933"/>
    </row>
    <row r="3934" spans="9:12">
      <c r="I3934"/>
      <c r="L3934"/>
    </row>
    <row r="3935" spans="9:12">
      <c r="I3935"/>
      <c r="L3935"/>
    </row>
    <row r="3936" spans="9:12">
      <c r="I3936"/>
      <c r="L3936"/>
    </row>
    <row r="3937" spans="9:12">
      <c r="I3937"/>
      <c r="L3937"/>
    </row>
    <row r="3938" spans="9:12">
      <c r="I3938"/>
      <c r="L3938"/>
    </row>
    <row r="3939" spans="9:12">
      <c r="I3939"/>
      <c r="L3939"/>
    </row>
    <row r="3940" spans="9:12">
      <c r="I3940"/>
      <c r="L3940"/>
    </row>
    <row r="3941" spans="9:12">
      <c r="I3941"/>
      <c r="L3941"/>
    </row>
    <row r="3942" spans="9:12">
      <c r="I3942"/>
      <c r="L3942"/>
    </row>
    <row r="3943" spans="9:12">
      <c r="I3943"/>
      <c r="L3943"/>
    </row>
    <row r="3944" spans="9:12">
      <c r="I3944"/>
      <c r="L3944"/>
    </row>
    <row r="3945" spans="9:12">
      <c r="I3945"/>
      <c r="L3945"/>
    </row>
    <row r="3946" spans="9:12">
      <c r="I3946"/>
      <c r="L3946"/>
    </row>
    <row r="3947" spans="9:12">
      <c r="I3947"/>
      <c r="L3947"/>
    </row>
    <row r="3948" spans="9:12">
      <c r="I3948"/>
      <c r="L3948"/>
    </row>
    <row r="3949" spans="9:12">
      <c r="I3949"/>
      <c r="L3949"/>
    </row>
    <row r="3950" spans="9:12">
      <c r="I3950"/>
      <c r="L3950"/>
    </row>
    <row r="3951" spans="9:12">
      <c r="I3951"/>
      <c r="L3951"/>
    </row>
    <row r="3952" spans="9:12">
      <c r="I3952"/>
      <c r="L3952"/>
    </row>
    <row r="3953" spans="9:12">
      <c r="I3953"/>
      <c r="L3953"/>
    </row>
    <row r="3954" spans="9:12">
      <c r="I3954"/>
      <c r="L3954"/>
    </row>
    <row r="3955" spans="9:12">
      <c r="I3955"/>
      <c r="L3955"/>
    </row>
    <row r="3956" spans="9:12">
      <c r="I3956"/>
      <c r="L3956"/>
    </row>
    <row r="3957" spans="9:12">
      <c r="I3957"/>
      <c r="L3957"/>
    </row>
    <row r="3958" spans="9:12">
      <c r="I3958"/>
      <c r="L3958"/>
    </row>
    <row r="3959" spans="9:12">
      <c r="I3959"/>
      <c r="L3959"/>
    </row>
    <row r="3960" spans="9:12">
      <c r="I3960"/>
      <c r="L3960"/>
    </row>
    <row r="3961" spans="9:12">
      <c r="I3961"/>
      <c r="L3961"/>
    </row>
    <row r="3962" spans="9:12">
      <c r="I3962"/>
      <c r="L3962"/>
    </row>
    <row r="3963" spans="9:12">
      <c r="I3963"/>
      <c r="L3963"/>
    </row>
    <row r="3964" spans="9:12">
      <c r="I3964"/>
      <c r="L3964"/>
    </row>
    <row r="3965" spans="9:12">
      <c r="I3965"/>
      <c r="L3965"/>
    </row>
    <row r="3966" spans="9:12">
      <c r="I3966"/>
      <c r="L3966"/>
    </row>
    <row r="3967" spans="9:12">
      <c r="I3967"/>
      <c r="L3967"/>
    </row>
    <row r="3968" spans="9:12">
      <c r="I3968"/>
      <c r="L3968"/>
    </row>
    <row r="3969" spans="9:12">
      <c r="I3969"/>
      <c r="L3969"/>
    </row>
    <row r="3970" spans="9:12">
      <c r="I3970"/>
      <c r="L3970"/>
    </row>
    <row r="3971" spans="9:12">
      <c r="I3971"/>
      <c r="L3971"/>
    </row>
    <row r="3972" spans="9:12">
      <c r="I3972"/>
      <c r="L3972"/>
    </row>
    <row r="3973" spans="9:12">
      <c r="I3973"/>
      <c r="L3973"/>
    </row>
    <row r="3974" spans="9:12">
      <c r="I3974"/>
      <c r="L3974"/>
    </row>
    <row r="3975" spans="9:12">
      <c r="I3975"/>
      <c r="L3975"/>
    </row>
    <row r="3976" spans="9:12">
      <c r="I3976"/>
      <c r="L3976"/>
    </row>
    <row r="3977" spans="9:12">
      <c r="I3977"/>
      <c r="L3977"/>
    </row>
    <row r="3978" spans="9:12">
      <c r="I3978"/>
      <c r="L3978"/>
    </row>
    <row r="3979" spans="9:12">
      <c r="I3979"/>
      <c r="L3979"/>
    </row>
    <row r="3980" spans="9:12">
      <c r="I3980"/>
      <c r="L3980"/>
    </row>
    <row r="3981" spans="9:12">
      <c r="I3981"/>
      <c r="L3981"/>
    </row>
    <row r="3982" spans="9:12">
      <c r="I3982"/>
      <c r="L3982"/>
    </row>
    <row r="3983" spans="9:12">
      <c r="I3983"/>
      <c r="L3983"/>
    </row>
    <row r="3984" spans="9:12">
      <c r="I3984"/>
      <c r="L3984"/>
    </row>
    <row r="3985" spans="9:12">
      <c r="I3985"/>
      <c r="L3985"/>
    </row>
    <row r="3986" spans="9:12">
      <c r="I3986"/>
      <c r="L3986"/>
    </row>
    <row r="3987" spans="9:12">
      <c r="I3987"/>
      <c r="L3987"/>
    </row>
    <row r="3988" spans="9:12">
      <c r="I3988"/>
      <c r="L3988"/>
    </row>
    <row r="3989" spans="9:12">
      <c r="I3989"/>
      <c r="L3989"/>
    </row>
    <row r="3990" spans="9:12">
      <c r="I3990"/>
      <c r="L3990"/>
    </row>
    <row r="3991" spans="9:12">
      <c r="I3991"/>
      <c r="L3991"/>
    </row>
    <row r="3992" spans="9:12">
      <c r="I3992"/>
      <c r="L3992"/>
    </row>
    <row r="3993" spans="9:12">
      <c r="I3993"/>
      <c r="L3993"/>
    </row>
    <row r="3994" spans="9:12">
      <c r="I3994"/>
      <c r="L3994"/>
    </row>
    <row r="3995" spans="9:12">
      <c r="I3995"/>
      <c r="L3995"/>
    </row>
    <row r="3996" spans="9:12">
      <c r="I3996"/>
      <c r="L3996"/>
    </row>
    <row r="3997" spans="9:12">
      <c r="I3997"/>
      <c r="L3997"/>
    </row>
    <row r="3998" spans="9:12">
      <c r="I3998"/>
      <c r="L3998"/>
    </row>
    <row r="3999" spans="9:12">
      <c r="I3999"/>
      <c r="L3999"/>
    </row>
    <row r="4000" spans="9:12">
      <c r="I4000"/>
      <c r="L4000"/>
    </row>
    <row r="4001" spans="9:12">
      <c r="I4001"/>
      <c r="L4001"/>
    </row>
    <row r="4002" spans="9:12">
      <c r="I4002"/>
      <c r="L4002"/>
    </row>
    <row r="4003" spans="9:12">
      <c r="I4003"/>
      <c r="L4003"/>
    </row>
    <row r="4004" spans="9:12">
      <c r="I4004"/>
      <c r="L4004"/>
    </row>
    <row r="4005" spans="9:12">
      <c r="I4005"/>
      <c r="L4005"/>
    </row>
    <row r="4006" spans="9:12">
      <c r="I4006"/>
      <c r="L4006"/>
    </row>
    <row r="4007" spans="9:12">
      <c r="I4007"/>
      <c r="L4007"/>
    </row>
    <row r="4008" spans="9:12">
      <c r="I4008"/>
      <c r="L4008"/>
    </row>
    <row r="4009" spans="9:12">
      <c r="I4009"/>
      <c r="L4009"/>
    </row>
    <row r="4010" spans="9:12">
      <c r="I4010"/>
      <c r="L4010"/>
    </row>
    <row r="4011" spans="9:12">
      <c r="I4011"/>
      <c r="L4011"/>
    </row>
    <row r="4012" spans="9:12">
      <c r="I4012"/>
      <c r="L4012"/>
    </row>
    <row r="4013" spans="9:12">
      <c r="I4013"/>
      <c r="L4013"/>
    </row>
    <row r="4014" spans="9:12">
      <c r="I4014"/>
      <c r="L4014"/>
    </row>
    <row r="4015" spans="9:12">
      <c r="I4015"/>
      <c r="L4015"/>
    </row>
    <row r="4016" spans="9:12">
      <c r="I4016"/>
      <c r="L4016"/>
    </row>
    <row r="4017" spans="9:12">
      <c r="I4017"/>
      <c r="L4017"/>
    </row>
    <row r="4018" spans="9:12">
      <c r="I4018"/>
      <c r="L4018"/>
    </row>
    <row r="4019" spans="9:12">
      <c r="I4019"/>
      <c r="L4019"/>
    </row>
    <row r="4020" spans="9:12">
      <c r="I4020"/>
      <c r="L4020"/>
    </row>
    <row r="4021" spans="9:12">
      <c r="I4021"/>
      <c r="L4021"/>
    </row>
    <row r="4022" spans="9:12">
      <c r="I4022"/>
      <c r="L4022"/>
    </row>
    <row r="4023" spans="9:12">
      <c r="I4023"/>
      <c r="L4023"/>
    </row>
    <row r="4024" spans="9:12">
      <c r="I4024"/>
      <c r="L4024"/>
    </row>
    <row r="4025" spans="9:12">
      <c r="I4025"/>
      <c r="L4025"/>
    </row>
    <row r="4026" spans="9:12">
      <c r="I4026"/>
      <c r="L4026"/>
    </row>
    <row r="4027" spans="9:12">
      <c r="I4027"/>
      <c r="L4027"/>
    </row>
    <row r="4028" spans="9:12">
      <c r="I4028"/>
      <c r="L4028"/>
    </row>
    <row r="4029" spans="9:12">
      <c r="I4029"/>
      <c r="L4029"/>
    </row>
    <row r="4030" spans="9:12">
      <c r="I4030"/>
      <c r="L4030"/>
    </row>
    <row r="4031" spans="9:12">
      <c r="I4031"/>
      <c r="L4031"/>
    </row>
    <row r="4032" spans="9:12">
      <c r="I4032"/>
      <c r="L4032"/>
    </row>
    <row r="4033" spans="9:12">
      <c r="I4033"/>
      <c r="L4033"/>
    </row>
    <row r="4034" spans="9:12">
      <c r="I4034"/>
      <c r="L4034"/>
    </row>
    <row r="4035" spans="9:12">
      <c r="I4035"/>
      <c r="L4035"/>
    </row>
    <row r="4036" spans="9:12">
      <c r="I4036"/>
      <c r="L4036"/>
    </row>
    <row r="4037" spans="9:12">
      <c r="I4037"/>
      <c r="L4037"/>
    </row>
    <row r="4038" spans="9:12">
      <c r="I4038"/>
      <c r="L4038"/>
    </row>
    <row r="4039" spans="9:12">
      <c r="I4039"/>
      <c r="L4039"/>
    </row>
    <row r="4040" spans="9:12">
      <c r="I4040"/>
      <c r="L4040"/>
    </row>
    <row r="4041" spans="9:12">
      <c r="I4041"/>
      <c r="L4041"/>
    </row>
    <row r="4042" spans="9:12">
      <c r="I4042"/>
      <c r="L4042"/>
    </row>
    <row r="4043" spans="9:12">
      <c r="I4043"/>
      <c r="L4043"/>
    </row>
    <row r="4044" spans="9:12">
      <c r="I4044"/>
      <c r="L4044"/>
    </row>
    <row r="4045" spans="9:12">
      <c r="I4045"/>
      <c r="L4045"/>
    </row>
    <row r="4046" spans="9:12">
      <c r="I4046"/>
      <c r="L4046"/>
    </row>
    <row r="4047" spans="9:12">
      <c r="I4047"/>
      <c r="L4047"/>
    </row>
    <row r="4048" spans="9:12">
      <c r="I4048"/>
      <c r="L4048"/>
    </row>
    <row r="4049" spans="9:12">
      <c r="I4049"/>
      <c r="L4049"/>
    </row>
    <row r="4050" spans="9:12">
      <c r="I4050"/>
      <c r="L4050"/>
    </row>
    <row r="4051" spans="9:12">
      <c r="I4051"/>
      <c r="L4051"/>
    </row>
    <row r="4052" spans="9:12">
      <c r="I4052"/>
      <c r="L4052"/>
    </row>
    <row r="4053" spans="9:12">
      <c r="I4053"/>
      <c r="L4053"/>
    </row>
    <row r="4054" spans="9:12">
      <c r="I4054"/>
      <c r="L4054"/>
    </row>
    <row r="4055" spans="9:12">
      <c r="I4055"/>
      <c r="L4055"/>
    </row>
    <row r="4056" spans="9:12">
      <c r="I4056"/>
      <c r="L4056"/>
    </row>
    <row r="4057" spans="9:12">
      <c r="I4057"/>
      <c r="L4057"/>
    </row>
    <row r="4058" spans="9:12">
      <c r="I4058"/>
      <c r="L4058"/>
    </row>
    <row r="4059" spans="9:12">
      <c r="I4059"/>
      <c r="L4059"/>
    </row>
    <row r="4060" spans="9:12">
      <c r="I4060"/>
      <c r="L4060"/>
    </row>
    <row r="4061" spans="9:12">
      <c r="I4061"/>
      <c r="L4061"/>
    </row>
    <row r="4062" spans="9:12">
      <c r="I4062"/>
      <c r="L4062"/>
    </row>
    <row r="4063" spans="9:12">
      <c r="I4063"/>
      <c r="L4063"/>
    </row>
    <row r="4064" spans="9:12">
      <c r="I4064"/>
      <c r="L4064"/>
    </row>
    <row r="4065" spans="9:12">
      <c r="I4065"/>
      <c r="L4065"/>
    </row>
    <row r="4066" spans="9:12">
      <c r="I4066"/>
      <c r="L4066"/>
    </row>
    <row r="4067" spans="9:12">
      <c r="I4067"/>
      <c r="L4067"/>
    </row>
    <row r="4068" spans="9:12">
      <c r="I4068"/>
      <c r="L4068"/>
    </row>
    <row r="4069" spans="9:12">
      <c r="I4069"/>
      <c r="L4069"/>
    </row>
    <row r="4070" spans="9:12">
      <c r="I4070"/>
      <c r="L4070"/>
    </row>
    <row r="4071" spans="9:12">
      <c r="I4071"/>
      <c r="L4071"/>
    </row>
    <row r="4072" spans="9:12">
      <c r="I4072"/>
      <c r="L4072"/>
    </row>
    <row r="4073" spans="9:12">
      <c r="I4073"/>
      <c r="L4073"/>
    </row>
    <row r="4074" spans="9:12">
      <c r="I4074"/>
      <c r="L4074"/>
    </row>
    <row r="4075" spans="9:12">
      <c r="I4075"/>
      <c r="L4075"/>
    </row>
    <row r="4076" spans="9:12">
      <c r="I4076"/>
      <c r="L4076"/>
    </row>
    <row r="4077" spans="9:12">
      <c r="I4077"/>
      <c r="L4077"/>
    </row>
    <row r="4078" spans="9:12">
      <c r="I4078"/>
      <c r="L4078"/>
    </row>
    <row r="4079" spans="9:12">
      <c r="I4079"/>
      <c r="L4079"/>
    </row>
    <row r="4080" spans="9:12">
      <c r="I4080"/>
      <c r="L4080"/>
    </row>
    <row r="4081" spans="9:12">
      <c r="I4081"/>
      <c r="L4081"/>
    </row>
    <row r="4082" spans="9:12">
      <c r="I4082"/>
      <c r="L4082"/>
    </row>
    <row r="4083" spans="9:12">
      <c r="I4083"/>
      <c r="L4083"/>
    </row>
    <row r="4084" spans="9:12">
      <c r="I4084"/>
      <c r="L4084"/>
    </row>
    <row r="4085" spans="9:12">
      <c r="I4085"/>
      <c r="L4085"/>
    </row>
    <row r="4086" spans="9:12">
      <c r="I4086"/>
      <c r="L4086"/>
    </row>
    <row r="4087" spans="9:12">
      <c r="I4087"/>
      <c r="L4087"/>
    </row>
    <row r="4088" spans="9:12">
      <c r="I4088"/>
      <c r="L4088"/>
    </row>
    <row r="4089" spans="9:12">
      <c r="I4089"/>
      <c r="L4089"/>
    </row>
    <row r="4090" spans="9:12">
      <c r="I4090"/>
      <c r="L4090"/>
    </row>
    <row r="4091" spans="9:12">
      <c r="I4091"/>
      <c r="L4091"/>
    </row>
    <row r="4092" spans="9:12">
      <c r="I4092"/>
      <c r="L4092"/>
    </row>
    <row r="4093" spans="9:12">
      <c r="I4093"/>
      <c r="L4093"/>
    </row>
    <row r="4094" spans="9:12">
      <c r="I4094"/>
      <c r="L4094"/>
    </row>
    <row r="4095" spans="9:12">
      <c r="I4095"/>
      <c r="L4095"/>
    </row>
    <row r="4096" spans="9:12">
      <c r="I4096"/>
      <c r="L4096"/>
    </row>
    <row r="4097" spans="9:12">
      <c r="I4097"/>
      <c r="L4097"/>
    </row>
    <row r="4098" spans="9:12">
      <c r="I4098"/>
      <c r="L4098"/>
    </row>
    <row r="4099" spans="9:12">
      <c r="I4099"/>
      <c r="L4099"/>
    </row>
    <row r="4100" spans="9:12">
      <c r="I4100"/>
      <c r="L4100"/>
    </row>
    <row r="4101" spans="9:12">
      <c r="I4101"/>
      <c r="L4101"/>
    </row>
    <row r="4102" spans="9:12">
      <c r="I4102"/>
      <c r="L4102"/>
    </row>
    <row r="4103" spans="9:12">
      <c r="I4103"/>
      <c r="L4103"/>
    </row>
    <row r="4104" spans="9:12">
      <c r="I4104"/>
      <c r="L4104"/>
    </row>
    <row r="4105" spans="9:12">
      <c r="I4105"/>
      <c r="L4105"/>
    </row>
    <row r="4106" spans="9:12">
      <c r="I4106"/>
      <c r="L4106"/>
    </row>
    <row r="4107" spans="9:12">
      <c r="I4107"/>
      <c r="L4107"/>
    </row>
    <row r="4108" spans="9:12">
      <c r="I4108"/>
      <c r="L4108"/>
    </row>
    <row r="4109" spans="9:12">
      <c r="I4109"/>
      <c r="L4109"/>
    </row>
    <row r="4110" spans="9:12">
      <c r="I4110"/>
      <c r="L4110"/>
    </row>
    <row r="4111" spans="9:12">
      <c r="I4111"/>
      <c r="L4111"/>
    </row>
    <row r="4112" spans="9:12">
      <c r="I4112"/>
      <c r="L4112"/>
    </row>
    <row r="4113" spans="9:12">
      <c r="I4113"/>
      <c r="L4113"/>
    </row>
    <row r="4114" spans="9:12">
      <c r="I4114"/>
      <c r="L4114"/>
    </row>
    <row r="4115" spans="9:12">
      <c r="I4115"/>
      <c r="L4115"/>
    </row>
    <row r="4116" spans="9:12">
      <c r="I4116"/>
      <c r="L4116"/>
    </row>
    <row r="4117" spans="9:12">
      <c r="I4117"/>
      <c r="L4117"/>
    </row>
    <row r="4118" spans="9:12">
      <c r="I4118"/>
      <c r="L4118"/>
    </row>
    <row r="4119" spans="9:12">
      <c r="I4119"/>
      <c r="L4119"/>
    </row>
    <row r="4120" spans="9:12">
      <c r="I4120"/>
      <c r="L4120"/>
    </row>
    <row r="4121" spans="9:12">
      <c r="I4121"/>
      <c r="L4121"/>
    </row>
    <row r="4122" spans="9:12">
      <c r="I4122"/>
      <c r="L4122"/>
    </row>
    <row r="4123" spans="9:12">
      <c r="I4123"/>
      <c r="L4123"/>
    </row>
    <row r="4124" spans="9:12">
      <c r="I4124"/>
      <c r="L4124"/>
    </row>
    <row r="4125" spans="9:12">
      <c r="I4125"/>
      <c r="L4125"/>
    </row>
    <row r="4126" spans="9:12">
      <c r="I4126"/>
      <c r="L4126"/>
    </row>
    <row r="4127" spans="9:12">
      <c r="I4127"/>
      <c r="L4127"/>
    </row>
    <row r="4128" spans="9:12">
      <c r="I4128"/>
      <c r="L4128"/>
    </row>
    <row r="4129" spans="9:12">
      <c r="I4129"/>
      <c r="L4129"/>
    </row>
    <row r="4130" spans="9:12">
      <c r="I4130"/>
      <c r="L4130"/>
    </row>
    <row r="4131" spans="9:12">
      <c r="I4131"/>
      <c r="L4131"/>
    </row>
    <row r="4132" spans="9:12">
      <c r="I4132"/>
      <c r="L4132"/>
    </row>
    <row r="4133" spans="9:12">
      <c r="I4133"/>
      <c r="L4133"/>
    </row>
    <row r="4134" spans="9:12">
      <c r="I4134"/>
      <c r="L4134"/>
    </row>
    <row r="4135" spans="9:12">
      <c r="I4135"/>
      <c r="L4135"/>
    </row>
    <row r="4136" spans="9:12">
      <c r="I4136"/>
      <c r="L4136"/>
    </row>
    <row r="4137" spans="9:12">
      <c r="I4137"/>
      <c r="L4137"/>
    </row>
    <row r="4138" spans="9:12">
      <c r="I4138"/>
      <c r="L4138"/>
    </row>
    <row r="4139" spans="9:12">
      <c r="I4139"/>
      <c r="L4139"/>
    </row>
    <row r="4140" spans="9:12">
      <c r="I4140"/>
      <c r="L4140"/>
    </row>
    <row r="4141" spans="9:12">
      <c r="I4141"/>
      <c r="L4141"/>
    </row>
    <row r="4142" spans="9:12">
      <c r="I4142"/>
      <c r="L4142"/>
    </row>
    <row r="4143" spans="9:12">
      <c r="I4143"/>
      <c r="L4143"/>
    </row>
    <row r="4144" spans="9:12">
      <c r="I4144"/>
      <c r="L4144"/>
    </row>
    <row r="4145" spans="9:12">
      <c r="I4145"/>
      <c r="L4145"/>
    </row>
    <row r="4146" spans="9:12">
      <c r="I4146"/>
      <c r="L4146"/>
    </row>
    <row r="4147" spans="9:12">
      <c r="I4147"/>
      <c r="L4147"/>
    </row>
    <row r="4148" spans="9:12">
      <c r="I4148"/>
      <c r="L4148"/>
    </row>
    <row r="4149" spans="9:12">
      <c r="I4149"/>
      <c r="L4149"/>
    </row>
    <row r="4150" spans="9:12">
      <c r="I4150"/>
      <c r="L4150"/>
    </row>
    <row r="4151" spans="9:12">
      <c r="I4151"/>
      <c r="L4151"/>
    </row>
    <row r="4152" spans="9:12">
      <c r="I4152"/>
      <c r="L4152"/>
    </row>
    <row r="4153" spans="9:12">
      <c r="I4153"/>
      <c r="L4153"/>
    </row>
    <row r="4154" spans="9:12">
      <c r="I4154"/>
      <c r="L4154"/>
    </row>
    <row r="4155" spans="9:12">
      <c r="I4155"/>
      <c r="L4155"/>
    </row>
    <row r="4156" spans="9:12">
      <c r="I4156"/>
      <c r="L4156"/>
    </row>
    <row r="4157" spans="9:12">
      <c r="I4157"/>
      <c r="L4157"/>
    </row>
    <row r="4158" spans="9:12">
      <c r="I4158"/>
      <c r="L4158"/>
    </row>
    <row r="4159" spans="9:12">
      <c r="I4159"/>
      <c r="L4159"/>
    </row>
    <row r="4160" spans="9:12">
      <c r="I4160"/>
      <c r="L4160"/>
    </row>
    <row r="4161" spans="9:12">
      <c r="I4161"/>
      <c r="L4161"/>
    </row>
    <row r="4162" spans="9:12">
      <c r="I4162"/>
      <c r="L4162"/>
    </row>
    <row r="4163" spans="9:12">
      <c r="I4163"/>
      <c r="L4163"/>
    </row>
    <row r="4164" spans="9:12">
      <c r="I4164"/>
      <c r="L4164"/>
    </row>
    <row r="4165" spans="9:12">
      <c r="I4165"/>
      <c r="L4165"/>
    </row>
    <row r="4166" spans="9:12">
      <c r="I4166"/>
      <c r="L4166"/>
    </row>
    <row r="4167" spans="9:12">
      <c r="I4167"/>
      <c r="L4167"/>
    </row>
    <row r="4168" spans="9:12">
      <c r="I4168"/>
      <c r="L4168"/>
    </row>
    <row r="4169" spans="9:12">
      <c r="I4169"/>
      <c r="L4169"/>
    </row>
    <row r="4170" spans="9:12">
      <c r="I4170"/>
      <c r="L4170"/>
    </row>
    <row r="4171" spans="9:12">
      <c r="I4171"/>
      <c r="L4171"/>
    </row>
    <row r="4172" spans="9:12">
      <c r="I4172"/>
      <c r="L4172"/>
    </row>
    <row r="4173" spans="9:12">
      <c r="I4173"/>
      <c r="L4173"/>
    </row>
    <row r="4174" spans="9:12">
      <c r="I4174"/>
      <c r="L4174"/>
    </row>
    <row r="4175" spans="9:12">
      <c r="I4175"/>
      <c r="L4175"/>
    </row>
    <row r="4176" spans="9:12">
      <c r="I4176"/>
      <c r="L4176"/>
    </row>
    <row r="4177" spans="9:12">
      <c r="I4177"/>
      <c r="L4177"/>
    </row>
    <row r="4178" spans="9:12">
      <c r="I4178"/>
      <c r="L4178"/>
    </row>
    <row r="4179" spans="9:12">
      <c r="I4179"/>
      <c r="L4179"/>
    </row>
    <row r="4180" spans="9:12">
      <c r="I4180"/>
      <c r="L4180"/>
    </row>
    <row r="4181" spans="9:12">
      <c r="I4181"/>
      <c r="L4181"/>
    </row>
    <row r="4182" spans="9:12">
      <c r="I4182"/>
      <c r="L4182"/>
    </row>
    <row r="4183" spans="9:12">
      <c r="I4183"/>
      <c r="L4183"/>
    </row>
    <row r="4184" spans="9:12">
      <c r="I4184"/>
      <c r="L4184"/>
    </row>
    <row r="4185" spans="9:12">
      <c r="I4185"/>
      <c r="L4185"/>
    </row>
    <row r="4186" spans="9:12">
      <c r="I4186"/>
      <c r="L4186"/>
    </row>
    <row r="4187" spans="9:12">
      <c r="I4187"/>
      <c r="L4187"/>
    </row>
    <row r="4188" spans="9:12">
      <c r="I4188"/>
      <c r="L4188"/>
    </row>
    <row r="4189" spans="9:12">
      <c r="I4189"/>
      <c r="L4189"/>
    </row>
    <row r="4190" spans="9:12">
      <c r="I4190"/>
      <c r="L4190"/>
    </row>
    <row r="4191" spans="9:12">
      <c r="I4191"/>
      <c r="L4191"/>
    </row>
    <row r="4192" spans="9:12">
      <c r="I4192"/>
      <c r="L4192"/>
    </row>
    <row r="4193" spans="9:12">
      <c r="I4193"/>
      <c r="L4193"/>
    </row>
    <row r="4194" spans="9:12">
      <c r="I4194"/>
      <c r="L4194"/>
    </row>
    <row r="4195" spans="9:12">
      <c r="I4195"/>
      <c r="L4195"/>
    </row>
    <row r="4196" spans="9:12">
      <c r="I4196"/>
      <c r="L4196"/>
    </row>
    <row r="4197" spans="9:12">
      <c r="I4197"/>
      <c r="L4197"/>
    </row>
    <row r="4198" spans="9:12">
      <c r="I4198"/>
      <c r="L4198"/>
    </row>
    <row r="4199" spans="9:12">
      <c r="I4199"/>
      <c r="L4199"/>
    </row>
    <row r="4200" spans="9:12">
      <c r="I4200"/>
      <c r="L4200"/>
    </row>
    <row r="4201" spans="9:12">
      <c r="I4201"/>
      <c r="L4201"/>
    </row>
    <row r="4202" spans="9:12">
      <c r="I4202"/>
      <c r="L4202"/>
    </row>
    <row r="4203" spans="9:12">
      <c r="I4203"/>
      <c r="L4203"/>
    </row>
    <row r="4204" spans="9:12">
      <c r="I4204"/>
      <c r="L4204"/>
    </row>
    <row r="4205" spans="9:12">
      <c r="I4205"/>
      <c r="L4205"/>
    </row>
    <row r="4206" spans="9:12">
      <c r="I4206"/>
      <c r="L4206"/>
    </row>
    <row r="4207" spans="9:12">
      <c r="I4207"/>
      <c r="L4207"/>
    </row>
    <row r="4208" spans="9:12">
      <c r="I4208"/>
      <c r="L4208"/>
    </row>
    <row r="4209" spans="9:12">
      <c r="I4209"/>
      <c r="L4209"/>
    </row>
    <row r="4210" spans="9:12">
      <c r="I4210"/>
      <c r="L4210"/>
    </row>
    <row r="4211" spans="9:12">
      <c r="I4211"/>
      <c r="L4211"/>
    </row>
    <row r="4212" spans="9:12">
      <c r="I4212"/>
      <c r="L4212"/>
    </row>
    <row r="4213" spans="9:12">
      <c r="I4213"/>
      <c r="L4213"/>
    </row>
    <row r="4214" spans="9:12">
      <c r="I4214"/>
      <c r="L4214"/>
    </row>
    <row r="4215" spans="9:12">
      <c r="I4215"/>
      <c r="L4215"/>
    </row>
    <row r="4216" spans="9:12">
      <c r="I4216"/>
      <c r="L4216"/>
    </row>
    <row r="4217" spans="9:12">
      <c r="I4217"/>
      <c r="L4217"/>
    </row>
    <row r="4218" spans="9:12">
      <c r="I4218"/>
      <c r="L4218"/>
    </row>
    <row r="4219" spans="9:12">
      <c r="I4219"/>
      <c r="L4219"/>
    </row>
    <row r="4220" spans="9:12">
      <c r="I4220"/>
      <c r="L4220"/>
    </row>
    <row r="4221" spans="9:12">
      <c r="I4221"/>
      <c r="L4221"/>
    </row>
    <row r="4222" spans="9:12">
      <c r="I4222"/>
      <c r="L4222"/>
    </row>
    <row r="4223" spans="9:12">
      <c r="I4223"/>
      <c r="L4223"/>
    </row>
    <row r="4224" spans="9:12">
      <c r="I4224"/>
      <c r="L4224"/>
    </row>
    <row r="4225" spans="9:12">
      <c r="I4225"/>
      <c r="L4225"/>
    </row>
    <row r="4226" spans="9:12">
      <c r="I4226"/>
      <c r="L4226"/>
    </row>
    <row r="4227" spans="9:12">
      <c r="I4227"/>
      <c r="L4227"/>
    </row>
    <row r="4228" spans="9:12">
      <c r="I4228"/>
      <c r="L4228"/>
    </row>
    <row r="4229" spans="9:12">
      <c r="I4229"/>
      <c r="L4229"/>
    </row>
    <row r="4230" spans="9:12">
      <c r="I4230"/>
      <c r="L4230"/>
    </row>
    <row r="4231" spans="9:12">
      <c r="I4231"/>
      <c r="L4231"/>
    </row>
    <row r="4232" spans="9:12">
      <c r="I4232"/>
      <c r="L4232"/>
    </row>
    <row r="4233" spans="9:12">
      <c r="I4233"/>
      <c r="L4233"/>
    </row>
    <row r="4234" spans="9:12">
      <c r="I4234"/>
      <c r="L4234"/>
    </row>
    <row r="4235" spans="9:12">
      <c r="I4235"/>
      <c r="L4235"/>
    </row>
    <row r="4236" spans="9:12">
      <c r="I4236"/>
      <c r="L4236"/>
    </row>
    <row r="4237" spans="9:12">
      <c r="I4237"/>
      <c r="L4237"/>
    </row>
    <row r="4238" spans="9:12">
      <c r="I4238"/>
      <c r="L4238"/>
    </row>
    <row r="4239" spans="9:12">
      <c r="I4239"/>
      <c r="L4239"/>
    </row>
    <row r="4240" spans="9:12">
      <c r="I4240"/>
      <c r="L4240"/>
    </row>
    <row r="4241" spans="9:12">
      <c r="I4241"/>
      <c r="L4241"/>
    </row>
    <row r="4242" spans="9:12">
      <c r="I4242"/>
      <c r="L4242"/>
    </row>
    <row r="4243" spans="9:12">
      <c r="I4243"/>
      <c r="L4243"/>
    </row>
    <row r="4244" spans="9:12">
      <c r="I4244"/>
      <c r="L4244"/>
    </row>
    <row r="4245" spans="9:12">
      <c r="I4245"/>
      <c r="L4245"/>
    </row>
    <row r="4246" spans="9:12">
      <c r="I4246"/>
      <c r="L4246"/>
    </row>
    <row r="4247" spans="9:12">
      <c r="I4247"/>
      <c r="L4247"/>
    </row>
    <row r="4248" spans="9:12">
      <c r="I4248"/>
      <c r="L4248"/>
    </row>
    <row r="4249" spans="9:12">
      <c r="I4249"/>
      <c r="L4249"/>
    </row>
    <row r="4250" spans="9:12">
      <c r="I4250"/>
      <c r="L4250"/>
    </row>
    <row r="4251" spans="9:12">
      <c r="I4251"/>
      <c r="L4251"/>
    </row>
    <row r="4252" spans="9:12">
      <c r="I4252"/>
      <c r="L4252"/>
    </row>
    <row r="4253" spans="9:12">
      <c r="I4253"/>
      <c r="L4253"/>
    </row>
    <row r="4254" spans="9:12">
      <c r="I4254"/>
      <c r="L4254"/>
    </row>
    <row r="4255" spans="9:12">
      <c r="I4255"/>
      <c r="L4255"/>
    </row>
    <row r="4256" spans="9:12">
      <c r="I4256"/>
      <c r="L4256"/>
    </row>
    <row r="4257" spans="9:12">
      <c r="I4257"/>
      <c r="L4257"/>
    </row>
    <row r="4258" spans="9:12">
      <c r="I4258"/>
      <c r="L4258"/>
    </row>
    <row r="4259" spans="9:12">
      <c r="I4259"/>
      <c r="L4259"/>
    </row>
    <row r="4260" spans="9:12">
      <c r="I4260"/>
      <c r="L4260"/>
    </row>
    <row r="4261" spans="9:12">
      <c r="I4261"/>
      <c r="L4261"/>
    </row>
    <row r="4262" spans="9:12">
      <c r="I4262"/>
      <c r="L4262"/>
    </row>
    <row r="4263" spans="9:12">
      <c r="I4263"/>
      <c r="L4263"/>
    </row>
    <row r="4264" spans="9:12">
      <c r="I4264"/>
      <c r="L4264"/>
    </row>
    <row r="4265" spans="9:12">
      <c r="I4265"/>
      <c r="L4265"/>
    </row>
    <row r="4266" spans="9:12">
      <c r="I4266"/>
      <c r="L4266"/>
    </row>
    <row r="4267" spans="9:12">
      <c r="I4267"/>
      <c r="L4267"/>
    </row>
    <row r="4268" spans="9:12">
      <c r="I4268"/>
      <c r="L4268"/>
    </row>
    <row r="4269" spans="9:12">
      <c r="I4269"/>
      <c r="L4269"/>
    </row>
    <row r="4270" spans="9:12">
      <c r="I4270"/>
      <c r="L4270"/>
    </row>
    <row r="4271" spans="9:12">
      <c r="I4271"/>
      <c r="L4271"/>
    </row>
    <row r="4272" spans="9:12">
      <c r="I4272"/>
      <c r="L4272"/>
    </row>
    <row r="4273" spans="9:12">
      <c r="I4273"/>
      <c r="L4273"/>
    </row>
    <row r="4274" spans="9:12">
      <c r="I4274"/>
      <c r="L4274"/>
    </row>
    <row r="4275" spans="9:12">
      <c r="I4275"/>
      <c r="L4275"/>
    </row>
    <row r="4276" spans="9:12">
      <c r="I4276"/>
      <c r="L4276"/>
    </row>
    <row r="4277" spans="9:12">
      <c r="I4277"/>
      <c r="L4277"/>
    </row>
    <row r="4278" spans="9:12">
      <c r="I4278"/>
      <c r="L4278"/>
    </row>
    <row r="4279" spans="9:12">
      <c r="I4279"/>
      <c r="L4279"/>
    </row>
    <row r="4280" spans="9:12">
      <c r="I4280"/>
      <c r="L4280"/>
    </row>
    <row r="4281" spans="9:12">
      <c r="I4281"/>
      <c r="L4281"/>
    </row>
    <row r="4282" spans="9:12">
      <c r="I4282"/>
      <c r="L4282"/>
    </row>
    <row r="4283" spans="9:12">
      <c r="I4283"/>
      <c r="L4283"/>
    </row>
    <row r="4284" spans="9:12">
      <c r="I4284"/>
      <c r="L4284"/>
    </row>
    <row r="4285" spans="9:12">
      <c r="I4285"/>
      <c r="L4285"/>
    </row>
    <row r="4286" spans="9:12">
      <c r="I4286"/>
      <c r="L4286"/>
    </row>
    <row r="4287" spans="9:12">
      <c r="I4287"/>
      <c r="L4287"/>
    </row>
    <row r="4288" spans="9:12">
      <c r="I4288"/>
      <c r="L4288"/>
    </row>
    <row r="4289" spans="9:12">
      <c r="I4289"/>
      <c r="L4289"/>
    </row>
    <row r="4290" spans="9:12">
      <c r="I4290"/>
      <c r="L4290"/>
    </row>
    <row r="4291" spans="9:12">
      <c r="I4291"/>
      <c r="L4291"/>
    </row>
    <row r="4292" spans="9:12">
      <c r="I4292"/>
      <c r="L4292"/>
    </row>
    <row r="4293" spans="9:12">
      <c r="I4293"/>
      <c r="L4293"/>
    </row>
    <row r="4294" spans="9:12">
      <c r="I4294"/>
      <c r="L4294"/>
    </row>
    <row r="4295" spans="9:12">
      <c r="I4295"/>
      <c r="L4295"/>
    </row>
    <row r="4296" spans="9:12">
      <c r="I4296"/>
      <c r="L4296"/>
    </row>
    <row r="4297" spans="9:12">
      <c r="I4297"/>
      <c r="L4297"/>
    </row>
    <row r="4298" spans="9:12">
      <c r="I4298"/>
      <c r="L4298"/>
    </row>
    <row r="4299" spans="9:12">
      <c r="I4299"/>
      <c r="L4299"/>
    </row>
    <row r="4300" spans="9:12">
      <c r="I4300"/>
      <c r="L4300"/>
    </row>
    <row r="4301" spans="9:12">
      <c r="I4301"/>
      <c r="L4301"/>
    </row>
    <row r="4302" spans="9:12">
      <c r="I4302"/>
      <c r="L4302"/>
    </row>
    <row r="4303" spans="9:12">
      <c r="I4303"/>
      <c r="L4303"/>
    </row>
    <row r="4304" spans="9:12">
      <c r="I4304"/>
      <c r="L4304"/>
    </row>
    <row r="4305" spans="9:12">
      <c r="I4305"/>
      <c r="L4305"/>
    </row>
    <row r="4306" spans="9:12">
      <c r="I4306"/>
      <c r="L4306"/>
    </row>
    <row r="4307" spans="9:12">
      <c r="I4307"/>
      <c r="L4307"/>
    </row>
    <row r="4308" spans="9:12">
      <c r="I4308"/>
      <c r="L4308"/>
    </row>
    <row r="4309" spans="9:12">
      <c r="I4309"/>
      <c r="L4309"/>
    </row>
    <row r="4310" spans="9:12">
      <c r="I4310"/>
      <c r="L4310"/>
    </row>
    <row r="4311" spans="9:12">
      <c r="I4311"/>
      <c r="L4311"/>
    </row>
    <row r="4312" spans="9:12">
      <c r="I4312"/>
      <c r="L4312"/>
    </row>
    <row r="4313" spans="9:12">
      <c r="I4313"/>
      <c r="L4313"/>
    </row>
    <row r="4314" spans="9:12">
      <c r="I4314"/>
      <c r="L4314"/>
    </row>
    <row r="4315" spans="9:12">
      <c r="I4315"/>
      <c r="L4315"/>
    </row>
    <row r="4316" spans="9:12">
      <c r="I4316"/>
      <c r="L4316"/>
    </row>
    <row r="4317" spans="9:12">
      <c r="I4317"/>
      <c r="L4317"/>
    </row>
    <row r="4318" spans="9:12">
      <c r="I4318"/>
      <c r="L4318"/>
    </row>
    <row r="4319" spans="9:12">
      <c r="I4319"/>
      <c r="L4319"/>
    </row>
    <row r="4320" spans="9:12">
      <c r="I4320"/>
      <c r="L4320"/>
    </row>
    <row r="4321" spans="9:12">
      <c r="I4321"/>
      <c r="L4321"/>
    </row>
    <row r="4322" spans="9:12">
      <c r="I4322"/>
      <c r="L4322"/>
    </row>
    <row r="4323" spans="9:12">
      <c r="I4323"/>
      <c r="L4323"/>
    </row>
    <row r="4324" spans="9:12">
      <c r="I4324"/>
      <c r="L4324"/>
    </row>
    <row r="4325" spans="9:12">
      <c r="I4325"/>
      <c r="L4325"/>
    </row>
    <row r="4326" spans="9:12">
      <c r="I4326"/>
      <c r="L4326"/>
    </row>
    <row r="4327" spans="9:12">
      <c r="I4327"/>
      <c r="L4327"/>
    </row>
    <row r="4328" spans="9:12">
      <c r="I4328"/>
      <c r="L4328"/>
    </row>
    <row r="4329" spans="9:12">
      <c r="I4329"/>
      <c r="L4329"/>
    </row>
    <row r="4330" spans="9:12">
      <c r="I4330"/>
      <c r="L4330"/>
    </row>
    <row r="4331" spans="9:12">
      <c r="I4331"/>
      <c r="L4331"/>
    </row>
    <row r="4332" spans="9:12">
      <c r="I4332"/>
      <c r="L4332"/>
    </row>
    <row r="4333" spans="9:12">
      <c r="I4333"/>
      <c r="L4333"/>
    </row>
    <row r="4334" spans="9:12">
      <c r="I4334"/>
      <c r="L4334"/>
    </row>
    <row r="4335" spans="9:12">
      <c r="I4335"/>
      <c r="L4335"/>
    </row>
    <row r="4336" spans="9:12">
      <c r="I4336"/>
      <c r="L4336"/>
    </row>
    <row r="4337" spans="9:12">
      <c r="I4337"/>
      <c r="L4337"/>
    </row>
    <row r="4338" spans="9:12">
      <c r="I4338"/>
      <c r="L4338"/>
    </row>
    <row r="4339" spans="9:12">
      <c r="I4339"/>
      <c r="L4339"/>
    </row>
    <row r="4340" spans="9:12">
      <c r="I4340"/>
      <c r="L4340"/>
    </row>
    <row r="4341" spans="9:12">
      <c r="I4341"/>
      <c r="L4341"/>
    </row>
    <row r="4342" spans="9:12">
      <c r="I4342"/>
      <c r="L4342"/>
    </row>
    <row r="4343" spans="9:12">
      <c r="I4343"/>
      <c r="L4343"/>
    </row>
    <row r="4344" spans="9:12">
      <c r="I4344"/>
      <c r="L4344"/>
    </row>
    <row r="4345" spans="9:12">
      <c r="I4345"/>
      <c r="L4345"/>
    </row>
    <row r="4346" spans="9:12">
      <c r="I4346"/>
      <c r="L4346"/>
    </row>
    <row r="4347" spans="9:12">
      <c r="I4347"/>
      <c r="L4347"/>
    </row>
    <row r="4348" spans="9:12">
      <c r="I4348"/>
      <c r="L4348"/>
    </row>
    <row r="4349" spans="9:12">
      <c r="I4349"/>
      <c r="L4349"/>
    </row>
    <row r="4350" spans="9:12">
      <c r="I4350"/>
      <c r="L4350"/>
    </row>
    <row r="4351" spans="9:12">
      <c r="I4351"/>
      <c r="L4351"/>
    </row>
    <row r="4352" spans="9:12">
      <c r="I4352"/>
      <c r="L4352"/>
    </row>
    <row r="4353" spans="9:12">
      <c r="I4353"/>
      <c r="L4353"/>
    </row>
    <row r="4354" spans="9:12">
      <c r="I4354"/>
      <c r="L4354"/>
    </row>
    <row r="4355" spans="9:12">
      <c r="I4355"/>
      <c r="L4355"/>
    </row>
    <row r="4356" spans="9:12">
      <c r="I4356"/>
      <c r="L4356"/>
    </row>
    <row r="4357" spans="9:12">
      <c r="I4357"/>
      <c r="L4357"/>
    </row>
    <row r="4358" spans="9:12">
      <c r="I4358"/>
      <c r="L4358"/>
    </row>
    <row r="4359" spans="9:12">
      <c r="I4359"/>
      <c r="L4359"/>
    </row>
    <row r="4360" spans="9:12">
      <c r="I4360"/>
      <c r="L4360"/>
    </row>
    <row r="4361" spans="9:12">
      <c r="I4361"/>
      <c r="L4361"/>
    </row>
    <row r="4362" spans="9:12">
      <c r="I4362"/>
      <c r="L4362"/>
    </row>
    <row r="4363" spans="9:12">
      <c r="I4363"/>
      <c r="L4363"/>
    </row>
    <row r="4364" spans="9:12">
      <c r="I4364"/>
      <c r="L4364"/>
    </row>
    <row r="4365" spans="9:12">
      <c r="I4365"/>
      <c r="L4365"/>
    </row>
    <row r="4366" spans="9:12">
      <c r="I4366"/>
      <c r="L4366"/>
    </row>
    <row r="4367" spans="9:12">
      <c r="I4367"/>
      <c r="L4367"/>
    </row>
    <row r="4368" spans="9:12">
      <c r="I4368"/>
      <c r="L4368"/>
    </row>
    <row r="4369" spans="9:12">
      <c r="I4369"/>
      <c r="L4369"/>
    </row>
    <row r="4370" spans="9:12">
      <c r="I4370"/>
      <c r="L4370"/>
    </row>
    <row r="4371" spans="9:12">
      <c r="I4371"/>
      <c r="L4371"/>
    </row>
    <row r="4372" spans="9:12">
      <c r="I4372"/>
      <c r="L4372"/>
    </row>
    <row r="4373" spans="9:12">
      <c r="I4373"/>
      <c r="L4373"/>
    </row>
    <row r="4374" spans="9:12">
      <c r="I4374"/>
      <c r="L4374"/>
    </row>
    <row r="4375" spans="9:12">
      <c r="I4375"/>
      <c r="L4375"/>
    </row>
    <row r="4376" spans="9:12">
      <c r="I4376"/>
      <c r="L4376"/>
    </row>
    <row r="4377" spans="9:12">
      <c r="I4377"/>
      <c r="L4377"/>
    </row>
    <row r="4378" spans="9:12">
      <c r="I4378"/>
      <c r="L4378"/>
    </row>
    <row r="4379" spans="9:12">
      <c r="I4379"/>
      <c r="L4379"/>
    </row>
    <row r="4380" spans="9:12">
      <c r="I4380"/>
      <c r="L4380"/>
    </row>
    <row r="4381" spans="9:12">
      <c r="I4381"/>
      <c r="L4381"/>
    </row>
    <row r="4382" spans="9:12">
      <c r="I4382"/>
      <c r="L4382"/>
    </row>
    <row r="4383" spans="9:12">
      <c r="I4383"/>
      <c r="L4383"/>
    </row>
    <row r="4384" spans="9:12">
      <c r="I4384"/>
      <c r="L4384"/>
    </row>
    <row r="4385" spans="9:12">
      <c r="I4385"/>
      <c r="L4385"/>
    </row>
    <row r="4386" spans="9:12">
      <c r="I4386"/>
      <c r="L4386"/>
    </row>
    <row r="4387" spans="9:12">
      <c r="I4387"/>
      <c r="L4387"/>
    </row>
    <row r="4388" spans="9:12">
      <c r="I4388"/>
      <c r="L4388"/>
    </row>
    <row r="4389" spans="9:12">
      <c r="I4389"/>
      <c r="L4389"/>
    </row>
    <row r="4390" spans="9:12">
      <c r="I4390"/>
      <c r="L4390"/>
    </row>
    <row r="4391" spans="9:12">
      <c r="I4391"/>
      <c r="L4391"/>
    </row>
    <row r="4392" spans="9:12">
      <c r="I4392"/>
      <c r="L4392"/>
    </row>
    <row r="4393" spans="9:12">
      <c r="I4393"/>
      <c r="L4393"/>
    </row>
    <row r="4394" spans="9:12">
      <c r="I4394"/>
      <c r="L4394"/>
    </row>
    <row r="4395" spans="9:12">
      <c r="I4395"/>
      <c r="L4395"/>
    </row>
    <row r="4396" spans="9:12">
      <c r="I4396"/>
      <c r="L4396"/>
    </row>
    <row r="4397" spans="9:12">
      <c r="I4397"/>
      <c r="L4397"/>
    </row>
    <row r="4398" spans="9:12">
      <c r="I4398"/>
      <c r="L4398"/>
    </row>
    <row r="4399" spans="9:12">
      <c r="I4399"/>
      <c r="L4399"/>
    </row>
    <row r="4400" spans="9:12">
      <c r="I4400"/>
      <c r="L4400"/>
    </row>
    <row r="4401" spans="9:12">
      <c r="I4401"/>
      <c r="L4401"/>
    </row>
    <row r="4402" spans="9:12">
      <c r="I4402"/>
      <c r="L4402"/>
    </row>
    <row r="4403" spans="9:12">
      <c r="I4403"/>
      <c r="L4403"/>
    </row>
    <row r="4404" spans="9:12">
      <c r="I4404"/>
      <c r="L4404"/>
    </row>
    <row r="4405" spans="9:12">
      <c r="I4405"/>
      <c r="L4405"/>
    </row>
    <row r="4406" spans="9:12">
      <c r="I4406"/>
      <c r="L4406"/>
    </row>
    <row r="4407" spans="9:12">
      <c r="I4407"/>
      <c r="L4407"/>
    </row>
    <row r="4408" spans="9:12">
      <c r="I4408"/>
      <c r="L4408"/>
    </row>
    <row r="4409" spans="9:12">
      <c r="I4409"/>
      <c r="L4409"/>
    </row>
    <row r="4410" spans="9:12">
      <c r="I4410"/>
      <c r="L4410"/>
    </row>
    <row r="4411" spans="9:12">
      <c r="I4411"/>
      <c r="L4411"/>
    </row>
    <row r="4412" spans="9:12">
      <c r="I4412"/>
      <c r="L4412"/>
    </row>
    <row r="4413" spans="9:12">
      <c r="I4413"/>
      <c r="L4413"/>
    </row>
    <row r="4414" spans="9:12">
      <c r="I4414"/>
      <c r="L4414"/>
    </row>
    <row r="4415" spans="9:12">
      <c r="I4415"/>
      <c r="L4415"/>
    </row>
    <row r="4416" spans="9:12">
      <c r="I4416"/>
      <c r="L4416"/>
    </row>
    <row r="4417" spans="9:12">
      <c r="I4417"/>
      <c r="L4417"/>
    </row>
    <row r="4418" spans="9:12">
      <c r="I4418"/>
      <c r="L4418"/>
    </row>
    <row r="4419" spans="9:12">
      <c r="I4419"/>
      <c r="L4419"/>
    </row>
    <row r="4420" spans="9:12">
      <c r="I4420"/>
      <c r="L4420"/>
    </row>
    <row r="4421" spans="9:12">
      <c r="I4421"/>
      <c r="L4421"/>
    </row>
    <row r="4422" spans="9:12">
      <c r="I4422"/>
      <c r="L4422"/>
    </row>
    <row r="4423" spans="9:12">
      <c r="I4423"/>
      <c r="L4423"/>
    </row>
    <row r="4424" spans="9:12">
      <c r="I4424"/>
      <c r="L4424"/>
    </row>
    <row r="4425" spans="9:12">
      <c r="I4425"/>
      <c r="L4425"/>
    </row>
    <row r="4426" spans="9:12">
      <c r="I4426"/>
      <c r="L4426"/>
    </row>
    <row r="4427" spans="9:12">
      <c r="I4427"/>
      <c r="L4427"/>
    </row>
    <row r="4428" spans="9:12">
      <c r="I4428"/>
      <c r="L4428"/>
    </row>
    <row r="4429" spans="9:12">
      <c r="I4429"/>
      <c r="L4429"/>
    </row>
    <row r="4430" spans="9:12">
      <c r="I4430"/>
      <c r="L4430"/>
    </row>
    <row r="4431" spans="9:12">
      <c r="I4431"/>
      <c r="L4431"/>
    </row>
    <row r="4432" spans="9:12">
      <c r="I4432"/>
      <c r="L4432"/>
    </row>
    <row r="4433" spans="9:12">
      <c r="I4433"/>
      <c r="L4433"/>
    </row>
    <row r="4434" spans="9:12">
      <c r="I4434"/>
      <c r="L4434"/>
    </row>
    <row r="4435" spans="9:12">
      <c r="I4435"/>
      <c r="L4435"/>
    </row>
    <row r="4436" spans="9:12">
      <c r="I4436"/>
      <c r="L4436"/>
    </row>
    <row r="4437" spans="9:12">
      <c r="I4437"/>
      <c r="L4437"/>
    </row>
    <row r="4438" spans="9:12">
      <c r="I4438"/>
      <c r="L4438"/>
    </row>
    <row r="4439" spans="9:12">
      <c r="I4439"/>
      <c r="L4439"/>
    </row>
    <row r="4440" spans="9:12">
      <c r="I4440"/>
      <c r="L4440"/>
    </row>
    <row r="4441" spans="9:12">
      <c r="I4441"/>
      <c r="L4441"/>
    </row>
    <row r="4442" spans="9:12">
      <c r="I4442"/>
      <c r="L4442"/>
    </row>
    <row r="4443" spans="9:12">
      <c r="I4443"/>
      <c r="L4443"/>
    </row>
    <row r="4444" spans="9:12">
      <c r="I4444"/>
      <c r="L4444"/>
    </row>
    <row r="4445" spans="9:12">
      <c r="I4445"/>
      <c r="L4445"/>
    </row>
    <row r="4446" spans="9:12">
      <c r="I4446"/>
      <c r="L4446"/>
    </row>
    <row r="4447" spans="9:12">
      <c r="I4447"/>
      <c r="L4447"/>
    </row>
    <row r="4448" spans="9:12">
      <c r="I4448"/>
      <c r="L4448"/>
    </row>
    <row r="4449" spans="9:12">
      <c r="I4449"/>
      <c r="L4449"/>
    </row>
    <row r="4450" spans="9:12">
      <c r="I4450"/>
      <c r="L4450"/>
    </row>
    <row r="4451" spans="9:12">
      <c r="I4451"/>
      <c r="L4451"/>
    </row>
    <row r="4452" spans="9:12">
      <c r="I4452"/>
      <c r="L4452"/>
    </row>
    <row r="4453" spans="9:12">
      <c r="I4453"/>
      <c r="L4453"/>
    </row>
    <row r="4454" spans="9:12">
      <c r="I4454"/>
      <c r="L4454"/>
    </row>
    <row r="4455" spans="9:12">
      <c r="I4455"/>
      <c r="L4455"/>
    </row>
    <row r="4456" spans="9:12">
      <c r="I4456"/>
      <c r="L4456"/>
    </row>
    <row r="4457" spans="9:12">
      <c r="I4457"/>
      <c r="L4457"/>
    </row>
    <row r="4458" spans="9:12">
      <c r="I4458"/>
      <c r="L4458"/>
    </row>
    <row r="4459" spans="9:12">
      <c r="I4459"/>
      <c r="L4459"/>
    </row>
    <row r="4460" spans="9:12">
      <c r="I4460"/>
      <c r="L4460"/>
    </row>
    <row r="4461" spans="9:12">
      <c r="I4461"/>
      <c r="L4461"/>
    </row>
    <row r="4462" spans="9:12">
      <c r="I4462"/>
      <c r="L4462"/>
    </row>
    <row r="4463" spans="9:12">
      <c r="I4463"/>
      <c r="L4463"/>
    </row>
    <row r="4464" spans="9:12">
      <c r="I4464"/>
      <c r="L4464"/>
    </row>
    <row r="4465" spans="9:12">
      <c r="I4465"/>
      <c r="L4465"/>
    </row>
    <row r="4466" spans="9:12">
      <c r="I4466"/>
      <c r="L4466"/>
    </row>
    <row r="4467" spans="9:12">
      <c r="I4467"/>
      <c r="L4467"/>
    </row>
    <row r="4468" spans="9:12">
      <c r="I4468"/>
      <c r="L4468"/>
    </row>
    <row r="4469" spans="9:12">
      <c r="I4469"/>
      <c r="L4469"/>
    </row>
    <row r="4470" spans="9:12">
      <c r="I4470"/>
      <c r="L4470"/>
    </row>
    <row r="4471" spans="9:12">
      <c r="I4471"/>
      <c r="L4471"/>
    </row>
    <row r="4472" spans="9:12">
      <c r="I4472"/>
      <c r="L4472"/>
    </row>
    <row r="4473" spans="9:12">
      <c r="I4473"/>
      <c r="L4473"/>
    </row>
    <row r="4474" spans="9:12">
      <c r="I4474"/>
      <c r="L4474"/>
    </row>
    <row r="4475" spans="9:12">
      <c r="I4475"/>
      <c r="L4475"/>
    </row>
    <row r="4476" spans="9:12">
      <c r="I4476"/>
      <c r="L4476"/>
    </row>
    <row r="4477" spans="9:12">
      <c r="I4477"/>
      <c r="L4477"/>
    </row>
    <row r="4478" spans="9:12">
      <c r="I4478"/>
      <c r="L4478"/>
    </row>
    <row r="4479" spans="9:12">
      <c r="I4479"/>
      <c r="L4479"/>
    </row>
    <row r="4480" spans="9:12">
      <c r="I4480"/>
      <c r="L4480"/>
    </row>
    <row r="4481" spans="9:12">
      <c r="I4481"/>
      <c r="L4481"/>
    </row>
    <row r="4482" spans="9:12">
      <c r="I4482"/>
      <c r="L4482"/>
    </row>
    <row r="4483" spans="9:12">
      <c r="I4483"/>
      <c r="L4483"/>
    </row>
    <row r="4484" spans="9:12">
      <c r="I4484"/>
      <c r="L4484"/>
    </row>
    <row r="4485" spans="9:12">
      <c r="I4485"/>
      <c r="L4485"/>
    </row>
    <row r="4486" spans="9:12">
      <c r="I4486"/>
      <c r="L4486"/>
    </row>
    <row r="4487" spans="9:12">
      <c r="I4487"/>
      <c r="L4487"/>
    </row>
    <row r="4488" spans="9:12">
      <c r="I4488"/>
      <c r="L4488"/>
    </row>
    <row r="4489" spans="9:12">
      <c r="I4489"/>
      <c r="L4489"/>
    </row>
    <row r="4490" spans="9:12">
      <c r="I4490"/>
      <c r="L4490"/>
    </row>
    <row r="4491" spans="9:12">
      <c r="I4491"/>
      <c r="L4491"/>
    </row>
    <row r="4492" spans="9:12">
      <c r="I4492"/>
      <c r="L4492"/>
    </row>
    <row r="4493" spans="9:12">
      <c r="I4493"/>
      <c r="L4493"/>
    </row>
    <row r="4494" spans="9:12">
      <c r="I4494"/>
      <c r="L4494"/>
    </row>
    <row r="4495" spans="9:12">
      <c r="I4495"/>
      <c r="L4495"/>
    </row>
    <row r="4496" spans="9:12">
      <c r="I4496"/>
      <c r="L4496"/>
    </row>
    <row r="4497" spans="9:12">
      <c r="I4497"/>
      <c r="L4497"/>
    </row>
    <row r="4498" spans="9:12">
      <c r="I4498"/>
      <c r="L4498"/>
    </row>
    <row r="4499" spans="9:12">
      <c r="I4499"/>
      <c r="L4499"/>
    </row>
    <row r="4500" spans="9:12">
      <c r="I4500"/>
      <c r="L4500"/>
    </row>
    <row r="4501" spans="9:12">
      <c r="I4501"/>
      <c r="L4501"/>
    </row>
    <row r="4502" spans="9:12">
      <c r="I4502"/>
      <c r="L4502"/>
    </row>
    <row r="4503" spans="9:12">
      <c r="I4503"/>
      <c r="L4503"/>
    </row>
    <row r="4504" spans="9:12">
      <c r="I4504"/>
      <c r="L4504"/>
    </row>
    <row r="4505" spans="9:12">
      <c r="I4505"/>
      <c r="L4505"/>
    </row>
    <row r="4506" spans="9:12">
      <c r="I4506"/>
      <c r="L4506"/>
    </row>
    <row r="4507" spans="9:12">
      <c r="I4507"/>
      <c r="L4507"/>
    </row>
    <row r="4508" spans="9:12">
      <c r="I4508"/>
      <c r="L4508"/>
    </row>
    <row r="4509" spans="9:12">
      <c r="I4509"/>
      <c r="L4509"/>
    </row>
    <row r="4510" spans="9:12">
      <c r="I4510"/>
      <c r="L4510"/>
    </row>
    <row r="4511" spans="9:12">
      <c r="I4511"/>
      <c r="L4511"/>
    </row>
    <row r="4512" spans="9:12">
      <c r="I4512"/>
      <c r="L4512"/>
    </row>
    <row r="4513" spans="9:12">
      <c r="I4513"/>
      <c r="L4513"/>
    </row>
    <row r="4514" spans="9:12">
      <c r="I4514"/>
      <c r="L4514"/>
    </row>
    <row r="4515" spans="9:12">
      <c r="I4515"/>
      <c r="L4515"/>
    </row>
    <row r="4516" spans="9:12">
      <c r="I4516"/>
      <c r="L4516"/>
    </row>
    <row r="4517" spans="9:12">
      <c r="I4517"/>
      <c r="L4517"/>
    </row>
    <row r="4518" spans="9:12">
      <c r="I4518"/>
      <c r="L4518"/>
    </row>
    <row r="4519" spans="9:12">
      <c r="I4519"/>
      <c r="L4519"/>
    </row>
    <row r="4520" spans="9:12">
      <c r="I4520"/>
      <c r="L4520"/>
    </row>
    <row r="4521" spans="9:12">
      <c r="I4521"/>
      <c r="L4521"/>
    </row>
    <row r="4522" spans="9:12">
      <c r="I4522"/>
      <c r="L4522"/>
    </row>
    <row r="4523" spans="9:12">
      <c r="I4523"/>
      <c r="L4523"/>
    </row>
    <row r="4524" spans="9:12">
      <c r="I4524"/>
      <c r="L4524"/>
    </row>
    <row r="4525" spans="9:12">
      <c r="I4525"/>
      <c r="L4525"/>
    </row>
    <row r="4526" spans="9:12">
      <c r="I4526"/>
      <c r="L4526"/>
    </row>
    <row r="4527" spans="9:12">
      <c r="I4527"/>
      <c r="L4527"/>
    </row>
    <row r="4528" spans="9:12">
      <c r="I4528"/>
      <c r="L4528"/>
    </row>
    <row r="4529" spans="9:12">
      <c r="I4529"/>
      <c r="L4529"/>
    </row>
    <row r="4530" spans="9:12">
      <c r="I4530"/>
      <c r="L4530"/>
    </row>
    <row r="4531" spans="9:12">
      <c r="I4531"/>
      <c r="L4531"/>
    </row>
    <row r="4532" spans="9:12">
      <c r="I4532"/>
      <c r="L4532"/>
    </row>
    <row r="4533" spans="9:12">
      <c r="I4533"/>
      <c r="L4533"/>
    </row>
    <row r="4534" spans="9:12">
      <c r="I4534"/>
      <c r="L4534"/>
    </row>
    <row r="4535" spans="9:12">
      <c r="I4535"/>
      <c r="L4535"/>
    </row>
    <row r="4536" spans="9:12">
      <c r="I4536"/>
      <c r="L4536"/>
    </row>
    <row r="4537" spans="9:12">
      <c r="I4537"/>
      <c r="L4537"/>
    </row>
    <row r="4538" spans="9:12">
      <c r="I4538"/>
      <c r="L4538"/>
    </row>
    <row r="4539" spans="9:12">
      <c r="I4539"/>
      <c r="L4539"/>
    </row>
    <row r="4540" spans="9:12">
      <c r="I4540"/>
      <c r="L4540"/>
    </row>
    <row r="4541" spans="9:12">
      <c r="I4541"/>
      <c r="L4541"/>
    </row>
    <row r="4542" spans="9:12">
      <c r="I4542"/>
      <c r="L4542"/>
    </row>
    <row r="4543" spans="9:12">
      <c r="I4543"/>
      <c r="L4543"/>
    </row>
    <row r="4544" spans="9:12">
      <c r="I4544"/>
      <c r="L4544"/>
    </row>
    <row r="4545" spans="9:12">
      <c r="I4545"/>
      <c r="L4545"/>
    </row>
    <row r="4546" spans="9:12">
      <c r="I4546"/>
      <c r="L4546"/>
    </row>
    <row r="4547" spans="9:12">
      <c r="I4547"/>
      <c r="L4547"/>
    </row>
    <row r="4548" spans="9:12">
      <c r="I4548"/>
      <c r="L4548"/>
    </row>
    <row r="4549" spans="9:12">
      <c r="I4549"/>
      <c r="L4549"/>
    </row>
    <row r="4550" spans="9:12">
      <c r="I4550"/>
      <c r="L4550"/>
    </row>
    <row r="4551" spans="9:12">
      <c r="I4551"/>
      <c r="L4551"/>
    </row>
    <row r="4552" spans="9:12">
      <c r="I4552"/>
      <c r="L4552"/>
    </row>
    <row r="4553" spans="9:12">
      <c r="I4553"/>
      <c r="L4553"/>
    </row>
    <row r="4554" spans="9:12">
      <c r="I4554"/>
      <c r="L4554"/>
    </row>
    <row r="4555" spans="9:12">
      <c r="I4555"/>
      <c r="L4555"/>
    </row>
    <row r="4556" spans="9:12">
      <c r="I4556"/>
      <c r="L4556"/>
    </row>
    <row r="4557" spans="9:12">
      <c r="I4557"/>
      <c r="L4557"/>
    </row>
    <row r="4558" spans="9:12">
      <c r="I4558"/>
      <c r="L4558"/>
    </row>
    <row r="4559" spans="9:12">
      <c r="I4559"/>
      <c r="L4559"/>
    </row>
    <row r="4560" spans="9:12">
      <c r="I4560"/>
      <c r="L4560"/>
    </row>
    <row r="4561" spans="9:12">
      <c r="I4561"/>
      <c r="L4561"/>
    </row>
    <row r="4562" spans="9:12">
      <c r="I4562"/>
      <c r="L4562"/>
    </row>
    <row r="4563" spans="9:12">
      <c r="I4563"/>
      <c r="L4563"/>
    </row>
    <row r="4564" spans="9:12">
      <c r="I4564"/>
      <c r="L4564"/>
    </row>
    <row r="4565" spans="9:12">
      <c r="I4565"/>
      <c r="L4565"/>
    </row>
    <row r="4566" spans="9:12">
      <c r="I4566"/>
      <c r="L4566"/>
    </row>
    <row r="4567" spans="9:12">
      <c r="I4567"/>
      <c r="L4567"/>
    </row>
    <row r="4568" spans="9:12">
      <c r="I4568"/>
      <c r="L4568"/>
    </row>
    <row r="4569" spans="9:12">
      <c r="I4569"/>
      <c r="L4569"/>
    </row>
    <row r="4570" spans="9:12">
      <c r="I4570"/>
      <c r="L4570"/>
    </row>
    <row r="4571" spans="9:12">
      <c r="I4571"/>
      <c r="L4571"/>
    </row>
    <row r="4572" spans="9:12">
      <c r="I4572"/>
      <c r="L4572"/>
    </row>
    <row r="4573" spans="9:12">
      <c r="I4573"/>
      <c r="L4573"/>
    </row>
    <row r="4574" spans="9:12">
      <c r="I4574"/>
      <c r="L4574"/>
    </row>
    <row r="4575" spans="9:12">
      <c r="I4575"/>
      <c r="L4575"/>
    </row>
    <row r="4576" spans="9:12">
      <c r="I4576"/>
      <c r="L4576"/>
    </row>
    <row r="4577" spans="9:12">
      <c r="I4577"/>
      <c r="L4577"/>
    </row>
    <row r="4578" spans="9:12">
      <c r="I4578"/>
      <c r="L4578"/>
    </row>
    <row r="4579" spans="9:12">
      <c r="I4579"/>
      <c r="L4579"/>
    </row>
    <row r="4580" spans="9:12">
      <c r="I4580"/>
      <c r="L4580"/>
    </row>
    <row r="4581" spans="9:12">
      <c r="I4581"/>
      <c r="L4581"/>
    </row>
    <row r="4582" spans="9:12">
      <c r="I4582"/>
      <c r="L4582"/>
    </row>
    <row r="4583" spans="9:12">
      <c r="I4583"/>
      <c r="L4583"/>
    </row>
    <row r="4584" spans="9:12">
      <c r="I4584"/>
      <c r="L4584"/>
    </row>
    <row r="4585" spans="9:12">
      <c r="I4585"/>
      <c r="L4585"/>
    </row>
    <row r="4586" spans="9:12">
      <c r="I4586"/>
      <c r="L4586"/>
    </row>
    <row r="4587" spans="9:12">
      <c r="I4587"/>
      <c r="L4587"/>
    </row>
    <row r="4588" spans="9:12">
      <c r="I4588"/>
      <c r="L4588"/>
    </row>
    <row r="4589" spans="9:12">
      <c r="I4589"/>
      <c r="L4589"/>
    </row>
    <row r="4590" spans="9:12">
      <c r="I4590"/>
      <c r="L4590"/>
    </row>
    <row r="4591" spans="9:12">
      <c r="I4591"/>
      <c r="L4591"/>
    </row>
    <row r="4592" spans="9:12">
      <c r="I4592"/>
      <c r="L4592"/>
    </row>
    <row r="4593" spans="9:12">
      <c r="I4593"/>
      <c r="L4593"/>
    </row>
    <row r="4594" spans="9:12">
      <c r="I4594"/>
      <c r="L4594"/>
    </row>
    <row r="4595" spans="9:12">
      <c r="I4595"/>
      <c r="L4595"/>
    </row>
    <row r="4596" spans="9:12">
      <c r="I4596"/>
      <c r="L4596"/>
    </row>
    <row r="4597" spans="9:12">
      <c r="I4597"/>
      <c r="L4597"/>
    </row>
    <row r="4598" spans="9:12">
      <c r="I4598"/>
      <c r="L4598"/>
    </row>
    <row r="4599" spans="9:12">
      <c r="I4599"/>
      <c r="L4599"/>
    </row>
    <row r="4600" spans="9:12">
      <c r="I4600"/>
      <c r="L4600"/>
    </row>
    <row r="4601" spans="9:12">
      <c r="I4601"/>
      <c r="L4601"/>
    </row>
    <row r="4602" spans="9:12">
      <c r="I4602"/>
      <c r="L4602"/>
    </row>
    <row r="4603" spans="9:12">
      <c r="I4603"/>
      <c r="L4603"/>
    </row>
    <row r="4604" spans="9:12">
      <c r="I4604"/>
      <c r="L4604"/>
    </row>
    <row r="4605" spans="9:12">
      <c r="I4605"/>
      <c r="L4605"/>
    </row>
    <row r="4606" spans="9:12">
      <c r="I4606"/>
      <c r="L4606"/>
    </row>
    <row r="4607" spans="9:12">
      <c r="I4607"/>
      <c r="L4607"/>
    </row>
    <row r="4608" spans="9:12">
      <c r="I4608"/>
      <c r="L4608"/>
    </row>
    <row r="4609" spans="9:12">
      <c r="I4609"/>
      <c r="L4609"/>
    </row>
    <row r="4610" spans="9:12">
      <c r="I4610"/>
      <c r="L4610"/>
    </row>
    <row r="4611" spans="9:12">
      <c r="I4611"/>
      <c r="L4611"/>
    </row>
    <row r="4612" spans="9:12">
      <c r="I4612"/>
      <c r="L4612"/>
    </row>
    <row r="4613" spans="9:12">
      <c r="I4613"/>
      <c r="L4613"/>
    </row>
    <row r="4614" spans="9:12">
      <c r="I4614"/>
      <c r="L4614"/>
    </row>
    <row r="4615" spans="9:12">
      <c r="I4615"/>
      <c r="L4615"/>
    </row>
    <row r="4616" spans="9:12">
      <c r="I4616"/>
      <c r="L4616"/>
    </row>
    <row r="4617" spans="9:12">
      <c r="I4617"/>
      <c r="L4617"/>
    </row>
    <row r="4618" spans="9:12">
      <c r="I4618"/>
      <c r="L4618"/>
    </row>
    <row r="4619" spans="9:12">
      <c r="I4619"/>
      <c r="L4619"/>
    </row>
    <row r="4620" spans="9:12">
      <c r="I4620"/>
      <c r="L4620"/>
    </row>
    <row r="4621" spans="9:12">
      <c r="I4621"/>
      <c r="L4621"/>
    </row>
    <row r="4622" spans="9:12">
      <c r="I4622"/>
      <c r="L4622"/>
    </row>
    <row r="4623" spans="9:12">
      <c r="I4623"/>
      <c r="L4623"/>
    </row>
    <row r="4624" spans="9:12">
      <c r="I4624"/>
      <c r="L4624"/>
    </row>
    <row r="4625" spans="9:12">
      <c r="I4625"/>
      <c r="L4625"/>
    </row>
    <row r="4626" spans="9:12">
      <c r="I4626"/>
      <c r="L4626"/>
    </row>
    <row r="4627" spans="9:12">
      <c r="I4627"/>
      <c r="L4627"/>
    </row>
    <row r="4628" spans="9:12">
      <c r="I4628"/>
      <c r="L4628"/>
    </row>
    <row r="4629" spans="9:12">
      <c r="I4629"/>
      <c r="L4629"/>
    </row>
    <row r="4630" spans="9:12">
      <c r="I4630"/>
      <c r="L4630"/>
    </row>
    <row r="4631" spans="9:12">
      <c r="I4631"/>
      <c r="L4631"/>
    </row>
    <row r="4632" spans="9:12">
      <c r="I4632"/>
      <c r="L4632"/>
    </row>
    <row r="4633" spans="9:12">
      <c r="I4633"/>
      <c r="L4633"/>
    </row>
    <row r="4634" spans="9:12">
      <c r="I4634"/>
      <c r="L4634"/>
    </row>
    <row r="4635" spans="9:12">
      <c r="I4635"/>
      <c r="L4635"/>
    </row>
    <row r="4636" spans="9:12">
      <c r="I4636"/>
      <c r="L4636"/>
    </row>
    <row r="4637" spans="9:12">
      <c r="I4637"/>
      <c r="L4637"/>
    </row>
    <row r="4638" spans="9:12">
      <c r="I4638"/>
      <c r="L4638"/>
    </row>
    <row r="4639" spans="9:12">
      <c r="I4639"/>
      <c r="L4639"/>
    </row>
    <row r="4640" spans="9:12">
      <c r="I4640"/>
      <c r="L4640"/>
    </row>
    <row r="4641" spans="9:12">
      <c r="I4641"/>
      <c r="L4641"/>
    </row>
    <row r="4642" spans="9:12">
      <c r="I4642"/>
      <c r="L4642"/>
    </row>
    <row r="4643" spans="9:12">
      <c r="I4643"/>
      <c r="L4643"/>
    </row>
    <row r="4644" spans="9:12">
      <c r="I4644"/>
      <c r="L4644"/>
    </row>
    <row r="4645" spans="9:12">
      <c r="I4645"/>
      <c r="L4645"/>
    </row>
    <row r="4646" spans="9:12">
      <c r="I4646"/>
      <c r="L4646"/>
    </row>
    <row r="4647" spans="9:12">
      <c r="I4647"/>
      <c r="L4647"/>
    </row>
    <row r="4648" spans="9:12">
      <c r="I4648"/>
      <c r="L4648"/>
    </row>
    <row r="4649" spans="9:12">
      <c r="I4649"/>
      <c r="L4649"/>
    </row>
    <row r="4650" spans="9:12">
      <c r="I4650"/>
      <c r="L4650"/>
    </row>
    <row r="4651" spans="9:12">
      <c r="I4651"/>
      <c r="L4651"/>
    </row>
    <row r="4652" spans="9:12">
      <c r="I4652"/>
      <c r="L4652"/>
    </row>
    <row r="4653" spans="9:12">
      <c r="I4653"/>
      <c r="L4653"/>
    </row>
    <row r="4654" spans="9:12">
      <c r="I4654"/>
      <c r="L4654"/>
    </row>
    <row r="4655" spans="9:12">
      <c r="I4655"/>
      <c r="L4655"/>
    </row>
    <row r="4656" spans="9:12">
      <c r="I4656"/>
      <c r="L4656"/>
    </row>
    <row r="4657" spans="9:12">
      <c r="I4657"/>
      <c r="L4657"/>
    </row>
    <row r="4658" spans="9:12">
      <c r="I4658"/>
      <c r="L4658"/>
    </row>
    <row r="4659" spans="9:12">
      <c r="I4659"/>
      <c r="L4659"/>
    </row>
    <row r="4660" spans="9:12">
      <c r="I4660"/>
      <c r="L4660"/>
    </row>
    <row r="4661" spans="9:12">
      <c r="I4661"/>
      <c r="L4661"/>
    </row>
    <row r="4662" spans="9:12">
      <c r="I4662"/>
      <c r="L4662"/>
    </row>
    <row r="4663" spans="9:12">
      <c r="I4663"/>
      <c r="L4663"/>
    </row>
    <row r="4664" spans="9:12">
      <c r="I4664"/>
      <c r="L4664"/>
    </row>
    <row r="4665" spans="9:12">
      <c r="I4665"/>
      <c r="L4665"/>
    </row>
    <row r="4666" spans="9:12">
      <c r="I4666"/>
      <c r="L4666"/>
    </row>
    <row r="4667" spans="9:12">
      <c r="I4667"/>
      <c r="L4667"/>
    </row>
    <row r="4668" spans="9:12">
      <c r="I4668"/>
      <c r="L4668"/>
    </row>
    <row r="4669" spans="9:12">
      <c r="I4669"/>
      <c r="L4669"/>
    </row>
    <row r="4670" spans="9:12">
      <c r="I4670"/>
      <c r="L4670"/>
    </row>
    <row r="4671" spans="9:12">
      <c r="I4671"/>
      <c r="L4671"/>
    </row>
    <row r="4672" spans="9:12">
      <c r="I4672"/>
      <c r="L4672"/>
    </row>
    <row r="4673" spans="9:12">
      <c r="I4673"/>
      <c r="L4673"/>
    </row>
    <row r="4674" spans="9:12">
      <c r="I4674"/>
      <c r="L4674"/>
    </row>
    <row r="4675" spans="9:12">
      <c r="I4675"/>
      <c r="L4675"/>
    </row>
    <row r="4676" spans="9:12">
      <c r="I4676"/>
      <c r="L4676"/>
    </row>
    <row r="4677" spans="9:12">
      <c r="I4677"/>
      <c r="L4677"/>
    </row>
    <row r="4678" spans="9:12">
      <c r="I4678"/>
      <c r="L4678"/>
    </row>
    <row r="4679" spans="9:12">
      <c r="I4679"/>
      <c r="L4679"/>
    </row>
    <row r="4680" spans="9:12">
      <c r="I4680"/>
      <c r="L4680"/>
    </row>
    <row r="4681" spans="9:12">
      <c r="I4681"/>
      <c r="L4681"/>
    </row>
    <row r="4682" spans="9:12">
      <c r="I4682"/>
      <c r="L4682"/>
    </row>
    <row r="4683" spans="9:12">
      <c r="I4683"/>
      <c r="L4683"/>
    </row>
    <row r="4684" spans="9:12">
      <c r="I4684"/>
      <c r="L4684"/>
    </row>
    <row r="4685" spans="9:12">
      <c r="I4685"/>
      <c r="L4685"/>
    </row>
    <row r="4686" spans="9:12">
      <c r="I4686"/>
      <c r="L4686"/>
    </row>
    <row r="4687" spans="9:12">
      <c r="I4687"/>
      <c r="L4687"/>
    </row>
    <row r="4688" spans="9:12">
      <c r="I4688"/>
      <c r="L4688"/>
    </row>
    <row r="4689" spans="9:12">
      <c r="I4689"/>
      <c r="L4689"/>
    </row>
    <row r="4690" spans="9:12">
      <c r="I4690"/>
      <c r="L4690"/>
    </row>
    <row r="4691" spans="9:12">
      <c r="I4691"/>
      <c r="L4691"/>
    </row>
    <row r="4692" spans="9:12">
      <c r="I4692"/>
      <c r="L4692"/>
    </row>
    <row r="4693" spans="9:12">
      <c r="I4693"/>
      <c r="L4693"/>
    </row>
    <row r="4694" spans="9:12">
      <c r="I4694"/>
      <c r="L4694"/>
    </row>
    <row r="4695" spans="9:12">
      <c r="I4695"/>
      <c r="L4695"/>
    </row>
    <row r="4696" spans="9:12">
      <c r="I4696"/>
      <c r="L4696"/>
    </row>
    <row r="4697" spans="9:12">
      <c r="I4697"/>
      <c r="L4697"/>
    </row>
    <row r="4698" spans="9:12">
      <c r="I4698"/>
      <c r="L4698"/>
    </row>
    <row r="4699" spans="9:12">
      <c r="I4699"/>
      <c r="L4699"/>
    </row>
    <row r="4700" spans="9:12">
      <c r="I4700"/>
      <c r="L4700"/>
    </row>
    <row r="4701" spans="9:12">
      <c r="I4701"/>
      <c r="L4701"/>
    </row>
    <row r="4702" spans="9:12">
      <c r="I4702"/>
      <c r="L4702"/>
    </row>
    <row r="4703" spans="9:12">
      <c r="I4703"/>
      <c r="L4703"/>
    </row>
    <row r="4704" spans="9:12">
      <c r="I4704"/>
      <c r="L4704"/>
    </row>
    <row r="4705" spans="9:12">
      <c r="I4705"/>
      <c r="L4705"/>
    </row>
    <row r="4706" spans="9:12">
      <c r="I4706"/>
      <c r="L4706"/>
    </row>
    <row r="4707" spans="9:12">
      <c r="I4707"/>
      <c r="L4707"/>
    </row>
    <row r="4708" spans="9:12">
      <c r="I4708"/>
      <c r="L4708"/>
    </row>
    <row r="4709" spans="9:12">
      <c r="I4709"/>
      <c r="L4709"/>
    </row>
    <row r="4710" spans="9:12">
      <c r="I4710"/>
      <c r="L4710"/>
    </row>
    <row r="4711" spans="9:12">
      <c r="I4711"/>
      <c r="L4711"/>
    </row>
    <row r="4712" spans="9:12">
      <c r="I4712"/>
      <c r="L4712"/>
    </row>
    <row r="4713" spans="9:12">
      <c r="I4713"/>
      <c r="L4713"/>
    </row>
    <row r="4714" spans="9:12">
      <c r="I4714"/>
      <c r="L4714"/>
    </row>
    <row r="4715" spans="9:12">
      <c r="I4715"/>
      <c r="L4715"/>
    </row>
    <row r="4716" spans="9:12">
      <c r="I4716"/>
      <c r="L4716"/>
    </row>
    <row r="4717" spans="9:12">
      <c r="I4717"/>
      <c r="L4717"/>
    </row>
    <row r="4718" spans="9:12">
      <c r="I4718"/>
      <c r="L4718"/>
    </row>
    <row r="4719" spans="9:12">
      <c r="I4719"/>
      <c r="L4719"/>
    </row>
    <row r="4720" spans="9:12">
      <c r="I4720"/>
      <c r="L4720"/>
    </row>
    <row r="4721" spans="9:12">
      <c r="I4721"/>
      <c r="L4721"/>
    </row>
    <row r="4722" spans="9:12">
      <c r="I4722"/>
      <c r="L4722"/>
    </row>
    <row r="4723" spans="9:12">
      <c r="I4723"/>
      <c r="L4723"/>
    </row>
    <row r="4724" spans="9:12">
      <c r="I4724"/>
      <c r="L4724"/>
    </row>
    <row r="4725" spans="9:12">
      <c r="I4725"/>
      <c r="L4725"/>
    </row>
    <row r="4726" spans="9:12">
      <c r="I4726"/>
      <c r="L4726"/>
    </row>
    <row r="4727" spans="9:12">
      <c r="I4727"/>
      <c r="L4727"/>
    </row>
    <row r="4728" spans="9:12">
      <c r="I4728"/>
      <c r="L4728"/>
    </row>
    <row r="4729" spans="9:12">
      <c r="I4729"/>
      <c r="L4729"/>
    </row>
    <row r="4730" spans="9:12">
      <c r="I4730"/>
      <c r="L4730"/>
    </row>
    <row r="4731" spans="9:12">
      <c r="I4731"/>
      <c r="L4731"/>
    </row>
    <row r="4732" spans="9:12">
      <c r="I4732"/>
      <c r="L4732"/>
    </row>
    <row r="4733" spans="9:12">
      <c r="I4733"/>
      <c r="L4733"/>
    </row>
    <row r="4734" spans="9:12">
      <c r="I4734"/>
      <c r="L4734"/>
    </row>
    <row r="4735" spans="9:12">
      <c r="I4735"/>
      <c r="L4735"/>
    </row>
    <row r="4736" spans="9:12">
      <c r="I4736"/>
      <c r="L4736"/>
    </row>
    <row r="4737" spans="9:12">
      <c r="I4737"/>
      <c r="L4737"/>
    </row>
    <row r="4738" spans="9:12">
      <c r="I4738"/>
      <c r="L4738"/>
    </row>
    <row r="4739" spans="9:12">
      <c r="I4739"/>
      <c r="L4739"/>
    </row>
    <row r="4740" spans="9:12">
      <c r="I4740"/>
      <c r="L4740"/>
    </row>
    <row r="4741" spans="9:12">
      <c r="I4741"/>
      <c r="L4741"/>
    </row>
    <row r="4742" spans="9:12">
      <c r="I4742"/>
      <c r="L4742"/>
    </row>
    <row r="4743" spans="9:12">
      <c r="I4743"/>
      <c r="L4743"/>
    </row>
    <row r="4744" spans="9:12">
      <c r="I4744"/>
      <c r="L4744"/>
    </row>
    <row r="4745" spans="9:12">
      <c r="I4745"/>
      <c r="L4745"/>
    </row>
    <row r="4746" spans="9:12">
      <c r="I4746"/>
      <c r="L4746"/>
    </row>
    <row r="4747" spans="9:12">
      <c r="I4747"/>
      <c r="L4747"/>
    </row>
    <row r="4748" spans="9:12">
      <c r="I4748"/>
      <c r="L4748"/>
    </row>
    <row r="4749" spans="9:12">
      <c r="I4749"/>
      <c r="L4749"/>
    </row>
    <row r="4750" spans="9:12">
      <c r="I4750"/>
      <c r="L4750"/>
    </row>
    <row r="4751" spans="9:12">
      <c r="I4751"/>
      <c r="L4751"/>
    </row>
    <row r="4752" spans="9:12">
      <c r="I4752"/>
      <c r="L4752"/>
    </row>
    <row r="4753" spans="9:12">
      <c r="I4753"/>
      <c r="L4753"/>
    </row>
    <row r="4754" spans="9:12">
      <c r="I4754"/>
      <c r="L4754"/>
    </row>
    <row r="4755" spans="9:12">
      <c r="I4755"/>
      <c r="L4755"/>
    </row>
    <row r="4756" spans="9:12">
      <c r="I4756"/>
      <c r="L4756"/>
    </row>
    <row r="4757" spans="9:12">
      <c r="I4757"/>
      <c r="L4757"/>
    </row>
    <row r="4758" spans="9:12">
      <c r="I4758"/>
      <c r="L4758"/>
    </row>
    <row r="4759" spans="9:12">
      <c r="I4759"/>
      <c r="L4759"/>
    </row>
    <row r="4760" spans="9:12">
      <c r="I4760"/>
      <c r="L4760"/>
    </row>
    <row r="4761" spans="9:12">
      <c r="I4761"/>
      <c r="L4761"/>
    </row>
    <row r="4762" spans="9:12">
      <c r="I4762"/>
      <c r="L4762"/>
    </row>
    <row r="4763" spans="9:12">
      <c r="I4763"/>
      <c r="L4763"/>
    </row>
    <row r="4764" spans="9:12">
      <c r="I4764"/>
      <c r="L4764"/>
    </row>
    <row r="4765" spans="9:12">
      <c r="I4765"/>
      <c r="L4765"/>
    </row>
    <row r="4766" spans="9:12">
      <c r="I4766"/>
      <c r="L4766"/>
    </row>
    <row r="4767" spans="9:12">
      <c r="I4767"/>
      <c r="L4767"/>
    </row>
    <row r="4768" spans="9:12">
      <c r="I4768"/>
      <c r="L4768"/>
    </row>
    <row r="4769" spans="9:12">
      <c r="I4769"/>
      <c r="L4769"/>
    </row>
    <row r="4770" spans="9:12">
      <c r="I4770"/>
      <c r="L4770"/>
    </row>
    <row r="4771" spans="9:12">
      <c r="I4771"/>
      <c r="L4771"/>
    </row>
    <row r="4772" spans="9:12">
      <c r="I4772"/>
      <c r="L4772"/>
    </row>
    <row r="4773" spans="9:12">
      <c r="I4773"/>
      <c r="L4773"/>
    </row>
    <row r="4774" spans="9:12">
      <c r="I4774"/>
      <c r="L4774"/>
    </row>
    <row r="4775" spans="9:12">
      <c r="I4775"/>
      <c r="L4775"/>
    </row>
    <row r="4776" spans="9:12">
      <c r="I4776"/>
      <c r="L4776"/>
    </row>
    <row r="4777" spans="9:12">
      <c r="I4777"/>
      <c r="L4777"/>
    </row>
    <row r="4778" spans="9:12">
      <c r="I4778"/>
      <c r="L4778"/>
    </row>
    <row r="4779" spans="9:12">
      <c r="I4779"/>
      <c r="L4779"/>
    </row>
    <row r="4780" spans="9:12">
      <c r="I4780"/>
      <c r="L4780"/>
    </row>
    <row r="4781" spans="9:12">
      <c r="I4781"/>
      <c r="L4781"/>
    </row>
    <row r="4782" spans="9:12">
      <c r="I4782"/>
      <c r="L4782"/>
    </row>
    <row r="4783" spans="9:12">
      <c r="I4783"/>
      <c r="L4783"/>
    </row>
    <row r="4784" spans="9:12">
      <c r="I4784"/>
      <c r="L4784"/>
    </row>
    <row r="4785" spans="9:12">
      <c r="I4785"/>
      <c r="L4785"/>
    </row>
    <row r="4786" spans="9:12">
      <c r="I4786"/>
      <c r="L4786"/>
    </row>
    <row r="4787" spans="9:12">
      <c r="I4787"/>
      <c r="L4787"/>
    </row>
    <row r="4788" spans="9:12">
      <c r="I4788"/>
      <c r="L4788"/>
    </row>
    <row r="4789" spans="9:12">
      <c r="I4789"/>
      <c r="L4789"/>
    </row>
    <row r="4790" spans="9:12">
      <c r="I4790"/>
      <c r="L4790"/>
    </row>
    <row r="4791" spans="9:12">
      <c r="I4791"/>
      <c r="L4791"/>
    </row>
    <row r="4792" spans="9:12">
      <c r="I4792"/>
      <c r="L4792"/>
    </row>
    <row r="4793" spans="9:12">
      <c r="I4793"/>
      <c r="L4793"/>
    </row>
    <row r="4794" spans="9:12">
      <c r="I4794"/>
      <c r="L4794"/>
    </row>
    <row r="4795" spans="9:12">
      <c r="I4795"/>
      <c r="L4795"/>
    </row>
    <row r="4796" spans="9:12">
      <c r="I4796"/>
      <c r="L4796"/>
    </row>
    <row r="4797" spans="9:12">
      <c r="I4797"/>
      <c r="L4797"/>
    </row>
    <row r="4798" spans="9:12">
      <c r="I4798"/>
      <c r="L4798"/>
    </row>
    <row r="4799" spans="9:12">
      <c r="I4799"/>
      <c r="L4799"/>
    </row>
    <row r="4800" spans="9:12">
      <c r="I4800"/>
      <c r="L4800"/>
    </row>
    <row r="4801" spans="9:12">
      <c r="I4801"/>
      <c r="L4801"/>
    </row>
    <row r="4802" spans="9:12">
      <c r="I4802"/>
      <c r="L4802"/>
    </row>
    <row r="4803" spans="9:12">
      <c r="I4803"/>
      <c r="L4803"/>
    </row>
    <row r="4804" spans="9:12">
      <c r="I4804"/>
      <c r="L4804"/>
    </row>
    <row r="4805" spans="9:12">
      <c r="I4805"/>
      <c r="L4805"/>
    </row>
    <row r="4806" spans="9:12">
      <c r="I4806"/>
      <c r="L4806"/>
    </row>
    <row r="4807" spans="9:12">
      <c r="I4807"/>
      <c r="L4807"/>
    </row>
    <row r="4808" spans="9:12">
      <c r="I4808"/>
      <c r="L4808"/>
    </row>
    <row r="4809" spans="9:12">
      <c r="I4809"/>
      <c r="L4809"/>
    </row>
    <row r="4810" spans="9:12">
      <c r="I4810"/>
      <c r="L4810"/>
    </row>
    <row r="4811" spans="9:12">
      <c r="I4811"/>
      <c r="L4811"/>
    </row>
    <row r="4812" spans="9:12">
      <c r="I4812"/>
      <c r="L4812"/>
    </row>
    <row r="4813" spans="9:12">
      <c r="I4813"/>
      <c r="L4813"/>
    </row>
    <row r="4814" spans="9:12">
      <c r="I4814"/>
      <c r="L4814"/>
    </row>
    <row r="4815" spans="9:12">
      <c r="I4815"/>
      <c r="L4815"/>
    </row>
    <row r="4816" spans="9:12">
      <c r="I4816"/>
      <c r="L4816"/>
    </row>
    <row r="4817" spans="9:12">
      <c r="I4817"/>
      <c r="L4817"/>
    </row>
    <row r="4818" spans="9:12">
      <c r="I4818"/>
      <c r="L4818"/>
    </row>
    <row r="4819" spans="9:12">
      <c r="I4819"/>
      <c r="L4819"/>
    </row>
    <row r="4820" spans="9:12">
      <c r="I4820"/>
      <c r="L4820"/>
    </row>
    <row r="4821" spans="9:12">
      <c r="I4821"/>
      <c r="L4821"/>
    </row>
    <row r="4822" spans="9:12">
      <c r="I4822"/>
      <c r="L4822"/>
    </row>
    <row r="4823" spans="9:12">
      <c r="I4823"/>
      <c r="L4823"/>
    </row>
    <row r="4824" spans="9:12">
      <c r="I4824"/>
      <c r="L4824"/>
    </row>
    <row r="4825" spans="9:12">
      <c r="I4825"/>
      <c r="L4825"/>
    </row>
    <row r="4826" spans="9:12">
      <c r="I4826"/>
      <c r="L4826"/>
    </row>
    <row r="4827" spans="9:12">
      <c r="I4827"/>
      <c r="L4827"/>
    </row>
    <row r="4828" spans="9:12">
      <c r="I4828"/>
      <c r="L4828"/>
    </row>
    <row r="4829" spans="9:12">
      <c r="I4829"/>
      <c r="L4829"/>
    </row>
    <row r="4830" spans="9:12">
      <c r="I4830"/>
      <c r="L4830"/>
    </row>
    <row r="4831" spans="9:12">
      <c r="I4831"/>
      <c r="L4831"/>
    </row>
    <row r="4832" spans="9:12">
      <c r="I4832"/>
      <c r="L4832"/>
    </row>
    <row r="4833" spans="9:12">
      <c r="I4833"/>
      <c r="L4833"/>
    </row>
    <row r="4834" spans="9:12">
      <c r="I4834"/>
      <c r="L4834"/>
    </row>
    <row r="4835" spans="9:12">
      <c r="I4835"/>
      <c r="L4835"/>
    </row>
    <row r="4836" spans="9:12">
      <c r="I4836"/>
      <c r="L4836"/>
    </row>
    <row r="4837" spans="9:12">
      <c r="I4837"/>
      <c r="L4837"/>
    </row>
    <row r="4838" spans="9:12">
      <c r="I4838"/>
      <c r="L4838"/>
    </row>
    <row r="4839" spans="9:12">
      <c r="I4839"/>
      <c r="L4839"/>
    </row>
    <row r="4840" spans="9:12">
      <c r="I4840"/>
      <c r="L4840"/>
    </row>
    <row r="4841" spans="9:12">
      <c r="I4841"/>
      <c r="L4841"/>
    </row>
    <row r="4842" spans="9:12">
      <c r="I4842"/>
      <c r="L4842"/>
    </row>
    <row r="4843" spans="9:12">
      <c r="I4843"/>
      <c r="L4843"/>
    </row>
    <row r="4844" spans="9:12">
      <c r="I4844"/>
      <c r="L4844"/>
    </row>
    <row r="4845" spans="9:12">
      <c r="I4845"/>
      <c r="L4845"/>
    </row>
    <row r="4846" spans="9:12">
      <c r="I4846"/>
      <c r="L4846"/>
    </row>
    <row r="4847" spans="9:12">
      <c r="I4847"/>
      <c r="L4847"/>
    </row>
    <row r="4848" spans="9:12">
      <c r="I4848"/>
      <c r="L4848"/>
    </row>
    <row r="4849" spans="9:12">
      <c r="I4849"/>
      <c r="L4849"/>
    </row>
    <row r="4850" spans="9:12">
      <c r="I4850"/>
      <c r="L4850"/>
    </row>
    <row r="4851" spans="9:12">
      <c r="I4851"/>
      <c r="L4851"/>
    </row>
    <row r="4852" spans="9:12">
      <c r="I4852"/>
      <c r="L4852"/>
    </row>
    <row r="4853" spans="9:12">
      <c r="I4853"/>
      <c r="L4853"/>
    </row>
    <row r="4854" spans="9:12">
      <c r="I4854"/>
      <c r="L4854"/>
    </row>
    <row r="4855" spans="9:12">
      <c r="I4855"/>
      <c r="L4855"/>
    </row>
    <row r="4856" spans="9:12">
      <c r="I4856"/>
      <c r="L4856"/>
    </row>
    <row r="4857" spans="9:12">
      <c r="I4857"/>
      <c r="L4857"/>
    </row>
    <row r="4858" spans="9:12">
      <c r="I4858"/>
      <c r="L4858"/>
    </row>
    <row r="4859" spans="9:12">
      <c r="I4859"/>
      <c r="L4859"/>
    </row>
    <row r="4860" spans="9:12">
      <c r="I4860"/>
      <c r="L4860"/>
    </row>
    <row r="4861" spans="9:12">
      <c r="I4861"/>
      <c r="L4861"/>
    </row>
    <row r="4862" spans="9:12">
      <c r="I4862"/>
      <c r="L4862"/>
    </row>
    <row r="4863" spans="9:12">
      <c r="I4863"/>
      <c r="L4863"/>
    </row>
    <row r="4864" spans="9:12">
      <c r="I4864"/>
      <c r="L4864"/>
    </row>
    <row r="4865" spans="9:12">
      <c r="I4865"/>
      <c r="L4865"/>
    </row>
    <row r="4866" spans="9:12">
      <c r="I4866"/>
      <c r="L4866"/>
    </row>
    <row r="4867" spans="9:12">
      <c r="I4867"/>
      <c r="L4867"/>
    </row>
    <row r="4868" spans="9:12">
      <c r="I4868"/>
      <c r="L4868"/>
    </row>
    <row r="4869" spans="9:12">
      <c r="I4869"/>
      <c r="L4869"/>
    </row>
    <row r="4870" spans="9:12">
      <c r="I4870"/>
      <c r="L4870"/>
    </row>
    <row r="4871" spans="9:12">
      <c r="I4871"/>
      <c r="L4871"/>
    </row>
    <row r="4872" spans="9:12">
      <c r="I4872"/>
      <c r="L4872"/>
    </row>
    <row r="4873" spans="9:12">
      <c r="I4873"/>
      <c r="L4873"/>
    </row>
    <row r="4874" spans="9:12">
      <c r="I4874"/>
      <c r="L4874"/>
    </row>
    <row r="4875" spans="9:12">
      <c r="I4875"/>
      <c r="L4875"/>
    </row>
    <row r="4876" spans="9:12">
      <c r="I4876"/>
      <c r="L4876"/>
    </row>
    <row r="4877" spans="9:12">
      <c r="I4877"/>
      <c r="L4877"/>
    </row>
    <row r="4878" spans="9:12">
      <c r="I4878"/>
      <c r="L4878"/>
    </row>
    <row r="4879" spans="9:12">
      <c r="I4879"/>
      <c r="L4879"/>
    </row>
    <row r="4880" spans="9:12">
      <c r="I4880"/>
      <c r="L4880"/>
    </row>
    <row r="4881" spans="9:12">
      <c r="I4881"/>
      <c r="L4881"/>
    </row>
    <row r="4882" spans="9:12">
      <c r="I4882"/>
      <c r="L4882"/>
    </row>
    <row r="4883" spans="9:12">
      <c r="I4883"/>
      <c r="L4883"/>
    </row>
    <row r="4884" spans="9:12">
      <c r="I4884"/>
      <c r="L4884"/>
    </row>
    <row r="4885" spans="9:12">
      <c r="I4885"/>
      <c r="L4885"/>
    </row>
    <row r="4886" spans="9:12">
      <c r="I4886"/>
      <c r="L4886"/>
    </row>
    <row r="4887" spans="9:12">
      <c r="I4887"/>
      <c r="L4887"/>
    </row>
    <row r="4888" spans="9:12">
      <c r="I4888"/>
      <c r="L4888"/>
    </row>
    <row r="4889" spans="9:12">
      <c r="I4889"/>
      <c r="L4889"/>
    </row>
    <row r="4890" spans="9:12">
      <c r="I4890"/>
      <c r="L4890"/>
    </row>
    <row r="4891" spans="9:12">
      <c r="I4891"/>
      <c r="L4891"/>
    </row>
    <row r="4892" spans="9:12">
      <c r="I4892"/>
      <c r="L4892"/>
    </row>
    <row r="4893" spans="9:12">
      <c r="I4893"/>
      <c r="L4893"/>
    </row>
    <row r="4894" spans="9:12">
      <c r="I4894"/>
      <c r="L4894"/>
    </row>
    <row r="4895" spans="9:12">
      <c r="I4895"/>
      <c r="L4895"/>
    </row>
    <row r="4896" spans="9:12">
      <c r="I4896"/>
      <c r="L4896"/>
    </row>
    <row r="4897" spans="9:12">
      <c r="I4897"/>
      <c r="L4897"/>
    </row>
    <row r="4898" spans="9:12">
      <c r="I4898"/>
      <c r="L4898"/>
    </row>
    <row r="4899" spans="9:12">
      <c r="I4899"/>
      <c r="L4899"/>
    </row>
    <row r="4900" spans="9:12">
      <c r="I4900"/>
      <c r="L4900"/>
    </row>
    <row r="4901" spans="9:12">
      <c r="I4901"/>
      <c r="L4901"/>
    </row>
    <row r="4902" spans="9:12">
      <c r="I4902"/>
      <c r="L4902"/>
    </row>
    <row r="4903" spans="9:12">
      <c r="I4903"/>
      <c r="L4903"/>
    </row>
    <row r="4904" spans="9:12">
      <c r="I4904"/>
      <c r="L4904"/>
    </row>
    <row r="4905" spans="9:12">
      <c r="I4905"/>
      <c r="L4905"/>
    </row>
    <row r="4906" spans="9:12">
      <c r="I4906"/>
      <c r="L4906"/>
    </row>
    <row r="4907" spans="9:12">
      <c r="I4907"/>
      <c r="L4907"/>
    </row>
    <row r="4908" spans="9:12">
      <c r="I4908"/>
      <c r="L4908"/>
    </row>
    <row r="4909" spans="9:12">
      <c r="I4909"/>
      <c r="L4909"/>
    </row>
    <row r="4910" spans="9:12">
      <c r="I4910"/>
      <c r="L4910"/>
    </row>
    <row r="4911" spans="9:12">
      <c r="I4911"/>
      <c r="L4911"/>
    </row>
    <row r="4912" spans="9:12">
      <c r="I4912"/>
      <c r="L4912"/>
    </row>
    <row r="4913" spans="9:12">
      <c r="I4913"/>
      <c r="L4913"/>
    </row>
    <row r="4914" spans="9:12">
      <c r="I4914"/>
      <c r="L4914"/>
    </row>
    <row r="4915" spans="9:12">
      <c r="I4915"/>
      <c r="L4915"/>
    </row>
    <row r="4916" spans="9:12">
      <c r="I4916"/>
      <c r="L4916"/>
    </row>
    <row r="4917" spans="9:12">
      <c r="I4917"/>
      <c r="L4917"/>
    </row>
    <row r="4918" spans="9:12">
      <c r="I4918"/>
      <c r="L4918"/>
    </row>
    <row r="4919" spans="9:12">
      <c r="I4919"/>
      <c r="L4919"/>
    </row>
    <row r="4920" spans="9:12">
      <c r="I4920"/>
      <c r="L4920"/>
    </row>
    <row r="4921" spans="9:12">
      <c r="I4921"/>
      <c r="L4921"/>
    </row>
    <row r="4922" spans="9:12">
      <c r="I4922"/>
      <c r="L4922"/>
    </row>
    <row r="4923" spans="9:12">
      <c r="I4923"/>
      <c r="L4923"/>
    </row>
    <row r="4924" spans="9:12">
      <c r="I4924"/>
      <c r="L4924"/>
    </row>
    <row r="4925" spans="9:12">
      <c r="I4925"/>
      <c r="L4925"/>
    </row>
    <row r="4926" spans="9:12">
      <c r="I4926"/>
      <c r="L4926"/>
    </row>
    <row r="4927" spans="9:12">
      <c r="I4927"/>
      <c r="L4927"/>
    </row>
    <row r="4928" spans="9:12">
      <c r="I4928"/>
      <c r="L4928"/>
    </row>
    <row r="4929" spans="9:12">
      <c r="I4929"/>
      <c r="L4929"/>
    </row>
    <row r="4930" spans="9:12">
      <c r="I4930"/>
      <c r="L4930"/>
    </row>
    <row r="4931" spans="9:12">
      <c r="I4931"/>
      <c r="L4931"/>
    </row>
    <row r="4932" spans="9:12">
      <c r="I4932"/>
      <c r="L4932"/>
    </row>
    <row r="4933" spans="9:12">
      <c r="I4933"/>
      <c r="L4933"/>
    </row>
    <row r="4934" spans="9:12">
      <c r="I4934"/>
      <c r="L4934"/>
    </row>
    <row r="4935" spans="9:12">
      <c r="I4935"/>
      <c r="L4935"/>
    </row>
    <row r="4936" spans="9:12">
      <c r="I4936"/>
      <c r="L4936"/>
    </row>
    <row r="4937" spans="9:12">
      <c r="I4937"/>
      <c r="L4937"/>
    </row>
    <row r="4938" spans="9:12">
      <c r="I4938"/>
      <c r="L4938"/>
    </row>
    <row r="4939" spans="9:12">
      <c r="I4939"/>
      <c r="L4939"/>
    </row>
    <row r="4940" spans="9:12">
      <c r="I4940"/>
      <c r="L4940"/>
    </row>
    <row r="4941" spans="9:12">
      <c r="I4941"/>
      <c r="L4941"/>
    </row>
    <row r="4942" spans="9:12">
      <c r="I4942"/>
      <c r="L4942"/>
    </row>
    <row r="4943" spans="9:12">
      <c r="I4943"/>
      <c r="L4943"/>
    </row>
    <row r="4944" spans="9:12">
      <c r="I4944"/>
      <c r="L4944"/>
    </row>
    <row r="4945" spans="9:12">
      <c r="I4945"/>
      <c r="L4945"/>
    </row>
    <row r="4946" spans="9:12">
      <c r="I4946"/>
      <c r="L4946"/>
    </row>
    <row r="4947" spans="9:12">
      <c r="I4947"/>
      <c r="L4947"/>
    </row>
    <row r="4948" spans="9:12">
      <c r="I4948"/>
      <c r="L4948"/>
    </row>
    <row r="4949" spans="9:12">
      <c r="I4949"/>
      <c r="L4949"/>
    </row>
    <row r="4950" spans="9:12">
      <c r="I4950"/>
      <c r="L4950"/>
    </row>
    <row r="4951" spans="9:12">
      <c r="I4951"/>
      <c r="L4951"/>
    </row>
    <row r="4952" spans="9:12">
      <c r="I4952"/>
      <c r="L4952"/>
    </row>
    <row r="4953" spans="9:12">
      <c r="I4953"/>
      <c r="L4953"/>
    </row>
    <row r="4954" spans="9:12">
      <c r="I4954"/>
      <c r="L4954"/>
    </row>
    <row r="4955" spans="9:12">
      <c r="I4955"/>
      <c r="L4955"/>
    </row>
    <row r="4956" spans="9:12">
      <c r="I4956"/>
      <c r="L4956"/>
    </row>
    <row r="4957" spans="9:12">
      <c r="I4957"/>
      <c r="L4957"/>
    </row>
    <row r="4958" spans="9:12">
      <c r="I4958"/>
      <c r="L4958"/>
    </row>
    <row r="4959" spans="9:12">
      <c r="I4959"/>
      <c r="L4959"/>
    </row>
    <row r="4960" spans="9:12">
      <c r="I4960"/>
      <c r="L4960"/>
    </row>
    <row r="4961" spans="9:12">
      <c r="I4961"/>
      <c r="L4961"/>
    </row>
    <row r="4962" spans="9:12">
      <c r="I4962"/>
      <c r="L4962"/>
    </row>
    <row r="4963" spans="9:12">
      <c r="I4963"/>
      <c r="L4963"/>
    </row>
    <row r="4964" spans="9:12">
      <c r="I4964"/>
      <c r="L4964"/>
    </row>
    <row r="4965" spans="9:12">
      <c r="I4965"/>
      <c r="L4965"/>
    </row>
    <row r="4966" spans="9:12">
      <c r="I4966"/>
      <c r="L4966"/>
    </row>
    <row r="4967" spans="9:12">
      <c r="I4967"/>
      <c r="L4967"/>
    </row>
    <row r="4968" spans="9:12">
      <c r="I4968"/>
      <c r="L4968"/>
    </row>
    <row r="4969" spans="9:12">
      <c r="I4969"/>
      <c r="L4969"/>
    </row>
    <row r="4970" spans="9:12">
      <c r="I4970"/>
      <c r="L4970"/>
    </row>
    <row r="4971" spans="9:12">
      <c r="I4971"/>
      <c r="L4971"/>
    </row>
    <row r="4972" spans="9:12">
      <c r="I4972"/>
      <c r="L4972"/>
    </row>
    <row r="4973" spans="9:12">
      <c r="I4973"/>
      <c r="L4973"/>
    </row>
    <row r="4974" spans="9:12">
      <c r="I4974"/>
      <c r="L4974"/>
    </row>
    <row r="4975" spans="9:12">
      <c r="I4975"/>
      <c r="L4975"/>
    </row>
    <row r="4976" spans="9:12">
      <c r="I4976"/>
      <c r="L4976"/>
    </row>
    <row r="4977" spans="9:12">
      <c r="I4977"/>
      <c r="L4977"/>
    </row>
    <row r="4978" spans="9:12">
      <c r="I4978"/>
      <c r="L4978"/>
    </row>
    <row r="4979" spans="9:12">
      <c r="I4979"/>
      <c r="L4979"/>
    </row>
    <row r="4980" spans="9:12">
      <c r="I4980"/>
      <c r="L4980"/>
    </row>
    <row r="4981" spans="9:12">
      <c r="I4981"/>
      <c r="L4981"/>
    </row>
    <row r="4982" spans="9:12">
      <c r="I4982"/>
      <c r="L4982"/>
    </row>
    <row r="4983" spans="9:12">
      <c r="I4983"/>
      <c r="L4983"/>
    </row>
    <row r="4984" spans="9:12">
      <c r="I4984"/>
      <c r="L4984"/>
    </row>
    <row r="4985" spans="9:12">
      <c r="I4985"/>
      <c r="L4985"/>
    </row>
    <row r="4986" spans="9:12">
      <c r="I4986"/>
      <c r="L4986"/>
    </row>
    <row r="4987" spans="9:12">
      <c r="I4987"/>
      <c r="L4987"/>
    </row>
    <row r="4988" spans="9:12">
      <c r="I4988"/>
      <c r="L4988"/>
    </row>
    <row r="4989" spans="9:12">
      <c r="I4989"/>
      <c r="L4989"/>
    </row>
    <row r="4990" spans="9:12">
      <c r="I4990"/>
      <c r="L4990"/>
    </row>
    <row r="4991" spans="9:12">
      <c r="I4991"/>
      <c r="L4991"/>
    </row>
    <row r="4992" spans="9:12">
      <c r="I4992"/>
      <c r="L4992"/>
    </row>
    <row r="4993" spans="9:12">
      <c r="I4993"/>
      <c r="L4993"/>
    </row>
    <row r="4994" spans="9:12">
      <c r="I4994"/>
      <c r="L4994"/>
    </row>
    <row r="4995" spans="9:12">
      <c r="I4995"/>
      <c r="L4995"/>
    </row>
    <row r="4996" spans="9:12">
      <c r="I4996"/>
      <c r="L4996"/>
    </row>
    <row r="4997" spans="9:12">
      <c r="I4997"/>
      <c r="L4997"/>
    </row>
    <row r="4998" spans="9:12">
      <c r="I4998"/>
      <c r="L4998"/>
    </row>
    <row r="4999" spans="9:12">
      <c r="I4999"/>
      <c r="L4999"/>
    </row>
    <row r="5000" spans="9:12">
      <c r="I5000"/>
      <c r="L5000"/>
    </row>
    <row r="5001" spans="9:12">
      <c r="I5001"/>
      <c r="L5001"/>
    </row>
    <row r="5002" spans="9:12">
      <c r="I5002"/>
      <c r="L5002"/>
    </row>
    <row r="5003" spans="9:12">
      <c r="I5003"/>
      <c r="L5003"/>
    </row>
    <row r="5004" spans="9:12">
      <c r="I5004"/>
      <c r="L5004"/>
    </row>
    <row r="5005" spans="9:12">
      <c r="I5005"/>
      <c r="L5005"/>
    </row>
    <row r="5006" spans="9:12">
      <c r="I5006"/>
      <c r="L5006"/>
    </row>
    <row r="5007" spans="9:12">
      <c r="I5007"/>
      <c r="L5007"/>
    </row>
    <row r="5008" spans="9:12">
      <c r="I5008"/>
      <c r="L5008"/>
    </row>
    <row r="5009" spans="9:12">
      <c r="I5009"/>
      <c r="L5009"/>
    </row>
    <row r="5010" spans="9:12">
      <c r="I5010"/>
      <c r="L5010"/>
    </row>
    <row r="5011" spans="9:12">
      <c r="I5011"/>
      <c r="L5011"/>
    </row>
    <row r="5012" spans="9:12">
      <c r="I5012"/>
      <c r="L5012"/>
    </row>
    <row r="5013" spans="9:12">
      <c r="I5013"/>
      <c r="L5013"/>
    </row>
    <row r="5014" spans="9:12">
      <c r="I5014"/>
      <c r="L5014"/>
    </row>
    <row r="5015" spans="9:12">
      <c r="I5015"/>
      <c r="L5015"/>
    </row>
    <row r="5016" spans="9:12">
      <c r="I5016"/>
      <c r="L5016"/>
    </row>
    <row r="5017" spans="9:12">
      <c r="I5017"/>
      <c r="L5017"/>
    </row>
    <row r="5018" spans="9:12">
      <c r="I5018"/>
      <c r="L5018"/>
    </row>
    <row r="5019" spans="9:12">
      <c r="I5019"/>
      <c r="L5019"/>
    </row>
    <row r="5020" spans="9:12">
      <c r="I5020"/>
      <c r="L5020"/>
    </row>
    <row r="5021" spans="9:12">
      <c r="I5021"/>
      <c r="L5021"/>
    </row>
    <row r="5022" spans="9:12">
      <c r="I5022"/>
      <c r="L5022"/>
    </row>
    <row r="5023" spans="9:12">
      <c r="I5023"/>
      <c r="L5023"/>
    </row>
    <row r="5024" spans="9:12">
      <c r="I5024"/>
      <c r="L5024"/>
    </row>
    <row r="5025" spans="9:12">
      <c r="I5025"/>
      <c r="L5025"/>
    </row>
    <row r="5026" spans="9:12">
      <c r="I5026"/>
      <c r="L5026"/>
    </row>
    <row r="5027" spans="9:12">
      <c r="I5027"/>
      <c r="L5027"/>
    </row>
    <row r="5028" spans="9:12">
      <c r="I5028"/>
      <c r="L5028"/>
    </row>
    <row r="5029" spans="9:12">
      <c r="I5029"/>
      <c r="L5029"/>
    </row>
    <row r="5030" spans="9:12">
      <c r="I5030"/>
      <c r="L5030"/>
    </row>
    <row r="5031" spans="9:12">
      <c r="I5031"/>
      <c r="L5031"/>
    </row>
    <row r="5032" spans="9:12">
      <c r="I5032"/>
      <c r="L5032"/>
    </row>
    <row r="5033" spans="9:12">
      <c r="I5033"/>
      <c r="L5033"/>
    </row>
    <row r="5034" spans="9:12">
      <c r="I5034"/>
      <c r="L5034"/>
    </row>
    <row r="5035" spans="9:12">
      <c r="I5035"/>
      <c r="L5035"/>
    </row>
    <row r="5036" spans="9:12">
      <c r="I5036"/>
      <c r="L5036"/>
    </row>
    <row r="5037" spans="9:12">
      <c r="I5037"/>
      <c r="L5037"/>
    </row>
    <row r="5038" spans="9:12">
      <c r="I5038"/>
      <c r="L5038"/>
    </row>
    <row r="5039" spans="9:12">
      <c r="I5039"/>
      <c r="L5039"/>
    </row>
    <row r="5040" spans="9:12">
      <c r="I5040"/>
      <c r="L5040"/>
    </row>
    <row r="5041" spans="9:12">
      <c r="I5041"/>
      <c r="L5041"/>
    </row>
    <row r="5042" spans="9:12">
      <c r="I5042"/>
      <c r="L5042"/>
    </row>
    <row r="5043" spans="9:12">
      <c r="I5043"/>
      <c r="L5043"/>
    </row>
    <row r="5044" spans="9:12">
      <c r="I5044"/>
      <c r="L5044"/>
    </row>
    <row r="5045" spans="9:12">
      <c r="I5045"/>
      <c r="L5045"/>
    </row>
    <row r="5046" spans="9:12">
      <c r="I5046"/>
      <c r="L5046"/>
    </row>
    <row r="5047" spans="9:12">
      <c r="I5047"/>
      <c r="L5047"/>
    </row>
    <row r="5048" spans="9:12">
      <c r="I5048"/>
      <c r="L5048"/>
    </row>
    <row r="5049" spans="9:12">
      <c r="I5049"/>
      <c r="L5049"/>
    </row>
    <row r="5050" spans="9:12">
      <c r="I5050"/>
      <c r="L5050"/>
    </row>
    <row r="5051" spans="9:12">
      <c r="I5051"/>
      <c r="L5051"/>
    </row>
    <row r="5052" spans="9:12">
      <c r="I5052"/>
      <c r="L5052"/>
    </row>
    <row r="5053" spans="9:12">
      <c r="I5053"/>
      <c r="L5053"/>
    </row>
    <row r="5054" spans="9:12">
      <c r="I5054"/>
      <c r="L5054"/>
    </row>
    <row r="5055" spans="9:12">
      <c r="I5055"/>
      <c r="L5055"/>
    </row>
    <row r="5056" spans="9:12">
      <c r="I5056"/>
      <c r="L5056"/>
    </row>
    <row r="5057" spans="9:12">
      <c r="I5057"/>
      <c r="L5057"/>
    </row>
    <row r="5058" spans="9:12">
      <c r="I5058"/>
      <c r="L5058"/>
    </row>
    <row r="5059" spans="9:12">
      <c r="I5059"/>
      <c r="L5059"/>
    </row>
    <row r="5060" spans="9:12">
      <c r="I5060"/>
      <c r="L5060"/>
    </row>
    <row r="5061" spans="9:12">
      <c r="I5061"/>
      <c r="L5061"/>
    </row>
    <row r="5062" spans="9:12">
      <c r="I5062"/>
      <c r="L5062"/>
    </row>
    <row r="5063" spans="9:12">
      <c r="I5063"/>
      <c r="L5063"/>
    </row>
    <row r="5064" spans="9:12">
      <c r="I5064"/>
      <c r="L5064"/>
    </row>
    <row r="5065" spans="9:12">
      <c r="I5065"/>
      <c r="L5065"/>
    </row>
    <row r="5066" spans="9:12">
      <c r="I5066"/>
      <c r="L5066"/>
    </row>
    <row r="5067" spans="9:12">
      <c r="I5067"/>
      <c r="L5067"/>
    </row>
    <row r="5068" spans="9:12">
      <c r="I5068"/>
      <c r="L5068"/>
    </row>
    <row r="5069" spans="9:12">
      <c r="I5069"/>
      <c r="L5069"/>
    </row>
    <row r="5070" spans="9:12">
      <c r="I5070"/>
      <c r="L5070"/>
    </row>
    <row r="5071" spans="9:12">
      <c r="I5071"/>
      <c r="L5071"/>
    </row>
    <row r="5072" spans="9:12">
      <c r="I5072"/>
      <c r="L5072"/>
    </row>
    <row r="5073" spans="9:12">
      <c r="I5073"/>
      <c r="L5073"/>
    </row>
    <row r="5074" spans="9:12">
      <c r="I5074"/>
      <c r="L5074"/>
    </row>
    <row r="5075" spans="9:12">
      <c r="I5075"/>
      <c r="L5075"/>
    </row>
    <row r="5076" spans="9:12">
      <c r="I5076"/>
      <c r="L5076"/>
    </row>
    <row r="5077" spans="9:12">
      <c r="I5077"/>
      <c r="L5077"/>
    </row>
    <row r="5078" spans="9:12">
      <c r="I5078"/>
      <c r="L5078"/>
    </row>
    <row r="5079" spans="9:12">
      <c r="I5079"/>
      <c r="L5079"/>
    </row>
    <row r="5080" spans="9:12">
      <c r="I5080"/>
      <c r="L5080"/>
    </row>
    <row r="5081" spans="9:12">
      <c r="I5081"/>
      <c r="L5081"/>
    </row>
    <row r="5082" spans="9:12">
      <c r="I5082"/>
      <c r="L5082"/>
    </row>
    <row r="5083" spans="9:12">
      <c r="I5083"/>
      <c r="L5083"/>
    </row>
    <row r="5084" spans="9:12">
      <c r="I5084"/>
      <c r="L5084"/>
    </row>
    <row r="5085" spans="9:12">
      <c r="I5085"/>
      <c r="L5085"/>
    </row>
    <row r="5086" spans="9:12">
      <c r="I5086"/>
      <c r="L5086"/>
    </row>
    <row r="5087" spans="9:12">
      <c r="I5087"/>
      <c r="L5087"/>
    </row>
    <row r="5088" spans="9:12">
      <c r="I5088"/>
      <c r="L5088"/>
    </row>
    <row r="5089" spans="9:12">
      <c r="I5089"/>
      <c r="L5089"/>
    </row>
    <row r="5090" spans="9:12">
      <c r="I5090"/>
      <c r="L5090"/>
    </row>
    <row r="5091" spans="9:12">
      <c r="I5091"/>
      <c r="L5091"/>
    </row>
    <row r="5092" spans="9:12">
      <c r="I5092"/>
      <c r="L5092"/>
    </row>
    <row r="5093" spans="9:12">
      <c r="I5093"/>
      <c r="L5093"/>
    </row>
    <row r="5094" spans="9:12">
      <c r="I5094"/>
      <c r="L5094"/>
    </row>
    <row r="5095" spans="9:12">
      <c r="I5095"/>
      <c r="L5095"/>
    </row>
    <row r="5096" spans="9:12">
      <c r="I5096"/>
      <c r="L5096"/>
    </row>
    <row r="5097" spans="9:12">
      <c r="I5097"/>
      <c r="L5097"/>
    </row>
    <row r="5098" spans="9:12">
      <c r="I5098"/>
      <c r="L5098"/>
    </row>
    <row r="5099" spans="9:12">
      <c r="I5099"/>
      <c r="L5099"/>
    </row>
    <row r="5100" spans="9:12">
      <c r="I5100"/>
      <c r="L5100"/>
    </row>
    <row r="5101" spans="9:12">
      <c r="I5101"/>
      <c r="L5101"/>
    </row>
    <row r="5102" spans="9:12">
      <c r="I5102"/>
      <c r="L5102"/>
    </row>
    <row r="5103" spans="9:12">
      <c r="I5103"/>
      <c r="L5103"/>
    </row>
    <row r="5104" spans="9:12">
      <c r="I5104"/>
      <c r="L5104"/>
    </row>
    <row r="5105" spans="9:12">
      <c r="I5105"/>
      <c r="L5105"/>
    </row>
    <row r="5106" spans="9:12">
      <c r="I5106"/>
      <c r="L5106"/>
    </row>
    <row r="5107" spans="9:12">
      <c r="I5107"/>
      <c r="L5107"/>
    </row>
    <row r="5108" spans="9:12">
      <c r="I5108"/>
      <c r="L5108"/>
    </row>
    <row r="5109" spans="9:12">
      <c r="I5109"/>
      <c r="L5109"/>
    </row>
    <row r="5110" spans="9:12">
      <c r="I5110"/>
      <c r="L5110"/>
    </row>
    <row r="5111" spans="9:12">
      <c r="I5111"/>
      <c r="L5111"/>
    </row>
    <row r="5112" spans="9:12">
      <c r="I5112"/>
      <c r="L5112"/>
    </row>
    <row r="5113" spans="9:12">
      <c r="I5113"/>
      <c r="L5113"/>
    </row>
    <row r="5114" spans="9:12">
      <c r="I5114"/>
      <c r="L5114"/>
    </row>
    <row r="5115" spans="9:12">
      <c r="I5115"/>
      <c r="L5115"/>
    </row>
    <row r="5116" spans="9:12">
      <c r="I5116"/>
      <c r="L5116"/>
    </row>
    <row r="5117" spans="9:12">
      <c r="I5117"/>
      <c r="L5117"/>
    </row>
    <row r="5118" spans="9:12">
      <c r="I5118"/>
      <c r="L5118"/>
    </row>
    <row r="5119" spans="9:12">
      <c r="I5119"/>
      <c r="L5119"/>
    </row>
    <row r="5120" spans="9:12">
      <c r="I5120"/>
      <c r="L5120"/>
    </row>
    <row r="5121" spans="9:12">
      <c r="I5121"/>
      <c r="L5121"/>
    </row>
    <row r="5122" spans="9:12">
      <c r="I5122"/>
      <c r="L5122"/>
    </row>
    <row r="5123" spans="9:12">
      <c r="I5123"/>
      <c r="L5123"/>
    </row>
    <row r="5124" spans="9:12">
      <c r="I5124"/>
      <c r="L5124"/>
    </row>
    <row r="5125" spans="9:12">
      <c r="I5125"/>
      <c r="L5125"/>
    </row>
    <row r="5126" spans="9:12">
      <c r="I5126"/>
      <c r="L5126"/>
    </row>
    <row r="5127" spans="9:12">
      <c r="I5127"/>
      <c r="L5127"/>
    </row>
    <row r="5128" spans="9:12">
      <c r="I5128"/>
      <c r="L5128"/>
    </row>
    <row r="5129" spans="9:12">
      <c r="I5129"/>
      <c r="L5129"/>
    </row>
    <row r="5130" spans="9:12">
      <c r="I5130"/>
      <c r="L5130"/>
    </row>
    <row r="5131" spans="9:12">
      <c r="I5131"/>
      <c r="L5131"/>
    </row>
    <row r="5132" spans="9:12">
      <c r="I5132"/>
      <c r="L5132"/>
    </row>
    <row r="5133" spans="9:12">
      <c r="I5133"/>
      <c r="L5133"/>
    </row>
    <row r="5134" spans="9:12">
      <c r="I5134"/>
      <c r="L5134"/>
    </row>
    <row r="5135" spans="9:12">
      <c r="I5135"/>
      <c r="L5135"/>
    </row>
    <row r="5136" spans="9:12">
      <c r="I5136"/>
      <c r="L5136"/>
    </row>
    <row r="5137" spans="9:12">
      <c r="I5137"/>
      <c r="L5137"/>
    </row>
    <row r="5138" spans="9:12">
      <c r="I5138"/>
      <c r="L5138"/>
    </row>
    <row r="5139" spans="9:12">
      <c r="I5139"/>
      <c r="L5139"/>
    </row>
    <row r="5140" spans="9:12">
      <c r="I5140"/>
      <c r="L5140"/>
    </row>
    <row r="5141" spans="9:12">
      <c r="I5141"/>
      <c r="L5141"/>
    </row>
    <row r="5142" spans="9:12">
      <c r="I5142"/>
      <c r="L5142"/>
    </row>
    <row r="5143" spans="9:12">
      <c r="I5143"/>
      <c r="L5143"/>
    </row>
    <row r="5144" spans="9:12">
      <c r="I5144"/>
      <c r="L5144"/>
    </row>
    <row r="5145" spans="9:12">
      <c r="I5145"/>
      <c r="L5145"/>
    </row>
    <row r="5146" spans="9:12">
      <c r="I5146"/>
      <c r="L5146"/>
    </row>
    <row r="5147" spans="9:12">
      <c r="I5147"/>
      <c r="L5147"/>
    </row>
    <row r="5148" spans="9:12">
      <c r="I5148"/>
      <c r="L5148"/>
    </row>
    <row r="5149" spans="9:12">
      <c r="I5149"/>
      <c r="L5149"/>
    </row>
    <row r="5150" spans="9:12">
      <c r="I5150"/>
      <c r="L5150"/>
    </row>
    <row r="5151" spans="9:12">
      <c r="I5151"/>
      <c r="L5151"/>
    </row>
    <row r="5152" spans="9:12">
      <c r="I5152"/>
      <c r="L5152"/>
    </row>
    <row r="5153" spans="9:12">
      <c r="I5153"/>
      <c r="L5153"/>
    </row>
    <row r="5154" spans="9:12">
      <c r="I5154"/>
      <c r="L5154"/>
    </row>
    <row r="5155" spans="9:12">
      <c r="I5155"/>
      <c r="L5155"/>
    </row>
    <row r="5156" spans="9:12">
      <c r="I5156"/>
      <c r="L5156"/>
    </row>
    <row r="5157" spans="9:12">
      <c r="I5157"/>
      <c r="L5157"/>
    </row>
    <row r="5158" spans="9:12">
      <c r="I5158"/>
      <c r="L5158"/>
    </row>
    <row r="5159" spans="9:12">
      <c r="I5159"/>
      <c r="L5159"/>
    </row>
    <row r="5160" spans="9:12">
      <c r="I5160"/>
      <c r="L5160"/>
    </row>
    <row r="5161" spans="9:12">
      <c r="I5161"/>
      <c r="L5161"/>
    </row>
    <row r="5162" spans="9:12">
      <c r="I5162"/>
      <c r="L5162"/>
    </row>
    <row r="5163" spans="9:12">
      <c r="I5163"/>
      <c r="L5163"/>
    </row>
    <row r="5164" spans="9:12">
      <c r="I5164"/>
      <c r="L5164"/>
    </row>
    <row r="5165" spans="9:12">
      <c r="I5165"/>
      <c r="L5165"/>
    </row>
    <row r="5166" spans="9:12">
      <c r="I5166"/>
      <c r="L5166"/>
    </row>
    <row r="5167" spans="9:12">
      <c r="I5167"/>
      <c r="L5167"/>
    </row>
    <row r="5168" spans="9:12">
      <c r="I5168"/>
      <c r="L5168"/>
    </row>
    <row r="5169" spans="9:12">
      <c r="I5169"/>
      <c r="L5169"/>
    </row>
    <row r="5170" spans="9:12">
      <c r="I5170"/>
      <c r="L5170"/>
    </row>
    <row r="5171" spans="9:12">
      <c r="I5171"/>
      <c r="L5171"/>
    </row>
    <row r="5172" spans="9:12">
      <c r="I5172"/>
      <c r="L5172"/>
    </row>
    <row r="5173" spans="9:12">
      <c r="I5173"/>
      <c r="L5173"/>
    </row>
    <row r="5174" spans="9:12">
      <c r="I5174"/>
      <c r="L5174"/>
    </row>
    <row r="5175" spans="9:12">
      <c r="I5175"/>
      <c r="L5175"/>
    </row>
    <row r="5176" spans="9:12">
      <c r="I5176"/>
      <c r="L5176"/>
    </row>
    <row r="5177" spans="9:12">
      <c r="I5177"/>
      <c r="L5177"/>
    </row>
    <row r="5178" spans="9:12">
      <c r="I5178"/>
      <c r="L5178"/>
    </row>
    <row r="5179" spans="9:12">
      <c r="I5179"/>
      <c r="L5179"/>
    </row>
    <row r="5180" spans="9:12">
      <c r="I5180"/>
      <c r="L5180"/>
    </row>
    <row r="5181" spans="9:12">
      <c r="I5181"/>
      <c r="L5181"/>
    </row>
    <row r="5182" spans="9:12">
      <c r="I5182"/>
      <c r="L5182"/>
    </row>
    <row r="5183" spans="9:12">
      <c r="I5183"/>
      <c r="L5183"/>
    </row>
    <row r="5184" spans="9:12">
      <c r="I5184"/>
      <c r="L5184"/>
    </row>
    <row r="5185" spans="9:12">
      <c r="I5185"/>
      <c r="L5185"/>
    </row>
    <row r="5186" spans="9:12">
      <c r="I5186"/>
      <c r="L5186"/>
    </row>
    <row r="5187" spans="9:12">
      <c r="I5187"/>
      <c r="L5187"/>
    </row>
    <row r="5188" spans="9:12">
      <c r="I5188"/>
      <c r="L5188"/>
    </row>
    <row r="5189" spans="9:12">
      <c r="I5189"/>
      <c r="L5189"/>
    </row>
    <row r="5190" spans="9:12">
      <c r="I5190"/>
      <c r="L5190"/>
    </row>
    <row r="5191" spans="9:12">
      <c r="I5191"/>
      <c r="L5191"/>
    </row>
    <row r="5192" spans="9:12">
      <c r="I5192"/>
      <c r="L5192"/>
    </row>
    <row r="5193" spans="9:12">
      <c r="I5193"/>
      <c r="L5193"/>
    </row>
    <row r="5194" spans="9:12">
      <c r="I5194"/>
      <c r="L5194"/>
    </row>
    <row r="5195" spans="9:12">
      <c r="I5195"/>
      <c r="L5195"/>
    </row>
    <row r="5196" spans="9:12">
      <c r="I5196"/>
      <c r="L5196"/>
    </row>
    <row r="5197" spans="9:12">
      <c r="I5197"/>
      <c r="L5197"/>
    </row>
    <row r="5198" spans="9:12">
      <c r="I5198"/>
      <c r="L5198"/>
    </row>
    <row r="5199" spans="9:12">
      <c r="I5199"/>
      <c r="L5199"/>
    </row>
    <row r="5200" spans="9:12">
      <c r="I5200"/>
      <c r="L5200"/>
    </row>
    <row r="5201" spans="9:12">
      <c r="I5201"/>
      <c r="L5201"/>
    </row>
    <row r="5202" spans="9:12">
      <c r="I5202"/>
      <c r="L5202"/>
    </row>
    <row r="5203" spans="9:12">
      <c r="I5203"/>
      <c r="L5203"/>
    </row>
    <row r="5204" spans="9:12">
      <c r="I5204"/>
      <c r="L5204"/>
    </row>
    <row r="5205" spans="9:12">
      <c r="I5205"/>
      <c r="L5205"/>
    </row>
    <row r="5206" spans="9:12">
      <c r="I5206"/>
      <c r="L5206"/>
    </row>
    <row r="5207" spans="9:12">
      <c r="I5207"/>
      <c r="L5207"/>
    </row>
    <row r="5208" spans="9:12">
      <c r="I5208"/>
      <c r="L5208"/>
    </row>
    <row r="5209" spans="9:12">
      <c r="I5209"/>
      <c r="L5209"/>
    </row>
    <row r="5210" spans="9:12">
      <c r="I5210"/>
      <c r="L5210"/>
    </row>
    <row r="5211" spans="9:12">
      <c r="I5211"/>
      <c r="L5211"/>
    </row>
    <row r="5212" spans="9:12">
      <c r="I5212"/>
      <c r="L5212"/>
    </row>
    <row r="5213" spans="9:12">
      <c r="I5213"/>
      <c r="L5213"/>
    </row>
    <row r="5214" spans="9:12">
      <c r="I5214"/>
      <c r="L5214"/>
    </row>
    <row r="5215" spans="9:12">
      <c r="I5215"/>
      <c r="L5215"/>
    </row>
    <row r="5216" spans="9:12">
      <c r="I5216"/>
      <c r="L5216"/>
    </row>
    <row r="5217" spans="9:12">
      <c r="I5217"/>
      <c r="L5217"/>
    </row>
    <row r="5218" spans="9:12">
      <c r="I5218"/>
      <c r="L5218"/>
    </row>
    <row r="5219" spans="9:12">
      <c r="I5219"/>
      <c r="L5219"/>
    </row>
    <row r="5220" spans="9:12">
      <c r="I5220"/>
      <c r="L5220"/>
    </row>
    <row r="5221" spans="9:12">
      <c r="I5221"/>
      <c r="L5221"/>
    </row>
    <row r="5222" spans="9:12">
      <c r="I5222"/>
      <c r="L5222"/>
    </row>
    <row r="5223" spans="9:12">
      <c r="I5223"/>
      <c r="L5223"/>
    </row>
    <row r="5224" spans="9:12">
      <c r="I5224"/>
      <c r="L5224"/>
    </row>
    <row r="5225" spans="9:12">
      <c r="I5225"/>
      <c r="L5225"/>
    </row>
    <row r="5226" spans="9:12">
      <c r="I5226"/>
      <c r="L5226"/>
    </row>
    <row r="5227" spans="9:12">
      <c r="I5227"/>
      <c r="L5227"/>
    </row>
    <row r="5228" spans="9:12">
      <c r="I5228"/>
      <c r="L5228"/>
    </row>
    <row r="5229" spans="9:12">
      <c r="I5229"/>
      <c r="L5229"/>
    </row>
    <row r="5230" spans="9:12">
      <c r="I5230"/>
      <c r="L5230"/>
    </row>
    <row r="5231" spans="9:12">
      <c r="I5231"/>
      <c r="L5231"/>
    </row>
    <row r="5232" spans="9:12">
      <c r="I5232"/>
      <c r="L5232"/>
    </row>
    <row r="5233" spans="9:12">
      <c r="I5233"/>
      <c r="L5233"/>
    </row>
    <row r="5234" spans="9:12">
      <c r="I5234"/>
      <c r="L5234"/>
    </row>
    <row r="5235" spans="9:12">
      <c r="I5235"/>
      <c r="L5235"/>
    </row>
    <row r="5236" spans="9:12">
      <c r="I5236"/>
      <c r="L5236"/>
    </row>
    <row r="5237" spans="9:12">
      <c r="I5237"/>
      <c r="L5237"/>
    </row>
    <row r="5238" spans="9:12">
      <c r="I5238"/>
      <c r="L5238"/>
    </row>
    <row r="5239" spans="9:12">
      <c r="I5239"/>
      <c r="L5239"/>
    </row>
    <row r="5240" spans="9:12">
      <c r="I5240"/>
      <c r="L5240"/>
    </row>
    <row r="5241" spans="9:12">
      <c r="I5241"/>
      <c r="L5241"/>
    </row>
    <row r="5242" spans="9:12">
      <c r="I5242"/>
      <c r="L5242"/>
    </row>
    <row r="5243" spans="9:12">
      <c r="I5243"/>
      <c r="L5243"/>
    </row>
    <row r="5244" spans="9:12">
      <c r="I5244"/>
      <c r="L5244"/>
    </row>
    <row r="5245" spans="9:12">
      <c r="I5245"/>
      <c r="L5245"/>
    </row>
    <row r="5246" spans="9:12">
      <c r="I5246"/>
      <c r="L5246"/>
    </row>
    <row r="5247" spans="9:12">
      <c r="I5247"/>
      <c r="L5247"/>
    </row>
    <row r="5248" spans="9:12">
      <c r="I5248"/>
      <c r="L5248"/>
    </row>
    <row r="5249" spans="9:12">
      <c r="I5249"/>
      <c r="L5249"/>
    </row>
    <row r="5250" spans="9:12">
      <c r="I5250"/>
      <c r="L5250"/>
    </row>
    <row r="5251" spans="9:12">
      <c r="I5251"/>
      <c r="L5251"/>
    </row>
    <row r="5252" spans="9:12">
      <c r="I5252"/>
      <c r="L5252"/>
    </row>
    <row r="5253" spans="9:12">
      <c r="I5253"/>
      <c r="L5253"/>
    </row>
    <row r="5254" spans="9:12">
      <c r="I5254"/>
      <c r="L5254"/>
    </row>
    <row r="5255" spans="9:12">
      <c r="I5255"/>
      <c r="L5255"/>
    </row>
    <row r="5256" spans="9:12">
      <c r="I5256"/>
      <c r="L5256"/>
    </row>
    <row r="5257" spans="9:12">
      <c r="I5257"/>
      <c r="L5257"/>
    </row>
    <row r="5258" spans="9:12">
      <c r="I5258"/>
      <c r="L5258"/>
    </row>
    <row r="5259" spans="9:12">
      <c r="I5259"/>
      <c r="L5259"/>
    </row>
    <row r="5260" spans="9:12">
      <c r="I5260"/>
      <c r="L5260"/>
    </row>
    <row r="5261" spans="9:12">
      <c r="I5261"/>
      <c r="L5261"/>
    </row>
    <row r="5262" spans="9:12">
      <c r="I5262"/>
      <c r="L5262"/>
    </row>
    <row r="5263" spans="9:12">
      <c r="I5263"/>
      <c r="L5263"/>
    </row>
    <row r="5264" spans="9:12">
      <c r="I5264"/>
      <c r="L5264"/>
    </row>
    <row r="5265" spans="9:12">
      <c r="I5265"/>
      <c r="L5265"/>
    </row>
    <row r="5266" spans="9:12">
      <c r="I5266"/>
      <c r="L5266"/>
    </row>
    <row r="5267" spans="9:12">
      <c r="I5267"/>
      <c r="L5267"/>
    </row>
    <row r="5268" spans="9:12">
      <c r="I5268"/>
      <c r="L5268"/>
    </row>
    <row r="5269" spans="9:12">
      <c r="I5269"/>
      <c r="L5269"/>
    </row>
    <row r="5270" spans="9:12">
      <c r="I5270"/>
      <c r="L5270"/>
    </row>
    <row r="5271" spans="9:12">
      <c r="I5271"/>
      <c r="L5271"/>
    </row>
    <row r="5272" spans="9:12">
      <c r="I5272"/>
      <c r="L5272"/>
    </row>
    <row r="5273" spans="9:12">
      <c r="I5273"/>
      <c r="L5273"/>
    </row>
    <row r="5274" spans="9:12">
      <c r="I5274"/>
      <c r="L5274"/>
    </row>
    <row r="5275" spans="9:12">
      <c r="I5275"/>
      <c r="L5275"/>
    </row>
    <row r="5276" spans="9:12">
      <c r="I5276"/>
      <c r="L5276"/>
    </row>
    <row r="5277" spans="9:12">
      <c r="I5277"/>
      <c r="L5277"/>
    </row>
    <row r="5278" spans="9:12">
      <c r="I5278"/>
      <c r="L5278"/>
    </row>
    <row r="5279" spans="9:12">
      <c r="I5279"/>
      <c r="L5279"/>
    </row>
    <row r="5280" spans="9:12">
      <c r="I5280"/>
      <c r="L5280"/>
    </row>
    <row r="5281" spans="9:12">
      <c r="I5281"/>
      <c r="L5281"/>
    </row>
    <row r="5282" spans="9:12">
      <c r="I5282"/>
      <c r="L5282"/>
    </row>
    <row r="5283" spans="9:12">
      <c r="I5283"/>
      <c r="L5283"/>
    </row>
    <row r="5284" spans="9:12">
      <c r="I5284"/>
      <c r="L5284"/>
    </row>
    <row r="5285" spans="9:12">
      <c r="I5285"/>
      <c r="L5285"/>
    </row>
    <row r="5286" spans="9:12">
      <c r="I5286"/>
      <c r="L5286"/>
    </row>
    <row r="5287" spans="9:12">
      <c r="I5287"/>
      <c r="L5287"/>
    </row>
    <row r="5288" spans="9:12">
      <c r="I5288"/>
      <c r="L5288"/>
    </row>
    <row r="5289" spans="9:12">
      <c r="I5289"/>
      <c r="L5289"/>
    </row>
    <row r="5290" spans="9:12">
      <c r="I5290"/>
      <c r="L5290"/>
    </row>
    <row r="5291" spans="9:12">
      <c r="I5291"/>
      <c r="L5291"/>
    </row>
    <row r="5292" spans="9:12">
      <c r="I5292"/>
      <c r="L5292"/>
    </row>
    <row r="5293" spans="9:12">
      <c r="I5293"/>
      <c r="L5293"/>
    </row>
    <row r="5294" spans="9:12">
      <c r="I5294"/>
      <c r="L5294"/>
    </row>
    <row r="5295" spans="9:12">
      <c r="I5295"/>
      <c r="L5295"/>
    </row>
    <row r="5296" spans="9:12">
      <c r="I5296"/>
      <c r="L5296"/>
    </row>
    <row r="5297" spans="9:12">
      <c r="I5297"/>
      <c r="L5297"/>
    </row>
    <row r="5298" spans="9:12">
      <c r="I5298"/>
      <c r="L5298"/>
    </row>
    <row r="5299" spans="9:12">
      <c r="I5299"/>
      <c r="L5299"/>
    </row>
    <row r="5300" spans="9:12">
      <c r="I5300"/>
      <c r="L5300"/>
    </row>
    <row r="5301" spans="9:12">
      <c r="I5301"/>
      <c r="L5301"/>
    </row>
    <row r="5302" spans="9:12">
      <c r="I5302"/>
      <c r="L5302"/>
    </row>
    <row r="5303" spans="9:12">
      <c r="I5303"/>
      <c r="L5303"/>
    </row>
    <row r="5304" spans="9:12">
      <c r="I5304"/>
      <c r="L5304"/>
    </row>
    <row r="5305" spans="9:12">
      <c r="I5305"/>
      <c r="L5305"/>
    </row>
    <row r="5306" spans="9:12">
      <c r="I5306"/>
      <c r="L5306"/>
    </row>
    <row r="5307" spans="9:12">
      <c r="I5307"/>
      <c r="L5307"/>
    </row>
    <row r="5308" spans="9:12">
      <c r="I5308"/>
      <c r="L5308"/>
    </row>
    <row r="5309" spans="9:12">
      <c r="I5309"/>
      <c r="L5309"/>
    </row>
    <row r="5310" spans="9:12">
      <c r="I5310"/>
      <c r="L5310"/>
    </row>
    <row r="5311" spans="9:12">
      <c r="I5311"/>
      <c r="L5311"/>
    </row>
    <row r="5312" spans="9:12">
      <c r="I5312"/>
      <c r="L5312"/>
    </row>
    <row r="5313" spans="9:12">
      <c r="I5313"/>
      <c r="L5313"/>
    </row>
    <row r="5314" spans="9:12">
      <c r="I5314"/>
      <c r="L5314"/>
    </row>
    <row r="5315" spans="9:12">
      <c r="I5315"/>
      <c r="L5315"/>
    </row>
    <row r="5316" spans="9:12">
      <c r="I5316"/>
      <c r="L5316"/>
    </row>
    <row r="5317" spans="9:12">
      <c r="I5317"/>
      <c r="L5317"/>
    </row>
    <row r="5318" spans="9:12">
      <c r="I5318"/>
      <c r="L5318"/>
    </row>
    <row r="5319" spans="9:12">
      <c r="I5319"/>
      <c r="L5319"/>
    </row>
    <row r="5320" spans="9:12">
      <c r="I5320"/>
      <c r="L5320"/>
    </row>
    <row r="5321" spans="9:12">
      <c r="I5321"/>
      <c r="L5321"/>
    </row>
    <row r="5322" spans="9:12">
      <c r="I5322"/>
      <c r="L5322"/>
    </row>
    <row r="5323" spans="9:12">
      <c r="I5323"/>
      <c r="L5323"/>
    </row>
    <row r="5324" spans="9:12">
      <c r="I5324"/>
      <c r="L5324"/>
    </row>
    <row r="5325" spans="9:12">
      <c r="I5325"/>
      <c r="L5325"/>
    </row>
    <row r="5326" spans="9:12">
      <c r="I5326"/>
      <c r="L5326"/>
    </row>
    <row r="5327" spans="9:12">
      <c r="I5327"/>
      <c r="L5327"/>
    </row>
    <row r="5328" spans="9:12">
      <c r="I5328"/>
      <c r="L5328"/>
    </row>
    <row r="5329" spans="9:12">
      <c r="I5329"/>
      <c r="L5329"/>
    </row>
    <row r="5330" spans="9:12">
      <c r="I5330"/>
      <c r="L5330"/>
    </row>
    <row r="5331" spans="9:12">
      <c r="I5331"/>
      <c r="L5331"/>
    </row>
    <row r="5332" spans="9:12">
      <c r="I5332"/>
      <c r="L5332"/>
    </row>
    <row r="5333" spans="9:12">
      <c r="I5333"/>
      <c r="L5333"/>
    </row>
    <row r="5334" spans="9:12">
      <c r="I5334"/>
      <c r="L5334"/>
    </row>
    <row r="5335" spans="9:12">
      <c r="I5335"/>
      <c r="L5335"/>
    </row>
    <row r="5336" spans="9:12">
      <c r="I5336"/>
      <c r="L5336"/>
    </row>
    <row r="5337" spans="9:12">
      <c r="I5337"/>
      <c r="L5337"/>
    </row>
    <row r="5338" spans="9:12">
      <c r="I5338"/>
      <c r="L5338"/>
    </row>
    <row r="5339" spans="9:12">
      <c r="I5339"/>
      <c r="L5339"/>
    </row>
    <row r="5340" spans="9:12">
      <c r="I5340"/>
      <c r="L5340"/>
    </row>
    <row r="5341" spans="9:12">
      <c r="I5341"/>
      <c r="L5341"/>
    </row>
    <row r="5342" spans="9:12">
      <c r="I5342"/>
      <c r="L5342"/>
    </row>
    <row r="5343" spans="9:12">
      <c r="I5343"/>
      <c r="L5343"/>
    </row>
    <row r="5344" spans="9:12">
      <c r="I5344"/>
      <c r="L5344"/>
    </row>
    <row r="5345" spans="9:12">
      <c r="I5345"/>
      <c r="L5345"/>
    </row>
    <row r="5346" spans="9:12">
      <c r="I5346"/>
      <c r="L5346"/>
    </row>
    <row r="5347" spans="9:12">
      <c r="I5347"/>
      <c r="L5347"/>
    </row>
    <row r="5348" spans="9:12">
      <c r="I5348"/>
      <c r="L5348"/>
    </row>
    <row r="5349" spans="9:12">
      <c r="I5349"/>
      <c r="L5349"/>
    </row>
    <row r="5350" spans="9:12">
      <c r="I5350"/>
      <c r="L5350"/>
    </row>
    <row r="5351" spans="9:12">
      <c r="I5351"/>
      <c r="L5351"/>
    </row>
    <row r="5352" spans="9:12">
      <c r="I5352"/>
      <c r="L5352"/>
    </row>
    <row r="5353" spans="9:12">
      <c r="I5353"/>
      <c r="L5353"/>
    </row>
    <row r="5354" spans="9:12">
      <c r="I5354"/>
      <c r="L5354"/>
    </row>
    <row r="5355" spans="9:12">
      <c r="I5355"/>
      <c r="L5355"/>
    </row>
    <row r="5356" spans="9:12">
      <c r="I5356"/>
      <c r="L5356"/>
    </row>
    <row r="5357" spans="9:12">
      <c r="I5357"/>
      <c r="L5357"/>
    </row>
    <row r="5358" spans="9:12">
      <c r="I5358"/>
      <c r="L5358"/>
    </row>
    <row r="5359" spans="9:12">
      <c r="I5359"/>
      <c r="L5359"/>
    </row>
    <row r="5360" spans="9:12">
      <c r="I5360"/>
      <c r="L5360"/>
    </row>
    <row r="5361" spans="9:12">
      <c r="I5361"/>
      <c r="L5361"/>
    </row>
    <row r="5362" spans="9:12">
      <c r="I5362"/>
      <c r="L5362"/>
    </row>
    <row r="5363" spans="9:12">
      <c r="I5363"/>
      <c r="L5363"/>
    </row>
    <row r="5364" spans="9:12">
      <c r="I5364"/>
      <c r="L5364"/>
    </row>
    <row r="5365" spans="9:12">
      <c r="I5365"/>
      <c r="L5365"/>
    </row>
    <row r="5366" spans="9:12">
      <c r="I5366"/>
      <c r="L5366"/>
    </row>
    <row r="5367" spans="9:12">
      <c r="I5367"/>
      <c r="L5367"/>
    </row>
    <row r="5368" spans="9:12">
      <c r="I5368"/>
      <c r="L5368"/>
    </row>
    <row r="5369" spans="9:12">
      <c r="I5369"/>
      <c r="L5369"/>
    </row>
    <row r="5370" spans="9:12">
      <c r="I5370"/>
      <c r="L5370"/>
    </row>
    <row r="5371" spans="9:12">
      <c r="I5371"/>
      <c r="L5371"/>
    </row>
    <row r="5372" spans="9:12">
      <c r="I5372"/>
      <c r="L5372"/>
    </row>
    <row r="5373" spans="9:12">
      <c r="I5373"/>
      <c r="L5373"/>
    </row>
    <row r="5374" spans="9:12">
      <c r="I5374"/>
      <c r="L5374"/>
    </row>
    <row r="5375" spans="9:12">
      <c r="I5375"/>
      <c r="L5375"/>
    </row>
    <row r="5376" spans="9:12">
      <c r="I5376"/>
      <c r="L5376"/>
    </row>
    <row r="5377" spans="9:12">
      <c r="I5377"/>
      <c r="L5377"/>
    </row>
    <row r="5378" spans="9:12">
      <c r="I5378"/>
      <c r="L5378"/>
    </row>
    <row r="5379" spans="9:12">
      <c r="I5379"/>
      <c r="L5379"/>
    </row>
    <row r="5380" spans="9:12">
      <c r="I5380"/>
      <c r="L5380"/>
    </row>
    <row r="5381" spans="9:12">
      <c r="I5381"/>
      <c r="L5381"/>
    </row>
    <row r="5382" spans="9:12">
      <c r="I5382"/>
      <c r="L5382"/>
    </row>
    <row r="5383" spans="9:12">
      <c r="I5383"/>
      <c r="L5383"/>
    </row>
    <row r="5384" spans="9:12">
      <c r="I5384"/>
      <c r="L5384"/>
    </row>
    <row r="5385" spans="9:12">
      <c r="I5385"/>
      <c r="L5385"/>
    </row>
    <row r="5386" spans="9:12">
      <c r="I5386"/>
      <c r="L5386"/>
    </row>
    <row r="5387" spans="9:12">
      <c r="I5387"/>
      <c r="L5387"/>
    </row>
    <row r="5388" spans="9:12">
      <c r="I5388"/>
      <c r="L5388"/>
    </row>
    <row r="5389" spans="9:12">
      <c r="I5389"/>
      <c r="L5389"/>
    </row>
    <row r="5390" spans="9:12">
      <c r="I5390"/>
      <c r="L5390"/>
    </row>
    <row r="5391" spans="9:12">
      <c r="I5391"/>
      <c r="L5391"/>
    </row>
    <row r="5392" spans="9:12">
      <c r="I5392"/>
      <c r="L5392"/>
    </row>
    <row r="5393" spans="9:12">
      <c r="I5393"/>
      <c r="L5393"/>
    </row>
    <row r="5394" spans="9:12">
      <c r="I5394"/>
      <c r="L5394"/>
    </row>
    <row r="5395" spans="9:12">
      <c r="I5395"/>
      <c r="L5395"/>
    </row>
    <row r="5396" spans="9:12">
      <c r="I5396"/>
      <c r="L5396"/>
    </row>
    <row r="5397" spans="9:12">
      <c r="I5397"/>
      <c r="L5397"/>
    </row>
    <row r="5398" spans="9:12">
      <c r="I5398"/>
      <c r="L5398"/>
    </row>
    <row r="5399" spans="9:12">
      <c r="I5399"/>
      <c r="L5399"/>
    </row>
    <row r="5400" spans="9:12">
      <c r="I5400"/>
      <c r="L5400"/>
    </row>
    <row r="5401" spans="9:12">
      <c r="I5401"/>
      <c r="L5401"/>
    </row>
    <row r="5402" spans="9:12">
      <c r="I5402"/>
      <c r="L5402"/>
    </row>
    <row r="5403" spans="9:12">
      <c r="I5403"/>
      <c r="L5403"/>
    </row>
    <row r="5404" spans="9:12">
      <c r="I5404"/>
      <c r="L5404"/>
    </row>
    <row r="5405" spans="9:12">
      <c r="I5405"/>
      <c r="L5405"/>
    </row>
    <row r="5406" spans="9:12">
      <c r="I5406"/>
      <c r="L5406"/>
    </row>
    <row r="5407" spans="9:12">
      <c r="I5407"/>
      <c r="L5407"/>
    </row>
    <row r="5408" spans="9:12">
      <c r="I5408"/>
      <c r="L5408"/>
    </row>
    <row r="5409" spans="9:12">
      <c r="I5409"/>
      <c r="L5409"/>
    </row>
    <row r="5410" spans="9:12">
      <c r="I5410"/>
      <c r="L5410"/>
    </row>
    <row r="5411" spans="9:12">
      <c r="I5411"/>
      <c r="L5411"/>
    </row>
    <row r="5412" spans="9:12">
      <c r="I5412"/>
      <c r="L5412"/>
    </row>
    <row r="5413" spans="9:12">
      <c r="I5413"/>
      <c r="L5413"/>
    </row>
    <row r="5414" spans="9:12">
      <c r="I5414"/>
      <c r="L5414"/>
    </row>
    <row r="5415" spans="9:12">
      <c r="I5415"/>
      <c r="L5415"/>
    </row>
    <row r="5416" spans="9:12">
      <c r="I5416"/>
      <c r="L5416"/>
    </row>
    <row r="5417" spans="9:12">
      <c r="I5417"/>
      <c r="L5417"/>
    </row>
    <row r="5418" spans="9:12">
      <c r="I5418"/>
      <c r="L5418"/>
    </row>
    <row r="5419" spans="9:12">
      <c r="I5419"/>
      <c r="L5419"/>
    </row>
    <row r="5420" spans="9:12">
      <c r="I5420"/>
      <c r="L5420"/>
    </row>
    <row r="5421" spans="9:12">
      <c r="I5421"/>
      <c r="L5421"/>
    </row>
    <row r="5422" spans="9:12">
      <c r="I5422"/>
      <c r="L5422"/>
    </row>
    <row r="5423" spans="9:12">
      <c r="I5423"/>
      <c r="L5423"/>
    </row>
    <row r="5424" spans="9:12">
      <c r="I5424"/>
      <c r="L5424"/>
    </row>
    <row r="5425" spans="9:12">
      <c r="I5425"/>
      <c r="L5425"/>
    </row>
    <row r="5426" spans="9:12">
      <c r="I5426"/>
      <c r="L5426"/>
    </row>
    <row r="5427" spans="9:12">
      <c r="I5427"/>
      <c r="L5427"/>
    </row>
    <row r="5428" spans="9:12">
      <c r="I5428"/>
      <c r="L5428"/>
    </row>
    <row r="5429" spans="9:12">
      <c r="I5429"/>
      <c r="L5429"/>
    </row>
    <row r="5430" spans="9:12">
      <c r="I5430"/>
      <c r="L5430"/>
    </row>
    <row r="5431" spans="9:12">
      <c r="I5431"/>
      <c r="L5431"/>
    </row>
    <row r="5432" spans="9:12">
      <c r="I5432"/>
      <c r="L5432"/>
    </row>
    <row r="5433" spans="9:12">
      <c r="I5433"/>
      <c r="L5433"/>
    </row>
    <row r="5434" spans="9:12">
      <c r="I5434"/>
      <c r="L5434"/>
    </row>
    <row r="5435" spans="9:12">
      <c r="I5435"/>
      <c r="L5435"/>
    </row>
    <row r="5436" spans="9:12">
      <c r="I5436"/>
      <c r="L5436"/>
    </row>
    <row r="5437" spans="9:12">
      <c r="I5437"/>
      <c r="L5437"/>
    </row>
    <row r="5438" spans="9:12">
      <c r="I5438"/>
      <c r="L5438"/>
    </row>
    <row r="5439" spans="9:12">
      <c r="I5439"/>
      <c r="L5439"/>
    </row>
    <row r="5440" spans="9:12">
      <c r="I5440"/>
      <c r="L5440"/>
    </row>
    <row r="5441" spans="9:12">
      <c r="I5441"/>
      <c r="L5441"/>
    </row>
    <row r="5442" spans="9:12">
      <c r="I5442"/>
      <c r="L5442"/>
    </row>
    <row r="5443" spans="9:12">
      <c r="I5443"/>
      <c r="L5443"/>
    </row>
    <row r="5444" spans="9:12">
      <c r="I5444"/>
      <c r="L5444"/>
    </row>
    <row r="5445" spans="9:12">
      <c r="I5445"/>
      <c r="L5445"/>
    </row>
    <row r="5446" spans="9:12">
      <c r="I5446"/>
      <c r="L5446"/>
    </row>
    <row r="5447" spans="9:12">
      <c r="I5447"/>
      <c r="L5447"/>
    </row>
    <row r="5448" spans="9:12">
      <c r="I5448"/>
      <c r="L5448"/>
    </row>
    <row r="5449" spans="9:12">
      <c r="I5449"/>
      <c r="L5449"/>
    </row>
    <row r="5450" spans="9:12">
      <c r="I5450"/>
      <c r="L5450"/>
    </row>
    <row r="5451" spans="9:12">
      <c r="I5451"/>
      <c r="L5451"/>
    </row>
    <row r="5452" spans="9:12">
      <c r="I5452"/>
      <c r="L5452"/>
    </row>
    <row r="5453" spans="9:12">
      <c r="I5453"/>
      <c r="L5453"/>
    </row>
    <row r="5454" spans="9:12">
      <c r="I5454"/>
      <c r="L5454"/>
    </row>
    <row r="5455" spans="9:12">
      <c r="I5455"/>
      <c r="L5455"/>
    </row>
    <row r="5456" spans="9:12">
      <c r="I5456"/>
      <c r="L5456"/>
    </row>
    <row r="5457" spans="9:12">
      <c r="I5457"/>
      <c r="L5457"/>
    </row>
    <row r="5458" spans="9:12">
      <c r="I5458"/>
      <c r="L5458"/>
    </row>
    <row r="5459" spans="9:12">
      <c r="I5459"/>
      <c r="L5459"/>
    </row>
    <row r="5460" spans="9:12">
      <c r="I5460"/>
      <c r="L5460"/>
    </row>
    <row r="5461" spans="9:12">
      <c r="I5461"/>
      <c r="L5461"/>
    </row>
    <row r="5462" spans="9:12">
      <c r="I5462"/>
      <c r="L5462"/>
    </row>
    <row r="5463" spans="9:12">
      <c r="I5463"/>
      <c r="L5463"/>
    </row>
    <row r="5464" spans="9:12">
      <c r="I5464"/>
      <c r="L5464"/>
    </row>
    <row r="5465" spans="9:12">
      <c r="I5465"/>
      <c r="L5465"/>
    </row>
    <row r="5466" spans="9:12">
      <c r="I5466"/>
      <c r="L5466"/>
    </row>
    <row r="5467" spans="9:12">
      <c r="I5467"/>
      <c r="L5467"/>
    </row>
    <row r="5468" spans="9:12">
      <c r="I5468"/>
      <c r="L5468"/>
    </row>
    <row r="5469" spans="9:12">
      <c r="I5469"/>
      <c r="L5469"/>
    </row>
    <row r="5470" spans="9:12">
      <c r="I5470"/>
      <c r="L5470"/>
    </row>
    <row r="5471" spans="9:12">
      <c r="I5471"/>
      <c r="L5471"/>
    </row>
    <row r="5472" spans="9:12">
      <c r="I5472"/>
      <c r="L5472"/>
    </row>
    <row r="5473" spans="9:12">
      <c r="I5473"/>
      <c r="L5473"/>
    </row>
    <row r="5474" spans="9:12">
      <c r="I5474"/>
      <c r="L5474"/>
    </row>
    <row r="5475" spans="9:12">
      <c r="I5475"/>
      <c r="L5475"/>
    </row>
    <row r="5476" spans="9:12">
      <c r="I5476"/>
      <c r="L5476"/>
    </row>
    <row r="5477" spans="9:12">
      <c r="I5477"/>
      <c r="L5477"/>
    </row>
    <row r="5478" spans="9:12">
      <c r="I5478"/>
      <c r="L5478"/>
    </row>
    <row r="5479" spans="9:12">
      <c r="I5479"/>
      <c r="L5479"/>
    </row>
    <row r="5480" spans="9:12">
      <c r="I5480"/>
      <c r="L5480"/>
    </row>
    <row r="5481" spans="9:12">
      <c r="I5481"/>
      <c r="L5481"/>
    </row>
    <row r="5482" spans="9:12">
      <c r="I5482"/>
      <c r="L5482"/>
    </row>
    <row r="5483" spans="9:12">
      <c r="I5483"/>
      <c r="L5483"/>
    </row>
    <row r="5484" spans="9:12">
      <c r="I5484"/>
      <c r="L5484"/>
    </row>
    <row r="5485" spans="9:12">
      <c r="I5485"/>
      <c r="L5485"/>
    </row>
    <row r="5486" spans="9:12">
      <c r="I5486"/>
      <c r="L5486"/>
    </row>
    <row r="5487" spans="9:12">
      <c r="I5487"/>
      <c r="L5487"/>
    </row>
    <row r="5488" spans="9:12">
      <c r="I5488"/>
      <c r="L5488"/>
    </row>
    <row r="5489" spans="9:12">
      <c r="I5489"/>
      <c r="L5489"/>
    </row>
    <row r="5490" spans="9:12">
      <c r="I5490"/>
      <c r="L5490"/>
    </row>
    <row r="5491" spans="9:12">
      <c r="I5491"/>
      <c r="L5491"/>
    </row>
    <row r="5492" spans="9:12">
      <c r="I5492"/>
      <c r="L5492"/>
    </row>
    <row r="5493" spans="9:12">
      <c r="I5493"/>
      <c r="L5493"/>
    </row>
    <row r="5494" spans="9:12">
      <c r="I5494"/>
      <c r="L5494"/>
    </row>
    <row r="5495" spans="9:12">
      <c r="I5495"/>
      <c r="L5495"/>
    </row>
    <row r="5496" spans="9:12">
      <c r="I5496"/>
      <c r="L5496"/>
    </row>
    <row r="5497" spans="9:12">
      <c r="I5497"/>
      <c r="L5497"/>
    </row>
    <row r="5498" spans="9:12">
      <c r="I5498"/>
      <c r="L5498"/>
    </row>
    <row r="5499" spans="9:12">
      <c r="I5499"/>
      <c r="L5499"/>
    </row>
    <row r="5500" spans="9:12">
      <c r="I5500"/>
      <c r="L5500"/>
    </row>
    <row r="5501" spans="9:12">
      <c r="I5501"/>
      <c r="L5501"/>
    </row>
    <row r="5502" spans="9:12">
      <c r="I5502"/>
      <c r="L5502"/>
    </row>
    <row r="5503" spans="9:12">
      <c r="I5503"/>
      <c r="L5503"/>
    </row>
    <row r="5504" spans="9:12">
      <c r="I5504"/>
      <c r="L5504"/>
    </row>
    <row r="5505" spans="9:12">
      <c r="I5505"/>
      <c r="L5505"/>
    </row>
    <row r="5506" spans="9:12">
      <c r="I5506"/>
      <c r="L5506"/>
    </row>
    <row r="5507" spans="9:12">
      <c r="I5507"/>
      <c r="L5507"/>
    </row>
    <row r="5508" spans="9:12">
      <c r="I5508"/>
      <c r="L5508"/>
    </row>
    <row r="5509" spans="9:12">
      <c r="I5509"/>
      <c r="L5509"/>
    </row>
    <row r="5510" spans="9:12">
      <c r="I5510"/>
      <c r="L5510"/>
    </row>
    <row r="5511" spans="9:12">
      <c r="I5511"/>
      <c r="L5511"/>
    </row>
    <row r="5512" spans="9:12">
      <c r="I5512"/>
      <c r="L5512"/>
    </row>
    <row r="5513" spans="9:12">
      <c r="I5513"/>
      <c r="L5513"/>
    </row>
    <row r="5514" spans="9:12">
      <c r="I5514"/>
      <c r="L5514"/>
    </row>
    <row r="5515" spans="9:12">
      <c r="I5515"/>
      <c r="L5515"/>
    </row>
    <row r="5516" spans="9:12">
      <c r="I5516"/>
      <c r="L5516"/>
    </row>
    <row r="5517" spans="9:12">
      <c r="I5517"/>
      <c r="L5517"/>
    </row>
    <row r="5518" spans="9:12">
      <c r="I5518"/>
      <c r="L5518"/>
    </row>
    <row r="5519" spans="9:12">
      <c r="I5519"/>
      <c r="L5519"/>
    </row>
    <row r="5520" spans="9:12">
      <c r="I5520"/>
      <c r="L5520"/>
    </row>
    <row r="5521" spans="9:12">
      <c r="I5521"/>
      <c r="L5521"/>
    </row>
    <row r="5522" spans="9:12">
      <c r="I5522"/>
      <c r="L5522"/>
    </row>
    <row r="5523" spans="9:12">
      <c r="I5523"/>
      <c r="L5523"/>
    </row>
    <row r="5524" spans="9:12">
      <c r="I5524"/>
      <c r="L5524"/>
    </row>
    <row r="5525" spans="9:12">
      <c r="I5525"/>
      <c r="L5525"/>
    </row>
    <row r="5526" spans="9:12">
      <c r="I5526"/>
      <c r="L5526"/>
    </row>
    <row r="5527" spans="9:12">
      <c r="I5527"/>
      <c r="L5527"/>
    </row>
    <row r="5528" spans="9:12">
      <c r="I5528"/>
      <c r="L5528"/>
    </row>
    <row r="5529" spans="9:12">
      <c r="I5529"/>
      <c r="L5529"/>
    </row>
    <row r="5530" spans="9:12">
      <c r="I5530"/>
      <c r="L5530"/>
    </row>
    <row r="5531" spans="9:12">
      <c r="I5531"/>
      <c r="L5531"/>
    </row>
    <row r="5532" spans="9:12">
      <c r="I5532"/>
      <c r="L5532"/>
    </row>
    <row r="5533" spans="9:12">
      <c r="I5533"/>
      <c r="L5533"/>
    </row>
    <row r="5534" spans="9:12">
      <c r="I5534"/>
      <c r="L5534"/>
    </row>
    <row r="5535" spans="9:12">
      <c r="I5535"/>
      <c r="L5535"/>
    </row>
    <row r="5536" spans="9:12">
      <c r="I5536"/>
      <c r="L5536"/>
    </row>
    <row r="5537" spans="9:12">
      <c r="I5537"/>
      <c r="L5537"/>
    </row>
    <row r="5538" spans="9:12">
      <c r="I5538"/>
      <c r="L5538"/>
    </row>
    <row r="5539" spans="9:12">
      <c r="I5539"/>
      <c r="L5539"/>
    </row>
    <row r="5540" spans="9:12">
      <c r="I5540"/>
      <c r="L5540"/>
    </row>
    <row r="5541" spans="9:12">
      <c r="I5541"/>
      <c r="L5541"/>
    </row>
    <row r="5542" spans="9:12">
      <c r="I5542"/>
      <c r="L5542"/>
    </row>
    <row r="5543" spans="9:12">
      <c r="I5543"/>
      <c r="L5543"/>
    </row>
    <row r="5544" spans="9:12">
      <c r="I5544"/>
      <c r="L5544"/>
    </row>
    <row r="5545" spans="9:12">
      <c r="I5545"/>
      <c r="L5545"/>
    </row>
    <row r="5546" spans="9:12">
      <c r="I5546"/>
      <c r="L5546"/>
    </row>
    <row r="5547" spans="9:12">
      <c r="I5547"/>
      <c r="L5547"/>
    </row>
    <row r="5548" spans="9:12">
      <c r="I5548"/>
      <c r="L5548"/>
    </row>
    <row r="5549" spans="9:12">
      <c r="I5549"/>
      <c r="L5549"/>
    </row>
    <row r="5550" spans="9:12">
      <c r="I5550"/>
      <c r="L5550"/>
    </row>
    <row r="5551" spans="9:12">
      <c r="I5551"/>
      <c r="L5551"/>
    </row>
    <row r="5552" spans="9:12">
      <c r="I5552"/>
      <c r="L5552"/>
    </row>
    <row r="5553" spans="9:12">
      <c r="I5553"/>
      <c r="L5553"/>
    </row>
    <row r="5554" spans="9:12">
      <c r="I5554"/>
      <c r="L5554"/>
    </row>
    <row r="5555" spans="9:12">
      <c r="I5555"/>
      <c r="L5555"/>
    </row>
    <row r="5556" spans="9:12">
      <c r="I5556"/>
      <c r="L5556"/>
    </row>
    <row r="5557" spans="9:12">
      <c r="I5557"/>
      <c r="L5557"/>
    </row>
    <row r="5558" spans="9:12">
      <c r="I5558"/>
      <c r="L5558"/>
    </row>
    <row r="5559" spans="9:12">
      <c r="I5559"/>
      <c r="L5559"/>
    </row>
    <row r="5560" spans="9:12">
      <c r="I5560"/>
      <c r="L5560"/>
    </row>
    <row r="5561" spans="9:12">
      <c r="I5561"/>
      <c r="L5561"/>
    </row>
    <row r="5562" spans="9:12">
      <c r="I5562"/>
      <c r="L5562"/>
    </row>
    <row r="5563" spans="9:12">
      <c r="I5563"/>
      <c r="L5563"/>
    </row>
    <row r="5564" spans="9:12">
      <c r="I5564"/>
      <c r="L5564"/>
    </row>
    <row r="5565" spans="9:12">
      <c r="I5565"/>
      <c r="L5565"/>
    </row>
    <row r="5566" spans="9:12">
      <c r="I5566"/>
      <c r="L5566"/>
    </row>
    <row r="5567" spans="9:12">
      <c r="I5567"/>
      <c r="L5567"/>
    </row>
    <row r="5568" spans="9:12">
      <c r="I5568"/>
      <c r="L5568"/>
    </row>
    <row r="5569" spans="9:12">
      <c r="I5569"/>
      <c r="L5569"/>
    </row>
    <row r="5570" spans="9:12">
      <c r="I5570"/>
      <c r="L5570"/>
    </row>
    <row r="5571" spans="9:12">
      <c r="I5571"/>
      <c r="L5571"/>
    </row>
    <row r="5572" spans="9:12">
      <c r="I5572"/>
      <c r="L5572"/>
    </row>
    <row r="5573" spans="9:12">
      <c r="I5573"/>
      <c r="L5573"/>
    </row>
    <row r="5574" spans="9:12">
      <c r="I5574"/>
      <c r="L5574"/>
    </row>
    <row r="5575" spans="9:12">
      <c r="I5575"/>
      <c r="L5575"/>
    </row>
    <row r="5576" spans="9:12">
      <c r="I5576"/>
      <c r="L5576"/>
    </row>
    <row r="5577" spans="9:12">
      <c r="I5577"/>
      <c r="L5577"/>
    </row>
    <row r="5578" spans="9:12">
      <c r="I5578"/>
      <c r="L5578"/>
    </row>
    <row r="5579" spans="9:12">
      <c r="I5579"/>
      <c r="L5579"/>
    </row>
    <row r="5580" spans="9:12">
      <c r="I5580"/>
      <c r="L5580"/>
    </row>
    <row r="5581" spans="9:12">
      <c r="I5581"/>
      <c r="L5581"/>
    </row>
    <row r="5582" spans="9:12">
      <c r="I5582"/>
      <c r="L5582"/>
    </row>
    <row r="5583" spans="9:12">
      <c r="I5583"/>
      <c r="L5583"/>
    </row>
    <row r="5584" spans="9:12">
      <c r="I5584"/>
      <c r="L5584"/>
    </row>
    <row r="5585" spans="9:12">
      <c r="I5585"/>
      <c r="L5585"/>
    </row>
    <row r="5586" spans="9:12">
      <c r="I5586"/>
      <c r="L5586"/>
    </row>
    <row r="5587" spans="9:12">
      <c r="I5587"/>
      <c r="L5587"/>
    </row>
    <row r="5588" spans="9:12">
      <c r="I5588"/>
      <c r="L5588"/>
    </row>
    <row r="5589" spans="9:12">
      <c r="I5589"/>
      <c r="L5589"/>
    </row>
    <row r="5590" spans="9:12">
      <c r="I5590"/>
      <c r="L5590"/>
    </row>
    <row r="5591" spans="9:12">
      <c r="I5591"/>
      <c r="L5591"/>
    </row>
    <row r="5592" spans="9:12">
      <c r="I5592"/>
      <c r="L5592"/>
    </row>
    <row r="5593" spans="9:12">
      <c r="I5593"/>
      <c r="L5593"/>
    </row>
    <row r="5594" spans="9:12">
      <c r="I5594"/>
      <c r="L5594"/>
    </row>
    <row r="5595" spans="9:12">
      <c r="I5595"/>
      <c r="L5595"/>
    </row>
    <row r="5596" spans="9:12">
      <c r="I5596"/>
      <c r="L5596"/>
    </row>
    <row r="5597" spans="9:12">
      <c r="I5597"/>
      <c r="L5597"/>
    </row>
    <row r="5598" spans="9:12">
      <c r="I5598"/>
      <c r="L5598"/>
    </row>
    <row r="5599" spans="9:12">
      <c r="I5599"/>
      <c r="L5599"/>
    </row>
    <row r="5600" spans="9:12">
      <c r="I5600"/>
      <c r="L5600"/>
    </row>
    <row r="5601" spans="9:12">
      <c r="I5601"/>
      <c r="L5601"/>
    </row>
    <row r="5602" spans="9:12">
      <c r="I5602"/>
      <c r="L5602"/>
    </row>
    <row r="5603" spans="9:12">
      <c r="I5603"/>
      <c r="L5603"/>
    </row>
    <row r="5604" spans="9:12">
      <c r="I5604"/>
      <c r="L5604"/>
    </row>
    <row r="5605" spans="9:12">
      <c r="I5605"/>
      <c r="L5605"/>
    </row>
    <row r="5606" spans="9:12">
      <c r="I5606"/>
      <c r="L5606"/>
    </row>
    <row r="5607" spans="9:12">
      <c r="I5607"/>
      <c r="L5607"/>
    </row>
    <row r="5608" spans="9:12">
      <c r="I5608"/>
      <c r="L5608"/>
    </row>
    <row r="5609" spans="9:12">
      <c r="I5609"/>
      <c r="L5609"/>
    </row>
    <row r="5610" spans="9:12">
      <c r="I5610"/>
      <c r="L5610"/>
    </row>
    <row r="5611" spans="9:12">
      <c r="I5611"/>
      <c r="L5611"/>
    </row>
    <row r="5612" spans="9:12">
      <c r="I5612"/>
      <c r="L5612"/>
    </row>
    <row r="5613" spans="9:12">
      <c r="I5613"/>
      <c r="L5613"/>
    </row>
    <row r="5614" spans="9:12">
      <c r="I5614"/>
      <c r="L5614"/>
    </row>
    <row r="5615" spans="9:12">
      <c r="I5615"/>
      <c r="L5615"/>
    </row>
    <row r="5616" spans="9:12">
      <c r="I5616"/>
      <c r="L5616"/>
    </row>
    <row r="5617" spans="9:12">
      <c r="I5617"/>
      <c r="L5617"/>
    </row>
    <row r="5618" spans="9:12">
      <c r="I5618"/>
      <c r="L5618"/>
    </row>
    <row r="5619" spans="9:12">
      <c r="I5619"/>
      <c r="L5619"/>
    </row>
    <row r="5620" spans="9:12">
      <c r="I5620"/>
      <c r="L5620"/>
    </row>
    <row r="5621" spans="9:12">
      <c r="I5621"/>
      <c r="L5621"/>
    </row>
    <row r="5622" spans="9:12">
      <c r="I5622"/>
      <c r="L5622"/>
    </row>
    <row r="5623" spans="9:12">
      <c r="I5623"/>
      <c r="L5623"/>
    </row>
    <row r="5624" spans="9:12">
      <c r="I5624"/>
      <c r="L5624"/>
    </row>
    <row r="5625" spans="9:12">
      <c r="I5625"/>
      <c r="L5625"/>
    </row>
    <row r="5626" spans="9:12">
      <c r="I5626"/>
      <c r="L5626"/>
    </row>
    <row r="5627" spans="9:12">
      <c r="I5627"/>
      <c r="L5627"/>
    </row>
    <row r="5628" spans="9:12">
      <c r="I5628"/>
      <c r="L5628"/>
    </row>
    <row r="5629" spans="9:12">
      <c r="I5629"/>
      <c r="L5629"/>
    </row>
    <row r="5630" spans="9:12">
      <c r="I5630"/>
      <c r="L5630"/>
    </row>
    <row r="5631" spans="9:12">
      <c r="I5631"/>
      <c r="L5631"/>
    </row>
    <row r="5632" spans="9:12">
      <c r="I5632"/>
      <c r="L5632"/>
    </row>
    <row r="5633" spans="9:12">
      <c r="I5633"/>
      <c r="L5633"/>
    </row>
    <row r="5634" spans="9:12">
      <c r="I5634"/>
      <c r="L5634"/>
    </row>
    <row r="5635" spans="9:12">
      <c r="I5635"/>
      <c r="L5635"/>
    </row>
    <row r="5636" spans="9:12">
      <c r="I5636"/>
      <c r="L5636"/>
    </row>
    <row r="5637" spans="9:12">
      <c r="I5637"/>
      <c r="L5637"/>
    </row>
    <row r="5638" spans="9:12">
      <c r="I5638"/>
      <c r="L5638"/>
    </row>
    <row r="5639" spans="9:12">
      <c r="I5639"/>
      <c r="L5639"/>
    </row>
    <row r="5640" spans="9:12">
      <c r="I5640"/>
      <c r="L5640"/>
    </row>
    <row r="5641" spans="9:12">
      <c r="I5641"/>
      <c r="L5641"/>
    </row>
    <row r="5642" spans="9:12">
      <c r="I5642"/>
      <c r="L5642"/>
    </row>
    <row r="5643" spans="9:12">
      <c r="I5643"/>
      <c r="L5643"/>
    </row>
    <row r="5644" spans="9:12">
      <c r="I5644"/>
      <c r="L5644"/>
    </row>
    <row r="5645" spans="9:12">
      <c r="I5645"/>
      <c r="L5645"/>
    </row>
    <row r="5646" spans="9:12">
      <c r="I5646"/>
      <c r="L5646"/>
    </row>
    <row r="5647" spans="9:12">
      <c r="I5647"/>
      <c r="L5647"/>
    </row>
    <row r="5648" spans="9:12">
      <c r="I5648"/>
      <c r="L5648"/>
    </row>
    <row r="5649" spans="9:12">
      <c r="I5649"/>
      <c r="L5649"/>
    </row>
    <row r="5650" spans="9:12">
      <c r="I5650"/>
      <c r="L5650"/>
    </row>
    <row r="5651" spans="9:12">
      <c r="I5651"/>
      <c r="L5651"/>
    </row>
    <row r="5652" spans="9:12">
      <c r="I5652"/>
      <c r="L5652"/>
    </row>
    <row r="5653" spans="9:12">
      <c r="I5653"/>
      <c r="L5653"/>
    </row>
    <row r="5654" spans="9:12">
      <c r="I5654"/>
      <c r="L5654"/>
    </row>
    <row r="5655" spans="9:12">
      <c r="I5655"/>
      <c r="L5655"/>
    </row>
    <row r="5656" spans="9:12">
      <c r="I5656"/>
      <c r="L5656"/>
    </row>
    <row r="5657" spans="9:12">
      <c r="I5657"/>
      <c r="L5657"/>
    </row>
    <row r="5658" spans="9:12">
      <c r="I5658"/>
      <c r="L5658"/>
    </row>
    <row r="5659" spans="9:12">
      <c r="I5659"/>
      <c r="L5659"/>
    </row>
    <row r="5660" spans="9:12">
      <c r="I5660"/>
      <c r="L5660"/>
    </row>
    <row r="5661" spans="9:12">
      <c r="I5661"/>
      <c r="L5661"/>
    </row>
    <row r="5662" spans="9:12">
      <c r="I5662"/>
      <c r="L5662"/>
    </row>
    <row r="5663" spans="9:12">
      <c r="I5663"/>
      <c r="L5663"/>
    </row>
    <row r="5664" spans="9:12">
      <c r="I5664"/>
      <c r="L5664"/>
    </row>
    <row r="5665" spans="9:12">
      <c r="I5665"/>
      <c r="L5665"/>
    </row>
    <row r="5666" spans="9:12">
      <c r="I5666"/>
      <c r="L5666"/>
    </row>
    <row r="5667" spans="9:12">
      <c r="I5667"/>
      <c r="L5667"/>
    </row>
    <row r="5668" spans="9:12">
      <c r="I5668"/>
      <c r="L5668"/>
    </row>
    <row r="5669" spans="9:12">
      <c r="I5669"/>
      <c r="L5669"/>
    </row>
    <row r="5670" spans="9:12">
      <c r="I5670"/>
      <c r="L5670"/>
    </row>
    <row r="5671" spans="9:12">
      <c r="I5671"/>
      <c r="L5671"/>
    </row>
    <row r="5672" spans="9:12">
      <c r="I5672"/>
      <c r="L5672"/>
    </row>
    <row r="5673" spans="9:12">
      <c r="I5673"/>
      <c r="L5673"/>
    </row>
    <row r="5674" spans="9:12">
      <c r="I5674"/>
      <c r="L5674"/>
    </row>
    <row r="5675" spans="9:12">
      <c r="I5675"/>
      <c r="L5675"/>
    </row>
    <row r="5676" spans="9:12">
      <c r="I5676"/>
      <c r="L5676"/>
    </row>
    <row r="5677" spans="9:12">
      <c r="I5677"/>
      <c r="L5677"/>
    </row>
    <row r="5678" spans="9:12">
      <c r="I5678"/>
      <c r="L5678"/>
    </row>
    <row r="5679" spans="9:12">
      <c r="I5679"/>
      <c r="L5679"/>
    </row>
    <row r="5680" spans="9:12">
      <c r="I5680"/>
      <c r="L5680"/>
    </row>
    <row r="5681" spans="9:12">
      <c r="I5681"/>
      <c r="L5681"/>
    </row>
    <row r="5682" spans="9:12">
      <c r="I5682"/>
      <c r="L5682"/>
    </row>
    <row r="5683" spans="9:12">
      <c r="I5683"/>
      <c r="L5683"/>
    </row>
    <row r="5684" spans="9:12">
      <c r="I5684"/>
      <c r="L5684"/>
    </row>
    <row r="5685" spans="9:12">
      <c r="I5685"/>
      <c r="L5685"/>
    </row>
    <row r="5686" spans="9:12">
      <c r="I5686"/>
      <c r="L5686"/>
    </row>
    <row r="5687" spans="9:12">
      <c r="I5687"/>
      <c r="L5687"/>
    </row>
    <row r="5688" spans="9:12">
      <c r="I5688"/>
      <c r="L5688"/>
    </row>
    <row r="5689" spans="9:12">
      <c r="I5689"/>
      <c r="L5689"/>
    </row>
    <row r="5690" spans="9:12">
      <c r="I5690"/>
      <c r="L5690"/>
    </row>
    <row r="5691" spans="9:12">
      <c r="I5691"/>
      <c r="L5691"/>
    </row>
    <row r="5692" spans="9:12">
      <c r="I5692"/>
      <c r="L5692"/>
    </row>
    <row r="5693" spans="9:12">
      <c r="I5693"/>
      <c r="L5693"/>
    </row>
    <row r="5694" spans="9:12">
      <c r="I5694"/>
      <c r="L5694"/>
    </row>
    <row r="5695" spans="9:12">
      <c r="I5695"/>
      <c r="L5695"/>
    </row>
    <row r="5696" spans="9:12">
      <c r="I5696"/>
      <c r="L5696"/>
    </row>
    <row r="5697" spans="9:12">
      <c r="I5697"/>
      <c r="L5697"/>
    </row>
    <row r="5698" spans="9:12">
      <c r="I5698"/>
      <c r="L5698"/>
    </row>
    <row r="5699" spans="9:12">
      <c r="I5699"/>
      <c r="L5699"/>
    </row>
    <row r="5700" spans="9:12">
      <c r="I5700"/>
      <c r="L5700"/>
    </row>
    <row r="5701" spans="9:12">
      <c r="I5701"/>
      <c r="L5701"/>
    </row>
    <row r="5702" spans="9:12">
      <c r="I5702"/>
      <c r="L5702"/>
    </row>
    <row r="5703" spans="9:12">
      <c r="I5703"/>
      <c r="L5703"/>
    </row>
    <row r="5704" spans="9:12">
      <c r="I5704"/>
      <c r="L5704"/>
    </row>
    <row r="5705" spans="9:12">
      <c r="I5705"/>
      <c r="L5705"/>
    </row>
    <row r="5706" spans="9:12">
      <c r="I5706"/>
      <c r="L5706"/>
    </row>
    <row r="5707" spans="9:12">
      <c r="I5707"/>
      <c r="L5707"/>
    </row>
    <row r="5708" spans="9:12">
      <c r="I5708"/>
      <c r="L5708"/>
    </row>
    <row r="5709" spans="9:12">
      <c r="I5709"/>
      <c r="L5709"/>
    </row>
    <row r="5710" spans="9:12">
      <c r="I5710"/>
      <c r="L5710"/>
    </row>
    <row r="5711" spans="9:12">
      <c r="I5711"/>
      <c r="L5711"/>
    </row>
    <row r="5712" spans="9:12">
      <c r="I5712"/>
      <c r="L5712"/>
    </row>
    <row r="5713" spans="9:12">
      <c r="I5713"/>
      <c r="L5713"/>
    </row>
    <row r="5714" spans="9:12">
      <c r="I5714"/>
      <c r="L5714"/>
    </row>
    <row r="5715" spans="9:12">
      <c r="I5715"/>
      <c r="L5715"/>
    </row>
    <row r="5716" spans="9:12">
      <c r="I5716"/>
      <c r="L5716"/>
    </row>
    <row r="5717" spans="9:12">
      <c r="I5717"/>
      <c r="L5717"/>
    </row>
    <row r="5718" spans="9:12">
      <c r="I5718"/>
      <c r="L5718"/>
    </row>
    <row r="5719" spans="9:12">
      <c r="I5719"/>
      <c r="L5719"/>
    </row>
    <row r="5720" spans="9:12">
      <c r="I5720"/>
      <c r="L5720"/>
    </row>
    <row r="5721" spans="9:12">
      <c r="I5721"/>
      <c r="L5721"/>
    </row>
    <row r="5722" spans="9:12">
      <c r="I5722"/>
      <c r="L5722"/>
    </row>
    <row r="5723" spans="9:12">
      <c r="I5723"/>
      <c r="L5723"/>
    </row>
    <row r="5724" spans="9:12">
      <c r="I5724"/>
      <c r="L5724"/>
    </row>
    <row r="5725" spans="9:12">
      <c r="I5725"/>
      <c r="L5725"/>
    </row>
    <row r="5726" spans="9:12">
      <c r="I5726"/>
      <c r="L5726"/>
    </row>
    <row r="5727" spans="9:12">
      <c r="I5727"/>
      <c r="L5727"/>
    </row>
    <row r="5728" spans="9:12">
      <c r="I5728"/>
      <c r="L5728"/>
    </row>
    <row r="5729" spans="9:12">
      <c r="I5729"/>
      <c r="L5729"/>
    </row>
    <row r="5730" spans="9:12">
      <c r="I5730"/>
      <c r="L5730"/>
    </row>
    <row r="5731" spans="9:12">
      <c r="I5731"/>
      <c r="L5731"/>
    </row>
    <row r="5732" spans="9:12">
      <c r="I5732"/>
      <c r="L5732"/>
    </row>
    <row r="5733" spans="9:12">
      <c r="I5733"/>
      <c r="L5733"/>
    </row>
    <row r="5734" spans="9:12">
      <c r="I5734"/>
      <c r="L5734"/>
    </row>
    <row r="5735" spans="9:12">
      <c r="I5735"/>
      <c r="L5735"/>
    </row>
    <row r="5736" spans="9:12">
      <c r="I5736"/>
      <c r="L5736"/>
    </row>
    <row r="5737" spans="9:12">
      <c r="I5737"/>
      <c r="L5737"/>
    </row>
    <row r="5738" spans="9:12">
      <c r="I5738"/>
      <c r="L5738"/>
    </row>
    <row r="5739" spans="9:12">
      <c r="I5739"/>
      <c r="L5739"/>
    </row>
    <row r="5740" spans="9:12">
      <c r="I5740"/>
      <c r="L5740"/>
    </row>
    <row r="5741" spans="9:12">
      <c r="I5741"/>
      <c r="L5741"/>
    </row>
    <row r="5742" spans="9:12">
      <c r="I5742"/>
      <c r="L5742"/>
    </row>
    <row r="5743" spans="9:12">
      <c r="I5743"/>
      <c r="L5743"/>
    </row>
    <row r="5744" spans="9:12">
      <c r="I5744"/>
      <c r="L5744"/>
    </row>
    <row r="5745" spans="9:12">
      <c r="I5745"/>
      <c r="L5745"/>
    </row>
    <row r="5746" spans="9:12">
      <c r="I5746"/>
      <c r="L5746"/>
    </row>
    <row r="5747" spans="9:12">
      <c r="I5747"/>
      <c r="L5747"/>
    </row>
    <row r="5748" spans="9:12">
      <c r="I5748"/>
      <c r="L5748"/>
    </row>
    <row r="5749" spans="9:12">
      <c r="I5749"/>
      <c r="L5749"/>
    </row>
    <row r="5750" spans="9:12">
      <c r="I5750"/>
      <c r="L5750"/>
    </row>
    <row r="5751" spans="9:12">
      <c r="I5751"/>
      <c r="L5751"/>
    </row>
    <row r="5752" spans="9:12">
      <c r="I5752"/>
      <c r="L5752"/>
    </row>
    <row r="5753" spans="9:12">
      <c r="I5753"/>
      <c r="L5753"/>
    </row>
    <row r="5754" spans="9:12">
      <c r="I5754"/>
      <c r="L5754"/>
    </row>
    <row r="5755" spans="9:12">
      <c r="I5755"/>
      <c r="L5755"/>
    </row>
    <row r="5756" spans="9:12">
      <c r="I5756"/>
      <c r="L5756"/>
    </row>
    <row r="5757" spans="9:12">
      <c r="I5757"/>
      <c r="L5757"/>
    </row>
    <row r="5758" spans="9:12">
      <c r="I5758"/>
      <c r="L5758"/>
    </row>
    <row r="5759" spans="9:12">
      <c r="I5759"/>
      <c r="L5759"/>
    </row>
    <row r="5760" spans="9:12">
      <c r="I5760"/>
      <c r="L5760"/>
    </row>
    <row r="5761" spans="9:12">
      <c r="I5761"/>
      <c r="L5761"/>
    </row>
    <row r="5762" spans="9:12">
      <c r="I5762"/>
      <c r="L5762"/>
    </row>
    <row r="5763" spans="9:12">
      <c r="I5763"/>
      <c r="L5763"/>
    </row>
    <row r="5764" spans="9:12">
      <c r="I5764"/>
      <c r="L5764"/>
    </row>
    <row r="5765" spans="9:12">
      <c r="I5765"/>
      <c r="L5765"/>
    </row>
    <row r="5766" spans="9:12">
      <c r="I5766"/>
      <c r="L5766"/>
    </row>
    <row r="5767" spans="9:12">
      <c r="I5767"/>
      <c r="L5767"/>
    </row>
    <row r="5768" spans="9:12">
      <c r="I5768"/>
      <c r="L5768"/>
    </row>
    <row r="5769" spans="9:12">
      <c r="I5769"/>
      <c r="L5769"/>
    </row>
    <row r="5770" spans="9:12">
      <c r="I5770"/>
      <c r="L5770"/>
    </row>
    <row r="5771" spans="9:12">
      <c r="I5771"/>
      <c r="L5771"/>
    </row>
    <row r="5772" spans="9:12">
      <c r="I5772"/>
      <c r="L5772"/>
    </row>
    <row r="5773" spans="9:12">
      <c r="I5773"/>
      <c r="L5773"/>
    </row>
    <row r="5774" spans="9:12">
      <c r="I5774"/>
      <c r="L5774"/>
    </row>
    <row r="5775" spans="9:12">
      <c r="I5775"/>
      <c r="L5775"/>
    </row>
    <row r="5776" spans="9:12">
      <c r="I5776"/>
      <c r="L5776"/>
    </row>
    <row r="5777" spans="9:12">
      <c r="I5777"/>
      <c r="L5777"/>
    </row>
    <row r="5778" spans="9:12">
      <c r="I5778"/>
      <c r="L5778"/>
    </row>
    <row r="5779" spans="9:12">
      <c r="I5779"/>
      <c r="L5779"/>
    </row>
    <row r="5780" spans="9:12">
      <c r="I5780"/>
      <c r="L5780"/>
    </row>
    <row r="5781" spans="9:12">
      <c r="I5781"/>
      <c r="L5781"/>
    </row>
    <row r="5782" spans="9:12">
      <c r="I5782"/>
      <c r="L5782"/>
    </row>
    <row r="5783" spans="9:12">
      <c r="I5783"/>
      <c r="L5783"/>
    </row>
    <row r="5784" spans="9:12">
      <c r="I5784"/>
      <c r="L5784"/>
    </row>
    <row r="5785" spans="9:12">
      <c r="I5785"/>
      <c r="L5785"/>
    </row>
    <row r="5786" spans="9:12">
      <c r="I5786"/>
      <c r="L5786"/>
    </row>
    <row r="5787" spans="9:12">
      <c r="I5787"/>
      <c r="L5787"/>
    </row>
    <row r="5788" spans="9:12">
      <c r="I5788"/>
      <c r="L5788"/>
    </row>
    <row r="5789" spans="9:12">
      <c r="I5789"/>
      <c r="L5789"/>
    </row>
    <row r="5790" spans="9:12">
      <c r="I5790"/>
      <c r="L5790"/>
    </row>
    <row r="5791" spans="9:12">
      <c r="I5791"/>
      <c r="L5791"/>
    </row>
    <row r="5792" spans="9:12">
      <c r="I5792"/>
      <c r="L5792"/>
    </row>
    <row r="5793" spans="9:12">
      <c r="I5793"/>
      <c r="L5793"/>
    </row>
    <row r="5794" spans="9:12">
      <c r="I5794"/>
      <c r="L5794"/>
    </row>
    <row r="5795" spans="9:12">
      <c r="I5795"/>
      <c r="L5795"/>
    </row>
    <row r="5796" spans="9:12">
      <c r="I5796"/>
      <c r="L5796"/>
    </row>
    <row r="5797" spans="9:12">
      <c r="I5797"/>
      <c r="L5797"/>
    </row>
    <row r="5798" spans="9:12">
      <c r="I5798"/>
      <c r="L5798"/>
    </row>
    <row r="5799" spans="9:12">
      <c r="I5799"/>
      <c r="L5799"/>
    </row>
    <row r="5800" spans="9:12">
      <c r="I5800"/>
      <c r="L5800"/>
    </row>
    <row r="5801" spans="9:12">
      <c r="I5801"/>
      <c r="L5801"/>
    </row>
    <row r="5802" spans="9:12">
      <c r="I5802"/>
      <c r="L5802"/>
    </row>
    <row r="5803" spans="9:12">
      <c r="I5803"/>
      <c r="L5803"/>
    </row>
    <row r="5804" spans="9:12">
      <c r="I5804"/>
      <c r="L5804"/>
    </row>
    <row r="5805" spans="9:12">
      <c r="I5805"/>
      <c r="L5805"/>
    </row>
    <row r="5806" spans="9:12">
      <c r="I5806"/>
      <c r="L5806"/>
    </row>
    <row r="5807" spans="9:12">
      <c r="I5807"/>
      <c r="L5807"/>
    </row>
    <row r="5808" spans="9:12">
      <c r="I5808"/>
      <c r="L5808"/>
    </row>
    <row r="5809" spans="9:12">
      <c r="I5809"/>
      <c r="L5809"/>
    </row>
    <row r="5810" spans="9:12">
      <c r="I5810"/>
      <c r="L5810"/>
    </row>
    <row r="5811" spans="9:12">
      <c r="I5811"/>
      <c r="L5811"/>
    </row>
    <row r="5812" spans="9:12">
      <c r="I5812"/>
      <c r="L5812"/>
    </row>
    <row r="5813" spans="9:12">
      <c r="I5813"/>
      <c r="L5813"/>
    </row>
    <row r="5814" spans="9:12">
      <c r="I5814"/>
      <c r="L5814"/>
    </row>
    <row r="5815" spans="9:12">
      <c r="I5815"/>
      <c r="L5815"/>
    </row>
    <row r="5816" spans="9:12">
      <c r="I5816"/>
      <c r="L5816"/>
    </row>
    <row r="5817" spans="9:12">
      <c r="I5817"/>
      <c r="L5817"/>
    </row>
    <row r="5818" spans="9:12">
      <c r="I5818"/>
      <c r="L5818"/>
    </row>
    <row r="5819" spans="9:12">
      <c r="I5819"/>
      <c r="L5819"/>
    </row>
    <row r="5820" spans="9:12">
      <c r="I5820"/>
      <c r="L5820"/>
    </row>
    <row r="5821" spans="9:12">
      <c r="I5821"/>
      <c r="L5821"/>
    </row>
    <row r="5822" spans="9:12">
      <c r="I5822"/>
      <c r="L5822"/>
    </row>
    <row r="5823" spans="9:12">
      <c r="I5823"/>
      <c r="L5823"/>
    </row>
    <row r="5824" spans="9:12">
      <c r="I5824"/>
      <c r="L5824"/>
    </row>
    <row r="5825" spans="9:12">
      <c r="I5825"/>
      <c r="L5825"/>
    </row>
    <row r="5826" spans="9:12">
      <c r="I5826"/>
      <c r="L5826"/>
    </row>
    <row r="5827" spans="9:12">
      <c r="I5827"/>
      <c r="L5827"/>
    </row>
    <row r="5828" spans="9:12">
      <c r="I5828"/>
      <c r="L5828"/>
    </row>
    <row r="5829" spans="9:12">
      <c r="I5829"/>
      <c r="L5829"/>
    </row>
    <row r="5830" spans="9:12">
      <c r="I5830"/>
      <c r="L5830"/>
    </row>
    <row r="5831" spans="9:12">
      <c r="I5831"/>
      <c r="L5831"/>
    </row>
    <row r="5832" spans="9:12">
      <c r="I5832"/>
      <c r="L5832"/>
    </row>
    <row r="5833" spans="9:12">
      <c r="I5833"/>
      <c r="L5833"/>
    </row>
    <row r="5834" spans="9:12">
      <c r="I5834"/>
      <c r="L5834"/>
    </row>
    <row r="5835" spans="9:12">
      <c r="I5835"/>
      <c r="L5835"/>
    </row>
    <row r="5836" spans="9:12">
      <c r="I5836"/>
      <c r="L5836"/>
    </row>
    <row r="5837" spans="9:12">
      <c r="I5837"/>
      <c r="L5837"/>
    </row>
    <row r="5838" spans="9:12">
      <c r="I5838"/>
      <c r="L5838"/>
    </row>
    <row r="5839" spans="9:12">
      <c r="I5839"/>
      <c r="L5839"/>
    </row>
    <row r="5840" spans="9:12">
      <c r="I5840"/>
      <c r="L5840"/>
    </row>
    <row r="5841" spans="9:12">
      <c r="I5841"/>
      <c r="L5841"/>
    </row>
    <row r="5842" spans="9:12">
      <c r="I5842"/>
      <c r="L5842"/>
    </row>
    <row r="5843" spans="9:12">
      <c r="I5843"/>
      <c r="L5843"/>
    </row>
    <row r="5844" spans="9:12">
      <c r="I5844"/>
      <c r="L5844"/>
    </row>
    <row r="5845" spans="9:12">
      <c r="I5845"/>
      <c r="L5845"/>
    </row>
    <row r="5846" spans="9:12">
      <c r="I5846"/>
      <c r="L5846"/>
    </row>
    <row r="5847" spans="9:12">
      <c r="I5847"/>
      <c r="L5847"/>
    </row>
    <row r="5848" spans="9:12">
      <c r="I5848"/>
      <c r="L5848"/>
    </row>
    <row r="5849" spans="9:12">
      <c r="I5849"/>
      <c r="L5849"/>
    </row>
    <row r="5850" spans="9:12">
      <c r="I5850"/>
      <c r="L5850"/>
    </row>
    <row r="5851" spans="9:12">
      <c r="I5851"/>
      <c r="L5851"/>
    </row>
    <row r="5852" spans="9:12">
      <c r="I5852"/>
      <c r="L5852"/>
    </row>
    <row r="5853" spans="9:12">
      <c r="I5853"/>
      <c r="L5853"/>
    </row>
    <row r="5854" spans="9:12">
      <c r="I5854"/>
      <c r="L5854"/>
    </row>
    <row r="5855" spans="9:12">
      <c r="I5855"/>
      <c r="L5855"/>
    </row>
    <row r="5856" spans="9:12">
      <c r="I5856"/>
      <c r="L5856"/>
    </row>
    <row r="5857" spans="9:12">
      <c r="I5857"/>
      <c r="L5857"/>
    </row>
    <row r="5858" spans="9:12">
      <c r="I5858"/>
      <c r="L5858"/>
    </row>
    <row r="5859" spans="9:12">
      <c r="I5859"/>
      <c r="L5859"/>
    </row>
    <row r="5860" spans="9:12">
      <c r="I5860"/>
      <c r="L5860"/>
    </row>
    <row r="5861" spans="9:12">
      <c r="I5861"/>
      <c r="L5861"/>
    </row>
    <row r="5862" spans="9:12">
      <c r="I5862"/>
      <c r="L5862"/>
    </row>
    <row r="5863" spans="9:12">
      <c r="I5863"/>
      <c r="L5863"/>
    </row>
    <row r="5864" spans="9:12">
      <c r="I5864"/>
      <c r="L5864"/>
    </row>
    <row r="5865" spans="9:12">
      <c r="I5865"/>
      <c r="L5865"/>
    </row>
    <row r="5866" spans="9:12">
      <c r="I5866"/>
      <c r="L5866"/>
    </row>
    <row r="5867" spans="9:12">
      <c r="I5867"/>
      <c r="L5867"/>
    </row>
    <row r="5868" spans="9:12">
      <c r="I5868"/>
      <c r="L5868"/>
    </row>
    <row r="5869" spans="9:12">
      <c r="I5869"/>
      <c r="L5869"/>
    </row>
    <row r="5870" spans="9:12">
      <c r="I5870"/>
      <c r="L5870"/>
    </row>
    <row r="5871" spans="9:12">
      <c r="I5871"/>
      <c r="L5871"/>
    </row>
    <row r="5872" spans="9:12">
      <c r="I5872"/>
      <c r="L5872"/>
    </row>
    <row r="5873" spans="9:12">
      <c r="I5873"/>
      <c r="L5873"/>
    </row>
    <row r="5874" spans="9:12">
      <c r="I5874"/>
      <c r="L5874"/>
    </row>
    <row r="5875" spans="9:12">
      <c r="I5875"/>
      <c r="L5875"/>
    </row>
    <row r="5876" spans="9:12">
      <c r="I5876"/>
      <c r="L5876"/>
    </row>
    <row r="5877" spans="9:12">
      <c r="I5877"/>
      <c r="L5877"/>
    </row>
    <row r="5878" spans="9:12">
      <c r="I5878"/>
      <c r="L5878"/>
    </row>
    <row r="5879" spans="9:12">
      <c r="I5879"/>
      <c r="L5879"/>
    </row>
    <row r="5880" spans="9:12">
      <c r="I5880"/>
      <c r="L5880"/>
    </row>
    <row r="5881" spans="9:12">
      <c r="I5881"/>
      <c r="L5881"/>
    </row>
    <row r="5882" spans="9:12">
      <c r="I5882"/>
      <c r="L5882"/>
    </row>
    <row r="5883" spans="9:12">
      <c r="I5883"/>
      <c r="L5883"/>
    </row>
    <row r="5884" spans="9:12">
      <c r="I5884"/>
      <c r="L5884"/>
    </row>
    <row r="5885" spans="9:12">
      <c r="I5885"/>
      <c r="L5885"/>
    </row>
    <row r="5886" spans="9:12">
      <c r="I5886"/>
      <c r="L5886"/>
    </row>
    <row r="5887" spans="9:12">
      <c r="I5887"/>
      <c r="L5887"/>
    </row>
    <row r="5888" spans="9:12">
      <c r="I5888"/>
      <c r="L5888"/>
    </row>
    <row r="5889" spans="9:12">
      <c r="I5889"/>
      <c r="L5889"/>
    </row>
    <row r="5890" spans="9:12">
      <c r="I5890"/>
      <c r="L5890"/>
    </row>
    <row r="5891" spans="9:12">
      <c r="I5891"/>
      <c r="L5891"/>
    </row>
    <row r="5892" spans="9:12">
      <c r="I5892"/>
      <c r="L5892"/>
    </row>
    <row r="5893" spans="9:12">
      <c r="I5893"/>
      <c r="L5893"/>
    </row>
    <row r="5894" spans="9:12">
      <c r="I5894"/>
      <c r="L5894"/>
    </row>
    <row r="5895" spans="9:12">
      <c r="I5895"/>
      <c r="L5895"/>
    </row>
    <row r="5896" spans="9:12">
      <c r="I5896"/>
      <c r="L5896"/>
    </row>
    <row r="5897" spans="9:12">
      <c r="I5897"/>
      <c r="L5897"/>
    </row>
    <row r="5898" spans="9:12">
      <c r="I5898"/>
      <c r="L5898"/>
    </row>
    <row r="5899" spans="9:12">
      <c r="I5899"/>
      <c r="L5899"/>
    </row>
    <row r="5900" spans="9:12">
      <c r="I5900"/>
      <c r="L5900"/>
    </row>
    <row r="5901" spans="9:12">
      <c r="I5901"/>
      <c r="L5901"/>
    </row>
    <row r="5902" spans="9:12">
      <c r="I5902"/>
      <c r="L5902"/>
    </row>
    <row r="5903" spans="9:12">
      <c r="I5903"/>
      <c r="L5903"/>
    </row>
    <row r="5904" spans="9:12">
      <c r="I5904"/>
      <c r="L5904"/>
    </row>
    <row r="5905" spans="9:12">
      <c r="I5905"/>
      <c r="L5905"/>
    </row>
    <row r="5906" spans="9:12">
      <c r="I5906"/>
      <c r="L5906"/>
    </row>
    <row r="5907" spans="9:12">
      <c r="I5907"/>
      <c r="L5907"/>
    </row>
    <row r="5908" spans="9:12">
      <c r="I5908"/>
      <c r="L5908"/>
    </row>
    <row r="5909" spans="9:12">
      <c r="I5909"/>
      <c r="L5909"/>
    </row>
    <row r="5910" spans="9:12">
      <c r="I5910"/>
      <c r="L5910"/>
    </row>
    <row r="5911" spans="9:12">
      <c r="I5911"/>
      <c r="L5911"/>
    </row>
    <row r="5912" spans="9:12">
      <c r="I5912"/>
      <c r="L5912"/>
    </row>
    <row r="5913" spans="9:12">
      <c r="I5913"/>
      <c r="L5913"/>
    </row>
    <row r="5914" spans="9:12">
      <c r="I5914"/>
      <c r="L5914"/>
    </row>
    <row r="5915" spans="9:12">
      <c r="I5915"/>
      <c r="L5915"/>
    </row>
    <row r="5916" spans="9:12">
      <c r="I5916"/>
      <c r="L5916"/>
    </row>
    <row r="5917" spans="9:12">
      <c r="I5917"/>
      <c r="L5917"/>
    </row>
    <row r="5918" spans="9:12">
      <c r="I5918"/>
      <c r="L5918"/>
    </row>
    <row r="5919" spans="9:12">
      <c r="I5919"/>
      <c r="L5919"/>
    </row>
    <row r="5920" spans="9:12">
      <c r="I5920"/>
      <c r="L5920"/>
    </row>
    <row r="5921" spans="9:12">
      <c r="I5921"/>
      <c r="L5921"/>
    </row>
    <row r="5922" spans="9:12">
      <c r="I5922"/>
      <c r="L5922"/>
    </row>
    <row r="5923" spans="9:12">
      <c r="I5923"/>
      <c r="L5923"/>
    </row>
    <row r="5924" spans="9:12">
      <c r="I5924"/>
      <c r="L5924"/>
    </row>
    <row r="5925" spans="9:12">
      <c r="I5925"/>
      <c r="L5925"/>
    </row>
    <row r="5926" spans="9:12">
      <c r="I5926"/>
      <c r="L5926"/>
    </row>
    <row r="5927" spans="9:12">
      <c r="I5927"/>
      <c r="L5927"/>
    </row>
    <row r="5928" spans="9:12">
      <c r="I5928"/>
      <c r="L5928"/>
    </row>
    <row r="5929" spans="9:12">
      <c r="I5929"/>
      <c r="L5929"/>
    </row>
    <row r="5930" spans="9:12">
      <c r="I5930"/>
      <c r="L5930"/>
    </row>
    <row r="5931" spans="9:12">
      <c r="I5931"/>
      <c r="L5931"/>
    </row>
    <row r="5932" spans="9:12">
      <c r="I5932"/>
      <c r="L5932"/>
    </row>
    <row r="5933" spans="9:12">
      <c r="I5933"/>
      <c r="L5933"/>
    </row>
    <row r="5934" spans="9:12">
      <c r="I5934"/>
      <c r="L5934"/>
    </row>
    <row r="5935" spans="9:12">
      <c r="I5935"/>
      <c r="L5935"/>
    </row>
    <row r="5936" spans="9:12">
      <c r="I5936"/>
      <c r="L5936"/>
    </row>
    <row r="5937" spans="9:12">
      <c r="I5937"/>
      <c r="L5937"/>
    </row>
    <row r="5938" spans="9:12">
      <c r="I5938"/>
      <c r="L5938"/>
    </row>
    <row r="5939" spans="9:12">
      <c r="I5939"/>
      <c r="L5939"/>
    </row>
    <row r="5940" spans="9:12">
      <c r="I5940"/>
      <c r="L5940"/>
    </row>
    <row r="5941" spans="9:12">
      <c r="I5941"/>
      <c r="L5941"/>
    </row>
    <row r="5942" spans="9:12">
      <c r="I5942"/>
      <c r="L5942"/>
    </row>
    <row r="5943" spans="9:12">
      <c r="I5943"/>
      <c r="L5943"/>
    </row>
    <row r="5944" spans="9:12">
      <c r="I5944"/>
      <c r="L5944"/>
    </row>
    <row r="5945" spans="9:12">
      <c r="I5945"/>
      <c r="L5945"/>
    </row>
    <row r="5946" spans="9:12">
      <c r="I5946"/>
      <c r="L5946"/>
    </row>
    <row r="5947" spans="9:12">
      <c r="I5947"/>
      <c r="L5947"/>
    </row>
    <row r="5948" spans="9:12">
      <c r="I5948"/>
      <c r="L5948"/>
    </row>
    <row r="5949" spans="9:12">
      <c r="I5949"/>
      <c r="L5949"/>
    </row>
    <row r="5950" spans="9:12">
      <c r="I5950"/>
      <c r="L5950"/>
    </row>
    <row r="5951" spans="9:12">
      <c r="I5951"/>
      <c r="L5951"/>
    </row>
    <row r="5952" spans="9:12">
      <c r="I5952"/>
      <c r="L5952"/>
    </row>
    <row r="5953" spans="9:12">
      <c r="I5953"/>
      <c r="L5953"/>
    </row>
    <row r="5954" spans="9:12">
      <c r="I5954"/>
      <c r="L5954"/>
    </row>
    <row r="5955" spans="9:12">
      <c r="I5955"/>
      <c r="L5955"/>
    </row>
    <row r="5956" spans="9:12">
      <c r="I5956"/>
      <c r="L5956"/>
    </row>
    <row r="5957" spans="9:12">
      <c r="I5957"/>
      <c r="L5957"/>
    </row>
    <row r="5958" spans="9:12">
      <c r="I5958"/>
      <c r="L5958"/>
    </row>
    <row r="5959" spans="9:12">
      <c r="I5959"/>
      <c r="L5959"/>
    </row>
    <row r="5960" spans="9:12">
      <c r="I5960"/>
      <c r="L5960"/>
    </row>
    <row r="5961" spans="9:12">
      <c r="I5961"/>
      <c r="L5961"/>
    </row>
    <row r="5962" spans="9:12">
      <c r="I5962"/>
      <c r="L5962"/>
    </row>
    <row r="5963" spans="9:12">
      <c r="I5963"/>
      <c r="L5963"/>
    </row>
    <row r="5964" spans="9:12">
      <c r="I5964"/>
      <c r="L5964"/>
    </row>
    <row r="5965" spans="9:12">
      <c r="I5965"/>
      <c r="L5965"/>
    </row>
    <row r="5966" spans="9:12">
      <c r="I5966"/>
      <c r="L5966"/>
    </row>
    <row r="5967" spans="9:12">
      <c r="I5967"/>
      <c r="L5967"/>
    </row>
    <row r="5968" spans="9:12">
      <c r="I5968"/>
      <c r="L5968"/>
    </row>
    <row r="5969" spans="9:12">
      <c r="I5969"/>
      <c r="L5969"/>
    </row>
    <row r="5970" spans="9:12">
      <c r="I5970"/>
      <c r="L5970"/>
    </row>
    <row r="5971" spans="9:12">
      <c r="I5971"/>
      <c r="L5971"/>
    </row>
    <row r="5972" spans="9:12">
      <c r="I5972"/>
      <c r="L5972"/>
    </row>
    <row r="5973" spans="9:12">
      <c r="I5973"/>
      <c r="L5973"/>
    </row>
    <row r="5974" spans="9:12">
      <c r="I5974"/>
      <c r="L5974"/>
    </row>
    <row r="5975" spans="9:12">
      <c r="I5975"/>
      <c r="L5975"/>
    </row>
    <row r="5976" spans="9:12">
      <c r="I5976"/>
      <c r="L5976"/>
    </row>
    <row r="5977" spans="9:12">
      <c r="I5977"/>
      <c r="L5977"/>
    </row>
    <row r="5978" spans="9:12">
      <c r="I5978"/>
      <c r="L5978"/>
    </row>
    <row r="5979" spans="9:12">
      <c r="I5979"/>
      <c r="L5979"/>
    </row>
    <row r="5980" spans="9:12">
      <c r="I5980"/>
      <c r="L5980"/>
    </row>
    <row r="5981" spans="9:12">
      <c r="I5981"/>
      <c r="L5981"/>
    </row>
    <row r="5982" spans="9:12">
      <c r="I5982"/>
      <c r="L5982"/>
    </row>
    <row r="5983" spans="9:12">
      <c r="I5983"/>
      <c r="L5983"/>
    </row>
    <row r="5984" spans="9:12">
      <c r="I5984"/>
      <c r="L5984"/>
    </row>
    <row r="5985" spans="9:12">
      <c r="I5985"/>
      <c r="L5985"/>
    </row>
    <row r="5986" spans="9:12">
      <c r="I5986"/>
      <c r="L5986"/>
    </row>
    <row r="5987" spans="9:12">
      <c r="I5987"/>
      <c r="L5987"/>
    </row>
    <row r="5988" spans="9:12">
      <c r="I5988"/>
      <c r="L5988"/>
    </row>
    <row r="5989" spans="9:12">
      <c r="I5989"/>
      <c r="L5989"/>
    </row>
    <row r="5990" spans="9:12">
      <c r="I5990"/>
      <c r="L5990"/>
    </row>
    <row r="5991" spans="9:12">
      <c r="I5991"/>
      <c r="L5991"/>
    </row>
    <row r="5992" spans="9:12">
      <c r="I5992"/>
      <c r="L5992"/>
    </row>
    <row r="5993" spans="9:12">
      <c r="I5993"/>
      <c r="L5993"/>
    </row>
    <row r="5994" spans="9:12">
      <c r="I5994"/>
      <c r="L5994"/>
    </row>
    <row r="5995" spans="9:12">
      <c r="I5995"/>
      <c r="L5995"/>
    </row>
    <row r="5996" spans="9:12">
      <c r="I5996"/>
      <c r="L5996"/>
    </row>
    <row r="5997" spans="9:12">
      <c r="I5997"/>
      <c r="L5997"/>
    </row>
    <row r="5998" spans="9:12">
      <c r="I5998"/>
      <c r="L5998"/>
    </row>
    <row r="5999" spans="9:12">
      <c r="I5999"/>
      <c r="L5999"/>
    </row>
    <row r="6000" spans="9:12">
      <c r="I6000"/>
      <c r="L6000"/>
    </row>
    <row r="6001" spans="9:12">
      <c r="I6001"/>
      <c r="L6001"/>
    </row>
    <row r="6002" spans="9:12">
      <c r="I6002"/>
      <c r="L6002"/>
    </row>
    <row r="6003" spans="9:12">
      <c r="I6003"/>
      <c r="L6003"/>
    </row>
    <row r="6004" spans="9:12">
      <c r="I6004"/>
      <c r="L6004"/>
    </row>
    <row r="6005" spans="9:12">
      <c r="I6005"/>
      <c r="L6005"/>
    </row>
    <row r="6006" spans="9:12">
      <c r="I6006"/>
      <c r="L6006"/>
    </row>
    <row r="6007" spans="9:12">
      <c r="I6007"/>
      <c r="L6007"/>
    </row>
    <row r="6008" spans="9:12">
      <c r="I6008"/>
      <c r="L6008"/>
    </row>
    <row r="6009" spans="9:12">
      <c r="I6009"/>
      <c r="L6009"/>
    </row>
    <row r="6010" spans="9:12">
      <c r="I6010"/>
      <c r="L6010"/>
    </row>
    <row r="6011" spans="9:12">
      <c r="I6011"/>
      <c r="L6011"/>
    </row>
    <row r="6012" spans="9:12">
      <c r="I6012"/>
      <c r="L6012"/>
    </row>
    <row r="6013" spans="9:12">
      <c r="I6013"/>
      <c r="L6013"/>
    </row>
    <row r="6014" spans="9:12">
      <c r="I6014"/>
      <c r="L6014"/>
    </row>
    <row r="6015" spans="9:12">
      <c r="I6015"/>
      <c r="L6015"/>
    </row>
    <row r="6016" spans="9:12">
      <c r="I6016"/>
      <c r="L6016"/>
    </row>
    <row r="6017" spans="9:12">
      <c r="I6017"/>
      <c r="L6017"/>
    </row>
    <row r="6018" spans="9:12">
      <c r="I6018"/>
      <c r="L6018"/>
    </row>
    <row r="6019" spans="9:12">
      <c r="I6019"/>
      <c r="L6019"/>
    </row>
    <row r="6020" spans="9:12">
      <c r="I6020"/>
      <c r="L6020"/>
    </row>
    <row r="6021" spans="9:12">
      <c r="I6021"/>
      <c r="L6021"/>
    </row>
    <row r="6022" spans="9:12">
      <c r="I6022"/>
      <c r="L6022"/>
    </row>
    <row r="6023" spans="9:12">
      <c r="I6023"/>
      <c r="L6023"/>
    </row>
    <row r="6024" spans="9:12">
      <c r="I6024"/>
      <c r="L6024"/>
    </row>
    <row r="6025" spans="9:12">
      <c r="I6025"/>
      <c r="L6025"/>
    </row>
    <row r="6026" spans="9:12">
      <c r="I6026"/>
      <c r="L6026"/>
    </row>
    <row r="6027" spans="9:12">
      <c r="I6027"/>
      <c r="L6027"/>
    </row>
    <row r="6028" spans="9:12">
      <c r="I6028"/>
      <c r="L6028"/>
    </row>
    <row r="6029" spans="9:12">
      <c r="I6029"/>
      <c r="L6029"/>
    </row>
    <row r="6030" spans="9:12">
      <c r="I6030"/>
      <c r="L6030"/>
    </row>
    <row r="6031" spans="9:12">
      <c r="I6031"/>
      <c r="L6031"/>
    </row>
    <row r="6032" spans="9:12">
      <c r="I6032"/>
      <c r="L6032"/>
    </row>
    <row r="6033" spans="9:12">
      <c r="I6033"/>
      <c r="L6033"/>
    </row>
    <row r="6034" spans="9:12">
      <c r="I6034"/>
      <c r="L6034"/>
    </row>
    <row r="6035" spans="9:12">
      <c r="I6035"/>
      <c r="L6035"/>
    </row>
    <row r="6036" spans="9:12">
      <c r="I6036"/>
      <c r="L6036"/>
    </row>
    <row r="6037" spans="9:12">
      <c r="I6037"/>
      <c r="L6037"/>
    </row>
    <row r="6038" spans="9:12">
      <c r="I6038"/>
      <c r="L6038"/>
    </row>
    <row r="6039" spans="9:12">
      <c r="I6039"/>
      <c r="L6039"/>
    </row>
    <row r="6040" spans="9:12">
      <c r="I6040"/>
      <c r="L6040"/>
    </row>
    <row r="6041" spans="9:12">
      <c r="I6041"/>
      <c r="L6041"/>
    </row>
    <row r="6042" spans="9:12">
      <c r="I6042"/>
      <c r="L6042"/>
    </row>
    <row r="6043" spans="9:12">
      <c r="I6043"/>
      <c r="L6043"/>
    </row>
    <row r="6044" spans="9:12">
      <c r="I6044"/>
      <c r="L6044"/>
    </row>
    <row r="6045" spans="9:12">
      <c r="I6045"/>
      <c r="L6045"/>
    </row>
    <row r="6046" spans="9:12">
      <c r="I6046"/>
      <c r="L6046"/>
    </row>
    <row r="6047" spans="9:12">
      <c r="I6047"/>
      <c r="L6047"/>
    </row>
    <row r="6048" spans="9:12">
      <c r="I6048"/>
      <c r="L6048"/>
    </row>
    <row r="6049" spans="9:12">
      <c r="I6049"/>
      <c r="L6049"/>
    </row>
    <row r="6050" spans="9:12">
      <c r="I6050"/>
      <c r="L6050"/>
    </row>
    <row r="6051" spans="9:12">
      <c r="I6051"/>
      <c r="L6051"/>
    </row>
    <row r="6052" spans="9:12">
      <c r="I6052"/>
      <c r="L6052"/>
    </row>
    <row r="6053" spans="9:12">
      <c r="I6053"/>
      <c r="L6053"/>
    </row>
    <row r="6054" spans="9:12">
      <c r="I6054"/>
      <c r="L6054"/>
    </row>
    <row r="6055" spans="9:12">
      <c r="I6055"/>
      <c r="L6055"/>
    </row>
    <row r="6056" spans="9:12">
      <c r="I6056"/>
      <c r="L6056"/>
    </row>
    <row r="6057" spans="9:12">
      <c r="I6057"/>
      <c r="L6057"/>
    </row>
    <row r="6058" spans="9:12">
      <c r="I6058"/>
      <c r="L6058"/>
    </row>
    <row r="6059" spans="9:12">
      <c r="I6059"/>
      <c r="L6059"/>
    </row>
    <row r="6060" spans="9:12">
      <c r="I6060"/>
      <c r="L6060"/>
    </row>
    <row r="6061" spans="9:12">
      <c r="I6061"/>
      <c r="L6061"/>
    </row>
    <row r="6062" spans="9:12">
      <c r="I6062"/>
      <c r="L6062"/>
    </row>
    <row r="6063" spans="9:12">
      <c r="I6063"/>
      <c r="L6063"/>
    </row>
    <row r="6064" spans="9:12">
      <c r="I6064"/>
      <c r="L6064"/>
    </row>
    <row r="6065" spans="9:12">
      <c r="I6065"/>
      <c r="L6065"/>
    </row>
    <row r="6066" spans="9:12">
      <c r="I6066"/>
      <c r="L6066"/>
    </row>
    <row r="6067" spans="9:12">
      <c r="I6067"/>
      <c r="L6067"/>
    </row>
    <row r="6068" spans="9:12">
      <c r="I6068"/>
      <c r="L6068"/>
    </row>
    <row r="6069" spans="9:12">
      <c r="I6069"/>
      <c r="L6069"/>
    </row>
    <row r="6070" spans="9:12">
      <c r="I6070"/>
      <c r="L6070"/>
    </row>
    <row r="6071" spans="9:12">
      <c r="I6071"/>
      <c r="L6071"/>
    </row>
    <row r="6072" spans="9:12">
      <c r="I6072"/>
      <c r="L6072"/>
    </row>
    <row r="6073" spans="9:12">
      <c r="I6073"/>
      <c r="L6073"/>
    </row>
    <row r="6074" spans="9:12">
      <c r="I6074"/>
      <c r="L6074"/>
    </row>
    <row r="6075" spans="9:12">
      <c r="I6075"/>
      <c r="L6075"/>
    </row>
    <row r="6076" spans="9:12">
      <c r="I6076"/>
      <c r="L6076"/>
    </row>
    <row r="6077" spans="9:12">
      <c r="I6077"/>
      <c r="L6077"/>
    </row>
    <row r="6078" spans="9:12">
      <c r="I6078"/>
      <c r="L6078"/>
    </row>
    <row r="6079" spans="9:12">
      <c r="I6079"/>
      <c r="L6079"/>
    </row>
    <row r="6080" spans="9:12">
      <c r="I6080"/>
      <c r="L6080"/>
    </row>
    <row r="6081" spans="9:12">
      <c r="I6081"/>
      <c r="L6081"/>
    </row>
    <row r="6082" spans="9:12">
      <c r="I6082"/>
      <c r="L6082"/>
    </row>
    <row r="6083" spans="9:12">
      <c r="I6083"/>
      <c r="L6083"/>
    </row>
    <row r="6084" spans="9:12">
      <c r="I6084"/>
      <c r="L6084"/>
    </row>
    <row r="6085" spans="9:12">
      <c r="I6085"/>
      <c r="L6085"/>
    </row>
    <row r="6086" spans="9:12">
      <c r="I6086"/>
      <c r="L6086"/>
    </row>
    <row r="6087" spans="9:12">
      <c r="I6087"/>
      <c r="L6087"/>
    </row>
    <row r="6088" spans="9:12">
      <c r="I6088"/>
      <c r="L6088"/>
    </row>
    <row r="6089" spans="9:12">
      <c r="I6089"/>
      <c r="L6089"/>
    </row>
    <row r="6090" spans="9:12">
      <c r="I6090"/>
      <c r="L6090"/>
    </row>
    <row r="6091" spans="9:12">
      <c r="I6091"/>
      <c r="L6091"/>
    </row>
    <row r="6092" spans="9:12">
      <c r="I6092"/>
      <c r="L6092"/>
    </row>
    <row r="6093" spans="9:12">
      <c r="I6093"/>
      <c r="L6093"/>
    </row>
    <row r="6094" spans="9:12">
      <c r="I6094"/>
      <c r="L6094"/>
    </row>
    <row r="6095" spans="9:12">
      <c r="I6095"/>
      <c r="L6095"/>
    </row>
    <row r="6096" spans="9:12">
      <c r="I6096"/>
      <c r="L6096"/>
    </row>
    <row r="6097" spans="9:12">
      <c r="I6097"/>
      <c r="L6097"/>
    </row>
    <row r="6098" spans="9:12">
      <c r="I6098"/>
      <c r="L6098"/>
    </row>
    <row r="6099" spans="9:12">
      <c r="I6099"/>
      <c r="L6099"/>
    </row>
    <row r="6100" spans="9:12">
      <c r="I6100"/>
      <c r="L6100"/>
    </row>
    <row r="6101" spans="9:12">
      <c r="I6101"/>
      <c r="L6101"/>
    </row>
    <row r="6102" spans="9:12">
      <c r="I6102"/>
      <c r="L6102"/>
    </row>
    <row r="6103" spans="9:12">
      <c r="I6103"/>
      <c r="L6103"/>
    </row>
    <row r="6104" spans="9:12">
      <c r="I6104"/>
      <c r="L6104"/>
    </row>
    <row r="6105" spans="9:12">
      <c r="I6105"/>
      <c r="L6105"/>
    </row>
    <row r="6106" spans="9:12">
      <c r="I6106"/>
      <c r="L6106"/>
    </row>
    <row r="6107" spans="9:12">
      <c r="I6107"/>
      <c r="L6107"/>
    </row>
    <row r="6108" spans="9:12">
      <c r="I6108"/>
      <c r="L6108"/>
    </row>
    <row r="6109" spans="9:12">
      <c r="I6109"/>
      <c r="L6109"/>
    </row>
    <row r="6110" spans="9:12">
      <c r="I6110"/>
      <c r="L6110"/>
    </row>
    <row r="6111" spans="9:12">
      <c r="I6111"/>
      <c r="L6111"/>
    </row>
    <row r="6112" spans="9:12">
      <c r="I6112"/>
      <c r="L6112"/>
    </row>
    <row r="6113" spans="9:12">
      <c r="I6113"/>
      <c r="L6113"/>
    </row>
    <row r="6114" spans="9:12">
      <c r="I6114"/>
      <c r="L6114"/>
    </row>
    <row r="6115" spans="9:12">
      <c r="I6115"/>
      <c r="L6115"/>
    </row>
    <row r="6116" spans="9:12">
      <c r="I6116"/>
      <c r="L6116"/>
    </row>
    <row r="6117" spans="9:12">
      <c r="I6117"/>
      <c r="L6117"/>
    </row>
    <row r="6118" spans="9:12">
      <c r="I6118"/>
      <c r="L6118"/>
    </row>
    <row r="6119" spans="9:12">
      <c r="I6119"/>
      <c r="L6119"/>
    </row>
    <row r="6120" spans="9:12">
      <c r="I6120"/>
      <c r="L6120"/>
    </row>
    <row r="6121" spans="9:12">
      <c r="I6121"/>
      <c r="L6121"/>
    </row>
    <row r="6122" spans="9:12">
      <c r="I6122"/>
      <c r="L6122"/>
    </row>
    <row r="6123" spans="9:12">
      <c r="I6123"/>
      <c r="L6123"/>
    </row>
    <row r="6124" spans="9:12">
      <c r="I6124"/>
      <c r="L6124"/>
    </row>
    <row r="6125" spans="9:12">
      <c r="I6125"/>
      <c r="L6125"/>
    </row>
    <row r="6126" spans="9:12">
      <c r="I6126"/>
      <c r="L6126"/>
    </row>
    <row r="6127" spans="9:12">
      <c r="I6127"/>
      <c r="L6127"/>
    </row>
    <row r="6128" spans="9:12">
      <c r="I6128"/>
      <c r="L6128"/>
    </row>
    <row r="6129" spans="9:12">
      <c r="I6129"/>
      <c r="L6129"/>
    </row>
    <row r="6130" spans="9:12">
      <c r="I6130"/>
      <c r="L6130"/>
    </row>
    <row r="6131" spans="9:12">
      <c r="I6131"/>
      <c r="L6131"/>
    </row>
    <row r="6132" spans="9:12">
      <c r="I6132"/>
      <c r="L6132"/>
    </row>
    <row r="6133" spans="9:12">
      <c r="I6133"/>
      <c r="L6133"/>
    </row>
    <row r="6134" spans="9:12">
      <c r="I6134"/>
      <c r="L6134"/>
    </row>
    <row r="6135" spans="9:12">
      <c r="I6135"/>
      <c r="L6135"/>
    </row>
    <row r="6136" spans="9:12">
      <c r="I6136"/>
      <c r="L6136"/>
    </row>
    <row r="6137" spans="9:12">
      <c r="I6137"/>
      <c r="L6137"/>
    </row>
    <row r="6138" spans="9:12">
      <c r="I6138"/>
      <c r="L6138"/>
    </row>
    <row r="6139" spans="9:12">
      <c r="I6139"/>
      <c r="L6139"/>
    </row>
    <row r="6140" spans="9:12">
      <c r="I6140"/>
      <c r="L6140"/>
    </row>
    <row r="6141" spans="9:12">
      <c r="I6141"/>
      <c r="L6141"/>
    </row>
    <row r="6142" spans="9:12">
      <c r="I6142"/>
      <c r="L6142"/>
    </row>
    <row r="6143" spans="9:12">
      <c r="I6143"/>
      <c r="L6143"/>
    </row>
    <row r="6144" spans="9:12">
      <c r="I6144"/>
      <c r="L6144"/>
    </row>
    <row r="6145" spans="9:12">
      <c r="I6145"/>
      <c r="L6145"/>
    </row>
    <row r="6146" spans="9:12">
      <c r="I6146"/>
      <c r="L6146"/>
    </row>
    <row r="6147" spans="9:12">
      <c r="I6147"/>
      <c r="L6147"/>
    </row>
    <row r="6148" spans="9:12">
      <c r="I6148"/>
      <c r="L6148"/>
    </row>
    <row r="6149" spans="9:12">
      <c r="I6149"/>
      <c r="L6149"/>
    </row>
    <row r="6150" spans="9:12">
      <c r="I6150"/>
      <c r="L6150"/>
    </row>
    <row r="6151" spans="9:12">
      <c r="I6151"/>
      <c r="L6151"/>
    </row>
    <row r="6152" spans="9:12">
      <c r="I6152"/>
      <c r="L6152"/>
    </row>
    <row r="6153" spans="9:12">
      <c r="I6153"/>
      <c r="L6153"/>
    </row>
    <row r="6154" spans="9:12">
      <c r="I6154"/>
      <c r="L6154"/>
    </row>
    <row r="6155" spans="9:12">
      <c r="I6155"/>
      <c r="L6155"/>
    </row>
    <row r="6156" spans="9:12">
      <c r="I6156"/>
      <c r="L6156"/>
    </row>
    <row r="6157" spans="9:12">
      <c r="I6157"/>
      <c r="L6157"/>
    </row>
    <row r="6158" spans="9:12">
      <c r="I6158"/>
      <c r="L6158"/>
    </row>
    <row r="6159" spans="9:12">
      <c r="I6159"/>
      <c r="L6159"/>
    </row>
    <row r="6160" spans="9:12">
      <c r="I6160"/>
      <c r="L6160"/>
    </row>
    <row r="6161" spans="9:12">
      <c r="I6161"/>
      <c r="L6161"/>
    </row>
    <row r="6162" spans="9:12">
      <c r="I6162"/>
      <c r="L6162"/>
    </row>
    <row r="6163" spans="9:12">
      <c r="I6163"/>
      <c r="L6163"/>
    </row>
    <row r="6164" spans="9:12">
      <c r="I6164"/>
      <c r="L6164"/>
    </row>
    <row r="6165" spans="9:12">
      <c r="I6165"/>
      <c r="L6165"/>
    </row>
    <row r="6166" spans="9:12">
      <c r="I6166"/>
      <c r="L6166"/>
    </row>
    <row r="6167" spans="9:12">
      <c r="I6167"/>
      <c r="L6167"/>
    </row>
    <row r="6168" spans="9:12">
      <c r="I6168"/>
      <c r="L6168"/>
    </row>
    <row r="6169" spans="9:12">
      <c r="I6169"/>
      <c r="L6169"/>
    </row>
    <row r="6170" spans="9:12">
      <c r="I6170"/>
      <c r="L6170"/>
    </row>
    <row r="6171" spans="9:12">
      <c r="I6171"/>
      <c r="L6171"/>
    </row>
    <row r="6172" spans="9:12">
      <c r="I6172"/>
      <c r="L6172"/>
    </row>
    <row r="6173" spans="9:12">
      <c r="I6173"/>
      <c r="L6173"/>
    </row>
    <row r="6174" spans="9:12">
      <c r="I6174"/>
      <c r="L6174"/>
    </row>
    <row r="6175" spans="9:12">
      <c r="I6175"/>
      <c r="L6175"/>
    </row>
    <row r="6176" spans="9:12">
      <c r="I6176"/>
      <c r="L6176"/>
    </row>
    <row r="6177" spans="9:12">
      <c r="I6177"/>
      <c r="L6177"/>
    </row>
    <row r="6178" spans="9:12">
      <c r="I6178"/>
      <c r="L6178"/>
    </row>
    <row r="6179" spans="9:12">
      <c r="I6179"/>
      <c r="L6179"/>
    </row>
    <row r="6180" spans="9:12">
      <c r="I6180"/>
      <c r="L6180"/>
    </row>
    <row r="6181" spans="9:12">
      <c r="I6181"/>
      <c r="L6181"/>
    </row>
    <row r="6182" spans="9:12">
      <c r="I6182"/>
      <c r="L6182"/>
    </row>
    <row r="6183" spans="9:12">
      <c r="I6183"/>
      <c r="L6183"/>
    </row>
    <row r="6184" spans="9:12">
      <c r="I6184"/>
      <c r="L6184"/>
    </row>
    <row r="6185" spans="9:12">
      <c r="I6185"/>
      <c r="L6185"/>
    </row>
    <row r="6186" spans="9:12">
      <c r="I6186"/>
      <c r="L6186"/>
    </row>
    <row r="6187" spans="9:12">
      <c r="I6187"/>
      <c r="L6187"/>
    </row>
    <row r="6188" spans="9:12">
      <c r="I6188"/>
      <c r="L6188"/>
    </row>
    <row r="6189" spans="9:12">
      <c r="I6189"/>
      <c r="L6189"/>
    </row>
    <row r="6190" spans="9:12">
      <c r="I6190"/>
      <c r="L6190"/>
    </row>
    <row r="6191" spans="9:12">
      <c r="I6191"/>
      <c r="L6191"/>
    </row>
    <row r="6192" spans="9:12">
      <c r="I6192"/>
      <c r="L6192"/>
    </row>
    <row r="6193" spans="9:12">
      <c r="I6193"/>
      <c r="L6193"/>
    </row>
    <row r="6194" spans="9:12">
      <c r="I6194"/>
      <c r="L6194"/>
    </row>
    <row r="6195" spans="9:12">
      <c r="I6195"/>
      <c r="L6195"/>
    </row>
    <row r="6196" spans="9:12">
      <c r="I6196"/>
      <c r="L6196"/>
    </row>
    <row r="6197" spans="9:12">
      <c r="I6197"/>
      <c r="L6197"/>
    </row>
    <row r="6198" spans="9:12">
      <c r="I6198"/>
      <c r="L6198"/>
    </row>
    <row r="6199" spans="9:12">
      <c r="I6199"/>
      <c r="L6199"/>
    </row>
    <row r="6200" spans="9:12">
      <c r="I6200"/>
      <c r="L6200"/>
    </row>
    <row r="6201" spans="9:12">
      <c r="I6201"/>
      <c r="L6201"/>
    </row>
    <row r="6202" spans="9:12">
      <c r="I6202"/>
      <c r="L6202"/>
    </row>
    <row r="6203" spans="9:12">
      <c r="I6203"/>
      <c r="L6203"/>
    </row>
    <row r="6204" spans="9:12">
      <c r="I6204"/>
      <c r="L6204"/>
    </row>
    <row r="6205" spans="9:12">
      <c r="I6205"/>
      <c r="L6205"/>
    </row>
    <row r="6206" spans="9:12">
      <c r="I6206"/>
      <c r="L6206"/>
    </row>
    <row r="6207" spans="9:12">
      <c r="I6207"/>
      <c r="L6207"/>
    </row>
    <row r="6208" spans="9:12">
      <c r="I6208"/>
      <c r="L6208"/>
    </row>
    <row r="6209" spans="9:12">
      <c r="I6209"/>
      <c r="L6209"/>
    </row>
    <row r="6210" spans="9:12">
      <c r="I6210"/>
      <c r="L6210"/>
    </row>
    <row r="6211" spans="9:12">
      <c r="I6211"/>
      <c r="L6211"/>
    </row>
    <row r="6212" spans="9:12">
      <c r="I6212"/>
      <c r="L6212"/>
    </row>
    <row r="6213" spans="9:12">
      <c r="I6213"/>
      <c r="L6213"/>
    </row>
    <row r="6214" spans="9:12">
      <c r="I6214"/>
      <c r="L6214"/>
    </row>
    <row r="6215" spans="9:12">
      <c r="I6215"/>
      <c r="L6215"/>
    </row>
    <row r="6216" spans="9:12">
      <c r="I6216"/>
      <c r="L6216"/>
    </row>
    <row r="6217" spans="9:12">
      <c r="I6217"/>
      <c r="L6217"/>
    </row>
    <row r="6218" spans="9:12">
      <c r="I6218"/>
      <c r="L6218"/>
    </row>
    <row r="6219" spans="9:12">
      <c r="I6219"/>
      <c r="L6219"/>
    </row>
    <row r="6220" spans="9:12">
      <c r="I6220"/>
      <c r="L6220"/>
    </row>
    <row r="6221" spans="9:12">
      <c r="I6221"/>
      <c r="L6221"/>
    </row>
    <row r="6222" spans="9:12">
      <c r="I6222"/>
      <c r="L6222"/>
    </row>
    <row r="6223" spans="9:12">
      <c r="I6223"/>
      <c r="L6223"/>
    </row>
    <row r="6224" spans="9:12">
      <c r="I6224"/>
      <c r="L6224"/>
    </row>
    <row r="6225" spans="9:12">
      <c r="I6225"/>
      <c r="L6225"/>
    </row>
    <row r="6226" spans="9:12">
      <c r="I6226"/>
      <c r="L6226"/>
    </row>
    <row r="6227" spans="9:12">
      <c r="I6227"/>
      <c r="L6227"/>
    </row>
    <row r="6228" spans="9:12">
      <c r="I6228"/>
      <c r="L6228"/>
    </row>
    <row r="6229" spans="9:12">
      <c r="I6229"/>
      <c r="L6229"/>
    </row>
    <row r="6230" spans="9:12">
      <c r="I6230"/>
      <c r="L6230"/>
    </row>
    <row r="6231" spans="9:12">
      <c r="I6231"/>
      <c r="L6231"/>
    </row>
    <row r="6232" spans="9:12">
      <c r="I6232"/>
      <c r="L6232"/>
    </row>
    <row r="6233" spans="9:12">
      <c r="I6233"/>
      <c r="L6233"/>
    </row>
    <row r="6234" spans="9:12">
      <c r="I6234"/>
      <c r="L6234"/>
    </row>
    <row r="6235" spans="9:12">
      <c r="I6235"/>
      <c r="L6235"/>
    </row>
    <row r="6236" spans="9:12">
      <c r="I6236"/>
      <c r="L6236"/>
    </row>
    <row r="6237" spans="9:12">
      <c r="I6237"/>
      <c r="L6237"/>
    </row>
    <row r="6238" spans="9:12">
      <c r="I6238"/>
      <c r="L6238"/>
    </row>
    <row r="6239" spans="9:12">
      <c r="I6239"/>
      <c r="L6239"/>
    </row>
    <row r="6240" spans="9:12">
      <c r="I6240"/>
      <c r="L6240"/>
    </row>
    <row r="6241" spans="9:12">
      <c r="I6241"/>
      <c r="L6241"/>
    </row>
    <row r="6242" spans="9:12">
      <c r="I6242"/>
      <c r="L6242"/>
    </row>
    <row r="6243" spans="9:12">
      <c r="I6243"/>
      <c r="L6243"/>
    </row>
    <row r="6244" spans="9:12">
      <c r="I6244"/>
      <c r="L6244"/>
    </row>
    <row r="6245" spans="9:12">
      <c r="I6245"/>
      <c r="L6245"/>
    </row>
    <row r="6246" spans="9:12">
      <c r="I6246"/>
      <c r="L6246"/>
    </row>
    <row r="6247" spans="9:12">
      <c r="I6247"/>
      <c r="L6247"/>
    </row>
    <row r="6248" spans="9:12">
      <c r="I6248"/>
      <c r="L6248"/>
    </row>
    <row r="6249" spans="9:12">
      <c r="I6249"/>
      <c r="L6249"/>
    </row>
    <row r="6250" spans="9:12">
      <c r="I6250"/>
      <c r="L6250"/>
    </row>
    <row r="6251" spans="9:12">
      <c r="I6251"/>
      <c r="L6251"/>
    </row>
    <row r="6252" spans="9:12">
      <c r="I6252"/>
      <c r="L6252"/>
    </row>
    <row r="6253" spans="9:12">
      <c r="I6253"/>
      <c r="L6253"/>
    </row>
    <row r="6254" spans="9:12">
      <c r="I6254"/>
      <c r="L6254"/>
    </row>
    <row r="6255" spans="9:12">
      <c r="I6255"/>
      <c r="L6255"/>
    </row>
    <row r="6256" spans="9:12">
      <c r="I6256"/>
      <c r="L6256"/>
    </row>
    <row r="6257" spans="9:12">
      <c r="I6257"/>
      <c r="L6257"/>
    </row>
    <row r="6258" spans="9:12">
      <c r="I6258"/>
      <c r="L6258"/>
    </row>
    <row r="6259" spans="9:12">
      <c r="I6259"/>
      <c r="L6259"/>
    </row>
    <row r="6260" spans="9:12">
      <c r="I6260"/>
      <c r="L6260"/>
    </row>
    <row r="6261" spans="9:12">
      <c r="I6261"/>
      <c r="L6261"/>
    </row>
    <row r="6262" spans="9:12">
      <c r="I6262"/>
      <c r="L6262"/>
    </row>
    <row r="6263" spans="9:12">
      <c r="I6263"/>
      <c r="L6263"/>
    </row>
    <row r="6264" spans="9:12">
      <c r="I6264"/>
      <c r="L6264"/>
    </row>
    <row r="6265" spans="9:12">
      <c r="I6265"/>
      <c r="L6265"/>
    </row>
    <row r="6266" spans="9:12">
      <c r="I6266"/>
      <c r="L6266"/>
    </row>
    <row r="6267" spans="9:12">
      <c r="I6267"/>
      <c r="L6267"/>
    </row>
    <row r="6268" spans="9:12">
      <c r="I6268"/>
      <c r="L6268"/>
    </row>
    <row r="6269" spans="9:12">
      <c r="I6269"/>
      <c r="L6269"/>
    </row>
    <row r="6270" spans="9:12">
      <c r="I6270"/>
      <c r="L6270"/>
    </row>
    <row r="6271" spans="9:12">
      <c r="I6271"/>
      <c r="L6271"/>
    </row>
    <row r="6272" spans="9:12">
      <c r="I6272"/>
      <c r="L6272"/>
    </row>
    <row r="6273" spans="9:12">
      <c r="I6273"/>
      <c r="L6273"/>
    </row>
    <row r="6274" spans="9:12">
      <c r="I6274"/>
      <c r="L6274"/>
    </row>
    <row r="6275" spans="9:12">
      <c r="I6275"/>
      <c r="L6275"/>
    </row>
    <row r="6276" spans="9:12">
      <c r="I6276"/>
      <c r="L6276"/>
    </row>
    <row r="6277" spans="9:12">
      <c r="I6277"/>
      <c r="L6277"/>
    </row>
    <row r="6278" spans="9:12">
      <c r="I6278"/>
      <c r="L6278"/>
    </row>
    <row r="6279" spans="9:12">
      <c r="I6279"/>
      <c r="L6279"/>
    </row>
    <row r="6280" spans="9:12">
      <c r="I6280"/>
      <c r="L6280"/>
    </row>
    <row r="6281" spans="9:12">
      <c r="I6281"/>
      <c r="L6281"/>
    </row>
    <row r="6282" spans="9:12">
      <c r="I6282"/>
      <c r="L6282"/>
    </row>
    <row r="6283" spans="9:12">
      <c r="I6283"/>
      <c r="L6283"/>
    </row>
    <row r="6284" spans="9:12">
      <c r="I6284"/>
      <c r="L6284"/>
    </row>
    <row r="6285" spans="9:12">
      <c r="I6285"/>
      <c r="L6285"/>
    </row>
    <row r="6286" spans="9:12">
      <c r="I6286"/>
      <c r="L6286"/>
    </row>
    <row r="6287" spans="9:12">
      <c r="I6287"/>
      <c r="L6287"/>
    </row>
    <row r="6288" spans="9:12">
      <c r="I6288"/>
      <c r="L6288"/>
    </row>
    <row r="6289" spans="9:12">
      <c r="I6289"/>
      <c r="L6289"/>
    </row>
    <row r="6290" spans="9:12">
      <c r="I6290"/>
      <c r="L6290"/>
    </row>
    <row r="6291" spans="9:12">
      <c r="I6291"/>
      <c r="L6291"/>
    </row>
    <row r="6292" spans="9:12">
      <c r="I6292"/>
      <c r="L6292"/>
    </row>
    <row r="6293" spans="9:12">
      <c r="I6293"/>
      <c r="L6293"/>
    </row>
    <row r="6294" spans="9:12">
      <c r="I6294"/>
      <c r="L6294"/>
    </row>
    <row r="6295" spans="9:12">
      <c r="I6295"/>
      <c r="L6295"/>
    </row>
    <row r="6296" spans="9:12">
      <c r="I6296"/>
      <c r="L6296"/>
    </row>
    <row r="6297" spans="9:12">
      <c r="I6297"/>
      <c r="L6297"/>
    </row>
    <row r="6298" spans="9:12">
      <c r="I6298"/>
      <c r="L6298"/>
    </row>
    <row r="6299" spans="9:12">
      <c r="I6299"/>
      <c r="L6299"/>
    </row>
    <row r="6300" spans="9:12">
      <c r="I6300"/>
      <c r="L6300"/>
    </row>
    <row r="6301" spans="9:12">
      <c r="I6301"/>
      <c r="L6301"/>
    </row>
    <row r="6302" spans="9:12">
      <c r="I6302"/>
      <c r="L6302"/>
    </row>
    <row r="6303" spans="9:12">
      <c r="I6303"/>
      <c r="L6303"/>
    </row>
    <row r="6304" spans="9:12">
      <c r="I6304"/>
      <c r="L6304"/>
    </row>
    <row r="6305" spans="9:12">
      <c r="I6305"/>
      <c r="L6305"/>
    </row>
    <row r="6306" spans="9:12">
      <c r="I6306"/>
      <c r="L6306"/>
    </row>
    <row r="6307" spans="9:12">
      <c r="I6307"/>
      <c r="L6307"/>
    </row>
    <row r="6308" spans="9:12">
      <c r="I6308"/>
      <c r="L6308"/>
    </row>
    <row r="6309" spans="9:12">
      <c r="I6309"/>
      <c r="L6309"/>
    </row>
    <row r="6310" spans="9:12">
      <c r="I6310"/>
      <c r="L6310"/>
    </row>
    <row r="6311" spans="9:12">
      <c r="I6311"/>
      <c r="L6311"/>
    </row>
    <row r="6312" spans="9:12">
      <c r="I6312"/>
      <c r="L6312"/>
    </row>
    <row r="6313" spans="9:12">
      <c r="I6313"/>
      <c r="L6313"/>
    </row>
    <row r="6314" spans="9:12">
      <c r="I6314"/>
      <c r="L6314"/>
    </row>
    <row r="6315" spans="9:12">
      <c r="I6315"/>
      <c r="L6315"/>
    </row>
    <row r="6316" spans="9:12">
      <c r="I6316"/>
      <c r="L6316"/>
    </row>
    <row r="6317" spans="9:12">
      <c r="I6317"/>
      <c r="L6317"/>
    </row>
    <row r="6318" spans="9:12">
      <c r="I6318"/>
      <c r="L6318"/>
    </row>
    <row r="6319" spans="9:12">
      <c r="I6319"/>
      <c r="L6319"/>
    </row>
    <row r="6320" spans="9:12">
      <c r="I6320"/>
      <c r="L6320"/>
    </row>
    <row r="6321" spans="9:12">
      <c r="I6321"/>
      <c r="L6321"/>
    </row>
    <row r="6322" spans="9:12">
      <c r="I6322"/>
      <c r="L6322"/>
    </row>
    <row r="6323" spans="9:12">
      <c r="I6323"/>
      <c r="L6323"/>
    </row>
    <row r="6324" spans="9:12">
      <c r="I6324"/>
      <c r="L6324"/>
    </row>
    <row r="6325" spans="9:12">
      <c r="I6325"/>
      <c r="L6325"/>
    </row>
    <row r="6326" spans="9:12">
      <c r="I6326"/>
      <c r="L6326"/>
    </row>
    <row r="6327" spans="9:12">
      <c r="I6327"/>
      <c r="L6327"/>
    </row>
    <row r="6328" spans="9:12">
      <c r="I6328"/>
      <c r="L6328"/>
    </row>
    <row r="6329" spans="9:12">
      <c r="I6329"/>
      <c r="L6329"/>
    </row>
    <row r="6330" spans="9:12">
      <c r="I6330"/>
      <c r="L6330"/>
    </row>
    <row r="6331" spans="9:12">
      <c r="I6331"/>
      <c r="L6331"/>
    </row>
    <row r="6332" spans="9:12">
      <c r="I6332"/>
      <c r="L6332"/>
    </row>
    <row r="6333" spans="9:12">
      <c r="I6333"/>
      <c r="L6333"/>
    </row>
    <row r="6334" spans="9:12">
      <c r="I6334"/>
      <c r="L6334"/>
    </row>
    <row r="6335" spans="9:12">
      <c r="I6335"/>
      <c r="L6335"/>
    </row>
    <row r="6336" spans="9:12">
      <c r="I6336"/>
      <c r="L6336"/>
    </row>
    <row r="6337" spans="9:12">
      <c r="I6337"/>
      <c r="L6337"/>
    </row>
    <row r="6338" spans="9:12">
      <c r="I6338"/>
      <c r="L6338"/>
    </row>
    <row r="6339" spans="9:12">
      <c r="I6339"/>
      <c r="L6339"/>
    </row>
    <row r="6340" spans="9:12">
      <c r="I6340"/>
      <c r="L6340"/>
    </row>
    <row r="6341" spans="9:12">
      <c r="I6341"/>
      <c r="L6341"/>
    </row>
    <row r="6342" spans="9:12">
      <c r="I6342"/>
      <c r="L6342"/>
    </row>
    <row r="6343" spans="9:12">
      <c r="I6343"/>
      <c r="L6343"/>
    </row>
    <row r="6344" spans="9:12">
      <c r="I6344"/>
      <c r="L6344"/>
    </row>
    <row r="6345" spans="9:12">
      <c r="I6345"/>
      <c r="L6345"/>
    </row>
    <row r="6346" spans="9:12">
      <c r="I6346"/>
      <c r="L6346"/>
    </row>
    <row r="6347" spans="9:12">
      <c r="I6347"/>
      <c r="L6347"/>
    </row>
    <row r="6348" spans="9:12">
      <c r="I6348"/>
      <c r="L6348"/>
    </row>
    <row r="6349" spans="9:12">
      <c r="I6349"/>
      <c r="L6349"/>
    </row>
    <row r="6350" spans="9:12">
      <c r="I6350"/>
      <c r="L6350"/>
    </row>
    <row r="6351" spans="9:12">
      <c r="I6351"/>
      <c r="L6351"/>
    </row>
    <row r="6352" spans="9:12">
      <c r="I6352"/>
      <c r="L6352"/>
    </row>
    <row r="6353" spans="9:12">
      <c r="I6353"/>
      <c r="L6353"/>
    </row>
    <row r="6354" spans="9:12">
      <c r="I6354"/>
      <c r="L6354"/>
    </row>
    <row r="6355" spans="9:12">
      <c r="I6355"/>
      <c r="L6355"/>
    </row>
    <row r="6356" spans="9:12">
      <c r="I6356"/>
      <c r="L6356"/>
    </row>
    <row r="6357" spans="9:12">
      <c r="I6357"/>
      <c r="L6357"/>
    </row>
    <row r="6358" spans="9:12">
      <c r="I6358"/>
      <c r="L6358"/>
    </row>
    <row r="6359" spans="9:12">
      <c r="I6359"/>
      <c r="L6359"/>
    </row>
    <row r="6360" spans="9:12">
      <c r="I6360"/>
      <c r="L6360"/>
    </row>
    <row r="6361" spans="9:12">
      <c r="I6361"/>
      <c r="L6361"/>
    </row>
    <row r="6362" spans="9:12">
      <c r="I6362"/>
      <c r="L6362"/>
    </row>
    <row r="6363" spans="9:12">
      <c r="I6363"/>
      <c r="L6363"/>
    </row>
    <row r="6364" spans="9:12">
      <c r="I6364"/>
      <c r="L6364"/>
    </row>
    <row r="6365" spans="9:12">
      <c r="I6365"/>
      <c r="L6365"/>
    </row>
    <row r="6366" spans="9:12">
      <c r="I6366"/>
      <c r="L6366"/>
    </row>
    <row r="6367" spans="9:12">
      <c r="I6367"/>
      <c r="L6367"/>
    </row>
    <row r="6368" spans="9:12">
      <c r="I6368"/>
      <c r="L6368"/>
    </row>
    <row r="6369" spans="9:12">
      <c r="I6369"/>
      <c r="L6369"/>
    </row>
    <row r="6370" spans="9:12">
      <c r="I6370"/>
      <c r="L6370"/>
    </row>
    <row r="6371" spans="9:12">
      <c r="I6371"/>
      <c r="L6371"/>
    </row>
    <row r="6372" spans="9:12">
      <c r="I6372"/>
      <c r="L6372"/>
    </row>
    <row r="6373" spans="9:12">
      <c r="I6373"/>
      <c r="L6373"/>
    </row>
    <row r="6374" spans="9:12">
      <c r="I6374"/>
      <c r="L6374"/>
    </row>
    <row r="6375" spans="9:12">
      <c r="I6375"/>
      <c r="L6375"/>
    </row>
    <row r="6376" spans="9:12">
      <c r="I6376"/>
      <c r="L6376"/>
    </row>
    <row r="6377" spans="9:12">
      <c r="I6377"/>
      <c r="L6377"/>
    </row>
    <row r="6378" spans="9:12">
      <c r="I6378"/>
      <c r="L6378"/>
    </row>
    <row r="6379" spans="9:12">
      <c r="I6379"/>
      <c r="L6379"/>
    </row>
    <row r="6380" spans="9:12">
      <c r="I6380"/>
      <c r="L6380"/>
    </row>
    <row r="6381" spans="9:12">
      <c r="I6381"/>
      <c r="L6381"/>
    </row>
    <row r="6382" spans="9:12">
      <c r="I6382"/>
      <c r="L6382"/>
    </row>
    <row r="6383" spans="9:12">
      <c r="I6383"/>
      <c r="L6383"/>
    </row>
    <row r="6384" spans="9:12">
      <c r="I6384"/>
      <c r="L6384"/>
    </row>
    <row r="6385" spans="9:12">
      <c r="I6385"/>
      <c r="L6385"/>
    </row>
    <row r="6386" spans="9:12">
      <c r="I6386"/>
      <c r="L6386"/>
    </row>
    <row r="6387" spans="9:12">
      <c r="I6387"/>
      <c r="L6387"/>
    </row>
    <row r="6388" spans="9:12">
      <c r="I6388"/>
      <c r="L6388"/>
    </row>
    <row r="6389" spans="9:12">
      <c r="I6389"/>
      <c r="L6389"/>
    </row>
    <row r="6390" spans="9:12">
      <c r="I6390"/>
      <c r="L6390"/>
    </row>
    <row r="6391" spans="9:12">
      <c r="I6391"/>
      <c r="L6391"/>
    </row>
    <row r="6392" spans="9:12">
      <c r="I6392"/>
      <c r="L6392"/>
    </row>
    <row r="6393" spans="9:12">
      <c r="I6393"/>
      <c r="L6393"/>
    </row>
    <row r="6394" spans="9:12">
      <c r="I6394"/>
      <c r="L6394"/>
    </row>
    <row r="6395" spans="9:12">
      <c r="I6395"/>
      <c r="L6395"/>
    </row>
    <row r="6396" spans="9:12">
      <c r="I6396"/>
      <c r="L6396"/>
    </row>
    <row r="6397" spans="9:12">
      <c r="I6397"/>
      <c r="L6397"/>
    </row>
    <row r="6398" spans="9:12">
      <c r="I6398"/>
      <c r="L6398"/>
    </row>
    <row r="6399" spans="9:12">
      <c r="I6399"/>
      <c r="L6399"/>
    </row>
    <row r="6400" spans="9:12">
      <c r="I6400"/>
      <c r="L6400"/>
    </row>
    <row r="6401" spans="9:12">
      <c r="I6401"/>
      <c r="L6401"/>
    </row>
    <row r="6402" spans="9:12">
      <c r="I6402"/>
      <c r="L6402"/>
    </row>
    <row r="6403" spans="9:12">
      <c r="I6403"/>
      <c r="L6403"/>
    </row>
    <row r="6404" spans="9:12">
      <c r="I6404"/>
      <c r="L6404"/>
    </row>
    <row r="6405" spans="9:12">
      <c r="I6405"/>
      <c r="L6405"/>
    </row>
    <row r="6406" spans="9:12">
      <c r="I6406"/>
      <c r="L6406"/>
    </row>
    <row r="6407" spans="9:12">
      <c r="I6407"/>
      <c r="L6407"/>
    </row>
    <row r="6408" spans="9:12">
      <c r="I6408"/>
      <c r="L6408"/>
    </row>
    <row r="6409" spans="9:12">
      <c r="I6409"/>
      <c r="L6409"/>
    </row>
    <row r="6410" spans="9:12">
      <c r="I6410"/>
      <c r="L6410"/>
    </row>
    <row r="6411" spans="9:12">
      <c r="I6411"/>
      <c r="L6411"/>
    </row>
    <row r="6412" spans="9:12">
      <c r="I6412"/>
      <c r="L6412"/>
    </row>
    <row r="6413" spans="9:12">
      <c r="I6413"/>
      <c r="L6413"/>
    </row>
    <row r="6414" spans="9:12">
      <c r="I6414"/>
      <c r="L6414"/>
    </row>
    <row r="6415" spans="9:12">
      <c r="I6415"/>
      <c r="L6415"/>
    </row>
    <row r="6416" spans="9:12">
      <c r="I6416"/>
      <c r="L6416"/>
    </row>
    <row r="6417" spans="9:12">
      <c r="I6417"/>
      <c r="L6417"/>
    </row>
    <row r="6418" spans="9:12">
      <c r="I6418"/>
      <c r="L6418"/>
    </row>
    <row r="6419" spans="9:12">
      <c r="I6419"/>
      <c r="L6419"/>
    </row>
    <row r="6420" spans="9:12">
      <c r="I6420"/>
      <c r="L6420"/>
    </row>
    <row r="6421" spans="9:12">
      <c r="I6421"/>
      <c r="L6421"/>
    </row>
    <row r="6422" spans="9:12">
      <c r="I6422"/>
      <c r="L6422"/>
    </row>
    <row r="6423" spans="9:12">
      <c r="I6423"/>
      <c r="L6423"/>
    </row>
    <row r="6424" spans="9:12">
      <c r="I6424"/>
      <c r="L6424"/>
    </row>
    <row r="6425" spans="9:12">
      <c r="I6425"/>
      <c r="L6425"/>
    </row>
    <row r="6426" spans="9:12">
      <c r="I6426"/>
      <c r="L6426"/>
    </row>
    <row r="6427" spans="9:12">
      <c r="I6427"/>
      <c r="L6427"/>
    </row>
    <row r="6428" spans="9:12">
      <c r="I6428"/>
      <c r="L6428"/>
    </row>
    <row r="6429" spans="9:12">
      <c r="I6429"/>
      <c r="L6429"/>
    </row>
    <row r="6430" spans="9:12">
      <c r="I6430"/>
      <c r="L6430"/>
    </row>
    <row r="6431" spans="9:12">
      <c r="I6431"/>
      <c r="L6431"/>
    </row>
    <row r="6432" spans="9:12">
      <c r="I6432"/>
      <c r="L6432"/>
    </row>
    <row r="6433" spans="9:12">
      <c r="I6433"/>
      <c r="L6433"/>
    </row>
    <row r="6434" spans="9:12">
      <c r="I6434"/>
      <c r="L6434"/>
    </row>
    <row r="6435" spans="9:12">
      <c r="I6435"/>
      <c r="L6435"/>
    </row>
    <row r="6436" spans="9:12">
      <c r="I6436"/>
      <c r="L6436"/>
    </row>
    <row r="6437" spans="9:12">
      <c r="I6437"/>
      <c r="L6437"/>
    </row>
    <row r="6438" spans="9:12">
      <c r="I6438"/>
      <c r="L6438"/>
    </row>
    <row r="6439" spans="9:12">
      <c r="I6439"/>
      <c r="L6439"/>
    </row>
    <row r="6440" spans="9:12">
      <c r="I6440"/>
      <c r="L6440"/>
    </row>
    <row r="6441" spans="9:12">
      <c r="I6441"/>
      <c r="L6441"/>
    </row>
    <row r="6442" spans="9:12">
      <c r="I6442"/>
      <c r="L6442"/>
    </row>
    <row r="6443" spans="9:12">
      <c r="I6443"/>
      <c r="L6443"/>
    </row>
    <row r="6444" spans="9:12">
      <c r="I6444"/>
      <c r="L6444"/>
    </row>
    <row r="6445" spans="9:12">
      <c r="I6445"/>
      <c r="L6445"/>
    </row>
    <row r="6446" spans="9:12">
      <c r="I6446"/>
      <c r="L6446"/>
    </row>
    <row r="6447" spans="9:12">
      <c r="I6447"/>
      <c r="L6447"/>
    </row>
    <row r="6448" spans="9:12">
      <c r="I6448"/>
      <c r="L6448"/>
    </row>
    <row r="6449" spans="9:12">
      <c r="I6449"/>
      <c r="L6449"/>
    </row>
    <row r="6450" spans="9:12">
      <c r="I6450"/>
      <c r="L6450"/>
    </row>
    <row r="6451" spans="9:12">
      <c r="I6451"/>
      <c r="L6451"/>
    </row>
    <row r="6452" spans="9:12">
      <c r="I6452"/>
      <c r="L6452"/>
    </row>
    <row r="6453" spans="9:12">
      <c r="I6453"/>
      <c r="L6453"/>
    </row>
    <row r="6454" spans="9:12">
      <c r="I6454"/>
      <c r="L6454"/>
    </row>
    <row r="6455" spans="9:12">
      <c r="I6455"/>
      <c r="L6455"/>
    </row>
    <row r="6456" spans="9:12">
      <c r="I6456"/>
      <c r="L6456"/>
    </row>
    <row r="6457" spans="9:12">
      <c r="I6457"/>
      <c r="L6457"/>
    </row>
    <row r="6458" spans="9:12">
      <c r="I6458"/>
      <c r="L6458"/>
    </row>
    <row r="6459" spans="9:12">
      <c r="I6459"/>
      <c r="L6459"/>
    </row>
    <row r="6460" spans="9:12">
      <c r="I6460"/>
      <c r="L6460"/>
    </row>
    <row r="6461" spans="9:12">
      <c r="I6461"/>
      <c r="L6461"/>
    </row>
    <row r="6462" spans="9:12">
      <c r="I6462"/>
      <c r="L6462"/>
    </row>
    <row r="6463" spans="9:12">
      <c r="I6463"/>
      <c r="L6463"/>
    </row>
    <row r="6464" spans="9:12">
      <c r="I6464"/>
      <c r="L6464"/>
    </row>
    <row r="6465" spans="9:12">
      <c r="I6465"/>
      <c r="L6465"/>
    </row>
    <row r="6466" spans="9:12">
      <c r="I6466"/>
      <c r="L6466"/>
    </row>
    <row r="6467" spans="9:12">
      <c r="I6467"/>
      <c r="L6467"/>
    </row>
    <row r="6468" spans="9:12">
      <c r="I6468"/>
      <c r="L6468"/>
    </row>
    <row r="6469" spans="9:12">
      <c r="I6469"/>
      <c r="L6469"/>
    </row>
    <row r="6470" spans="9:12">
      <c r="I6470"/>
      <c r="L6470"/>
    </row>
    <row r="6471" spans="9:12">
      <c r="I6471"/>
      <c r="L6471"/>
    </row>
    <row r="6472" spans="9:12">
      <c r="I6472"/>
      <c r="L6472"/>
    </row>
    <row r="6473" spans="9:12">
      <c r="I6473"/>
      <c r="L6473"/>
    </row>
    <row r="6474" spans="9:12">
      <c r="I6474"/>
      <c r="L6474"/>
    </row>
    <row r="6475" spans="9:12">
      <c r="I6475"/>
      <c r="L6475"/>
    </row>
    <row r="6476" spans="9:12">
      <c r="I6476"/>
      <c r="L6476"/>
    </row>
    <row r="6477" spans="9:12">
      <c r="I6477"/>
      <c r="L6477"/>
    </row>
    <row r="6478" spans="9:12">
      <c r="I6478"/>
      <c r="L6478"/>
    </row>
    <row r="6479" spans="9:12">
      <c r="I6479"/>
      <c r="L6479"/>
    </row>
    <row r="6480" spans="9:12">
      <c r="I6480"/>
      <c r="L6480"/>
    </row>
    <row r="6481" spans="9:12">
      <c r="I6481"/>
      <c r="L6481"/>
    </row>
    <row r="6482" spans="9:12">
      <c r="I6482"/>
      <c r="L6482"/>
    </row>
    <row r="6483" spans="9:12">
      <c r="I6483"/>
      <c r="L6483"/>
    </row>
    <row r="6484" spans="9:12">
      <c r="I6484"/>
      <c r="L6484"/>
    </row>
    <row r="6485" spans="9:12">
      <c r="I6485"/>
      <c r="L6485"/>
    </row>
    <row r="6486" spans="9:12">
      <c r="I6486"/>
      <c r="L6486"/>
    </row>
    <row r="6487" spans="9:12">
      <c r="I6487"/>
      <c r="L6487"/>
    </row>
    <row r="6488" spans="9:12">
      <c r="I6488"/>
      <c r="L6488"/>
    </row>
    <row r="6489" spans="9:12">
      <c r="I6489"/>
      <c r="L6489"/>
    </row>
    <row r="6490" spans="9:12">
      <c r="I6490"/>
      <c r="L6490"/>
    </row>
    <row r="6491" spans="9:12">
      <c r="I6491"/>
      <c r="L6491"/>
    </row>
    <row r="6492" spans="9:12">
      <c r="I6492"/>
      <c r="L6492"/>
    </row>
    <row r="6493" spans="9:12">
      <c r="I6493"/>
      <c r="L6493"/>
    </row>
    <row r="6494" spans="9:12">
      <c r="I6494"/>
      <c r="L6494"/>
    </row>
    <row r="6495" spans="9:12">
      <c r="I6495"/>
      <c r="L6495"/>
    </row>
    <row r="6496" spans="9:12">
      <c r="I6496"/>
      <c r="L6496"/>
    </row>
    <row r="6497" spans="9:12">
      <c r="I6497"/>
      <c r="L6497"/>
    </row>
    <row r="6498" spans="9:12">
      <c r="I6498"/>
      <c r="L6498"/>
    </row>
    <row r="6499" spans="9:12">
      <c r="I6499"/>
      <c r="L6499"/>
    </row>
    <row r="6500" spans="9:12">
      <c r="I6500"/>
      <c r="L6500"/>
    </row>
    <row r="6501" spans="9:12">
      <c r="I6501"/>
      <c r="L6501"/>
    </row>
    <row r="6502" spans="9:12">
      <c r="I6502"/>
      <c r="L6502"/>
    </row>
    <row r="6503" spans="9:12">
      <c r="I6503"/>
      <c r="L6503"/>
    </row>
    <row r="6504" spans="9:12">
      <c r="I6504"/>
      <c r="L6504"/>
    </row>
    <row r="6505" spans="9:12">
      <c r="I6505"/>
      <c r="L6505"/>
    </row>
    <row r="6506" spans="9:12">
      <c r="I6506"/>
      <c r="L6506"/>
    </row>
    <row r="6507" spans="9:12">
      <c r="I6507"/>
      <c r="L6507"/>
    </row>
    <row r="6508" spans="9:12">
      <c r="I6508"/>
      <c r="L6508"/>
    </row>
    <row r="6509" spans="9:12">
      <c r="I6509"/>
      <c r="L6509"/>
    </row>
    <row r="6510" spans="9:12">
      <c r="I6510"/>
      <c r="L6510"/>
    </row>
    <row r="6511" spans="9:12">
      <c r="I6511"/>
      <c r="L6511"/>
    </row>
    <row r="6512" spans="9:12">
      <c r="I6512"/>
      <c r="L6512"/>
    </row>
    <row r="6513" spans="9:12">
      <c r="I6513"/>
      <c r="L6513"/>
    </row>
    <row r="6514" spans="9:12">
      <c r="I6514"/>
      <c r="L6514"/>
    </row>
    <row r="6515" spans="9:12">
      <c r="I6515"/>
      <c r="L6515"/>
    </row>
    <row r="6516" spans="9:12">
      <c r="I6516"/>
      <c r="L6516"/>
    </row>
    <row r="6517" spans="9:12">
      <c r="I6517"/>
      <c r="L6517"/>
    </row>
    <row r="6518" spans="9:12">
      <c r="I6518"/>
      <c r="L6518"/>
    </row>
    <row r="6519" spans="9:12">
      <c r="I6519"/>
      <c r="L6519"/>
    </row>
    <row r="6520" spans="9:12">
      <c r="I6520"/>
      <c r="L6520"/>
    </row>
    <row r="6521" spans="9:12">
      <c r="I6521"/>
      <c r="L6521"/>
    </row>
    <row r="6522" spans="9:12">
      <c r="I6522"/>
      <c r="L6522"/>
    </row>
    <row r="6523" spans="9:12">
      <c r="I6523"/>
      <c r="L6523"/>
    </row>
    <row r="6524" spans="9:12">
      <c r="I6524"/>
      <c r="L6524"/>
    </row>
    <row r="6525" spans="9:12">
      <c r="I6525"/>
      <c r="L6525"/>
    </row>
    <row r="6526" spans="9:12">
      <c r="I6526"/>
      <c r="L6526"/>
    </row>
    <row r="6527" spans="9:12">
      <c r="I6527"/>
      <c r="L6527"/>
    </row>
    <row r="6528" spans="9:12">
      <c r="I6528"/>
      <c r="L6528"/>
    </row>
    <row r="6529" spans="9:12">
      <c r="I6529"/>
      <c r="L6529"/>
    </row>
    <row r="6530" spans="9:12">
      <c r="I6530"/>
      <c r="L6530"/>
    </row>
    <row r="6531" spans="9:12">
      <c r="I6531"/>
      <c r="L6531"/>
    </row>
    <row r="6532" spans="9:12">
      <c r="I6532"/>
      <c r="L6532"/>
    </row>
    <row r="6533" spans="9:12">
      <c r="I6533"/>
      <c r="L6533"/>
    </row>
    <row r="6534" spans="9:12">
      <c r="I6534"/>
      <c r="L6534"/>
    </row>
    <row r="6535" spans="9:12">
      <c r="I6535"/>
      <c r="L6535"/>
    </row>
    <row r="6536" spans="9:12">
      <c r="I6536"/>
      <c r="L6536"/>
    </row>
    <row r="6537" spans="9:12">
      <c r="I6537"/>
      <c r="L6537"/>
    </row>
    <row r="6538" spans="9:12">
      <c r="I6538"/>
      <c r="L6538"/>
    </row>
    <row r="6539" spans="9:12">
      <c r="I6539"/>
      <c r="L6539"/>
    </row>
    <row r="6540" spans="9:12">
      <c r="I6540"/>
      <c r="L6540"/>
    </row>
    <row r="6541" spans="9:12">
      <c r="I6541"/>
      <c r="L6541"/>
    </row>
    <row r="6542" spans="9:12">
      <c r="I6542"/>
      <c r="L6542"/>
    </row>
    <row r="6543" spans="9:12">
      <c r="I6543"/>
      <c r="L6543"/>
    </row>
    <row r="6544" spans="9:12">
      <c r="I6544"/>
      <c r="L6544"/>
    </row>
    <row r="6545" spans="9:12">
      <c r="I6545"/>
      <c r="L6545"/>
    </row>
    <row r="6546" spans="9:12">
      <c r="I6546"/>
      <c r="L6546"/>
    </row>
    <row r="6547" spans="9:12">
      <c r="I6547"/>
      <c r="L6547"/>
    </row>
    <row r="6548" spans="9:12">
      <c r="I6548"/>
      <c r="L6548"/>
    </row>
    <row r="6549" spans="9:12">
      <c r="I6549"/>
      <c r="L6549"/>
    </row>
    <row r="6550" spans="9:12">
      <c r="I6550"/>
      <c r="L6550"/>
    </row>
    <row r="6551" spans="9:12">
      <c r="I6551"/>
      <c r="L6551"/>
    </row>
    <row r="6552" spans="9:12">
      <c r="I6552"/>
      <c r="L6552"/>
    </row>
    <row r="6553" spans="9:12">
      <c r="I6553"/>
      <c r="L6553"/>
    </row>
    <row r="6554" spans="9:12">
      <c r="I6554"/>
      <c r="L6554"/>
    </row>
    <row r="6555" spans="9:12">
      <c r="I6555"/>
      <c r="L6555"/>
    </row>
    <row r="6556" spans="9:12">
      <c r="I6556"/>
      <c r="L6556"/>
    </row>
    <row r="6557" spans="9:12">
      <c r="I6557"/>
      <c r="L6557"/>
    </row>
    <row r="6558" spans="9:12">
      <c r="I6558"/>
      <c r="L6558"/>
    </row>
    <row r="6559" spans="9:12">
      <c r="I6559"/>
      <c r="L6559"/>
    </row>
    <row r="6560" spans="9:12">
      <c r="I6560"/>
      <c r="L6560"/>
    </row>
    <row r="6561" spans="9:12">
      <c r="I6561"/>
      <c r="L6561"/>
    </row>
    <row r="6562" spans="9:12">
      <c r="I6562"/>
      <c r="L6562"/>
    </row>
    <row r="6563" spans="9:12">
      <c r="I6563"/>
      <c r="L6563"/>
    </row>
    <row r="6564" spans="9:12">
      <c r="I6564"/>
      <c r="L6564"/>
    </row>
    <row r="6565" spans="9:12">
      <c r="I6565"/>
      <c r="L6565"/>
    </row>
    <row r="6566" spans="9:12">
      <c r="I6566"/>
      <c r="L6566"/>
    </row>
    <row r="6567" spans="9:12">
      <c r="I6567"/>
      <c r="L6567"/>
    </row>
    <row r="6568" spans="9:12">
      <c r="I6568"/>
      <c r="L6568"/>
    </row>
    <row r="6569" spans="9:12">
      <c r="I6569"/>
      <c r="L6569"/>
    </row>
    <row r="6570" spans="9:12">
      <c r="I6570"/>
      <c r="L6570"/>
    </row>
    <row r="6571" spans="9:12">
      <c r="I6571"/>
      <c r="L6571"/>
    </row>
    <row r="6572" spans="9:12">
      <c r="I6572"/>
      <c r="L6572"/>
    </row>
    <row r="6573" spans="9:12">
      <c r="I6573"/>
      <c r="L6573"/>
    </row>
    <row r="6574" spans="9:12">
      <c r="I6574"/>
      <c r="L6574"/>
    </row>
    <row r="6575" spans="9:12">
      <c r="I6575"/>
      <c r="L6575"/>
    </row>
    <row r="6576" spans="9:12">
      <c r="I6576"/>
      <c r="L6576"/>
    </row>
    <row r="6577" spans="9:12">
      <c r="I6577"/>
      <c r="L6577"/>
    </row>
    <row r="6578" spans="9:12">
      <c r="I6578"/>
      <c r="L6578"/>
    </row>
    <row r="6579" spans="9:12">
      <c r="I6579"/>
      <c r="L6579"/>
    </row>
    <row r="6580" spans="9:12">
      <c r="I6580"/>
      <c r="L6580"/>
    </row>
    <row r="6581" spans="9:12">
      <c r="I6581"/>
      <c r="L6581"/>
    </row>
    <row r="6582" spans="9:12">
      <c r="I6582"/>
      <c r="L6582"/>
    </row>
    <row r="6583" spans="9:12">
      <c r="I6583"/>
      <c r="L6583"/>
    </row>
    <row r="6584" spans="9:12">
      <c r="I6584"/>
      <c r="L6584"/>
    </row>
    <row r="6585" spans="9:12">
      <c r="I6585"/>
      <c r="L6585"/>
    </row>
    <row r="6586" spans="9:12">
      <c r="I6586"/>
      <c r="L6586"/>
    </row>
    <row r="6587" spans="9:12">
      <c r="I6587"/>
      <c r="L6587"/>
    </row>
    <row r="6588" spans="9:12">
      <c r="I6588"/>
      <c r="L6588"/>
    </row>
    <row r="6589" spans="9:12">
      <c r="I6589"/>
      <c r="L6589"/>
    </row>
    <row r="6590" spans="9:12">
      <c r="I6590"/>
      <c r="L6590"/>
    </row>
    <row r="6591" spans="9:12">
      <c r="I6591"/>
      <c r="L6591"/>
    </row>
    <row r="6592" spans="9:12">
      <c r="I6592"/>
      <c r="L6592"/>
    </row>
    <row r="6593" spans="9:12">
      <c r="I6593"/>
      <c r="L6593"/>
    </row>
    <row r="6594" spans="9:12">
      <c r="I6594"/>
      <c r="L6594"/>
    </row>
    <row r="6595" spans="9:12">
      <c r="I6595"/>
      <c r="L6595"/>
    </row>
    <row r="6596" spans="9:12">
      <c r="I6596"/>
      <c r="L6596"/>
    </row>
    <row r="6597" spans="9:12">
      <c r="I6597"/>
      <c r="L6597"/>
    </row>
    <row r="6598" spans="9:12">
      <c r="I6598"/>
      <c r="L6598"/>
    </row>
    <row r="6599" spans="9:12">
      <c r="I6599"/>
      <c r="L6599"/>
    </row>
    <row r="6600" spans="9:12">
      <c r="I6600"/>
      <c r="L6600"/>
    </row>
    <row r="6601" spans="9:12">
      <c r="I6601"/>
      <c r="L6601"/>
    </row>
    <row r="6602" spans="9:12">
      <c r="I6602"/>
      <c r="L6602"/>
    </row>
    <row r="6603" spans="9:12">
      <c r="I6603"/>
      <c r="L6603"/>
    </row>
    <row r="6604" spans="9:12">
      <c r="I6604"/>
      <c r="L6604"/>
    </row>
    <row r="6605" spans="9:12">
      <c r="I6605"/>
      <c r="L6605"/>
    </row>
    <row r="6606" spans="9:12">
      <c r="I6606"/>
      <c r="L6606"/>
    </row>
    <row r="6607" spans="9:12">
      <c r="I6607"/>
      <c r="L6607"/>
    </row>
    <row r="6608" spans="9:12">
      <c r="I6608"/>
      <c r="L6608"/>
    </row>
    <row r="6609" spans="9:12">
      <c r="I6609"/>
      <c r="L6609"/>
    </row>
    <row r="6610" spans="9:12">
      <c r="I6610"/>
      <c r="L6610"/>
    </row>
    <row r="6611" spans="9:12">
      <c r="I6611"/>
      <c r="L6611"/>
    </row>
    <row r="6612" spans="9:12">
      <c r="I6612"/>
      <c r="L6612"/>
    </row>
    <row r="6613" spans="9:12">
      <c r="I6613"/>
      <c r="L6613"/>
    </row>
    <row r="6614" spans="9:12">
      <c r="I6614"/>
      <c r="L6614"/>
    </row>
    <row r="6615" spans="9:12">
      <c r="I6615"/>
      <c r="L6615"/>
    </row>
    <row r="6616" spans="9:12">
      <c r="I6616"/>
      <c r="L6616"/>
    </row>
    <row r="6617" spans="9:12">
      <c r="I6617"/>
      <c r="L6617"/>
    </row>
    <row r="6618" spans="9:12">
      <c r="I6618"/>
      <c r="L6618"/>
    </row>
    <row r="6619" spans="9:12">
      <c r="I6619"/>
      <c r="L6619"/>
    </row>
    <row r="6620" spans="9:12">
      <c r="I6620"/>
      <c r="L6620"/>
    </row>
    <row r="6621" spans="9:12">
      <c r="I6621"/>
      <c r="L6621"/>
    </row>
    <row r="6622" spans="9:12">
      <c r="I6622"/>
      <c r="L6622"/>
    </row>
    <row r="6623" spans="9:12">
      <c r="I6623"/>
      <c r="L6623"/>
    </row>
    <row r="6624" spans="9:12">
      <c r="I6624"/>
      <c r="L6624"/>
    </row>
    <row r="6625" spans="9:12">
      <c r="I6625"/>
      <c r="L6625"/>
    </row>
    <row r="6626" spans="9:12">
      <c r="I6626"/>
      <c r="L6626"/>
    </row>
    <row r="6627" spans="9:12">
      <c r="I6627"/>
      <c r="L6627"/>
    </row>
    <row r="6628" spans="9:12">
      <c r="I6628"/>
      <c r="L6628"/>
    </row>
    <row r="6629" spans="9:12">
      <c r="I6629"/>
      <c r="L6629"/>
    </row>
    <row r="6630" spans="9:12">
      <c r="I6630"/>
      <c r="L6630"/>
    </row>
    <row r="6631" spans="9:12">
      <c r="I6631"/>
      <c r="L6631"/>
    </row>
    <row r="6632" spans="9:12">
      <c r="I6632"/>
      <c r="L6632"/>
    </row>
    <row r="6633" spans="9:12">
      <c r="I6633"/>
      <c r="L6633"/>
    </row>
    <row r="6634" spans="9:12">
      <c r="I6634"/>
      <c r="L6634"/>
    </row>
    <row r="6635" spans="9:12">
      <c r="I6635"/>
      <c r="L6635"/>
    </row>
    <row r="6636" spans="9:12">
      <c r="I6636"/>
      <c r="L6636"/>
    </row>
    <row r="6637" spans="9:12">
      <c r="I6637"/>
      <c r="L6637"/>
    </row>
    <row r="6638" spans="9:12">
      <c r="I6638"/>
      <c r="L6638"/>
    </row>
    <row r="6639" spans="9:12">
      <c r="I6639"/>
      <c r="L6639"/>
    </row>
    <row r="6640" spans="9:12">
      <c r="I6640"/>
      <c r="L6640"/>
    </row>
    <row r="6641" spans="9:12">
      <c r="I6641"/>
      <c r="L6641"/>
    </row>
    <row r="6642" spans="9:12">
      <c r="I6642"/>
      <c r="L6642"/>
    </row>
    <row r="6643" spans="9:12">
      <c r="I6643"/>
      <c r="L6643"/>
    </row>
    <row r="6644" spans="9:12">
      <c r="I6644"/>
      <c r="L6644"/>
    </row>
    <row r="6645" spans="9:12">
      <c r="I6645"/>
      <c r="L6645"/>
    </row>
    <row r="6646" spans="9:12">
      <c r="I6646"/>
      <c r="L6646"/>
    </row>
    <row r="6647" spans="9:12">
      <c r="I6647"/>
      <c r="L6647"/>
    </row>
    <row r="6648" spans="9:12">
      <c r="I6648"/>
      <c r="L6648"/>
    </row>
    <row r="6649" spans="9:12">
      <c r="I6649"/>
      <c r="L6649"/>
    </row>
    <row r="6650" spans="9:12">
      <c r="I6650"/>
      <c r="L6650"/>
    </row>
    <row r="6651" spans="9:12">
      <c r="I6651"/>
      <c r="L6651"/>
    </row>
    <row r="6652" spans="9:12">
      <c r="I6652"/>
      <c r="L6652"/>
    </row>
    <row r="6653" spans="9:12">
      <c r="I6653"/>
      <c r="L6653"/>
    </row>
    <row r="6654" spans="9:12">
      <c r="I6654"/>
      <c r="L6654"/>
    </row>
    <row r="6655" spans="9:12">
      <c r="I6655"/>
      <c r="L6655"/>
    </row>
    <row r="6656" spans="9:12">
      <c r="I6656"/>
      <c r="L6656"/>
    </row>
    <row r="6657" spans="9:12">
      <c r="I6657"/>
      <c r="L6657"/>
    </row>
    <row r="6658" spans="9:12">
      <c r="I6658"/>
      <c r="L6658"/>
    </row>
    <row r="6659" spans="9:12">
      <c r="I6659"/>
      <c r="L6659"/>
    </row>
    <row r="6660" spans="9:12">
      <c r="I6660"/>
      <c r="L6660"/>
    </row>
    <row r="6661" spans="9:12">
      <c r="I6661"/>
      <c r="L6661"/>
    </row>
    <row r="6662" spans="9:12">
      <c r="I6662"/>
      <c r="L6662"/>
    </row>
    <row r="6663" spans="9:12">
      <c r="I6663"/>
      <c r="L6663"/>
    </row>
    <row r="6664" spans="9:12">
      <c r="I6664"/>
      <c r="L6664"/>
    </row>
    <row r="6665" spans="9:12">
      <c r="I6665"/>
      <c r="L6665"/>
    </row>
    <row r="6666" spans="9:12">
      <c r="I6666"/>
      <c r="L6666"/>
    </row>
    <row r="6667" spans="9:12">
      <c r="I6667"/>
      <c r="L6667"/>
    </row>
    <row r="6668" spans="9:12">
      <c r="I6668"/>
      <c r="L6668"/>
    </row>
    <row r="6669" spans="9:12">
      <c r="I6669"/>
      <c r="L6669"/>
    </row>
    <row r="6670" spans="9:12">
      <c r="I6670"/>
      <c r="L6670"/>
    </row>
    <row r="6671" spans="9:12">
      <c r="I6671"/>
      <c r="L6671"/>
    </row>
    <row r="6672" spans="9:12">
      <c r="I6672"/>
      <c r="L6672"/>
    </row>
    <row r="6673" spans="9:12">
      <c r="I6673"/>
      <c r="L6673"/>
    </row>
    <row r="6674" spans="9:12">
      <c r="I6674"/>
      <c r="L6674"/>
    </row>
    <row r="6675" spans="9:12">
      <c r="I6675"/>
      <c r="L6675"/>
    </row>
    <row r="6676" spans="9:12">
      <c r="I6676"/>
      <c r="L6676"/>
    </row>
    <row r="6677" spans="9:12">
      <c r="I6677"/>
      <c r="L6677"/>
    </row>
    <row r="6678" spans="9:12">
      <c r="I6678"/>
      <c r="L6678"/>
    </row>
    <row r="6679" spans="9:12">
      <c r="I6679"/>
      <c r="L6679"/>
    </row>
    <row r="6680" spans="9:12">
      <c r="I6680"/>
      <c r="L6680"/>
    </row>
    <row r="6681" spans="9:12">
      <c r="I6681"/>
      <c r="L6681"/>
    </row>
    <row r="6682" spans="9:12">
      <c r="I6682"/>
      <c r="L6682"/>
    </row>
    <row r="6683" spans="9:12">
      <c r="I6683"/>
      <c r="L6683"/>
    </row>
    <row r="6684" spans="9:12">
      <c r="I6684"/>
      <c r="L6684"/>
    </row>
    <row r="6685" spans="9:12">
      <c r="I6685"/>
      <c r="L6685"/>
    </row>
    <row r="6686" spans="9:12">
      <c r="I6686"/>
      <c r="L6686"/>
    </row>
    <row r="6687" spans="9:12">
      <c r="I6687"/>
      <c r="L6687"/>
    </row>
    <row r="6688" spans="9:12">
      <c r="I6688"/>
      <c r="L6688"/>
    </row>
    <row r="6689" spans="9:12">
      <c r="I6689"/>
      <c r="L6689"/>
    </row>
    <row r="6690" spans="9:12">
      <c r="I6690"/>
      <c r="L6690"/>
    </row>
    <row r="6691" spans="9:12">
      <c r="I6691"/>
      <c r="L6691"/>
    </row>
    <row r="6692" spans="9:12">
      <c r="I6692"/>
      <c r="L6692"/>
    </row>
    <row r="6693" spans="9:12">
      <c r="I6693"/>
      <c r="L6693"/>
    </row>
    <row r="6694" spans="9:12">
      <c r="I6694"/>
      <c r="L6694"/>
    </row>
    <row r="6695" spans="9:12">
      <c r="I6695"/>
      <c r="L6695"/>
    </row>
    <row r="6696" spans="9:12">
      <c r="I6696"/>
      <c r="L6696"/>
    </row>
    <row r="6697" spans="9:12">
      <c r="I6697"/>
      <c r="L6697"/>
    </row>
    <row r="6698" spans="9:12">
      <c r="I6698"/>
      <c r="L6698"/>
    </row>
    <row r="6699" spans="9:12">
      <c r="I6699"/>
      <c r="L6699"/>
    </row>
    <row r="6700" spans="9:12">
      <c r="I6700"/>
      <c r="L6700"/>
    </row>
    <row r="6701" spans="9:12">
      <c r="I6701"/>
      <c r="L6701"/>
    </row>
    <row r="6702" spans="9:12">
      <c r="I6702"/>
      <c r="L6702"/>
    </row>
    <row r="6703" spans="9:12">
      <c r="I6703"/>
      <c r="L6703"/>
    </row>
    <row r="6704" spans="9:12">
      <c r="I6704"/>
      <c r="L6704"/>
    </row>
    <row r="6705" spans="9:12">
      <c r="I6705"/>
      <c r="L6705"/>
    </row>
    <row r="6706" spans="9:12">
      <c r="I6706"/>
      <c r="L6706"/>
    </row>
    <row r="6707" spans="9:12">
      <c r="I6707"/>
      <c r="L6707"/>
    </row>
    <row r="6708" spans="9:12">
      <c r="I6708"/>
      <c r="L6708"/>
    </row>
    <row r="6709" spans="9:12">
      <c r="I6709"/>
      <c r="L6709"/>
    </row>
    <row r="6710" spans="9:12">
      <c r="I6710"/>
      <c r="L6710"/>
    </row>
    <row r="6711" spans="9:12">
      <c r="I6711"/>
      <c r="L6711"/>
    </row>
    <row r="6712" spans="9:12">
      <c r="I6712"/>
      <c r="L6712"/>
    </row>
    <row r="6713" spans="9:12">
      <c r="I6713"/>
      <c r="L6713"/>
    </row>
    <row r="6714" spans="9:12">
      <c r="I6714"/>
      <c r="L6714"/>
    </row>
    <row r="6715" spans="9:12">
      <c r="I6715"/>
      <c r="L6715"/>
    </row>
    <row r="6716" spans="9:12">
      <c r="I6716"/>
      <c r="L6716"/>
    </row>
    <row r="6717" spans="9:12">
      <c r="I6717"/>
      <c r="L6717"/>
    </row>
    <row r="6718" spans="9:12">
      <c r="I6718"/>
      <c r="L6718"/>
    </row>
    <row r="6719" spans="9:12">
      <c r="I6719"/>
      <c r="L6719"/>
    </row>
    <row r="6720" spans="9:12">
      <c r="I6720"/>
      <c r="L6720"/>
    </row>
    <row r="6721" spans="9:12">
      <c r="I6721"/>
      <c r="L6721"/>
    </row>
    <row r="6722" spans="9:12">
      <c r="I6722"/>
      <c r="L6722"/>
    </row>
    <row r="6723" spans="9:12">
      <c r="I6723"/>
      <c r="L6723"/>
    </row>
    <row r="6724" spans="9:12">
      <c r="I6724"/>
      <c r="L6724"/>
    </row>
    <row r="6725" spans="9:12">
      <c r="I6725"/>
      <c r="L6725"/>
    </row>
    <row r="6726" spans="9:12">
      <c r="I6726"/>
      <c r="L6726"/>
    </row>
    <row r="6727" spans="9:12">
      <c r="I6727"/>
      <c r="L6727"/>
    </row>
    <row r="6728" spans="9:12">
      <c r="I6728"/>
      <c r="L6728"/>
    </row>
    <row r="6729" spans="9:12">
      <c r="I6729"/>
      <c r="L6729"/>
    </row>
    <row r="6730" spans="9:12">
      <c r="I6730"/>
      <c r="L6730"/>
    </row>
    <row r="6731" spans="9:12">
      <c r="I6731"/>
      <c r="L6731"/>
    </row>
    <row r="6732" spans="9:12">
      <c r="I6732"/>
      <c r="L6732"/>
    </row>
    <row r="6733" spans="9:12">
      <c r="I6733"/>
      <c r="L6733"/>
    </row>
    <row r="6734" spans="9:12">
      <c r="I6734"/>
      <c r="L6734"/>
    </row>
    <row r="6735" spans="9:12">
      <c r="I6735"/>
      <c r="L6735"/>
    </row>
    <row r="6736" spans="9:12">
      <c r="I6736"/>
      <c r="L6736"/>
    </row>
    <row r="6737" spans="9:12">
      <c r="I6737"/>
      <c r="L6737"/>
    </row>
    <row r="6738" spans="9:12">
      <c r="I6738"/>
      <c r="L6738"/>
    </row>
    <row r="6739" spans="9:12">
      <c r="I6739"/>
      <c r="L6739"/>
    </row>
    <row r="6740" spans="9:12">
      <c r="I6740"/>
      <c r="L6740"/>
    </row>
    <row r="6741" spans="9:12">
      <c r="I6741"/>
      <c r="L6741"/>
    </row>
    <row r="6742" spans="9:12">
      <c r="I6742"/>
      <c r="L6742"/>
    </row>
    <row r="6743" spans="9:12">
      <c r="I6743"/>
      <c r="L6743"/>
    </row>
    <row r="6744" spans="9:12">
      <c r="I6744"/>
      <c r="L6744"/>
    </row>
    <row r="6745" spans="9:12">
      <c r="I6745"/>
      <c r="L6745"/>
    </row>
    <row r="6746" spans="9:12">
      <c r="I6746"/>
      <c r="L6746"/>
    </row>
    <row r="6747" spans="9:12">
      <c r="I6747"/>
      <c r="L6747"/>
    </row>
    <row r="6748" spans="9:12">
      <c r="I6748"/>
      <c r="L6748"/>
    </row>
    <row r="6749" spans="9:12">
      <c r="I6749"/>
      <c r="L6749"/>
    </row>
    <row r="6750" spans="9:12">
      <c r="I6750"/>
      <c r="L6750"/>
    </row>
    <row r="6751" spans="9:12">
      <c r="I6751"/>
      <c r="L6751"/>
    </row>
    <row r="6752" spans="9:12">
      <c r="I6752"/>
      <c r="L6752"/>
    </row>
    <row r="6753" spans="9:12">
      <c r="I6753"/>
      <c r="L6753"/>
    </row>
    <row r="6754" spans="9:12">
      <c r="I6754"/>
      <c r="L6754"/>
    </row>
    <row r="6755" spans="9:12">
      <c r="I6755"/>
      <c r="L6755"/>
    </row>
    <row r="6756" spans="9:12">
      <c r="I6756"/>
      <c r="L6756"/>
    </row>
    <row r="6757" spans="9:12">
      <c r="I6757"/>
      <c r="L6757"/>
    </row>
    <row r="6758" spans="9:12">
      <c r="I6758"/>
      <c r="L6758"/>
    </row>
    <row r="6759" spans="9:12">
      <c r="I6759"/>
      <c r="L6759"/>
    </row>
    <row r="6760" spans="9:12">
      <c r="I6760"/>
      <c r="L6760"/>
    </row>
    <row r="6761" spans="9:12">
      <c r="I6761"/>
      <c r="L6761"/>
    </row>
    <row r="6762" spans="9:12">
      <c r="I6762"/>
      <c r="L6762"/>
    </row>
    <row r="6763" spans="9:12">
      <c r="I6763"/>
      <c r="L6763"/>
    </row>
    <row r="6764" spans="9:12">
      <c r="I6764"/>
      <c r="L6764"/>
    </row>
    <row r="6765" spans="9:12">
      <c r="I6765"/>
      <c r="L6765"/>
    </row>
    <row r="6766" spans="9:12">
      <c r="I6766"/>
      <c r="L6766"/>
    </row>
    <row r="6767" spans="9:12">
      <c r="I6767"/>
      <c r="L6767"/>
    </row>
    <row r="6768" spans="9:12">
      <c r="I6768"/>
      <c r="L6768"/>
    </row>
    <row r="6769" spans="9:12">
      <c r="I6769"/>
      <c r="L6769"/>
    </row>
    <row r="6770" spans="9:12">
      <c r="I6770"/>
      <c r="L6770"/>
    </row>
    <row r="6771" spans="9:12">
      <c r="I6771"/>
      <c r="L6771"/>
    </row>
    <row r="6772" spans="9:12">
      <c r="I6772"/>
      <c r="L6772"/>
    </row>
    <row r="6773" spans="9:12">
      <c r="I6773"/>
      <c r="L6773"/>
    </row>
    <row r="6774" spans="9:12">
      <c r="I6774"/>
      <c r="L6774"/>
    </row>
    <row r="6775" spans="9:12">
      <c r="I6775"/>
      <c r="L6775"/>
    </row>
    <row r="6776" spans="9:12">
      <c r="I6776"/>
      <c r="L6776"/>
    </row>
    <row r="6777" spans="9:12">
      <c r="I6777"/>
      <c r="L6777"/>
    </row>
    <row r="6778" spans="9:12">
      <c r="I6778"/>
      <c r="L6778"/>
    </row>
    <row r="6779" spans="9:12">
      <c r="I6779"/>
      <c r="L6779"/>
    </row>
    <row r="6780" spans="9:12">
      <c r="I6780"/>
      <c r="L6780"/>
    </row>
    <row r="6781" spans="9:12">
      <c r="I6781"/>
      <c r="L6781"/>
    </row>
    <row r="6782" spans="9:12">
      <c r="I6782"/>
      <c r="L6782"/>
    </row>
    <row r="6783" spans="9:12">
      <c r="I6783"/>
      <c r="L6783"/>
    </row>
    <row r="6784" spans="9:12">
      <c r="I6784"/>
      <c r="L6784"/>
    </row>
    <row r="6785" spans="9:12">
      <c r="I6785"/>
      <c r="L6785"/>
    </row>
    <row r="6786" spans="9:12">
      <c r="I6786"/>
      <c r="L6786"/>
    </row>
    <row r="6787" spans="9:12">
      <c r="I6787"/>
      <c r="L6787"/>
    </row>
    <row r="6788" spans="9:12">
      <c r="I6788"/>
      <c r="L6788"/>
    </row>
    <row r="6789" spans="9:12">
      <c r="I6789"/>
      <c r="L6789"/>
    </row>
    <row r="6790" spans="9:12">
      <c r="I6790"/>
      <c r="L6790"/>
    </row>
    <row r="6791" spans="9:12">
      <c r="I6791"/>
      <c r="L6791"/>
    </row>
    <row r="6792" spans="9:12">
      <c r="I6792"/>
      <c r="L6792"/>
    </row>
    <row r="6793" spans="9:12">
      <c r="I6793"/>
      <c r="L6793"/>
    </row>
    <row r="6794" spans="9:12">
      <c r="I6794"/>
      <c r="L6794"/>
    </row>
    <row r="6795" spans="9:12">
      <c r="I6795"/>
      <c r="L6795"/>
    </row>
    <row r="6796" spans="9:12">
      <c r="I6796"/>
      <c r="L6796"/>
    </row>
    <row r="6797" spans="9:12">
      <c r="I6797"/>
      <c r="L6797"/>
    </row>
    <row r="6798" spans="9:12">
      <c r="I6798"/>
      <c r="L6798"/>
    </row>
    <row r="6799" spans="9:12">
      <c r="I6799"/>
      <c r="L6799"/>
    </row>
    <row r="6800" spans="9:12">
      <c r="I6800"/>
      <c r="L6800"/>
    </row>
    <row r="6801" spans="9:12">
      <c r="I6801"/>
      <c r="L6801"/>
    </row>
    <row r="6802" spans="9:12">
      <c r="I6802"/>
      <c r="L6802"/>
    </row>
    <row r="6803" spans="9:12">
      <c r="I6803"/>
      <c r="L6803"/>
    </row>
    <row r="6804" spans="9:12">
      <c r="I6804"/>
      <c r="L6804"/>
    </row>
    <row r="6805" spans="9:12">
      <c r="I6805"/>
      <c r="L6805"/>
    </row>
    <row r="6806" spans="9:12">
      <c r="I6806"/>
      <c r="L6806"/>
    </row>
    <row r="6807" spans="9:12">
      <c r="I6807"/>
      <c r="L6807"/>
    </row>
    <row r="6808" spans="9:12">
      <c r="I6808"/>
      <c r="L6808"/>
    </row>
    <row r="6809" spans="9:12">
      <c r="I6809"/>
      <c r="L6809"/>
    </row>
    <row r="6810" spans="9:12">
      <c r="I6810"/>
      <c r="L6810"/>
    </row>
    <row r="6811" spans="9:12">
      <c r="I6811"/>
      <c r="L6811"/>
    </row>
    <row r="6812" spans="9:12">
      <c r="I6812"/>
      <c r="L6812"/>
    </row>
    <row r="6813" spans="9:12">
      <c r="I6813"/>
      <c r="L6813"/>
    </row>
    <row r="6814" spans="9:12">
      <c r="I6814"/>
      <c r="L6814"/>
    </row>
    <row r="6815" spans="9:12">
      <c r="I6815"/>
      <c r="L6815"/>
    </row>
    <row r="6816" spans="9:12">
      <c r="I6816"/>
      <c r="L6816"/>
    </row>
    <row r="6817" spans="9:12">
      <c r="I6817"/>
      <c r="L6817"/>
    </row>
    <row r="6818" spans="9:12">
      <c r="I6818"/>
      <c r="L6818"/>
    </row>
    <row r="6819" spans="9:12">
      <c r="I6819"/>
      <c r="L6819"/>
    </row>
    <row r="6820" spans="9:12">
      <c r="I6820"/>
      <c r="L6820"/>
    </row>
    <row r="6821" spans="9:12">
      <c r="I6821"/>
      <c r="L6821"/>
    </row>
    <row r="6822" spans="9:12">
      <c r="I6822"/>
      <c r="L6822"/>
    </row>
    <row r="6823" spans="9:12">
      <c r="I6823"/>
      <c r="L6823"/>
    </row>
    <row r="6824" spans="9:12">
      <c r="I6824"/>
      <c r="L6824"/>
    </row>
    <row r="6825" spans="9:12">
      <c r="I6825"/>
      <c r="L6825"/>
    </row>
    <row r="6826" spans="9:12">
      <c r="I6826"/>
      <c r="L6826"/>
    </row>
    <row r="6827" spans="9:12">
      <c r="I6827"/>
      <c r="L6827"/>
    </row>
    <row r="6828" spans="9:12">
      <c r="I6828"/>
      <c r="L6828"/>
    </row>
    <row r="6829" spans="9:12">
      <c r="I6829"/>
      <c r="L6829"/>
    </row>
    <row r="6830" spans="9:12">
      <c r="I6830"/>
      <c r="L6830"/>
    </row>
    <row r="6831" spans="9:12">
      <c r="I6831"/>
      <c r="L6831"/>
    </row>
    <row r="6832" spans="9:12">
      <c r="I6832"/>
      <c r="L6832"/>
    </row>
    <row r="6833" spans="9:12">
      <c r="I6833"/>
      <c r="L6833"/>
    </row>
    <row r="6834" spans="9:12">
      <c r="I6834"/>
      <c r="L6834"/>
    </row>
    <row r="6835" spans="9:12">
      <c r="I6835"/>
      <c r="L6835"/>
    </row>
    <row r="6836" spans="9:12">
      <c r="I6836"/>
      <c r="L6836"/>
    </row>
    <row r="6837" spans="9:12">
      <c r="I6837"/>
      <c r="L6837"/>
    </row>
    <row r="6838" spans="9:12">
      <c r="I6838"/>
      <c r="L6838"/>
    </row>
    <row r="6839" spans="9:12">
      <c r="I6839"/>
      <c r="L6839"/>
    </row>
    <row r="6840" spans="9:12">
      <c r="I6840"/>
      <c r="L6840"/>
    </row>
    <row r="6841" spans="9:12">
      <c r="I6841"/>
      <c r="L6841"/>
    </row>
    <row r="6842" spans="9:12">
      <c r="I6842"/>
      <c r="L6842"/>
    </row>
    <row r="6843" spans="9:12">
      <c r="I6843"/>
      <c r="L6843"/>
    </row>
    <row r="6844" spans="9:12">
      <c r="I6844"/>
      <c r="L6844"/>
    </row>
    <row r="6845" spans="9:12">
      <c r="I6845"/>
      <c r="L6845"/>
    </row>
    <row r="6846" spans="9:12">
      <c r="I6846"/>
      <c r="L6846"/>
    </row>
    <row r="6847" spans="9:12">
      <c r="I6847"/>
      <c r="L6847"/>
    </row>
    <row r="6848" spans="9:12">
      <c r="I6848"/>
      <c r="L6848"/>
    </row>
    <row r="6849" spans="9:12">
      <c r="I6849"/>
      <c r="L6849"/>
    </row>
    <row r="6850" spans="9:12">
      <c r="I6850"/>
      <c r="L6850"/>
    </row>
    <row r="6851" spans="9:12">
      <c r="I6851"/>
      <c r="L6851"/>
    </row>
    <row r="6852" spans="9:12">
      <c r="I6852"/>
      <c r="L6852"/>
    </row>
    <row r="6853" spans="9:12">
      <c r="I6853"/>
      <c r="L6853"/>
    </row>
    <row r="6854" spans="9:12">
      <c r="I6854"/>
      <c r="L6854"/>
    </row>
    <row r="6855" spans="9:12">
      <c r="I6855"/>
      <c r="L6855"/>
    </row>
    <row r="6856" spans="9:12">
      <c r="I6856"/>
      <c r="L6856"/>
    </row>
    <row r="6857" spans="9:12">
      <c r="I6857"/>
      <c r="L6857"/>
    </row>
    <row r="6858" spans="9:12">
      <c r="I6858"/>
      <c r="L6858"/>
    </row>
    <row r="6859" spans="9:12">
      <c r="I6859"/>
      <c r="L6859"/>
    </row>
    <row r="6860" spans="9:12">
      <c r="I6860"/>
      <c r="L6860"/>
    </row>
    <row r="6861" spans="9:12">
      <c r="I6861"/>
      <c r="L6861"/>
    </row>
    <row r="6862" spans="9:12">
      <c r="I6862"/>
      <c r="L6862"/>
    </row>
    <row r="6863" spans="9:12">
      <c r="I6863"/>
      <c r="L6863"/>
    </row>
    <row r="6864" spans="9:12">
      <c r="I6864"/>
      <c r="L6864"/>
    </row>
    <row r="6865" spans="9:12">
      <c r="I6865"/>
      <c r="L6865"/>
    </row>
    <row r="6866" spans="9:12">
      <c r="I6866"/>
      <c r="L6866"/>
    </row>
    <row r="6867" spans="9:12">
      <c r="I6867"/>
      <c r="L6867"/>
    </row>
    <row r="6868" spans="9:12">
      <c r="I6868"/>
      <c r="L6868"/>
    </row>
    <row r="6869" spans="9:12">
      <c r="I6869"/>
      <c r="L6869"/>
    </row>
    <row r="6870" spans="9:12">
      <c r="I6870"/>
      <c r="L6870"/>
    </row>
    <row r="6871" spans="9:12">
      <c r="I6871"/>
      <c r="L6871"/>
    </row>
    <row r="6872" spans="9:12">
      <c r="I6872"/>
      <c r="L6872"/>
    </row>
    <row r="6873" spans="9:12">
      <c r="I6873"/>
      <c r="L6873"/>
    </row>
    <row r="6874" spans="9:12">
      <c r="I6874"/>
      <c r="L6874"/>
    </row>
    <row r="6875" spans="9:12">
      <c r="I6875"/>
      <c r="L6875"/>
    </row>
    <row r="6876" spans="9:12">
      <c r="I6876"/>
      <c r="L6876"/>
    </row>
    <row r="6877" spans="9:12">
      <c r="I6877"/>
      <c r="L6877"/>
    </row>
    <row r="6878" spans="9:12">
      <c r="I6878"/>
      <c r="L6878"/>
    </row>
    <row r="6879" spans="9:12">
      <c r="I6879"/>
      <c r="L6879"/>
    </row>
    <row r="6880" spans="9:12">
      <c r="I6880"/>
      <c r="L6880"/>
    </row>
    <row r="6881" spans="9:12">
      <c r="I6881"/>
      <c r="L6881"/>
    </row>
    <row r="6882" spans="9:12">
      <c r="I6882"/>
      <c r="L6882"/>
    </row>
    <row r="6883" spans="9:12">
      <c r="I6883"/>
      <c r="L6883"/>
    </row>
    <row r="6884" spans="9:12">
      <c r="I6884"/>
      <c r="L6884"/>
    </row>
    <row r="6885" spans="9:12">
      <c r="I6885"/>
      <c r="L6885"/>
    </row>
    <row r="6886" spans="9:12">
      <c r="I6886"/>
      <c r="L6886"/>
    </row>
    <row r="6887" spans="9:12">
      <c r="I6887"/>
      <c r="L6887"/>
    </row>
    <row r="6888" spans="9:12">
      <c r="I6888"/>
      <c r="L6888"/>
    </row>
    <row r="6889" spans="9:12">
      <c r="I6889"/>
      <c r="L6889"/>
    </row>
    <row r="6890" spans="9:12">
      <c r="I6890"/>
      <c r="L6890"/>
    </row>
    <row r="6891" spans="9:12">
      <c r="I6891"/>
      <c r="L6891"/>
    </row>
    <row r="6892" spans="9:12">
      <c r="I6892"/>
      <c r="L6892"/>
    </row>
    <row r="6893" spans="9:12">
      <c r="I6893"/>
      <c r="L6893"/>
    </row>
    <row r="6894" spans="9:12">
      <c r="I6894"/>
      <c r="L6894"/>
    </row>
    <row r="6895" spans="9:12">
      <c r="I6895"/>
      <c r="L6895"/>
    </row>
    <row r="6896" spans="9:12">
      <c r="I6896"/>
      <c r="L6896"/>
    </row>
    <row r="6897" spans="9:12">
      <c r="I6897"/>
      <c r="L6897"/>
    </row>
    <row r="6898" spans="9:12">
      <c r="I6898"/>
      <c r="L6898"/>
    </row>
    <row r="6899" spans="9:12">
      <c r="I6899"/>
      <c r="L6899"/>
    </row>
    <row r="6900" spans="9:12">
      <c r="I6900"/>
      <c r="L6900"/>
    </row>
    <row r="6901" spans="9:12">
      <c r="I6901"/>
      <c r="L6901"/>
    </row>
    <row r="6902" spans="9:12">
      <c r="I6902"/>
      <c r="L6902"/>
    </row>
    <row r="6903" spans="9:12">
      <c r="I6903"/>
      <c r="L6903"/>
    </row>
    <row r="6904" spans="9:12">
      <c r="I6904"/>
      <c r="L6904"/>
    </row>
    <row r="6905" spans="9:12">
      <c r="I6905"/>
      <c r="L6905"/>
    </row>
    <row r="6906" spans="9:12">
      <c r="I6906"/>
      <c r="L6906"/>
    </row>
    <row r="6907" spans="9:12">
      <c r="I6907"/>
      <c r="L6907"/>
    </row>
    <row r="6908" spans="9:12">
      <c r="I6908"/>
      <c r="L6908"/>
    </row>
    <row r="6909" spans="9:12">
      <c r="I6909"/>
      <c r="L6909"/>
    </row>
    <row r="6910" spans="9:12">
      <c r="I6910"/>
      <c r="L6910"/>
    </row>
    <row r="6911" spans="9:12">
      <c r="I6911"/>
      <c r="L6911"/>
    </row>
    <row r="6912" spans="9:12">
      <c r="I6912"/>
      <c r="L6912"/>
    </row>
    <row r="6913" spans="9:12">
      <c r="I6913"/>
      <c r="L6913"/>
    </row>
    <row r="6914" spans="9:12">
      <c r="I6914"/>
      <c r="L6914"/>
    </row>
    <row r="6915" spans="9:12">
      <c r="I6915"/>
      <c r="L6915"/>
    </row>
    <row r="6916" spans="9:12">
      <c r="I6916"/>
      <c r="L6916"/>
    </row>
    <row r="6917" spans="9:12">
      <c r="I6917"/>
      <c r="L6917"/>
    </row>
    <row r="6918" spans="9:12">
      <c r="I6918"/>
      <c r="L6918"/>
    </row>
    <row r="6919" spans="9:12">
      <c r="I6919"/>
      <c r="L6919"/>
    </row>
    <row r="6920" spans="9:12">
      <c r="I6920"/>
      <c r="L6920"/>
    </row>
    <row r="6921" spans="9:12">
      <c r="I6921"/>
      <c r="L6921"/>
    </row>
    <row r="6922" spans="9:12">
      <c r="I6922"/>
      <c r="L6922"/>
    </row>
    <row r="6923" spans="9:12">
      <c r="I6923"/>
      <c r="L6923"/>
    </row>
    <row r="6924" spans="9:12">
      <c r="I6924"/>
      <c r="L6924"/>
    </row>
    <row r="6925" spans="9:12">
      <c r="I6925"/>
      <c r="L6925"/>
    </row>
    <row r="6926" spans="9:12">
      <c r="I6926"/>
      <c r="L6926"/>
    </row>
    <row r="6927" spans="9:12">
      <c r="I6927"/>
      <c r="L6927"/>
    </row>
    <row r="6928" spans="9:12">
      <c r="I6928"/>
      <c r="L6928"/>
    </row>
    <row r="6929" spans="9:12">
      <c r="I6929"/>
      <c r="L6929"/>
    </row>
    <row r="6930" spans="9:12">
      <c r="I6930"/>
      <c r="L6930"/>
    </row>
    <row r="6931" spans="9:12">
      <c r="I6931"/>
      <c r="L6931"/>
    </row>
    <row r="6932" spans="9:12">
      <c r="I6932"/>
      <c r="L6932"/>
    </row>
    <row r="6933" spans="9:12">
      <c r="I6933"/>
      <c r="L6933"/>
    </row>
    <row r="6934" spans="9:12">
      <c r="I6934"/>
      <c r="L6934"/>
    </row>
    <row r="6935" spans="9:12">
      <c r="I6935"/>
      <c r="L6935"/>
    </row>
    <row r="6936" spans="9:12">
      <c r="I6936"/>
      <c r="L6936"/>
    </row>
    <row r="6937" spans="9:12">
      <c r="I6937"/>
      <c r="L6937"/>
    </row>
    <row r="6938" spans="9:12">
      <c r="I6938"/>
      <c r="L6938"/>
    </row>
    <row r="6939" spans="9:12">
      <c r="I6939"/>
      <c r="L6939"/>
    </row>
    <row r="6940" spans="9:12">
      <c r="I6940"/>
      <c r="L6940"/>
    </row>
    <row r="6941" spans="9:12">
      <c r="I6941"/>
      <c r="L6941"/>
    </row>
    <row r="6942" spans="9:12">
      <c r="I6942"/>
      <c r="L6942"/>
    </row>
    <row r="6943" spans="9:12">
      <c r="I6943"/>
      <c r="L6943"/>
    </row>
    <row r="6944" spans="9:12">
      <c r="I6944"/>
      <c r="L6944"/>
    </row>
    <row r="6945" spans="9:12">
      <c r="I6945"/>
      <c r="L6945"/>
    </row>
    <row r="6946" spans="9:12">
      <c r="I6946"/>
      <c r="L6946"/>
    </row>
    <row r="6947" spans="9:12">
      <c r="I6947"/>
      <c r="L6947"/>
    </row>
    <row r="6948" spans="9:12">
      <c r="I6948"/>
      <c r="L6948"/>
    </row>
    <row r="6949" spans="9:12">
      <c r="I6949"/>
      <c r="L6949"/>
    </row>
    <row r="6950" spans="9:12">
      <c r="I6950"/>
      <c r="L6950"/>
    </row>
    <row r="6951" spans="9:12">
      <c r="I6951"/>
      <c r="L6951"/>
    </row>
    <row r="6952" spans="9:12">
      <c r="I6952"/>
      <c r="L6952"/>
    </row>
    <row r="6953" spans="9:12">
      <c r="I6953"/>
      <c r="L6953"/>
    </row>
    <row r="6954" spans="9:12">
      <c r="I6954"/>
      <c r="L6954"/>
    </row>
    <row r="6955" spans="9:12">
      <c r="I6955"/>
      <c r="L6955"/>
    </row>
    <row r="6956" spans="9:12">
      <c r="I6956"/>
      <c r="L6956"/>
    </row>
    <row r="6957" spans="9:12">
      <c r="I6957"/>
      <c r="L6957"/>
    </row>
    <row r="6958" spans="9:12">
      <c r="I6958"/>
      <c r="L6958"/>
    </row>
    <row r="6959" spans="9:12">
      <c r="I6959"/>
      <c r="L6959"/>
    </row>
    <row r="6960" spans="9:12">
      <c r="I6960"/>
      <c r="L6960"/>
    </row>
    <row r="6961" spans="9:12">
      <c r="I6961"/>
      <c r="L6961"/>
    </row>
    <row r="6962" spans="9:12">
      <c r="I6962"/>
      <c r="L6962"/>
    </row>
    <row r="6963" spans="9:12">
      <c r="I6963"/>
      <c r="L6963"/>
    </row>
    <row r="6964" spans="9:12">
      <c r="I6964"/>
      <c r="L6964"/>
    </row>
    <row r="6965" spans="9:12">
      <c r="I6965"/>
      <c r="L6965"/>
    </row>
    <row r="6966" spans="9:12">
      <c r="I6966"/>
      <c r="L6966"/>
    </row>
    <row r="6967" spans="9:12">
      <c r="I6967"/>
      <c r="L6967"/>
    </row>
    <row r="6968" spans="9:12">
      <c r="I6968"/>
      <c r="L6968"/>
    </row>
    <row r="6969" spans="9:12">
      <c r="I6969"/>
      <c r="L6969"/>
    </row>
    <row r="6970" spans="9:12">
      <c r="I6970"/>
      <c r="L6970"/>
    </row>
    <row r="6971" spans="9:12">
      <c r="I6971"/>
      <c r="L6971"/>
    </row>
    <row r="6972" spans="9:12">
      <c r="I6972"/>
      <c r="L6972"/>
    </row>
    <row r="6973" spans="9:12">
      <c r="I6973"/>
      <c r="L6973"/>
    </row>
    <row r="6974" spans="9:12">
      <c r="I6974"/>
      <c r="L6974"/>
    </row>
    <row r="6975" spans="9:12">
      <c r="I6975"/>
      <c r="L6975"/>
    </row>
    <row r="6976" spans="9:12">
      <c r="I6976"/>
      <c r="L6976"/>
    </row>
    <row r="6977" spans="9:12">
      <c r="I6977"/>
      <c r="L6977"/>
    </row>
    <row r="6978" spans="9:12">
      <c r="I6978"/>
      <c r="L6978"/>
    </row>
    <row r="6979" spans="9:12">
      <c r="I6979"/>
      <c r="L6979"/>
    </row>
    <row r="6980" spans="9:12">
      <c r="I6980"/>
      <c r="L6980"/>
    </row>
    <row r="6981" spans="9:12">
      <c r="I6981"/>
      <c r="L6981"/>
    </row>
    <row r="6982" spans="9:12">
      <c r="I6982"/>
      <c r="L6982"/>
    </row>
    <row r="6983" spans="9:12">
      <c r="I6983"/>
      <c r="L6983"/>
    </row>
    <row r="6984" spans="9:12">
      <c r="I6984"/>
      <c r="L6984"/>
    </row>
    <row r="6985" spans="9:12">
      <c r="I6985"/>
      <c r="L6985"/>
    </row>
    <row r="6986" spans="9:12">
      <c r="I6986"/>
      <c r="L6986"/>
    </row>
    <row r="6987" spans="9:12">
      <c r="I6987"/>
      <c r="L6987"/>
    </row>
    <row r="6988" spans="9:12">
      <c r="I6988"/>
      <c r="L6988"/>
    </row>
    <row r="6989" spans="9:12">
      <c r="I6989"/>
      <c r="L6989"/>
    </row>
    <row r="6990" spans="9:12">
      <c r="I6990"/>
      <c r="L6990"/>
    </row>
    <row r="6991" spans="9:12">
      <c r="I6991"/>
      <c r="L6991"/>
    </row>
    <row r="6992" spans="9:12">
      <c r="I6992"/>
      <c r="L6992"/>
    </row>
    <row r="6993" spans="9:12">
      <c r="I6993"/>
      <c r="L6993"/>
    </row>
    <row r="6994" spans="9:12">
      <c r="I6994"/>
      <c r="L6994"/>
    </row>
    <row r="6995" spans="9:12">
      <c r="I6995"/>
      <c r="L6995"/>
    </row>
    <row r="6996" spans="9:12">
      <c r="I6996"/>
      <c r="L6996"/>
    </row>
    <row r="6997" spans="9:12">
      <c r="I6997"/>
      <c r="L6997"/>
    </row>
    <row r="6998" spans="9:12">
      <c r="I6998"/>
      <c r="L6998"/>
    </row>
    <row r="6999" spans="9:12">
      <c r="I6999"/>
      <c r="L6999"/>
    </row>
    <row r="7000" spans="9:12">
      <c r="I7000"/>
      <c r="L7000"/>
    </row>
    <row r="7001" spans="9:12">
      <c r="I7001"/>
      <c r="L7001"/>
    </row>
    <row r="7002" spans="9:12">
      <c r="I7002"/>
      <c r="L7002"/>
    </row>
    <row r="7003" spans="9:12">
      <c r="I7003"/>
      <c r="L7003"/>
    </row>
    <row r="7004" spans="9:12">
      <c r="I7004"/>
      <c r="L7004"/>
    </row>
    <row r="7005" spans="9:12">
      <c r="I7005"/>
      <c r="L7005"/>
    </row>
    <row r="7006" spans="9:12">
      <c r="I7006"/>
      <c r="L7006"/>
    </row>
    <row r="7007" spans="9:12">
      <c r="I7007"/>
      <c r="L7007"/>
    </row>
    <row r="7008" spans="9:12">
      <c r="I7008"/>
      <c r="L7008"/>
    </row>
    <row r="7009" spans="9:12">
      <c r="I7009"/>
      <c r="L7009"/>
    </row>
    <row r="7010" spans="9:12">
      <c r="I7010"/>
      <c r="L7010"/>
    </row>
    <row r="7011" spans="9:12">
      <c r="I7011"/>
      <c r="L7011"/>
    </row>
    <row r="7012" spans="9:12">
      <c r="I7012"/>
      <c r="L7012"/>
    </row>
    <row r="7013" spans="9:12">
      <c r="I7013"/>
      <c r="L7013"/>
    </row>
    <row r="7014" spans="9:12">
      <c r="I7014"/>
      <c r="L7014"/>
    </row>
    <row r="7015" spans="9:12">
      <c r="I7015"/>
      <c r="L7015"/>
    </row>
    <row r="7016" spans="9:12">
      <c r="I7016"/>
      <c r="L7016"/>
    </row>
    <row r="7017" spans="9:12">
      <c r="I7017"/>
      <c r="L7017"/>
    </row>
    <row r="7018" spans="9:12">
      <c r="I7018"/>
      <c r="L7018"/>
    </row>
    <row r="7019" spans="9:12">
      <c r="I7019"/>
      <c r="L7019"/>
    </row>
    <row r="7020" spans="9:12">
      <c r="I7020"/>
      <c r="L7020"/>
    </row>
    <row r="7021" spans="9:12">
      <c r="I7021"/>
      <c r="L7021"/>
    </row>
    <row r="7022" spans="9:12">
      <c r="I7022"/>
      <c r="L7022"/>
    </row>
    <row r="7023" spans="9:12">
      <c r="I7023"/>
      <c r="L7023"/>
    </row>
    <row r="7024" spans="9:12">
      <c r="I7024"/>
      <c r="L7024"/>
    </row>
    <row r="7025" spans="9:12">
      <c r="I7025"/>
      <c r="L7025"/>
    </row>
    <row r="7026" spans="9:12">
      <c r="I7026"/>
      <c r="L7026"/>
    </row>
    <row r="7027" spans="9:12">
      <c r="I7027"/>
      <c r="L7027"/>
    </row>
    <row r="7028" spans="9:12">
      <c r="I7028"/>
      <c r="L7028"/>
    </row>
    <row r="7029" spans="9:12">
      <c r="I7029"/>
      <c r="L7029"/>
    </row>
    <row r="7030" spans="9:12">
      <c r="I7030"/>
      <c r="L7030"/>
    </row>
    <row r="7031" spans="9:12">
      <c r="I7031"/>
      <c r="L7031"/>
    </row>
    <row r="7032" spans="9:12">
      <c r="I7032"/>
      <c r="L7032"/>
    </row>
    <row r="7033" spans="9:12">
      <c r="I7033"/>
      <c r="L7033"/>
    </row>
    <row r="7034" spans="9:12">
      <c r="I7034"/>
      <c r="L7034"/>
    </row>
    <row r="7035" spans="9:12">
      <c r="I7035"/>
      <c r="L7035"/>
    </row>
    <row r="7036" spans="9:12">
      <c r="I7036"/>
      <c r="L7036"/>
    </row>
    <row r="7037" spans="9:12">
      <c r="I7037"/>
      <c r="L7037"/>
    </row>
    <row r="7038" spans="9:12">
      <c r="I7038"/>
      <c r="L7038"/>
    </row>
    <row r="7039" spans="9:12">
      <c r="I7039"/>
      <c r="L7039"/>
    </row>
    <row r="7040" spans="9:12">
      <c r="I7040"/>
      <c r="L7040"/>
    </row>
    <row r="7041" spans="9:12">
      <c r="I7041"/>
      <c r="L7041"/>
    </row>
    <row r="7042" spans="9:12">
      <c r="I7042"/>
      <c r="L7042"/>
    </row>
    <row r="7043" spans="9:12">
      <c r="I7043"/>
      <c r="L7043"/>
    </row>
    <row r="7044" spans="9:12">
      <c r="I7044"/>
      <c r="L7044"/>
    </row>
    <row r="7045" spans="9:12">
      <c r="I7045"/>
      <c r="L7045"/>
    </row>
    <row r="7046" spans="9:12">
      <c r="I7046"/>
      <c r="L7046"/>
    </row>
    <row r="7047" spans="9:12">
      <c r="I7047"/>
      <c r="L7047"/>
    </row>
    <row r="7048" spans="9:12">
      <c r="I7048"/>
      <c r="L7048"/>
    </row>
    <row r="7049" spans="9:12">
      <c r="I7049"/>
      <c r="L7049"/>
    </row>
    <row r="7050" spans="9:12">
      <c r="I7050"/>
      <c r="L7050"/>
    </row>
    <row r="7051" spans="9:12">
      <c r="I7051"/>
      <c r="L7051"/>
    </row>
    <row r="7052" spans="9:12">
      <c r="I7052"/>
      <c r="L7052"/>
    </row>
    <row r="7053" spans="9:12">
      <c r="I7053"/>
      <c r="L7053"/>
    </row>
    <row r="7054" spans="9:12">
      <c r="I7054"/>
      <c r="L7054"/>
    </row>
    <row r="7055" spans="9:12">
      <c r="I7055"/>
      <c r="L7055"/>
    </row>
    <row r="7056" spans="9:12">
      <c r="I7056"/>
      <c r="L7056"/>
    </row>
    <row r="7057" spans="9:12">
      <c r="I7057"/>
      <c r="L7057"/>
    </row>
    <row r="7058" spans="9:12">
      <c r="I7058"/>
      <c r="L7058"/>
    </row>
    <row r="7059" spans="9:12">
      <c r="I7059"/>
      <c r="L7059"/>
    </row>
    <row r="7060" spans="9:12">
      <c r="I7060"/>
      <c r="L7060"/>
    </row>
    <row r="7061" spans="9:12">
      <c r="I7061"/>
      <c r="L7061"/>
    </row>
    <row r="7062" spans="9:12">
      <c r="I7062"/>
      <c r="L7062"/>
    </row>
    <row r="7063" spans="9:12">
      <c r="I7063"/>
      <c r="L7063"/>
    </row>
    <row r="7064" spans="9:12">
      <c r="I7064"/>
      <c r="L7064"/>
    </row>
    <row r="7065" spans="9:12">
      <c r="I7065"/>
      <c r="L7065"/>
    </row>
    <row r="7066" spans="9:12">
      <c r="I7066"/>
      <c r="L7066"/>
    </row>
    <row r="7067" spans="9:12">
      <c r="I7067"/>
      <c r="L7067"/>
    </row>
    <row r="7068" spans="9:12">
      <c r="I7068"/>
      <c r="L7068"/>
    </row>
    <row r="7069" spans="9:12">
      <c r="I7069"/>
      <c r="L7069"/>
    </row>
    <row r="7070" spans="9:12">
      <c r="I7070"/>
      <c r="L7070"/>
    </row>
    <row r="7071" spans="9:12">
      <c r="I7071"/>
      <c r="L7071"/>
    </row>
    <row r="7072" spans="9:12">
      <c r="I7072"/>
      <c r="L7072"/>
    </row>
    <row r="7073" spans="9:12">
      <c r="I7073"/>
      <c r="L7073"/>
    </row>
    <row r="7074" spans="9:12">
      <c r="I7074"/>
      <c r="L7074"/>
    </row>
    <row r="7075" spans="9:12">
      <c r="I7075"/>
      <c r="L7075"/>
    </row>
    <row r="7076" spans="9:12">
      <c r="I7076"/>
      <c r="L7076"/>
    </row>
    <row r="7077" spans="9:12">
      <c r="I7077"/>
      <c r="L7077"/>
    </row>
    <row r="7078" spans="9:12">
      <c r="I7078"/>
      <c r="L7078"/>
    </row>
    <row r="7079" spans="9:12">
      <c r="I7079"/>
      <c r="L7079"/>
    </row>
    <row r="7080" spans="9:12">
      <c r="I7080"/>
      <c r="L7080"/>
    </row>
    <row r="7081" spans="9:12">
      <c r="I7081"/>
      <c r="L7081"/>
    </row>
    <row r="7082" spans="9:12">
      <c r="I7082"/>
      <c r="L7082"/>
    </row>
    <row r="7083" spans="9:12">
      <c r="I7083"/>
      <c r="L7083"/>
    </row>
    <row r="7084" spans="9:12">
      <c r="I7084"/>
      <c r="L7084"/>
    </row>
    <row r="7085" spans="9:12">
      <c r="I7085"/>
      <c r="L7085"/>
    </row>
    <row r="7086" spans="9:12">
      <c r="I7086"/>
      <c r="L7086"/>
    </row>
    <row r="7087" spans="9:12">
      <c r="I7087"/>
      <c r="L7087"/>
    </row>
    <row r="7088" spans="9:12">
      <c r="I7088"/>
      <c r="L7088"/>
    </row>
    <row r="7089" spans="9:12">
      <c r="I7089"/>
      <c r="L7089"/>
    </row>
    <row r="7090" spans="9:12">
      <c r="I7090"/>
      <c r="L7090"/>
    </row>
    <row r="7091" spans="9:12">
      <c r="I7091"/>
      <c r="L7091"/>
    </row>
    <row r="7092" spans="9:12">
      <c r="I7092"/>
      <c r="L7092"/>
    </row>
    <row r="7093" spans="9:12">
      <c r="I7093"/>
      <c r="L7093"/>
    </row>
    <row r="7094" spans="9:12">
      <c r="I7094"/>
      <c r="L7094"/>
    </row>
    <row r="7095" spans="9:12">
      <c r="I7095"/>
      <c r="L7095"/>
    </row>
    <row r="7096" spans="9:12">
      <c r="I7096"/>
      <c r="L7096"/>
    </row>
    <row r="7097" spans="9:12">
      <c r="I7097"/>
      <c r="L7097"/>
    </row>
    <row r="7098" spans="9:12">
      <c r="I7098"/>
      <c r="L7098"/>
    </row>
    <row r="7099" spans="9:12">
      <c r="I7099"/>
      <c r="L7099"/>
    </row>
    <row r="7100" spans="9:12">
      <c r="I7100"/>
      <c r="L7100"/>
    </row>
    <row r="7101" spans="9:12">
      <c r="I7101"/>
      <c r="L7101"/>
    </row>
    <row r="7102" spans="9:12">
      <c r="I7102"/>
      <c r="L7102"/>
    </row>
    <row r="7103" spans="9:12">
      <c r="I7103"/>
      <c r="L7103"/>
    </row>
    <row r="7104" spans="9:12">
      <c r="I7104"/>
      <c r="L7104"/>
    </row>
    <row r="7105" spans="9:12">
      <c r="I7105"/>
      <c r="L7105"/>
    </row>
    <row r="7106" spans="9:12">
      <c r="I7106"/>
      <c r="L7106"/>
    </row>
    <row r="7107" spans="9:12">
      <c r="I7107"/>
      <c r="L7107"/>
    </row>
    <row r="7108" spans="9:12">
      <c r="I7108"/>
      <c r="L7108"/>
    </row>
    <row r="7109" spans="9:12">
      <c r="I7109"/>
      <c r="L7109"/>
    </row>
    <row r="7110" spans="9:12">
      <c r="I7110"/>
      <c r="L7110"/>
    </row>
    <row r="7111" spans="9:12">
      <c r="I7111"/>
      <c r="L7111"/>
    </row>
    <row r="7112" spans="9:12">
      <c r="I7112"/>
      <c r="L7112"/>
    </row>
    <row r="7113" spans="9:12">
      <c r="I7113"/>
      <c r="L7113"/>
    </row>
    <row r="7114" spans="9:12">
      <c r="I7114"/>
      <c r="L7114"/>
    </row>
    <row r="7115" spans="9:12">
      <c r="I7115"/>
      <c r="L7115"/>
    </row>
    <row r="7116" spans="9:12">
      <c r="I7116"/>
      <c r="L7116"/>
    </row>
    <row r="7117" spans="9:12">
      <c r="I7117"/>
      <c r="L7117"/>
    </row>
    <row r="7118" spans="9:12">
      <c r="I7118"/>
      <c r="L7118"/>
    </row>
    <row r="7119" spans="9:12">
      <c r="I7119"/>
      <c r="L7119"/>
    </row>
    <row r="7120" spans="9:12">
      <c r="I7120"/>
      <c r="L7120"/>
    </row>
    <row r="7121" spans="9:12">
      <c r="I7121"/>
      <c r="L7121"/>
    </row>
    <row r="7122" spans="9:12">
      <c r="I7122"/>
      <c r="L7122"/>
    </row>
    <row r="7123" spans="9:12">
      <c r="I7123"/>
      <c r="L7123"/>
    </row>
    <row r="7124" spans="9:12">
      <c r="I7124"/>
      <c r="L7124"/>
    </row>
    <row r="7125" spans="9:12">
      <c r="I7125"/>
      <c r="L7125"/>
    </row>
    <row r="7126" spans="9:12">
      <c r="I7126"/>
      <c r="L7126"/>
    </row>
    <row r="7127" spans="9:12">
      <c r="I7127"/>
      <c r="L7127"/>
    </row>
    <row r="7128" spans="9:12">
      <c r="I7128"/>
      <c r="L7128"/>
    </row>
    <row r="7129" spans="9:12">
      <c r="I7129"/>
      <c r="L7129"/>
    </row>
    <row r="7130" spans="9:12">
      <c r="I7130"/>
      <c r="L7130"/>
    </row>
    <row r="7131" spans="9:12">
      <c r="I7131"/>
      <c r="L7131"/>
    </row>
    <row r="7132" spans="9:12">
      <c r="I7132"/>
      <c r="L7132"/>
    </row>
    <row r="7133" spans="9:12">
      <c r="I7133"/>
      <c r="L7133"/>
    </row>
    <row r="7134" spans="9:12">
      <c r="I7134"/>
      <c r="L7134"/>
    </row>
    <row r="7135" spans="9:12">
      <c r="I7135"/>
      <c r="L7135"/>
    </row>
    <row r="7136" spans="9:12">
      <c r="I7136"/>
      <c r="L7136"/>
    </row>
    <row r="7137" spans="9:12">
      <c r="I7137"/>
      <c r="L7137"/>
    </row>
    <row r="7138" spans="9:12">
      <c r="I7138"/>
      <c r="L7138"/>
    </row>
    <row r="7139" spans="9:12">
      <c r="I7139"/>
      <c r="L7139"/>
    </row>
    <row r="7140" spans="9:12">
      <c r="I7140"/>
      <c r="L7140"/>
    </row>
    <row r="7141" spans="9:12">
      <c r="I7141"/>
      <c r="L7141"/>
    </row>
    <row r="7142" spans="9:12">
      <c r="I7142"/>
      <c r="L7142"/>
    </row>
    <row r="7143" spans="9:12">
      <c r="I7143"/>
      <c r="L7143"/>
    </row>
    <row r="7144" spans="9:12">
      <c r="I7144"/>
      <c r="L7144"/>
    </row>
    <row r="7145" spans="9:12">
      <c r="I7145"/>
      <c r="L7145"/>
    </row>
    <row r="7146" spans="9:12">
      <c r="I7146"/>
      <c r="L7146"/>
    </row>
    <row r="7147" spans="9:12">
      <c r="I7147"/>
      <c r="L7147"/>
    </row>
    <row r="7148" spans="9:12">
      <c r="I7148"/>
      <c r="L7148"/>
    </row>
    <row r="7149" spans="9:12">
      <c r="I7149"/>
      <c r="L7149"/>
    </row>
    <row r="7150" spans="9:12">
      <c r="I7150"/>
      <c r="L7150"/>
    </row>
    <row r="7151" spans="9:12">
      <c r="I7151"/>
      <c r="L7151"/>
    </row>
    <row r="7152" spans="9:12">
      <c r="I7152"/>
      <c r="L7152"/>
    </row>
    <row r="7153" spans="9:12">
      <c r="I7153"/>
      <c r="L7153"/>
    </row>
    <row r="7154" spans="9:12">
      <c r="I7154"/>
      <c r="L7154"/>
    </row>
    <row r="7155" spans="9:12">
      <c r="I7155"/>
      <c r="L7155"/>
    </row>
    <row r="7156" spans="9:12">
      <c r="I7156"/>
      <c r="L7156"/>
    </row>
    <row r="7157" spans="9:12">
      <c r="I7157"/>
      <c r="L7157"/>
    </row>
    <row r="7158" spans="9:12">
      <c r="I7158"/>
      <c r="L7158"/>
    </row>
    <row r="7159" spans="9:12">
      <c r="I7159"/>
      <c r="L7159"/>
    </row>
    <row r="7160" spans="9:12">
      <c r="I7160"/>
      <c r="L7160"/>
    </row>
    <row r="7161" spans="9:12">
      <c r="I7161"/>
      <c r="L7161"/>
    </row>
    <row r="7162" spans="9:12">
      <c r="I7162"/>
      <c r="L7162"/>
    </row>
    <row r="7163" spans="9:12">
      <c r="I7163"/>
      <c r="L7163"/>
    </row>
    <row r="7164" spans="9:12">
      <c r="I7164"/>
      <c r="L7164"/>
    </row>
    <row r="7165" spans="9:12">
      <c r="I7165"/>
      <c r="L7165"/>
    </row>
    <row r="7166" spans="9:12">
      <c r="I7166"/>
      <c r="L7166"/>
    </row>
    <row r="7167" spans="9:12">
      <c r="I7167"/>
      <c r="L7167"/>
    </row>
    <row r="7168" spans="9:12">
      <c r="I7168"/>
      <c r="L7168"/>
    </row>
    <row r="7169" spans="9:12">
      <c r="I7169"/>
      <c r="L7169"/>
    </row>
    <row r="7170" spans="9:12">
      <c r="I7170"/>
      <c r="L7170"/>
    </row>
    <row r="7171" spans="9:12">
      <c r="I7171"/>
      <c r="L7171"/>
    </row>
    <row r="7172" spans="9:12">
      <c r="I7172"/>
      <c r="L7172"/>
    </row>
    <row r="7173" spans="9:12">
      <c r="I7173"/>
      <c r="L7173"/>
    </row>
    <row r="7174" spans="9:12">
      <c r="I7174"/>
      <c r="L7174"/>
    </row>
    <row r="7175" spans="9:12">
      <c r="I7175"/>
      <c r="L7175"/>
    </row>
    <row r="7176" spans="9:12">
      <c r="I7176"/>
      <c r="L7176"/>
    </row>
    <row r="7177" spans="9:12">
      <c r="I7177"/>
      <c r="L7177"/>
    </row>
    <row r="7178" spans="9:12">
      <c r="I7178"/>
      <c r="L7178"/>
    </row>
    <row r="7179" spans="9:12">
      <c r="I7179"/>
      <c r="L7179"/>
    </row>
    <row r="7180" spans="9:12">
      <c r="I7180"/>
      <c r="L7180"/>
    </row>
    <row r="7181" spans="9:12">
      <c r="I7181"/>
      <c r="L7181"/>
    </row>
    <row r="7182" spans="9:12">
      <c r="I7182"/>
      <c r="L7182"/>
    </row>
    <row r="7183" spans="9:12">
      <c r="I7183"/>
      <c r="L7183"/>
    </row>
    <row r="7184" spans="9:12">
      <c r="I7184"/>
      <c r="L7184"/>
    </row>
    <row r="7185" spans="9:12">
      <c r="I7185"/>
      <c r="L7185"/>
    </row>
    <row r="7186" spans="9:12">
      <c r="I7186"/>
      <c r="L7186"/>
    </row>
    <row r="7187" spans="9:12">
      <c r="I7187"/>
      <c r="L7187"/>
    </row>
    <row r="7188" spans="9:12">
      <c r="I7188"/>
      <c r="L7188"/>
    </row>
    <row r="7189" spans="9:12">
      <c r="I7189"/>
      <c r="L7189"/>
    </row>
    <row r="7190" spans="9:12">
      <c r="I7190"/>
      <c r="L7190"/>
    </row>
    <row r="7191" spans="9:12">
      <c r="I7191"/>
      <c r="L7191"/>
    </row>
    <row r="7192" spans="9:12">
      <c r="I7192"/>
      <c r="L7192"/>
    </row>
    <row r="7193" spans="9:12">
      <c r="I7193"/>
      <c r="L7193"/>
    </row>
    <row r="7194" spans="9:12">
      <c r="I7194"/>
      <c r="L7194"/>
    </row>
    <row r="7195" spans="9:12">
      <c r="I7195"/>
      <c r="L7195"/>
    </row>
    <row r="7196" spans="9:12">
      <c r="I7196"/>
      <c r="L7196"/>
    </row>
    <row r="7197" spans="9:12">
      <c r="I7197"/>
      <c r="L7197"/>
    </row>
    <row r="7198" spans="9:12">
      <c r="I7198"/>
      <c r="L7198"/>
    </row>
    <row r="7199" spans="9:12">
      <c r="I7199"/>
      <c r="L7199"/>
    </row>
    <row r="7200" spans="9:12">
      <c r="I7200"/>
      <c r="L7200"/>
    </row>
    <row r="7201" spans="9:12">
      <c r="I7201"/>
      <c r="L7201"/>
    </row>
    <row r="7202" spans="9:12">
      <c r="I7202"/>
      <c r="L7202"/>
    </row>
    <row r="7203" spans="9:12">
      <c r="I7203"/>
      <c r="L7203"/>
    </row>
    <row r="7204" spans="9:12">
      <c r="I7204"/>
      <c r="L7204"/>
    </row>
    <row r="7205" spans="9:12">
      <c r="I7205"/>
      <c r="L7205"/>
    </row>
    <row r="7206" spans="9:12">
      <c r="I7206"/>
      <c r="L7206"/>
    </row>
    <row r="7207" spans="9:12">
      <c r="I7207"/>
      <c r="L7207"/>
    </row>
    <row r="7208" spans="9:12">
      <c r="I7208"/>
      <c r="L7208"/>
    </row>
    <row r="7209" spans="9:12">
      <c r="I7209"/>
      <c r="L7209"/>
    </row>
    <row r="7210" spans="9:12">
      <c r="I7210"/>
      <c r="L7210"/>
    </row>
    <row r="7211" spans="9:12">
      <c r="I7211"/>
      <c r="L7211"/>
    </row>
    <row r="7212" spans="9:12">
      <c r="I7212"/>
      <c r="L7212"/>
    </row>
    <row r="7213" spans="9:12">
      <c r="I7213"/>
      <c r="L7213"/>
    </row>
    <row r="7214" spans="9:12">
      <c r="I7214"/>
      <c r="L7214"/>
    </row>
    <row r="7215" spans="9:12">
      <c r="I7215"/>
      <c r="L7215"/>
    </row>
    <row r="7216" spans="9:12">
      <c r="I7216"/>
      <c r="L7216"/>
    </row>
    <row r="7217" spans="9:12">
      <c r="I7217"/>
      <c r="L7217"/>
    </row>
    <row r="7218" spans="9:12">
      <c r="I7218"/>
      <c r="L7218"/>
    </row>
    <row r="7219" spans="9:12">
      <c r="I7219"/>
      <c r="L7219"/>
    </row>
    <row r="7220" spans="9:12">
      <c r="I7220"/>
      <c r="L7220"/>
    </row>
    <row r="7221" spans="9:12">
      <c r="I7221"/>
      <c r="L7221"/>
    </row>
    <row r="7222" spans="9:12">
      <c r="I7222"/>
      <c r="L7222"/>
    </row>
    <row r="7223" spans="9:12">
      <c r="I7223"/>
      <c r="L7223"/>
    </row>
    <row r="7224" spans="9:12">
      <c r="I7224"/>
      <c r="L7224"/>
    </row>
    <row r="7225" spans="9:12">
      <c r="I7225"/>
      <c r="L7225"/>
    </row>
    <row r="7226" spans="9:12">
      <c r="I7226"/>
      <c r="L7226"/>
    </row>
    <row r="7227" spans="9:12">
      <c r="I7227"/>
      <c r="L7227"/>
    </row>
    <row r="7228" spans="9:12">
      <c r="I7228"/>
      <c r="L7228"/>
    </row>
    <row r="7229" spans="9:12">
      <c r="I7229"/>
      <c r="L7229"/>
    </row>
    <row r="7230" spans="9:12">
      <c r="I7230"/>
      <c r="L7230"/>
    </row>
    <row r="7231" spans="9:12">
      <c r="I7231"/>
      <c r="L7231"/>
    </row>
    <row r="7232" spans="9:12">
      <c r="I7232"/>
      <c r="L7232"/>
    </row>
    <row r="7233" spans="9:12">
      <c r="I7233"/>
      <c r="L7233"/>
    </row>
    <row r="7234" spans="9:12">
      <c r="I7234"/>
      <c r="L7234"/>
    </row>
    <row r="7235" spans="9:12">
      <c r="I7235"/>
      <c r="L7235"/>
    </row>
    <row r="7236" spans="9:12">
      <c r="I7236"/>
      <c r="L7236"/>
    </row>
    <row r="7237" spans="9:12">
      <c r="I7237"/>
      <c r="L7237"/>
    </row>
    <row r="7238" spans="9:12">
      <c r="I7238"/>
      <c r="L7238"/>
    </row>
    <row r="7239" spans="9:12">
      <c r="I7239"/>
      <c r="L7239"/>
    </row>
    <row r="7240" spans="9:12">
      <c r="I7240"/>
      <c r="L7240"/>
    </row>
    <row r="7241" spans="9:12">
      <c r="I7241"/>
      <c r="L7241"/>
    </row>
    <row r="7242" spans="9:12">
      <c r="I7242"/>
      <c r="L7242"/>
    </row>
    <row r="7243" spans="9:12">
      <c r="I7243"/>
      <c r="L7243"/>
    </row>
    <row r="7244" spans="9:12">
      <c r="I7244"/>
      <c r="L7244"/>
    </row>
    <row r="7245" spans="9:12">
      <c r="I7245"/>
      <c r="L7245"/>
    </row>
    <row r="7246" spans="9:12">
      <c r="I7246"/>
      <c r="L7246"/>
    </row>
    <row r="7247" spans="9:12">
      <c r="I7247"/>
      <c r="L7247"/>
    </row>
    <row r="7248" spans="9:12">
      <c r="I7248"/>
      <c r="L7248"/>
    </row>
    <row r="7249" spans="9:12">
      <c r="I7249"/>
      <c r="L7249"/>
    </row>
    <row r="7250" spans="9:12">
      <c r="I7250"/>
      <c r="L7250"/>
    </row>
    <row r="7251" spans="9:12">
      <c r="I7251"/>
      <c r="L7251"/>
    </row>
    <row r="7252" spans="9:12">
      <c r="I7252"/>
      <c r="L7252"/>
    </row>
    <row r="7253" spans="9:12">
      <c r="I7253"/>
      <c r="L7253"/>
    </row>
    <row r="7254" spans="9:12">
      <c r="I7254"/>
      <c r="L7254"/>
    </row>
    <row r="7255" spans="9:12">
      <c r="I7255"/>
      <c r="L7255"/>
    </row>
    <row r="7256" spans="9:12">
      <c r="I7256"/>
      <c r="L7256"/>
    </row>
    <row r="7257" spans="9:12">
      <c r="I7257"/>
      <c r="L7257"/>
    </row>
    <row r="7258" spans="9:12">
      <c r="I7258"/>
      <c r="L7258"/>
    </row>
    <row r="7259" spans="9:12">
      <c r="I7259"/>
      <c r="L7259"/>
    </row>
    <row r="7260" spans="9:12">
      <c r="I7260"/>
      <c r="L7260"/>
    </row>
    <row r="7261" spans="9:12">
      <c r="I7261"/>
      <c r="L7261"/>
    </row>
    <row r="7262" spans="9:12">
      <c r="I7262"/>
      <c r="L7262"/>
    </row>
    <row r="7263" spans="9:12">
      <c r="I7263"/>
      <c r="L7263"/>
    </row>
    <row r="7264" spans="9:12">
      <c r="I7264"/>
      <c r="L7264"/>
    </row>
    <row r="7265" spans="9:12">
      <c r="I7265"/>
      <c r="L7265"/>
    </row>
    <row r="7266" spans="9:12">
      <c r="I7266"/>
      <c r="L7266"/>
    </row>
    <row r="7267" spans="9:12">
      <c r="I7267"/>
      <c r="L7267"/>
    </row>
    <row r="7268" spans="9:12">
      <c r="I7268"/>
      <c r="L7268"/>
    </row>
    <row r="7269" spans="9:12">
      <c r="I7269"/>
      <c r="L7269"/>
    </row>
    <row r="7270" spans="9:12">
      <c r="I7270"/>
      <c r="L7270"/>
    </row>
    <row r="7271" spans="9:12">
      <c r="I7271"/>
      <c r="L7271"/>
    </row>
    <row r="7272" spans="9:12">
      <c r="I7272"/>
      <c r="L7272"/>
    </row>
    <row r="7273" spans="9:12">
      <c r="I7273"/>
      <c r="L7273"/>
    </row>
    <row r="7274" spans="9:12">
      <c r="I7274"/>
      <c r="L7274"/>
    </row>
    <row r="7275" spans="9:12">
      <c r="I7275"/>
      <c r="L7275"/>
    </row>
    <row r="7276" spans="9:12">
      <c r="I7276"/>
      <c r="L7276"/>
    </row>
    <row r="7277" spans="9:12">
      <c r="I7277"/>
      <c r="L7277"/>
    </row>
    <row r="7278" spans="9:12">
      <c r="I7278"/>
      <c r="L7278"/>
    </row>
    <row r="7279" spans="9:12">
      <c r="I7279"/>
      <c r="L7279"/>
    </row>
    <row r="7280" spans="9:12">
      <c r="I7280"/>
      <c r="L7280"/>
    </row>
    <row r="7281" spans="9:12">
      <c r="I7281"/>
      <c r="L7281"/>
    </row>
    <row r="7282" spans="9:12">
      <c r="I7282"/>
      <c r="L7282"/>
    </row>
    <row r="7283" spans="9:12">
      <c r="I7283"/>
      <c r="L7283"/>
    </row>
    <row r="7284" spans="9:12">
      <c r="I7284"/>
      <c r="L7284"/>
    </row>
    <row r="7285" spans="9:12">
      <c r="I7285"/>
      <c r="L7285"/>
    </row>
    <row r="7286" spans="9:12">
      <c r="I7286"/>
      <c r="L7286"/>
    </row>
    <row r="7287" spans="9:12">
      <c r="I7287"/>
      <c r="L7287"/>
    </row>
    <row r="7288" spans="9:12">
      <c r="I7288"/>
      <c r="L7288"/>
    </row>
    <row r="7289" spans="9:12">
      <c r="I7289"/>
      <c r="L7289"/>
    </row>
    <row r="7290" spans="9:12">
      <c r="I7290"/>
      <c r="L7290"/>
    </row>
    <row r="7291" spans="9:12">
      <c r="I7291"/>
      <c r="L7291"/>
    </row>
    <row r="7292" spans="9:12">
      <c r="I7292"/>
      <c r="L7292"/>
    </row>
    <row r="7293" spans="9:12">
      <c r="I7293"/>
      <c r="L7293"/>
    </row>
    <row r="7294" spans="9:12">
      <c r="I7294"/>
      <c r="L7294"/>
    </row>
    <row r="7295" spans="9:12">
      <c r="I7295"/>
      <c r="L7295"/>
    </row>
    <row r="7296" spans="9:12">
      <c r="I7296"/>
      <c r="L7296"/>
    </row>
    <row r="7297" spans="9:12">
      <c r="I7297"/>
      <c r="L7297"/>
    </row>
    <row r="7298" spans="9:12">
      <c r="I7298"/>
      <c r="L7298"/>
    </row>
    <row r="7299" spans="9:12">
      <c r="I7299"/>
      <c r="L7299"/>
    </row>
    <row r="7300" spans="9:12">
      <c r="I7300"/>
      <c r="L7300"/>
    </row>
    <row r="7301" spans="9:12">
      <c r="I7301"/>
      <c r="L7301"/>
    </row>
    <row r="7302" spans="9:12">
      <c r="I7302"/>
      <c r="L7302"/>
    </row>
    <row r="7303" spans="9:12">
      <c r="I7303"/>
      <c r="L7303"/>
    </row>
    <row r="7304" spans="9:12">
      <c r="I7304"/>
      <c r="L7304"/>
    </row>
    <row r="7305" spans="9:12">
      <c r="I7305"/>
      <c r="L7305"/>
    </row>
    <row r="7306" spans="9:12">
      <c r="I7306"/>
      <c r="L7306"/>
    </row>
    <row r="7307" spans="9:12">
      <c r="I7307"/>
      <c r="L7307"/>
    </row>
    <row r="7308" spans="9:12">
      <c r="I7308"/>
      <c r="L7308"/>
    </row>
    <row r="7309" spans="9:12">
      <c r="I7309"/>
      <c r="L7309"/>
    </row>
    <row r="7310" spans="9:12">
      <c r="I7310"/>
      <c r="L7310"/>
    </row>
    <row r="7311" spans="9:12">
      <c r="I7311"/>
      <c r="L7311"/>
    </row>
    <row r="7312" spans="9:12">
      <c r="I7312"/>
      <c r="L7312"/>
    </row>
    <row r="7313" spans="9:12">
      <c r="I7313"/>
      <c r="L7313"/>
    </row>
    <row r="7314" spans="9:12">
      <c r="I7314"/>
      <c r="L7314"/>
    </row>
    <row r="7315" spans="9:12">
      <c r="I7315"/>
      <c r="L7315"/>
    </row>
    <row r="7316" spans="9:12">
      <c r="I7316"/>
      <c r="L7316"/>
    </row>
    <row r="7317" spans="9:12">
      <c r="I7317"/>
      <c r="L7317"/>
    </row>
    <row r="7318" spans="9:12">
      <c r="I7318"/>
      <c r="L7318"/>
    </row>
    <row r="7319" spans="9:12">
      <c r="I7319"/>
      <c r="L7319"/>
    </row>
    <row r="7320" spans="9:12">
      <c r="I7320"/>
      <c r="L7320"/>
    </row>
    <row r="7321" spans="9:12">
      <c r="I7321"/>
      <c r="L7321"/>
    </row>
    <row r="7322" spans="9:12">
      <c r="I7322"/>
      <c r="L7322"/>
    </row>
    <row r="7323" spans="9:12">
      <c r="I7323"/>
      <c r="L7323"/>
    </row>
    <row r="7324" spans="9:12">
      <c r="I7324"/>
      <c r="L7324"/>
    </row>
    <row r="7325" spans="9:12">
      <c r="I7325"/>
      <c r="L7325"/>
    </row>
    <row r="7326" spans="9:12">
      <c r="I7326"/>
      <c r="L7326"/>
    </row>
    <row r="7327" spans="9:12">
      <c r="I7327"/>
      <c r="L7327"/>
    </row>
    <row r="7328" spans="9:12">
      <c r="I7328"/>
      <c r="L7328"/>
    </row>
    <row r="7329" spans="9:12">
      <c r="I7329"/>
      <c r="L7329"/>
    </row>
    <row r="7330" spans="9:12">
      <c r="I7330"/>
      <c r="L7330"/>
    </row>
    <row r="7331" spans="9:12">
      <c r="I7331"/>
      <c r="L7331"/>
    </row>
    <row r="7332" spans="9:12">
      <c r="I7332"/>
      <c r="L7332"/>
    </row>
    <row r="7333" spans="9:12">
      <c r="I7333"/>
      <c r="L7333"/>
    </row>
    <row r="7334" spans="9:12">
      <c r="I7334"/>
      <c r="L7334"/>
    </row>
    <row r="7335" spans="9:12">
      <c r="I7335"/>
      <c r="L7335"/>
    </row>
    <row r="7336" spans="9:12">
      <c r="I7336"/>
      <c r="L7336"/>
    </row>
    <row r="7337" spans="9:12">
      <c r="I7337"/>
      <c r="L7337"/>
    </row>
    <row r="7338" spans="9:12">
      <c r="I7338"/>
      <c r="L7338"/>
    </row>
    <row r="7339" spans="9:12">
      <c r="I7339"/>
      <c r="L7339"/>
    </row>
    <row r="7340" spans="9:12">
      <c r="I7340"/>
      <c r="L7340"/>
    </row>
    <row r="7341" spans="9:12">
      <c r="I7341"/>
      <c r="L7341"/>
    </row>
    <row r="7342" spans="9:12">
      <c r="I7342"/>
      <c r="L7342"/>
    </row>
    <row r="7343" spans="9:12">
      <c r="I7343"/>
      <c r="L7343"/>
    </row>
    <row r="7344" spans="9:12">
      <c r="I7344"/>
      <c r="L7344"/>
    </row>
    <row r="7345" spans="9:12">
      <c r="I7345"/>
      <c r="L7345"/>
    </row>
    <row r="7346" spans="9:12">
      <c r="I7346"/>
      <c r="L7346"/>
    </row>
    <row r="7347" spans="9:12">
      <c r="I7347"/>
      <c r="L7347"/>
    </row>
    <row r="7348" spans="9:12">
      <c r="I7348"/>
      <c r="L7348"/>
    </row>
    <row r="7349" spans="9:12">
      <c r="I7349"/>
      <c r="L7349"/>
    </row>
    <row r="7350" spans="9:12">
      <c r="I7350"/>
      <c r="L7350"/>
    </row>
    <row r="7351" spans="9:12">
      <c r="I7351"/>
      <c r="L7351"/>
    </row>
    <row r="7352" spans="9:12">
      <c r="I7352"/>
      <c r="L7352"/>
    </row>
    <row r="7353" spans="9:12">
      <c r="I7353"/>
      <c r="L7353"/>
    </row>
    <row r="7354" spans="9:12">
      <c r="I7354"/>
      <c r="L7354"/>
    </row>
    <row r="7355" spans="9:12">
      <c r="I7355"/>
      <c r="L7355"/>
    </row>
    <row r="7356" spans="9:12">
      <c r="I7356"/>
      <c r="L7356"/>
    </row>
    <row r="7357" spans="9:12">
      <c r="I7357"/>
      <c r="L7357"/>
    </row>
    <row r="7358" spans="9:12">
      <c r="I7358"/>
      <c r="L7358"/>
    </row>
    <row r="7359" spans="9:12">
      <c r="I7359"/>
      <c r="L7359"/>
    </row>
    <row r="7360" spans="9:12">
      <c r="I7360"/>
      <c r="L7360"/>
    </row>
    <row r="7361" spans="9:12">
      <c r="I7361"/>
      <c r="L7361"/>
    </row>
    <row r="7362" spans="9:12">
      <c r="I7362"/>
      <c r="L7362"/>
    </row>
    <row r="7363" spans="9:12">
      <c r="I7363"/>
      <c r="L7363"/>
    </row>
    <row r="7364" spans="9:12">
      <c r="I7364"/>
      <c r="L7364"/>
    </row>
    <row r="7365" spans="9:12">
      <c r="I7365"/>
      <c r="L7365"/>
    </row>
    <row r="7366" spans="9:12">
      <c r="I7366"/>
      <c r="L7366"/>
    </row>
    <row r="7367" spans="9:12">
      <c r="I7367"/>
      <c r="L7367"/>
    </row>
    <row r="7368" spans="9:12">
      <c r="I7368"/>
      <c r="L7368"/>
    </row>
    <row r="7369" spans="9:12">
      <c r="I7369"/>
      <c r="L7369"/>
    </row>
    <row r="7370" spans="9:12">
      <c r="I7370"/>
      <c r="L7370"/>
    </row>
    <row r="7371" spans="9:12">
      <c r="I7371"/>
      <c r="L7371"/>
    </row>
    <row r="7372" spans="9:12">
      <c r="I7372"/>
      <c r="L7372"/>
    </row>
    <row r="7373" spans="9:12">
      <c r="I7373"/>
      <c r="L7373"/>
    </row>
    <row r="7374" spans="9:12">
      <c r="I7374"/>
      <c r="L7374"/>
    </row>
    <row r="7375" spans="9:12">
      <c r="I7375"/>
      <c r="L7375"/>
    </row>
    <row r="7376" spans="9:12">
      <c r="I7376"/>
      <c r="L7376"/>
    </row>
    <row r="7377" spans="9:12">
      <c r="I7377"/>
      <c r="L7377"/>
    </row>
    <row r="7378" spans="9:12">
      <c r="I7378"/>
      <c r="L7378"/>
    </row>
    <row r="7379" spans="9:12">
      <c r="I7379"/>
      <c r="L7379"/>
    </row>
    <row r="7380" spans="9:12">
      <c r="I7380"/>
      <c r="L7380"/>
    </row>
    <row r="7381" spans="9:12">
      <c r="I7381"/>
      <c r="L7381"/>
    </row>
    <row r="7382" spans="9:12">
      <c r="I7382"/>
      <c r="L7382"/>
    </row>
    <row r="7383" spans="9:12">
      <c r="I7383"/>
      <c r="L7383"/>
    </row>
    <row r="7384" spans="9:12">
      <c r="I7384"/>
      <c r="L7384"/>
    </row>
    <row r="7385" spans="9:12">
      <c r="I7385"/>
      <c r="L7385"/>
    </row>
    <row r="7386" spans="9:12">
      <c r="I7386"/>
      <c r="L7386"/>
    </row>
    <row r="7387" spans="9:12">
      <c r="I7387"/>
      <c r="L7387"/>
    </row>
    <row r="7388" spans="9:12">
      <c r="I7388"/>
      <c r="L7388"/>
    </row>
    <row r="7389" spans="9:12">
      <c r="I7389"/>
      <c r="L7389"/>
    </row>
    <row r="7390" spans="9:12">
      <c r="I7390"/>
      <c r="L7390"/>
    </row>
    <row r="7391" spans="9:12">
      <c r="I7391"/>
      <c r="L7391"/>
    </row>
    <row r="7392" spans="9:12">
      <c r="I7392"/>
      <c r="L7392"/>
    </row>
    <row r="7393" spans="9:12">
      <c r="I7393"/>
      <c r="L7393"/>
    </row>
    <row r="7394" spans="9:12">
      <c r="I7394"/>
      <c r="L7394"/>
    </row>
    <row r="7395" spans="9:12">
      <c r="I7395"/>
      <c r="L7395"/>
    </row>
    <row r="7396" spans="9:12">
      <c r="I7396"/>
      <c r="L7396"/>
    </row>
    <row r="7397" spans="9:12">
      <c r="I7397"/>
      <c r="L7397"/>
    </row>
    <row r="7398" spans="9:12">
      <c r="I7398"/>
      <c r="L7398"/>
    </row>
    <row r="7399" spans="9:12">
      <c r="I7399"/>
      <c r="L7399"/>
    </row>
    <row r="7400" spans="9:12">
      <c r="I7400"/>
      <c r="L7400"/>
    </row>
    <row r="7401" spans="9:12">
      <c r="I7401"/>
      <c r="L7401"/>
    </row>
    <row r="7402" spans="9:12">
      <c r="I7402"/>
      <c r="L7402"/>
    </row>
    <row r="7403" spans="9:12">
      <c r="I7403"/>
      <c r="L7403"/>
    </row>
    <row r="7404" spans="9:12">
      <c r="I7404"/>
      <c r="L7404"/>
    </row>
    <row r="7405" spans="9:12">
      <c r="I7405"/>
      <c r="L7405"/>
    </row>
    <row r="7406" spans="9:12">
      <c r="I7406"/>
      <c r="L7406"/>
    </row>
    <row r="7407" spans="9:12">
      <c r="I7407"/>
      <c r="L7407"/>
    </row>
    <row r="7408" spans="9:12">
      <c r="I7408"/>
      <c r="L7408"/>
    </row>
    <row r="7409" spans="9:12">
      <c r="I7409"/>
      <c r="L7409"/>
    </row>
    <row r="7410" spans="9:12">
      <c r="I7410"/>
      <c r="L7410"/>
    </row>
    <row r="7411" spans="9:12">
      <c r="I7411"/>
      <c r="L7411"/>
    </row>
    <row r="7412" spans="9:12">
      <c r="I7412"/>
      <c r="L7412"/>
    </row>
    <row r="7413" spans="9:12">
      <c r="I7413"/>
      <c r="L7413"/>
    </row>
    <row r="7414" spans="9:12">
      <c r="I7414"/>
      <c r="L7414"/>
    </row>
    <row r="7415" spans="9:12">
      <c r="I7415"/>
      <c r="L7415"/>
    </row>
    <row r="7416" spans="9:12">
      <c r="I7416"/>
      <c r="L7416"/>
    </row>
    <row r="7417" spans="9:12">
      <c r="I7417"/>
      <c r="L7417"/>
    </row>
    <row r="7418" spans="9:12">
      <c r="I7418"/>
      <c r="L7418"/>
    </row>
    <row r="7419" spans="9:12">
      <c r="I7419"/>
      <c r="L7419"/>
    </row>
    <row r="7420" spans="9:12">
      <c r="I7420"/>
      <c r="L7420"/>
    </row>
    <row r="7421" spans="9:12">
      <c r="I7421"/>
      <c r="L7421"/>
    </row>
    <row r="7422" spans="9:12">
      <c r="I7422"/>
      <c r="L7422"/>
    </row>
    <row r="7423" spans="9:12">
      <c r="I7423"/>
      <c r="L7423"/>
    </row>
    <row r="7424" spans="9:12">
      <c r="I7424"/>
      <c r="L7424"/>
    </row>
    <row r="7425" spans="9:12">
      <c r="I7425"/>
      <c r="L7425"/>
    </row>
    <row r="7426" spans="9:12">
      <c r="I7426"/>
      <c r="L7426"/>
    </row>
    <row r="7427" spans="9:12">
      <c r="I7427"/>
      <c r="L7427"/>
    </row>
    <row r="7428" spans="9:12">
      <c r="I7428"/>
      <c r="L7428"/>
    </row>
    <row r="7429" spans="9:12">
      <c r="I7429"/>
      <c r="L7429"/>
    </row>
    <row r="7430" spans="9:12">
      <c r="I7430"/>
      <c r="L7430"/>
    </row>
    <row r="7431" spans="9:12">
      <c r="I7431"/>
      <c r="L7431"/>
    </row>
    <row r="7432" spans="9:12">
      <c r="I7432"/>
      <c r="L7432"/>
    </row>
    <row r="7433" spans="9:12">
      <c r="I7433"/>
      <c r="L7433"/>
    </row>
    <row r="7434" spans="9:12">
      <c r="I7434"/>
      <c r="L7434"/>
    </row>
    <row r="7435" spans="9:12">
      <c r="I7435"/>
      <c r="L7435"/>
    </row>
    <row r="7436" spans="9:12">
      <c r="I7436"/>
      <c r="L7436"/>
    </row>
    <row r="7437" spans="9:12">
      <c r="I7437"/>
      <c r="L7437"/>
    </row>
    <row r="7438" spans="9:12">
      <c r="I7438"/>
      <c r="L7438"/>
    </row>
    <row r="7439" spans="9:12">
      <c r="I7439"/>
      <c r="L7439"/>
    </row>
    <row r="7440" spans="9:12">
      <c r="I7440"/>
      <c r="L7440"/>
    </row>
    <row r="7441" spans="9:12">
      <c r="I7441"/>
      <c r="L7441"/>
    </row>
    <row r="7442" spans="9:12">
      <c r="I7442"/>
      <c r="L7442"/>
    </row>
    <row r="7443" spans="9:12">
      <c r="I7443"/>
      <c r="L7443"/>
    </row>
    <row r="7444" spans="9:12">
      <c r="I7444"/>
      <c r="L7444"/>
    </row>
    <row r="7445" spans="9:12">
      <c r="I7445"/>
      <c r="L7445"/>
    </row>
    <row r="7446" spans="9:12">
      <c r="I7446"/>
      <c r="L7446"/>
    </row>
    <row r="7447" spans="9:12">
      <c r="I7447"/>
      <c r="L7447"/>
    </row>
    <row r="7448" spans="9:12">
      <c r="I7448"/>
      <c r="L7448"/>
    </row>
    <row r="7449" spans="9:12">
      <c r="I7449"/>
      <c r="L7449"/>
    </row>
    <row r="7450" spans="9:12">
      <c r="I7450"/>
      <c r="L7450"/>
    </row>
    <row r="7451" spans="9:12">
      <c r="I7451"/>
      <c r="L7451"/>
    </row>
    <row r="7452" spans="9:12">
      <c r="I7452"/>
      <c r="L7452"/>
    </row>
    <row r="7453" spans="9:12">
      <c r="I7453"/>
      <c r="L7453"/>
    </row>
    <row r="7454" spans="9:12">
      <c r="I7454"/>
      <c r="L7454"/>
    </row>
    <row r="7455" spans="9:12">
      <c r="I7455"/>
      <c r="L7455"/>
    </row>
    <row r="7456" spans="9:12">
      <c r="I7456"/>
      <c r="L7456"/>
    </row>
    <row r="7457" spans="9:12">
      <c r="I7457"/>
      <c r="L7457"/>
    </row>
    <row r="7458" spans="9:12">
      <c r="I7458"/>
      <c r="L7458"/>
    </row>
    <row r="7459" spans="9:12">
      <c r="I7459"/>
      <c r="L7459"/>
    </row>
    <row r="7460" spans="9:12">
      <c r="I7460"/>
      <c r="L7460"/>
    </row>
    <row r="7461" spans="9:12">
      <c r="I7461"/>
      <c r="L7461"/>
    </row>
    <row r="7462" spans="9:12">
      <c r="I7462"/>
      <c r="L7462"/>
    </row>
    <row r="7463" spans="9:12">
      <c r="I7463"/>
      <c r="L7463"/>
    </row>
    <row r="7464" spans="9:12">
      <c r="I7464"/>
      <c r="L7464"/>
    </row>
    <row r="7465" spans="9:12">
      <c r="I7465"/>
      <c r="L7465"/>
    </row>
    <row r="7466" spans="9:12">
      <c r="I7466"/>
      <c r="L7466"/>
    </row>
    <row r="7467" spans="9:12">
      <c r="I7467"/>
      <c r="L7467"/>
    </row>
    <row r="7468" spans="9:12">
      <c r="I7468"/>
      <c r="L7468"/>
    </row>
    <row r="7469" spans="9:12">
      <c r="I7469"/>
      <c r="L7469"/>
    </row>
    <row r="7470" spans="9:12">
      <c r="I7470"/>
      <c r="L7470"/>
    </row>
    <row r="7471" spans="9:12">
      <c r="I7471"/>
      <c r="L7471"/>
    </row>
    <row r="7472" spans="9:12">
      <c r="I7472"/>
      <c r="L7472"/>
    </row>
    <row r="7473" spans="9:12">
      <c r="I7473"/>
      <c r="L7473"/>
    </row>
    <row r="7474" spans="9:12">
      <c r="I7474"/>
      <c r="L7474"/>
    </row>
    <row r="7475" spans="9:12">
      <c r="I7475"/>
      <c r="L7475"/>
    </row>
    <row r="7476" spans="9:12">
      <c r="I7476"/>
      <c r="L7476"/>
    </row>
    <row r="7477" spans="9:12">
      <c r="I7477"/>
      <c r="L7477"/>
    </row>
    <row r="7478" spans="9:12">
      <c r="I7478"/>
      <c r="L7478"/>
    </row>
    <row r="7479" spans="9:12">
      <c r="I7479"/>
      <c r="L7479"/>
    </row>
    <row r="7480" spans="9:12">
      <c r="I7480"/>
      <c r="L7480"/>
    </row>
    <row r="7481" spans="9:12">
      <c r="I7481"/>
      <c r="L7481"/>
    </row>
    <row r="7482" spans="9:12">
      <c r="I7482"/>
      <c r="L7482"/>
    </row>
    <row r="7483" spans="9:12">
      <c r="I7483"/>
      <c r="L7483"/>
    </row>
    <row r="7484" spans="9:12">
      <c r="I7484"/>
      <c r="L7484"/>
    </row>
    <row r="7485" spans="9:12">
      <c r="I7485"/>
      <c r="L7485"/>
    </row>
    <row r="7486" spans="9:12">
      <c r="I7486"/>
      <c r="L7486"/>
    </row>
    <row r="7487" spans="9:12">
      <c r="I7487"/>
      <c r="L7487"/>
    </row>
    <row r="7488" spans="9:12">
      <c r="I7488"/>
      <c r="L7488"/>
    </row>
    <row r="7489" spans="9:12">
      <c r="I7489"/>
      <c r="L7489"/>
    </row>
    <row r="7490" spans="9:12">
      <c r="I7490"/>
      <c r="L7490"/>
    </row>
    <row r="7491" spans="9:12">
      <c r="I7491"/>
      <c r="L7491"/>
    </row>
    <row r="7492" spans="9:12">
      <c r="I7492"/>
      <c r="L7492"/>
    </row>
    <row r="7493" spans="9:12">
      <c r="I7493"/>
      <c r="L7493"/>
    </row>
    <row r="7494" spans="9:12">
      <c r="I7494"/>
      <c r="L7494"/>
    </row>
    <row r="7495" spans="9:12">
      <c r="I7495"/>
      <c r="L7495"/>
    </row>
    <row r="7496" spans="9:12">
      <c r="I7496"/>
      <c r="L7496"/>
    </row>
    <row r="7497" spans="9:12">
      <c r="I7497"/>
      <c r="L7497"/>
    </row>
    <row r="7498" spans="9:12">
      <c r="I7498"/>
      <c r="L7498"/>
    </row>
    <row r="7499" spans="9:12">
      <c r="I7499"/>
      <c r="L7499"/>
    </row>
    <row r="7500" spans="9:12">
      <c r="I7500"/>
      <c r="L7500"/>
    </row>
    <row r="7501" spans="9:12">
      <c r="I7501"/>
      <c r="L7501"/>
    </row>
    <row r="7502" spans="9:12">
      <c r="I7502"/>
      <c r="L7502"/>
    </row>
    <row r="7503" spans="9:12">
      <c r="I7503"/>
      <c r="L7503"/>
    </row>
    <row r="7504" spans="9:12">
      <c r="I7504"/>
      <c r="L7504"/>
    </row>
    <row r="7505" spans="9:12">
      <c r="I7505"/>
      <c r="L7505"/>
    </row>
    <row r="7506" spans="9:12">
      <c r="I7506"/>
      <c r="L7506"/>
    </row>
    <row r="7507" spans="9:12">
      <c r="I7507"/>
      <c r="L7507"/>
    </row>
    <row r="7508" spans="9:12">
      <c r="I7508"/>
      <c r="L7508"/>
    </row>
    <row r="7509" spans="9:12">
      <c r="I7509"/>
      <c r="L7509"/>
    </row>
    <row r="7510" spans="9:12">
      <c r="I7510"/>
      <c r="L7510"/>
    </row>
    <row r="7511" spans="9:12">
      <c r="I7511"/>
      <c r="L7511"/>
    </row>
    <row r="7512" spans="9:12">
      <c r="I7512"/>
      <c r="L7512"/>
    </row>
    <row r="7513" spans="9:12">
      <c r="I7513"/>
      <c r="L7513"/>
    </row>
    <row r="7514" spans="9:12">
      <c r="I7514"/>
      <c r="L7514"/>
    </row>
    <row r="7515" spans="9:12">
      <c r="I7515"/>
      <c r="L7515"/>
    </row>
    <row r="7516" spans="9:12">
      <c r="I7516"/>
      <c r="L7516"/>
    </row>
    <row r="7517" spans="9:12">
      <c r="I7517"/>
      <c r="L7517"/>
    </row>
    <row r="7518" spans="9:12">
      <c r="I7518"/>
      <c r="L7518"/>
    </row>
    <row r="7519" spans="9:12">
      <c r="I7519"/>
      <c r="L7519"/>
    </row>
    <row r="7520" spans="9:12">
      <c r="I7520"/>
      <c r="L7520"/>
    </row>
    <row r="7521" spans="9:12">
      <c r="I7521"/>
      <c r="L7521"/>
    </row>
    <row r="7522" spans="9:12">
      <c r="I7522"/>
      <c r="L7522"/>
    </row>
    <row r="7523" spans="9:12">
      <c r="I7523"/>
      <c r="L7523"/>
    </row>
    <row r="7524" spans="9:12">
      <c r="I7524"/>
      <c r="L7524"/>
    </row>
    <row r="7525" spans="9:12">
      <c r="I7525"/>
      <c r="L7525"/>
    </row>
    <row r="7526" spans="9:12">
      <c r="I7526"/>
      <c r="L7526"/>
    </row>
    <row r="7527" spans="9:12">
      <c r="I7527"/>
      <c r="L7527"/>
    </row>
    <row r="7528" spans="9:12">
      <c r="I7528"/>
      <c r="L7528"/>
    </row>
    <row r="7529" spans="9:12">
      <c r="I7529"/>
      <c r="L7529"/>
    </row>
    <row r="7530" spans="9:12">
      <c r="I7530"/>
      <c r="L7530"/>
    </row>
    <row r="7531" spans="9:12">
      <c r="I7531"/>
      <c r="L7531"/>
    </row>
    <row r="7532" spans="9:12">
      <c r="I7532"/>
      <c r="L7532"/>
    </row>
    <row r="7533" spans="9:12">
      <c r="I7533"/>
      <c r="L7533"/>
    </row>
    <row r="7534" spans="9:12">
      <c r="I7534"/>
      <c r="L7534"/>
    </row>
    <row r="7535" spans="9:12">
      <c r="I7535"/>
      <c r="L7535"/>
    </row>
    <row r="7536" spans="9:12">
      <c r="I7536"/>
      <c r="L7536"/>
    </row>
    <row r="7537" spans="9:12">
      <c r="I7537"/>
      <c r="L7537"/>
    </row>
    <row r="7538" spans="9:12">
      <c r="I7538"/>
      <c r="L7538"/>
    </row>
    <row r="7539" spans="9:12">
      <c r="I7539"/>
      <c r="L7539"/>
    </row>
    <row r="7540" spans="9:12">
      <c r="I7540"/>
      <c r="L7540"/>
    </row>
    <row r="7541" spans="9:12">
      <c r="I7541"/>
      <c r="L7541"/>
    </row>
    <row r="7542" spans="9:12">
      <c r="I7542"/>
      <c r="L7542"/>
    </row>
    <row r="7543" spans="9:12">
      <c r="I7543"/>
      <c r="L7543"/>
    </row>
    <row r="7544" spans="9:12">
      <c r="I7544"/>
      <c r="L7544"/>
    </row>
    <row r="7545" spans="9:12">
      <c r="I7545"/>
      <c r="L7545"/>
    </row>
    <row r="7546" spans="9:12">
      <c r="I7546"/>
      <c r="L7546"/>
    </row>
    <row r="7547" spans="9:12">
      <c r="I7547"/>
      <c r="L7547"/>
    </row>
    <row r="7548" spans="9:12">
      <c r="I7548"/>
      <c r="L7548"/>
    </row>
    <row r="7549" spans="9:12">
      <c r="I7549"/>
      <c r="L7549"/>
    </row>
    <row r="7550" spans="9:12">
      <c r="I7550"/>
      <c r="L7550"/>
    </row>
    <row r="7551" spans="9:12">
      <c r="I7551"/>
      <c r="L7551"/>
    </row>
    <row r="7552" spans="9:12">
      <c r="I7552"/>
      <c r="L7552"/>
    </row>
    <row r="7553" spans="9:12">
      <c r="I7553"/>
      <c r="L7553"/>
    </row>
    <row r="7554" spans="9:12">
      <c r="I7554"/>
      <c r="L7554"/>
    </row>
    <row r="7555" spans="9:12">
      <c r="I7555"/>
      <c r="L7555"/>
    </row>
    <row r="7556" spans="9:12">
      <c r="I7556"/>
      <c r="L7556"/>
    </row>
    <row r="7557" spans="9:12">
      <c r="I7557"/>
      <c r="L7557"/>
    </row>
    <row r="7558" spans="9:12">
      <c r="I7558"/>
      <c r="L7558"/>
    </row>
    <row r="7559" spans="9:12">
      <c r="I7559"/>
      <c r="L7559"/>
    </row>
    <row r="7560" spans="9:12">
      <c r="I7560"/>
      <c r="L7560"/>
    </row>
    <row r="7561" spans="9:12">
      <c r="I7561"/>
      <c r="L7561"/>
    </row>
    <row r="7562" spans="9:12">
      <c r="I7562"/>
      <c r="L7562"/>
    </row>
    <row r="7563" spans="9:12">
      <c r="I7563"/>
      <c r="L7563"/>
    </row>
    <row r="7564" spans="9:12">
      <c r="I7564"/>
      <c r="L7564"/>
    </row>
    <row r="7565" spans="9:12">
      <c r="I7565"/>
      <c r="L7565"/>
    </row>
    <row r="7566" spans="9:12">
      <c r="I7566"/>
      <c r="L7566"/>
    </row>
    <row r="7567" spans="9:12">
      <c r="I7567"/>
      <c r="L7567"/>
    </row>
    <row r="7568" spans="9:12">
      <c r="I7568"/>
      <c r="L7568"/>
    </row>
    <row r="7569" spans="9:12">
      <c r="I7569"/>
      <c r="L7569"/>
    </row>
    <row r="7570" spans="9:12">
      <c r="I7570"/>
      <c r="L7570"/>
    </row>
    <row r="7571" spans="9:12">
      <c r="I7571"/>
      <c r="L7571"/>
    </row>
    <row r="7572" spans="9:12">
      <c r="I7572"/>
      <c r="L7572"/>
    </row>
    <row r="7573" spans="9:12">
      <c r="I7573"/>
      <c r="L7573"/>
    </row>
    <row r="7574" spans="9:12">
      <c r="I7574"/>
      <c r="L7574"/>
    </row>
    <row r="7575" spans="9:12">
      <c r="I7575"/>
      <c r="L7575"/>
    </row>
    <row r="7576" spans="9:12">
      <c r="I7576"/>
      <c r="L7576"/>
    </row>
    <row r="7577" spans="9:12">
      <c r="I7577"/>
      <c r="L7577"/>
    </row>
    <row r="7578" spans="9:12">
      <c r="I7578"/>
      <c r="L7578"/>
    </row>
    <row r="7579" spans="9:12">
      <c r="I7579"/>
      <c r="L7579"/>
    </row>
    <row r="7580" spans="9:12">
      <c r="I7580"/>
      <c r="L7580"/>
    </row>
    <row r="7581" spans="9:12">
      <c r="I7581"/>
      <c r="L7581"/>
    </row>
    <row r="7582" spans="9:12">
      <c r="I7582"/>
      <c r="L7582"/>
    </row>
    <row r="7583" spans="9:12">
      <c r="I7583"/>
      <c r="L7583"/>
    </row>
    <row r="7584" spans="9:12">
      <c r="I7584"/>
      <c r="L7584"/>
    </row>
    <row r="7585" spans="9:12">
      <c r="I7585"/>
      <c r="L7585"/>
    </row>
    <row r="7586" spans="9:12">
      <c r="I7586"/>
      <c r="L7586"/>
    </row>
    <row r="7587" spans="9:12">
      <c r="I7587"/>
      <c r="L7587"/>
    </row>
    <row r="7588" spans="9:12">
      <c r="I7588"/>
      <c r="L7588"/>
    </row>
    <row r="7589" spans="9:12">
      <c r="I7589"/>
      <c r="L7589"/>
    </row>
    <row r="7590" spans="9:12">
      <c r="I7590"/>
      <c r="L7590"/>
    </row>
    <row r="7591" spans="9:12">
      <c r="I7591"/>
      <c r="L7591"/>
    </row>
    <row r="7592" spans="9:12">
      <c r="I7592"/>
      <c r="L7592"/>
    </row>
    <row r="7593" spans="9:12">
      <c r="I7593"/>
      <c r="L7593"/>
    </row>
    <row r="7594" spans="9:12">
      <c r="I7594"/>
      <c r="L7594"/>
    </row>
    <row r="7595" spans="9:12">
      <c r="I7595"/>
      <c r="L7595"/>
    </row>
    <row r="7596" spans="9:12">
      <c r="I7596"/>
      <c r="L7596"/>
    </row>
    <row r="7597" spans="9:12">
      <c r="I7597"/>
      <c r="L7597"/>
    </row>
    <row r="7598" spans="9:12">
      <c r="I7598"/>
      <c r="L7598"/>
    </row>
    <row r="7599" spans="9:12">
      <c r="I7599"/>
      <c r="L7599"/>
    </row>
    <row r="7600" spans="9:12">
      <c r="I7600"/>
      <c r="L7600"/>
    </row>
    <row r="7601" spans="9:12">
      <c r="I7601"/>
      <c r="L7601"/>
    </row>
    <row r="7602" spans="9:12">
      <c r="I7602"/>
      <c r="L7602"/>
    </row>
    <row r="7603" spans="9:12">
      <c r="I7603"/>
      <c r="L7603"/>
    </row>
    <row r="7604" spans="9:12">
      <c r="I7604"/>
      <c r="L7604"/>
    </row>
    <row r="7605" spans="9:12">
      <c r="I7605"/>
      <c r="L7605"/>
    </row>
    <row r="7606" spans="9:12">
      <c r="I7606"/>
      <c r="L7606"/>
    </row>
    <row r="7607" spans="9:12">
      <c r="I7607"/>
      <c r="L7607"/>
    </row>
    <row r="7608" spans="9:12">
      <c r="I7608"/>
      <c r="L7608"/>
    </row>
    <row r="7609" spans="9:12">
      <c r="I7609"/>
      <c r="L7609"/>
    </row>
    <row r="7610" spans="9:12">
      <c r="I7610"/>
      <c r="L7610"/>
    </row>
    <row r="7611" spans="9:12">
      <c r="I7611"/>
      <c r="L7611"/>
    </row>
    <row r="7612" spans="9:12">
      <c r="I7612"/>
      <c r="L7612"/>
    </row>
    <row r="7613" spans="9:12">
      <c r="I7613"/>
      <c r="L7613"/>
    </row>
    <row r="7614" spans="9:12">
      <c r="I7614"/>
      <c r="L7614"/>
    </row>
    <row r="7615" spans="9:12">
      <c r="I7615"/>
      <c r="L7615"/>
    </row>
    <row r="7616" spans="9:12">
      <c r="I7616"/>
      <c r="L7616"/>
    </row>
    <row r="7617" spans="9:12">
      <c r="I7617"/>
      <c r="L7617"/>
    </row>
    <row r="7618" spans="9:12">
      <c r="I7618"/>
      <c r="L7618"/>
    </row>
    <row r="7619" spans="9:12">
      <c r="I7619"/>
      <c r="L7619"/>
    </row>
    <row r="7620" spans="9:12">
      <c r="I7620"/>
      <c r="L7620"/>
    </row>
    <row r="7621" spans="9:12">
      <c r="I7621"/>
      <c r="L7621"/>
    </row>
    <row r="7622" spans="9:12">
      <c r="I7622"/>
      <c r="L7622"/>
    </row>
    <row r="7623" spans="9:12">
      <c r="I7623"/>
      <c r="L7623"/>
    </row>
    <row r="7624" spans="9:12">
      <c r="I7624"/>
      <c r="L7624"/>
    </row>
    <row r="7625" spans="9:12">
      <c r="I7625"/>
      <c r="L7625"/>
    </row>
    <row r="7626" spans="9:12">
      <c r="I7626"/>
      <c r="L7626"/>
    </row>
    <row r="7627" spans="9:12">
      <c r="I7627"/>
      <c r="L7627"/>
    </row>
    <row r="7628" spans="9:12">
      <c r="I7628"/>
      <c r="L7628"/>
    </row>
    <row r="7629" spans="9:12">
      <c r="I7629"/>
      <c r="L7629"/>
    </row>
    <row r="7630" spans="9:12">
      <c r="I7630"/>
      <c r="L7630"/>
    </row>
    <row r="7631" spans="9:12">
      <c r="I7631"/>
      <c r="L7631"/>
    </row>
    <row r="7632" spans="9:12">
      <c r="I7632"/>
      <c r="L7632"/>
    </row>
    <row r="7633" spans="9:12">
      <c r="I7633"/>
      <c r="L7633"/>
    </row>
    <row r="7634" spans="9:12">
      <c r="I7634"/>
      <c r="L7634"/>
    </row>
    <row r="7635" spans="9:12">
      <c r="I7635"/>
      <c r="L7635"/>
    </row>
    <row r="7636" spans="9:12">
      <c r="I7636"/>
      <c r="L7636"/>
    </row>
    <row r="7637" spans="9:12">
      <c r="I7637"/>
      <c r="L7637"/>
    </row>
    <row r="7638" spans="9:12">
      <c r="I7638"/>
      <c r="L7638"/>
    </row>
    <row r="7639" spans="9:12">
      <c r="I7639"/>
      <c r="L7639"/>
    </row>
    <row r="7640" spans="9:12">
      <c r="I7640"/>
      <c r="L7640"/>
    </row>
    <row r="7641" spans="9:12">
      <c r="I7641"/>
      <c r="L7641"/>
    </row>
    <row r="7642" spans="9:12">
      <c r="I7642"/>
      <c r="L7642"/>
    </row>
    <row r="7643" spans="9:12">
      <c r="I7643"/>
      <c r="L7643"/>
    </row>
    <row r="7644" spans="9:12">
      <c r="I7644"/>
      <c r="L7644"/>
    </row>
    <row r="7645" spans="9:12">
      <c r="I7645"/>
      <c r="L7645"/>
    </row>
    <row r="7646" spans="9:12">
      <c r="I7646"/>
      <c r="L7646"/>
    </row>
    <row r="7647" spans="9:12">
      <c r="I7647"/>
      <c r="L7647"/>
    </row>
    <row r="7648" spans="9:12">
      <c r="I7648"/>
      <c r="L7648"/>
    </row>
    <row r="7649" spans="9:12">
      <c r="I7649"/>
      <c r="L7649"/>
    </row>
    <row r="7650" spans="9:12">
      <c r="I7650"/>
      <c r="L7650"/>
    </row>
    <row r="7651" spans="9:12">
      <c r="I7651"/>
      <c r="L7651"/>
    </row>
    <row r="7652" spans="9:12">
      <c r="I7652"/>
      <c r="L7652"/>
    </row>
    <row r="7653" spans="9:12">
      <c r="I7653"/>
      <c r="L7653"/>
    </row>
    <row r="7654" spans="9:12">
      <c r="I7654"/>
      <c r="L7654"/>
    </row>
    <row r="7655" spans="9:12">
      <c r="I7655"/>
      <c r="L7655"/>
    </row>
    <row r="7656" spans="9:12">
      <c r="I7656"/>
      <c r="L7656"/>
    </row>
    <row r="7657" spans="9:12">
      <c r="I7657"/>
      <c r="L7657"/>
    </row>
    <row r="7658" spans="9:12">
      <c r="I7658"/>
      <c r="L7658"/>
    </row>
    <row r="7659" spans="9:12">
      <c r="I7659"/>
      <c r="L7659"/>
    </row>
    <row r="7660" spans="9:12">
      <c r="I7660"/>
      <c r="L7660"/>
    </row>
    <row r="7661" spans="9:12">
      <c r="I7661"/>
      <c r="L7661"/>
    </row>
    <row r="7662" spans="9:12">
      <c r="I7662"/>
      <c r="L7662"/>
    </row>
    <row r="7663" spans="9:12">
      <c r="I7663"/>
      <c r="L7663"/>
    </row>
    <row r="7664" spans="9:12">
      <c r="I7664"/>
      <c r="L7664"/>
    </row>
    <row r="7665" spans="9:12">
      <c r="I7665"/>
      <c r="L7665"/>
    </row>
    <row r="7666" spans="9:12">
      <c r="I7666"/>
      <c r="L7666"/>
    </row>
    <row r="7667" spans="9:12">
      <c r="I7667"/>
      <c r="L7667"/>
    </row>
    <row r="7668" spans="9:12">
      <c r="I7668"/>
      <c r="L7668"/>
    </row>
    <row r="7669" spans="9:12">
      <c r="I7669"/>
      <c r="L7669"/>
    </row>
    <row r="7670" spans="9:12">
      <c r="I7670"/>
      <c r="L7670"/>
    </row>
    <row r="7671" spans="9:12">
      <c r="I7671"/>
      <c r="L7671"/>
    </row>
    <row r="7672" spans="9:12">
      <c r="I7672"/>
      <c r="L7672"/>
    </row>
    <row r="7673" spans="9:12">
      <c r="I7673"/>
      <c r="L7673"/>
    </row>
    <row r="7674" spans="9:12">
      <c r="I7674"/>
      <c r="L7674"/>
    </row>
    <row r="7675" spans="9:12">
      <c r="I7675"/>
      <c r="L7675"/>
    </row>
    <row r="7676" spans="9:12">
      <c r="I7676"/>
      <c r="L7676"/>
    </row>
    <row r="7677" spans="9:12">
      <c r="I7677"/>
      <c r="L7677"/>
    </row>
    <row r="7678" spans="9:12">
      <c r="I7678"/>
      <c r="L7678"/>
    </row>
    <row r="7679" spans="9:12">
      <c r="I7679"/>
      <c r="L7679"/>
    </row>
    <row r="7680" spans="9:12">
      <c r="I7680"/>
      <c r="L7680"/>
    </row>
    <row r="7681" spans="9:12">
      <c r="I7681"/>
      <c r="L7681"/>
    </row>
    <row r="7682" spans="9:12">
      <c r="I7682"/>
      <c r="L7682"/>
    </row>
    <row r="7683" spans="9:12">
      <c r="I7683"/>
      <c r="L7683"/>
    </row>
    <row r="7684" spans="9:12">
      <c r="I7684"/>
      <c r="L7684"/>
    </row>
    <row r="7685" spans="9:12">
      <c r="I7685"/>
      <c r="L7685"/>
    </row>
    <row r="7686" spans="9:12">
      <c r="I7686"/>
      <c r="L7686"/>
    </row>
    <row r="7687" spans="9:12">
      <c r="I7687"/>
      <c r="L7687"/>
    </row>
    <row r="7688" spans="9:12">
      <c r="I7688"/>
      <c r="L7688"/>
    </row>
    <row r="7689" spans="9:12">
      <c r="I7689"/>
      <c r="L7689"/>
    </row>
    <row r="7690" spans="9:12">
      <c r="I7690"/>
      <c r="L7690"/>
    </row>
    <row r="7691" spans="9:12">
      <c r="I7691"/>
      <c r="L7691"/>
    </row>
    <row r="7692" spans="9:12">
      <c r="I7692"/>
      <c r="L7692"/>
    </row>
    <row r="7693" spans="9:12">
      <c r="I7693"/>
      <c r="L7693"/>
    </row>
    <row r="7694" spans="9:12">
      <c r="I7694"/>
      <c r="L7694"/>
    </row>
    <row r="7695" spans="9:12">
      <c r="I7695"/>
      <c r="L7695"/>
    </row>
    <row r="7696" spans="9:12">
      <c r="I7696"/>
      <c r="L7696"/>
    </row>
    <row r="7697" spans="9:12">
      <c r="I7697"/>
      <c r="L7697"/>
    </row>
    <row r="7698" spans="9:12">
      <c r="I7698"/>
      <c r="L7698"/>
    </row>
    <row r="7699" spans="9:12">
      <c r="I7699"/>
      <c r="L7699"/>
    </row>
    <row r="7700" spans="9:12">
      <c r="I7700"/>
      <c r="L7700"/>
    </row>
    <row r="7701" spans="9:12">
      <c r="I7701"/>
      <c r="L7701"/>
    </row>
    <row r="7702" spans="9:12">
      <c r="I7702"/>
      <c r="L7702"/>
    </row>
    <row r="7703" spans="9:12">
      <c r="I7703"/>
      <c r="L7703"/>
    </row>
    <row r="7704" spans="9:12">
      <c r="I7704"/>
      <c r="L7704"/>
    </row>
    <row r="7705" spans="9:12">
      <c r="I7705"/>
      <c r="L7705"/>
    </row>
    <row r="7706" spans="9:12">
      <c r="I7706"/>
      <c r="L7706"/>
    </row>
    <row r="7707" spans="9:12">
      <c r="I7707"/>
      <c r="L7707"/>
    </row>
    <row r="7708" spans="9:12">
      <c r="I7708"/>
      <c r="L7708"/>
    </row>
    <row r="7709" spans="9:12">
      <c r="I7709"/>
      <c r="L7709"/>
    </row>
    <row r="7710" spans="9:12">
      <c r="I7710"/>
      <c r="L7710"/>
    </row>
    <row r="7711" spans="9:12">
      <c r="I7711"/>
      <c r="L7711"/>
    </row>
    <row r="7712" spans="9:12">
      <c r="I7712"/>
      <c r="L7712"/>
    </row>
    <row r="7713" spans="9:12">
      <c r="I7713"/>
      <c r="L7713"/>
    </row>
    <row r="7714" spans="9:12">
      <c r="I7714"/>
      <c r="L7714"/>
    </row>
    <row r="7715" spans="9:12">
      <c r="I7715"/>
      <c r="L7715"/>
    </row>
    <row r="7716" spans="9:12">
      <c r="I7716"/>
      <c r="L7716"/>
    </row>
    <row r="7717" spans="9:12">
      <c r="I7717"/>
      <c r="L7717"/>
    </row>
    <row r="7718" spans="9:12">
      <c r="I7718"/>
      <c r="L7718"/>
    </row>
    <row r="7719" spans="9:12">
      <c r="I7719"/>
      <c r="L7719"/>
    </row>
    <row r="7720" spans="9:12">
      <c r="I7720"/>
      <c r="L7720"/>
    </row>
    <row r="7721" spans="9:12">
      <c r="I7721"/>
      <c r="L7721"/>
    </row>
    <row r="7722" spans="9:12">
      <c r="I7722"/>
      <c r="L7722"/>
    </row>
    <row r="7723" spans="9:12">
      <c r="I7723"/>
      <c r="L7723"/>
    </row>
    <row r="7724" spans="9:12">
      <c r="I7724"/>
      <c r="L7724"/>
    </row>
    <row r="7725" spans="9:12">
      <c r="I7725"/>
      <c r="L7725"/>
    </row>
    <row r="7726" spans="9:12">
      <c r="I7726"/>
      <c r="L7726"/>
    </row>
    <row r="7727" spans="9:12">
      <c r="I7727"/>
      <c r="L7727"/>
    </row>
    <row r="7728" spans="9:12">
      <c r="I7728"/>
      <c r="L7728"/>
    </row>
    <row r="7729" spans="9:12">
      <c r="I7729"/>
      <c r="L7729"/>
    </row>
    <row r="7730" spans="9:12">
      <c r="I7730"/>
      <c r="L7730"/>
    </row>
    <row r="7731" spans="9:12">
      <c r="I7731"/>
      <c r="L7731"/>
    </row>
    <row r="7732" spans="9:12">
      <c r="I7732"/>
      <c r="L7732"/>
    </row>
    <row r="7733" spans="9:12">
      <c r="I7733"/>
      <c r="L7733"/>
    </row>
    <row r="7734" spans="9:12">
      <c r="I7734"/>
      <c r="L7734"/>
    </row>
    <row r="7735" spans="9:12">
      <c r="I7735"/>
      <c r="L7735"/>
    </row>
    <row r="7736" spans="9:12">
      <c r="I7736"/>
      <c r="L7736"/>
    </row>
    <row r="7737" spans="9:12">
      <c r="I7737"/>
      <c r="L7737"/>
    </row>
    <row r="7738" spans="9:12">
      <c r="I7738"/>
      <c r="L7738"/>
    </row>
    <row r="7739" spans="9:12">
      <c r="I7739"/>
      <c r="L7739"/>
    </row>
    <row r="7740" spans="9:12">
      <c r="I7740"/>
      <c r="L7740"/>
    </row>
    <row r="7741" spans="9:12">
      <c r="I7741"/>
      <c r="L7741"/>
    </row>
    <row r="7742" spans="9:12">
      <c r="I7742"/>
      <c r="L7742"/>
    </row>
    <row r="7743" spans="9:12">
      <c r="I7743"/>
      <c r="L7743"/>
    </row>
    <row r="7744" spans="9:12">
      <c r="I7744"/>
      <c r="L7744"/>
    </row>
    <row r="7745" spans="9:12">
      <c r="I7745"/>
      <c r="L7745"/>
    </row>
    <row r="7746" spans="9:12">
      <c r="I7746"/>
      <c r="L7746"/>
    </row>
    <row r="7747" spans="9:12">
      <c r="I7747"/>
      <c r="L7747"/>
    </row>
    <row r="7748" spans="9:12">
      <c r="I7748"/>
      <c r="L7748"/>
    </row>
    <row r="7749" spans="9:12">
      <c r="I7749"/>
      <c r="L7749"/>
    </row>
    <row r="7750" spans="9:12">
      <c r="I7750"/>
      <c r="L7750"/>
    </row>
    <row r="7751" spans="9:12">
      <c r="I7751"/>
      <c r="L7751"/>
    </row>
    <row r="7752" spans="9:12">
      <c r="I7752"/>
      <c r="L7752"/>
    </row>
    <row r="7753" spans="9:12">
      <c r="I7753"/>
      <c r="L7753"/>
    </row>
    <row r="7754" spans="9:12">
      <c r="I7754"/>
      <c r="L7754"/>
    </row>
    <row r="7755" spans="9:12">
      <c r="I7755"/>
      <c r="L7755"/>
    </row>
    <row r="7756" spans="9:12">
      <c r="I7756"/>
      <c r="L7756"/>
    </row>
    <row r="7757" spans="9:12">
      <c r="I7757"/>
      <c r="L7757"/>
    </row>
    <row r="7758" spans="9:12">
      <c r="I7758"/>
      <c r="L7758"/>
    </row>
    <row r="7759" spans="9:12">
      <c r="I7759"/>
      <c r="L7759"/>
    </row>
    <row r="7760" spans="9:12">
      <c r="I7760"/>
      <c r="L7760"/>
    </row>
    <row r="7761" spans="9:12">
      <c r="I7761"/>
      <c r="L7761"/>
    </row>
    <row r="7762" spans="9:12">
      <c r="I7762"/>
      <c r="L7762"/>
    </row>
    <row r="7763" spans="9:12">
      <c r="I7763"/>
      <c r="L7763"/>
    </row>
    <row r="7764" spans="9:12">
      <c r="I7764"/>
      <c r="L7764"/>
    </row>
    <row r="7765" spans="9:12">
      <c r="I7765"/>
      <c r="L7765"/>
    </row>
    <row r="7766" spans="9:12">
      <c r="I7766"/>
      <c r="L7766"/>
    </row>
    <row r="7767" spans="9:12">
      <c r="I7767"/>
      <c r="L7767"/>
    </row>
    <row r="7768" spans="9:12">
      <c r="I7768"/>
      <c r="L7768"/>
    </row>
    <row r="7769" spans="9:12">
      <c r="I7769"/>
      <c r="L7769"/>
    </row>
    <row r="7770" spans="9:12">
      <c r="I7770"/>
      <c r="L7770"/>
    </row>
    <row r="7771" spans="9:12">
      <c r="I7771"/>
      <c r="L7771"/>
    </row>
    <row r="7772" spans="9:12">
      <c r="I7772"/>
      <c r="L7772"/>
    </row>
    <row r="7773" spans="9:12">
      <c r="I7773"/>
      <c r="L7773"/>
    </row>
    <row r="7774" spans="9:12">
      <c r="I7774"/>
      <c r="L7774"/>
    </row>
    <row r="7775" spans="9:12">
      <c r="I7775"/>
      <c r="L7775"/>
    </row>
    <row r="7776" spans="9:12">
      <c r="I7776"/>
      <c r="L7776"/>
    </row>
    <row r="7777" spans="9:12">
      <c r="I7777"/>
      <c r="L7777"/>
    </row>
    <row r="7778" spans="9:12">
      <c r="I7778"/>
      <c r="L7778"/>
    </row>
    <row r="7779" spans="9:12">
      <c r="I7779"/>
      <c r="L7779"/>
    </row>
    <row r="7780" spans="9:12">
      <c r="I7780"/>
      <c r="L7780"/>
    </row>
    <row r="7781" spans="9:12">
      <c r="I7781"/>
      <c r="L7781"/>
    </row>
    <row r="7782" spans="9:12">
      <c r="I7782"/>
      <c r="L7782"/>
    </row>
    <row r="7783" spans="9:12">
      <c r="I7783"/>
      <c r="L7783"/>
    </row>
    <row r="7784" spans="9:12">
      <c r="I7784"/>
      <c r="L7784"/>
    </row>
    <row r="7785" spans="9:12">
      <c r="I7785"/>
      <c r="L7785"/>
    </row>
    <row r="7786" spans="9:12">
      <c r="I7786"/>
      <c r="L7786"/>
    </row>
    <row r="7787" spans="9:12">
      <c r="I7787"/>
      <c r="L7787"/>
    </row>
    <row r="7788" spans="9:12">
      <c r="I7788"/>
      <c r="L7788"/>
    </row>
    <row r="7789" spans="9:12">
      <c r="I7789"/>
      <c r="L7789"/>
    </row>
    <row r="7790" spans="9:12">
      <c r="I7790"/>
      <c r="L7790"/>
    </row>
    <row r="7791" spans="9:12">
      <c r="I7791"/>
      <c r="L7791"/>
    </row>
    <row r="7792" spans="9:12">
      <c r="I7792"/>
      <c r="L7792"/>
    </row>
    <row r="7793" spans="9:12">
      <c r="I7793"/>
      <c r="L7793"/>
    </row>
    <row r="7794" spans="9:12">
      <c r="I7794"/>
      <c r="L7794"/>
    </row>
    <row r="7795" spans="9:12">
      <c r="I7795"/>
      <c r="L7795"/>
    </row>
    <row r="7796" spans="9:12">
      <c r="I7796"/>
      <c r="L7796"/>
    </row>
    <row r="7797" spans="9:12">
      <c r="I7797"/>
      <c r="L7797"/>
    </row>
    <row r="7798" spans="9:12">
      <c r="I7798"/>
      <c r="L7798"/>
    </row>
    <row r="7799" spans="9:12">
      <c r="I7799"/>
      <c r="L7799"/>
    </row>
    <row r="7800" spans="9:12">
      <c r="I7800"/>
      <c r="L7800"/>
    </row>
    <row r="7801" spans="9:12">
      <c r="I7801"/>
      <c r="L7801"/>
    </row>
    <row r="7802" spans="9:12">
      <c r="I7802"/>
      <c r="L7802"/>
    </row>
    <row r="7803" spans="9:12">
      <c r="I7803"/>
      <c r="L7803"/>
    </row>
    <row r="7804" spans="9:12">
      <c r="I7804"/>
      <c r="L7804"/>
    </row>
    <row r="7805" spans="9:12">
      <c r="I7805"/>
      <c r="L7805"/>
    </row>
    <row r="7806" spans="9:12">
      <c r="I7806"/>
      <c r="L7806"/>
    </row>
    <row r="7807" spans="9:12">
      <c r="I7807"/>
      <c r="L7807"/>
    </row>
    <row r="7808" spans="9:12">
      <c r="I7808"/>
      <c r="L7808"/>
    </row>
    <row r="7809" spans="9:12">
      <c r="I7809"/>
      <c r="L7809"/>
    </row>
    <row r="7810" spans="9:12">
      <c r="I7810"/>
      <c r="L7810"/>
    </row>
    <row r="7811" spans="9:12">
      <c r="I7811"/>
      <c r="L7811"/>
    </row>
    <row r="7812" spans="9:12">
      <c r="I7812"/>
      <c r="L7812"/>
    </row>
    <row r="7813" spans="9:12">
      <c r="I7813"/>
      <c r="L7813"/>
    </row>
    <row r="7814" spans="9:12">
      <c r="I7814"/>
      <c r="L7814"/>
    </row>
    <row r="7815" spans="9:12">
      <c r="I7815"/>
      <c r="L7815"/>
    </row>
    <row r="7816" spans="9:12">
      <c r="I7816"/>
      <c r="L7816"/>
    </row>
    <row r="7817" spans="9:12">
      <c r="I7817"/>
      <c r="L7817"/>
    </row>
    <row r="7818" spans="9:12">
      <c r="I7818"/>
      <c r="L7818"/>
    </row>
    <row r="7819" spans="9:12">
      <c r="I7819"/>
      <c r="L7819"/>
    </row>
    <row r="7820" spans="9:12">
      <c r="I7820"/>
      <c r="L7820"/>
    </row>
    <row r="7821" spans="9:12">
      <c r="I7821"/>
      <c r="L7821"/>
    </row>
    <row r="7822" spans="9:12">
      <c r="I7822"/>
      <c r="L7822"/>
    </row>
    <row r="7823" spans="9:12">
      <c r="I7823"/>
      <c r="L7823"/>
    </row>
    <row r="7824" spans="9:12">
      <c r="I7824"/>
      <c r="L7824"/>
    </row>
    <row r="7825" spans="9:12">
      <c r="I7825"/>
      <c r="L7825"/>
    </row>
    <row r="7826" spans="9:12">
      <c r="I7826"/>
      <c r="L7826"/>
    </row>
    <row r="7827" spans="9:12">
      <c r="I7827"/>
      <c r="L7827"/>
    </row>
    <row r="7828" spans="9:12">
      <c r="I7828"/>
      <c r="L7828"/>
    </row>
    <row r="7829" spans="9:12">
      <c r="I7829"/>
      <c r="L7829"/>
    </row>
    <row r="7830" spans="9:12">
      <c r="I7830"/>
      <c r="L7830"/>
    </row>
    <row r="7831" spans="9:12">
      <c r="I7831"/>
      <c r="L7831"/>
    </row>
    <row r="7832" spans="9:12">
      <c r="I7832"/>
      <c r="L7832"/>
    </row>
    <row r="7833" spans="9:12">
      <c r="I7833"/>
      <c r="L7833"/>
    </row>
    <row r="7834" spans="9:12">
      <c r="I7834"/>
      <c r="L7834"/>
    </row>
    <row r="7835" spans="9:12">
      <c r="I7835"/>
      <c r="L7835"/>
    </row>
    <row r="7836" spans="9:12">
      <c r="I7836"/>
      <c r="L7836"/>
    </row>
    <row r="7837" spans="9:12">
      <c r="I7837"/>
      <c r="L7837"/>
    </row>
    <row r="7838" spans="9:12">
      <c r="I7838"/>
      <c r="L7838"/>
    </row>
    <row r="7839" spans="9:12">
      <c r="I7839"/>
      <c r="L7839"/>
    </row>
    <row r="7840" spans="9:12">
      <c r="I7840"/>
      <c r="L7840"/>
    </row>
    <row r="7841" spans="9:12">
      <c r="I7841"/>
      <c r="L7841"/>
    </row>
    <row r="7842" spans="9:12">
      <c r="I7842"/>
      <c r="L7842"/>
    </row>
    <row r="7843" spans="9:12">
      <c r="I7843"/>
      <c r="L7843"/>
    </row>
    <row r="7844" spans="9:12">
      <c r="I7844"/>
      <c r="L7844"/>
    </row>
    <row r="7845" spans="9:12">
      <c r="I7845"/>
      <c r="L7845"/>
    </row>
    <row r="7846" spans="9:12">
      <c r="I7846"/>
      <c r="L7846"/>
    </row>
    <row r="7847" spans="9:12">
      <c r="I7847"/>
      <c r="L7847"/>
    </row>
    <row r="7848" spans="9:12">
      <c r="I7848"/>
      <c r="L7848"/>
    </row>
    <row r="7849" spans="9:12">
      <c r="I7849"/>
      <c r="L7849"/>
    </row>
    <row r="7850" spans="9:12">
      <c r="I7850"/>
      <c r="L7850"/>
    </row>
    <row r="7851" spans="9:12">
      <c r="I7851"/>
      <c r="L7851"/>
    </row>
    <row r="7852" spans="9:12">
      <c r="I7852"/>
      <c r="L7852"/>
    </row>
    <row r="7853" spans="9:12">
      <c r="I7853"/>
      <c r="L7853"/>
    </row>
    <row r="7854" spans="9:12">
      <c r="I7854"/>
      <c r="L7854"/>
    </row>
    <row r="7855" spans="9:12">
      <c r="I7855"/>
      <c r="L7855"/>
    </row>
    <row r="7856" spans="9:12">
      <c r="I7856"/>
      <c r="L7856"/>
    </row>
    <row r="7857" spans="9:12">
      <c r="I7857"/>
      <c r="L7857"/>
    </row>
    <row r="7858" spans="9:12">
      <c r="I7858"/>
      <c r="L7858"/>
    </row>
    <row r="7859" spans="9:12">
      <c r="I7859"/>
      <c r="L7859"/>
    </row>
    <row r="7860" spans="9:12">
      <c r="I7860"/>
      <c r="L7860"/>
    </row>
    <row r="7861" spans="9:12">
      <c r="I7861"/>
      <c r="L7861"/>
    </row>
    <row r="7862" spans="9:12">
      <c r="I7862"/>
      <c r="L7862"/>
    </row>
    <row r="7863" spans="9:12">
      <c r="I7863"/>
      <c r="L7863"/>
    </row>
    <row r="7864" spans="9:12">
      <c r="I7864"/>
      <c r="L7864"/>
    </row>
    <row r="7865" spans="9:12">
      <c r="I7865"/>
      <c r="L7865"/>
    </row>
    <row r="7866" spans="9:12">
      <c r="I7866"/>
      <c r="L7866"/>
    </row>
    <row r="7867" spans="9:12">
      <c r="I7867"/>
      <c r="L7867"/>
    </row>
    <row r="7868" spans="9:12">
      <c r="I7868"/>
      <c r="L7868"/>
    </row>
    <row r="7869" spans="9:12">
      <c r="I7869"/>
      <c r="L7869"/>
    </row>
    <row r="7870" spans="9:12">
      <c r="I7870"/>
      <c r="L7870"/>
    </row>
    <row r="7871" spans="9:12">
      <c r="I7871"/>
      <c r="L7871"/>
    </row>
    <row r="7872" spans="9:12">
      <c r="I7872"/>
      <c r="L7872"/>
    </row>
    <row r="7873" spans="9:12">
      <c r="I7873"/>
      <c r="L7873"/>
    </row>
    <row r="7874" spans="9:12">
      <c r="I7874"/>
      <c r="L7874"/>
    </row>
    <row r="7875" spans="9:12">
      <c r="I7875"/>
      <c r="L7875"/>
    </row>
    <row r="7876" spans="9:12">
      <c r="I7876"/>
      <c r="L7876"/>
    </row>
    <row r="7877" spans="9:12">
      <c r="I7877"/>
      <c r="L7877"/>
    </row>
    <row r="7878" spans="9:12">
      <c r="I7878"/>
      <c r="L7878"/>
    </row>
    <row r="7879" spans="9:12">
      <c r="I7879"/>
      <c r="L7879"/>
    </row>
    <row r="7880" spans="9:12">
      <c r="I7880"/>
      <c r="L7880"/>
    </row>
    <row r="7881" spans="9:12">
      <c r="I7881"/>
      <c r="L7881"/>
    </row>
    <row r="7882" spans="9:12">
      <c r="I7882"/>
      <c r="L7882"/>
    </row>
    <row r="7883" spans="9:12">
      <c r="I7883"/>
      <c r="L7883"/>
    </row>
    <row r="7884" spans="9:12">
      <c r="I7884"/>
      <c r="L7884"/>
    </row>
    <row r="7885" spans="9:12">
      <c r="I7885"/>
      <c r="L7885"/>
    </row>
    <row r="7886" spans="9:12">
      <c r="I7886"/>
      <c r="L7886"/>
    </row>
    <row r="7887" spans="9:12">
      <c r="I7887"/>
      <c r="L7887"/>
    </row>
    <row r="7888" spans="9:12">
      <c r="I7888"/>
      <c r="L7888"/>
    </row>
    <row r="7889" spans="9:12">
      <c r="I7889"/>
      <c r="L7889"/>
    </row>
    <row r="7890" spans="9:12">
      <c r="I7890"/>
      <c r="L7890"/>
    </row>
    <row r="7891" spans="9:12">
      <c r="I7891"/>
      <c r="L7891"/>
    </row>
    <row r="7892" spans="9:12">
      <c r="I7892"/>
      <c r="L7892"/>
    </row>
    <row r="7893" spans="9:12">
      <c r="I7893"/>
      <c r="L7893"/>
    </row>
    <row r="7894" spans="9:12">
      <c r="I7894"/>
      <c r="L7894"/>
    </row>
    <row r="7895" spans="9:12">
      <c r="I7895"/>
      <c r="L7895"/>
    </row>
    <row r="7896" spans="9:12">
      <c r="I7896"/>
      <c r="L7896"/>
    </row>
    <row r="7897" spans="9:12">
      <c r="I7897"/>
      <c r="L7897"/>
    </row>
    <row r="7898" spans="9:12">
      <c r="I7898"/>
      <c r="L7898"/>
    </row>
    <row r="7899" spans="9:12">
      <c r="I7899"/>
      <c r="L7899"/>
    </row>
    <row r="7900" spans="9:12">
      <c r="I7900"/>
      <c r="L7900"/>
    </row>
    <row r="7901" spans="9:12">
      <c r="I7901"/>
      <c r="L7901"/>
    </row>
    <row r="7902" spans="9:12">
      <c r="I7902"/>
      <c r="L7902"/>
    </row>
    <row r="7903" spans="9:12">
      <c r="I7903"/>
      <c r="L7903"/>
    </row>
    <row r="7904" spans="9:12">
      <c r="I7904"/>
      <c r="L7904"/>
    </row>
    <row r="7905" spans="9:12">
      <c r="I7905"/>
      <c r="L7905"/>
    </row>
    <row r="7906" spans="9:12">
      <c r="I7906"/>
      <c r="L7906"/>
    </row>
    <row r="7907" spans="9:12">
      <c r="I7907"/>
      <c r="L7907"/>
    </row>
    <row r="7908" spans="9:12">
      <c r="I7908"/>
      <c r="L7908"/>
    </row>
    <row r="7909" spans="9:12">
      <c r="I7909"/>
      <c r="L7909"/>
    </row>
    <row r="7910" spans="9:12">
      <c r="I7910"/>
      <c r="L7910"/>
    </row>
    <row r="7911" spans="9:12">
      <c r="I7911"/>
      <c r="L7911"/>
    </row>
    <row r="7912" spans="9:12">
      <c r="I7912"/>
      <c r="L7912"/>
    </row>
    <row r="7913" spans="9:12">
      <c r="I7913"/>
      <c r="L7913"/>
    </row>
    <row r="7914" spans="9:12">
      <c r="I7914"/>
      <c r="L7914"/>
    </row>
    <row r="7915" spans="9:12">
      <c r="I7915"/>
      <c r="L7915"/>
    </row>
    <row r="7916" spans="9:12">
      <c r="I7916"/>
      <c r="L7916"/>
    </row>
    <row r="7917" spans="9:12">
      <c r="I7917"/>
      <c r="L7917"/>
    </row>
    <row r="7918" spans="9:12">
      <c r="I7918"/>
      <c r="L7918"/>
    </row>
    <row r="7919" spans="9:12">
      <c r="I7919"/>
      <c r="L7919"/>
    </row>
    <row r="7920" spans="9:12">
      <c r="I7920"/>
      <c r="L7920"/>
    </row>
    <row r="7921" spans="9:12">
      <c r="I7921"/>
      <c r="L7921"/>
    </row>
    <row r="7922" spans="9:12">
      <c r="I7922"/>
      <c r="L7922"/>
    </row>
    <row r="7923" spans="9:12">
      <c r="I7923"/>
      <c r="L7923"/>
    </row>
    <row r="7924" spans="9:12">
      <c r="I7924"/>
      <c r="L7924"/>
    </row>
    <row r="7925" spans="9:12">
      <c r="I7925"/>
      <c r="L7925"/>
    </row>
    <row r="7926" spans="9:12">
      <c r="I7926"/>
      <c r="L7926"/>
    </row>
    <row r="7927" spans="9:12">
      <c r="I7927"/>
      <c r="L7927"/>
    </row>
    <row r="7928" spans="9:12">
      <c r="I7928"/>
      <c r="L7928"/>
    </row>
    <row r="7929" spans="9:12">
      <c r="I7929"/>
      <c r="L7929"/>
    </row>
    <row r="7930" spans="9:12">
      <c r="I7930"/>
      <c r="L7930"/>
    </row>
    <row r="7931" spans="9:12">
      <c r="I7931"/>
      <c r="L7931"/>
    </row>
    <row r="7932" spans="9:12">
      <c r="I7932"/>
      <c r="L7932"/>
    </row>
    <row r="7933" spans="9:12">
      <c r="I7933"/>
      <c r="L7933"/>
    </row>
    <row r="7934" spans="9:12">
      <c r="I7934"/>
      <c r="L7934"/>
    </row>
    <row r="7935" spans="9:12">
      <c r="I7935"/>
      <c r="L7935"/>
    </row>
    <row r="7936" spans="9:12">
      <c r="I7936"/>
      <c r="L7936"/>
    </row>
    <row r="7937" spans="9:12">
      <c r="I7937"/>
      <c r="L7937"/>
    </row>
    <row r="7938" spans="9:12">
      <c r="I7938"/>
      <c r="L7938"/>
    </row>
    <row r="7939" spans="9:12">
      <c r="I7939"/>
      <c r="L7939"/>
    </row>
    <row r="7940" spans="9:12">
      <c r="I7940"/>
      <c r="L7940"/>
    </row>
    <row r="7941" spans="9:12">
      <c r="I7941"/>
      <c r="L7941"/>
    </row>
    <row r="7942" spans="9:12">
      <c r="I7942"/>
      <c r="L7942"/>
    </row>
    <row r="7943" spans="9:12">
      <c r="I7943"/>
      <c r="L7943"/>
    </row>
    <row r="7944" spans="9:12">
      <c r="I7944"/>
      <c r="L7944"/>
    </row>
    <row r="7945" spans="9:12">
      <c r="I7945"/>
      <c r="L7945"/>
    </row>
    <row r="7946" spans="9:12">
      <c r="I7946"/>
      <c r="L7946"/>
    </row>
    <row r="7947" spans="9:12">
      <c r="I7947"/>
      <c r="L7947"/>
    </row>
    <row r="7948" spans="9:12">
      <c r="I7948"/>
      <c r="L7948"/>
    </row>
    <row r="7949" spans="9:12">
      <c r="I7949"/>
      <c r="L7949"/>
    </row>
    <row r="7950" spans="9:12">
      <c r="I7950"/>
      <c r="L7950"/>
    </row>
    <row r="7951" spans="9:12">
      <c r="I7951"/>
      <c r="L7951"/>
    </row>
    <row r="7952" spans="9:12">
      <c r="I7952"/>
      <c r="L7952"/>
    </row>
    <row r="7953" spans="9:12">
      <c r="I7953"/>
      <c r="L7953"/>
    </row>
    <row r="7954" spans="9:12">
      <c r="I7954"/>
      <c r="L7954"/>
    </row>
    <row r="7955" spans="9:12">
      <c r="I7955"/>
      <c r="L7955"/>
    </row>
    <row r="7956" spans="9:12">
      <c r="I7956"/>
      <c r="L7956"/>
    </row>
    <row r="7957" spans="9:12">
      <c r="I7957"/>
      <c r="L7957"/>
    </row>
    <row r="7958" spans="9:12">
      <c r="I7958"/>
      <c r="L7958"/>
    </row>
    <row r="7959" spans="9:12">
      <c r="I7959"/>
      <c r="L7959"/>
    </row>
    <row r="7960" spans="9:12">
      <c r="I7960"/>
      <c r="L7960"/>
    </row>
    <row r="7961" spans="9:12">
      <c r="I7961"/>
      <c r="L7961"/>
    </row>
    <row r="7962" spans="9:12">
      <c r="I7962"/>
      <c r="L7962"/>
    </row>
    <row r="7963" spans="9:12">
      <c r="I7963"/>
      <c r="L7963"/>
    </row>
    <row r="7964" spans="9:12">
      <c r="I7964"/>
      <c r="L7964"/>
    </row>
    <row r="7965" spans="9:12">
      <c r="I7965"/>
      <c r="L7965"/>
    </row>
    <row r="7966" spans="9:12">
      <c r="I7966"/>
      <c r="L7966"/>
    </row>
    <row r="7967" spans="9:12">
      <c r="I7967"/>
      <c r="L7967"/>
    </row>
    <row r="7968" spans="9:12">
      <c r="I7968"/>
      <c r="L7968"/>
    </row>
    <row r="7969" spans="9:12">
      <c r="I7969"/>
      <c r="L7969"/>
    </row>
    <row r="7970" spans="9:12">
      <c r="I7970"/>
      <c r="L7970"/>
    </row>
    <row r="7971" spans="9:12">
      <c r="I7971"/>
      <c r="L7971"/>
    </row>
    <row r="7972" spans="9:12">
      <c r="I7972"/>
      <c r="L7972"/>
    </row>
    <row r="7973" spans="9:12">
      <c r="I7973"/>
      <c r="L7973"/>
    </row>
    <row r="7974" spans="9:12">
      <c r="I7974"/>
      <c r="L7974"/>
    </row>
    <row r="7975" spans="9:12">
      <c r="I7975"/>
      <c r="L7975"/>
    </row>
    <row r="7976" spans="9:12">
      <c r="I7976"/>
      <c r="L7976"/>
    </row>
    <row r="7977" spans="9:12">
      <c r="I7977"/>
      <c r="L7977"/>
    </row>
    <row r="7978" spans="9:12">
      <c r="I7978"/>
      <c r="L7978"/>
    </row>
    <row r="7979" spans="9:12">
      <c r="I7979"/>
      <c r="L7979"/>
    </row>
    <row r="7980" spans="9:12">
      <c r="I7980"/>
      <c r="L7980"/>
    </row>
    <row r="7981" spans="9:12">
      <c r="I7981"/>
      <c r="L7981"/>
    </row>
    <row r="7982" spans="9:12">
      <c r="I7982"/>
      <c r="L7982"/>
    </row>
    <row r="7983" spans="9:12">
      <c r="I7983"/>
      <c r="L7983"/>
    </row>
    <row r="7984" spans="9:12">
      <c r="I7984"/>
      <c r="L7984"/>
    </row>
    <row r="7985" spans="9:12">
      <c r="I7985"/>
      <c r="L7985"/>
    </row>
    <row r="7986" spans="9:12">
      <c r="I7986"/>
      <c r="L7986"/>
    </row>
    <row r="7987" spans="9:12">
      <c r="I7987"/>
      <c r="L7987"/>
    </row>
    <row r="7988" spans="9:12">
      <c r="I7988"/>
      <c r="L7988"/>
    </row>
    <row r="7989" spans="9:12">
      <c r="I7989"/>
      <c r="L7989"/>
    </row>
    <row r="7990" spans="9:12">
      <c r="I7990"/>
      <c r="L7990"/>
    </row>
    <row r="7991" spans="9:12">
      <c r="I7991"/>
      <c r="L7991"/>
    </row>
    <row r="7992" spans="9:12">
      <c r="I7992"/>
      <c r="L7992"/>
    </row>
    <row r="7993" spans="9:12">
      <c r="I7993"/>
      <c r="L7993"/>
    </row>
    <row r="7994" spans="9:12">
      <c r="I7994"/>
      <c r="L7994"/>
    </row>
    <row r="7995" spans="9:12">
      <c r="I7995"/>
      <c r="L7995"/>
    </row>
    <row r="7996" spans="9:12">
      <c r="I7996"/>
      <c r="L7996"/>
    </row>
    <row r="7997" spans="9:12">
      <c r="I7997"/>
      <c r="L7997"/>
    </row>
    <row r="7998" spans="9:12">
      <c r="I7998"/>
      <c r="L7998"/>
    </row>
    <row r="7999" spans="9:12">
      <c r="I7999"/>
      <c r="L7999"/>
    </row>
    <row r="8000" spans="9:12">
      <c r="I8000"/>
      <c r="L8000"/>
    </row>
    <row r="8001" spans="9:12">
      <c r="I8001"/>
      <c r="L8001"/>
    </row>
    <row r="8002" spans="9:12">
      <c r="I8002"/>
      <c r="L8002"/>
    </row>
    <row r="8003" spans="9:12">
      <c r="I8003"/>
      <c r="L8003"/>
    </row>
    <row r="8004" spans="9:12">
      <c r="I8004"/>
      <c r="L8004"/>
    </row>
    <row r="8005" spans="9:12">
      <c r="I8005"/>
      <c r="L8005"/>
    </row>
    <row r="8006" spans="9:12">
      <c r="I8006"/>
      <c r="L8006"/>
    </row>
    <row r="8007" spans="9:12">
      <c r="I8007"/>
      <c r="L8007"/>
    </row>
    <row r="8008" spans="9:12">
      <c r="I8008"/>
      <c r="L8008"/>
    </row>
    <row r="8009" spans="9:12">
      <c r="I8009"/>
      <c r="L8009"/>
    </row>
    <row r="8010" spans="9:12">
      <c r="I8010"/>
      <c r="L8010"/>
    </row>
    <row r="8011" spans="9:12">
      <c r="I8011"/>
      <c r="L8011"/>
    </row>
    <row r="8012" spans="9:12">
      <c r="I8012"/>
      <c r="L8012"/>
    </row>
    <row r="8013" spans="9:12">
      <c r="I8013"/>
      <c r="L8013"/>
    </row>
    <row r="8014" spans="9:12">
      <c r="I8014"/>
      <c r="L8014"/>
    </row>
    <row r="8015" spans="9:12">
      <c r="I8015"/>
      <c r="L8015"/>
    </row>
    <row r="8016" spans="9:12">
      <c r="I8016"/>
      <c r="L8016"/>
    </row>
    <row r="8017" spans="9:12">
      <c r="I8017"/>
      <c r="L8017"/>
    </row>
    <row r="8018" spans="9:12">
      <c r="I8018"/>
      <c r="L8018"/>
    </row>
    <row r="8019" spans="9:12">
      <c r="I8019"/>
      <c r="L8019"/>
    </row>
    <row r="8020" spans="9:12">
      <c r="I8020"/>
      <c r="L8020"/>
    </row>
    <row r="8021" spans="9:12">
      <c r="I8021"/>
      <c r="L8021"/>
    </row>
    <row r="8022" spans="9:12">
      <c r="I8022"/>
      <c r="L8022"/>
    </row>
    <row r="8023" spans="9:12">
      <c r="I8023"/>
      <c r="L8023"/>
    </row>
    <row r="8024" spans="9:12">
      <c r="I8024"/>
      <c r="L8024"/>
    </row>
    <row r="8025" spans="9:12">
      <c r="I8025"/>
      <c r="L8025"/>
    </row>
    <row r="8026" spans="9:12">
      <c r="I8026"/>
      <c r="L8026"/>
    </row>
    <row r="8027" spans="9:12">
      <c r="I8027"/>
      <c r="L8027"/>
    </row>
    <row r="8028" spans="9:12">
      <c r="I8028"/>
      <c r="L8028"/>
    </row>
    <row r="8029" spans="9:12">
      <c r="I8029"/>
      <c r="L8029"/>
    </row>
    <row r="8030" spans="9:12">
      <c r="I8030"/>
      <c r="L8030"/>
    </row>
    <row r="8031" spans="9:12">
      <c r="I8031"/>
      <c r="L8031"/>
    </row>
    <row r="8032" spans="9:12">
      <c r="I8032"/>
      <c r="L8032"/>
    </row>
    <row r="8033" spans="9:12">
      <c r="I8033"/>
      <c r="L8033"/>
    </row>
    <row r="8034" spans="9:12">
      <c r="I8034"/>
      <c r="L8034"/>
    </row>
    <row r="8035" spans="9:12">
      <c r="I8035"/>
      <c r="L8035"/>
    </row>
    <row r="8036" spans="9:12">
      <c r="I8036"/>
      <c r="L8036"/>
    </row>
    <row r="8037" spans="9:12">
      <c r="I8037"/>
      <c r="L8037"/>
    </row>
    <row r="8038" spans="9:12">
      <c r="I8038"/>
      <c r="L8038"/>
    </row>
    <row r="8039" spans="9:12">
      <c r="I8039"/>
      <c r="L8039"/>
    </row>
    <row r="8040" spans="9:12">
      <c r="I8040"/>
      <c r="L8040"/>
    </row>
    <row r="8041" spans="9:12">
      <c r="I8041"/>
      <c r="L8041"/>
    </row>
    <row r="8042" spans="9:12">
      <c r="I8042"/>
      <c r="L8042"/>
    </row>
    <row r="8043" spans="9:12">
      <c r="I8043"/>
      <c r="L8043"/>
    </row>
    <row r="8044" spans="9:12">
      <c r="I8044"/>
      <c r="L8044"/>
    </row>
    <row r="8045" spans="9:12">
      <c r="I8045"/>
      <c r="L8045"/>
    </row>
    <row r="8046" spans="9:12">
      <c r="I8046"/>
      <c r="L8046"/>
    </row>
    <row r="8047" spans="9:12">
      <c r="I8047"/>
      <c r="L8047"/>
    </row>
    <row r="8048" spans="9:12">
      <c r="I8048"/>
      <c r="L8048"/>
    </row>
    <row r="8049" spans="9:12">
      <c r="I8049"/>
      <c r="L8049"/>
    </row>
    <row r="8050" spans="9:12">
      <c r="I8050"/>
      <c r="L8050"/>
    </row>
    <row r="8051" spans="9:12">
      <c r="I8051"/>
      <c r="L8051"/>
    </row>
    <row r="8052" spans="9:12">
      <c r="I8052"/>
      <c r="L8052"/>
    </row>
    <row r="8053" spans="9:12">
      <c r="I8053"/>
      <c r="L8053"/>
    </row>
    <row r="8054" spans="9:12">
      <c r="I8054"/>
      <c r="L8054"/>
    </row>
    <row r="8055" spans="9:12">
      <c r="I8055"/>
      <c r="L8055"/>
    </row>
    <row r="8056" spans="9:12">
      <c r="I8056"/>
      <c r="L8056"/>
    </row>
    <row r="8057" spans="9:12">
      <c r="I8057"/>
      <c r="L8057"/>
    </row>
    <row r="8058" spans="9:12">
      <c r="I8058"/>
      <c r="L8058"/>
    </row>
    <row r="8059" spans="9:12">
      <c r="I8059"/>
      <c r="L8059"/>
    </row>
    <row r="8060" spans="9:12">
      <c r="I8060"/>
      <c r="L8060"/>
    </row>
    <row r="8061" spans="9:12">
      <c r="I8061"/>
      <c r="L8061"/>
    </row>
    <row r="8062" spans="9:12">
      <c r="I8062"/>
      <c r="L8062"/>
    </row>
    <row r="8063" spans="9:12">
      <c r="I8063"/>
      <c r="L8063"/>
    </row>
    <row r="8064" spans="9:12">
      <c r="I8064"/>
      <c r="L8064"/>
    </row>
    <row r="8065" spans="9:12">
      <c r="I8065"/>
      <c r="L8065"/>
    </row>
    <row r="8066" spans="9:12">
      <c r="I8066"/>
      <c r="L8066"/>
    </row>
    <row r="8067" spans="9:12">
      <c r="I8067"/>
      <c r="L8067"/>
    </row>
    <row r="8068" spans="9:12">
      <c r="I8068"/>
      <c r="L8068"/>
    </row>
    <row r="8069" spans="9:12">
      <c r="I8069"/>
      <c r="L8069"/>
    </row>
    <row r="8070" spans="9:12">
      <c r="I8070"/>
      <c r="L8070"/>
    </row>
    <row r="8071" spans="9:12">
      <c r="I8071"/>
      <c r="L8071"/>
    </row>
    <row r="8072" spans="9:12">
      <c r="I8072"/>
      <c r="L8072"/>
    </row>
    <row r="8073" spans="9:12">
      <c r="I8073"/>
      <c r="L8073"/>
    </row>
    <row r="8074" spans="9:12">
      <c r="I8074"/>
      <c r="L8074"/>
    </row>
    <row r="8075" spans="9:12">
      <c r="I8075"/>
      <c r="L8075"/>
    </row>
    <row r="8076" spans="9:12">
      <c r="I8076"/>
      <c r="L8076"/>
    </row>
    <row r="8077" spans="9:12">
      <c r="I8077"/>
      <c r="L8077"/>
    </row>
    <row r="8078" spans="9:12">
      <c r="I8078"/>
      <c r="L8078"/>
    </row>
    <row r="8079" spans="9:12">
      <c r="I8079"/>
      <c r="L8079"/>
    </row>
    <row r="8080" spans="9:12">
      <c r="I8080"/>
      <c r="L8080"/>
    </row>
    <row r="8081" spans="9:12">
      <c r="I8081"/>
      <c r="L8081"/>
    </row>
    <row r="8082" spans="9:12">
      <c r="I8082"/>
      <c r="L8082"/>
    </row>
    <row r="8083" spans="9:12">
      <c r="I8083"/>
      <c r="L8083"/>
    </row>
    <row r="8084" spans="9:12">
      <c r="I8084"/>
      <c r="L8084"/>
    </row>
    <row r="8085" spans="9:12">
      <c r="I8085"/>
      <c r="L8085"/>
    </row>
    <row r="8086" spans="9:12">
      <c r="I8086"/>
      <c r="L8086"/>
    </row>
    <row r="8087" spans="9:12">
      <c r="I8087"/>
      <c r="L8087"/>
    </row>
    <row r="8088" spans="9:12">
      <c r="I8088"/>
      <c r="L8088"/>
    </row>
    <row r="8089" spans="9:12">
      <c r="I8089"/>
      <c r="L8089"/>
    </row>
    <row r="8090" spans="9:12">
      <c r="I8090"/>
      <c r="L8090"/>
    </row>
    <row r="8091" spans="9:12">
      <c r="I8091"/>
      <c r="L8091"/>
    </row>
    <row r="8092" spans="9:12">
      <c r="I8092"/>
      <c r="L8092"/>
    </row>
    <row r="8093" spans="9:12">
      <c r="I8093"/>
      <c r="L8093"/>
    </row>
    <row r="8094" spans="9:12">
      <c r="I8094"/>
      <c r="L8094"/>
    </row>
    <row r="8095" spans="9:12">
      <c r="I8095"/>
      <c r="L8095"/>
    </row>
    <row r="8096" spans="9:12">
      <c r="I8096"/>
      <c r="L8096"/>
    </row>
    <row r="8097" spans="9:12">
      <c r="I8097"/>
      <c r="L8097"/>
    </row>
    <row r="8098" spans="9:12">
      <c r="I8098"/>
      <c r="L8098"/>
    </row>
    <row r="8099" spans="9:12">
      <c r="I8099"/>
      <c r="L8099"/>
    </row>
    <row r="8100" spans="9:12">
      <c r="I8100"/>
      <c r="L8100"/>
    </row>
    <row r="8101" spans="9:12">
      <c r="I8101"/>
      <c r="L8101"/>
    </row>
    <row r="8102" spans="9:12">
      <c r="I8102"/>
      <c r="L8102"/>
    </row>
    <row r="8103" spans="9:12">
      <c r="I8103"/>
      <c r="L8103"/>
    </row>
    <row r="8104" spans="9:12">
      <c r="I8104"/>
      <c r="L8104"/>
    </row>
    <row r="8105" spans="9:12">
      <c r="I8105"/>
      <c r="L8105"/>
    </row>
    <row r="8106" spans="9:12">
      <c r="I8106"/>
      <c r="L8106"/>
    </row>
    <row r="8107" spans="9:12">
      <c r="I8107"/>
      <c r="L8107"/>
    </row>
    <row r="8108" spans="9:12">
      <c r="I8108"/>
      <c r="L8108"/>
    </row>
    <row r="8109" spans="9:12">
      <c r="I8109"/>
      <c r="L8109"/>
    </row>
    <row r="8110" spans="9:12">
      <c r="I8110"/>
      <c r="L8110"/>
    </row>
    <row r="8111" spans="9:12">
      <c r="I8111"/>
      <c r="L8111"/>
    </row>
    <row r="8112" spans="9:12">
      <c r="I8112"/>
      <c r="L8112"/>
    </row>
    <row r="8113" spans="9:12">
      <c r="I8113"/>
      <c r="L8113"/>
    </row>
    <row r="8114" spans="9:12">
      <c r="I8114"/>
      <c r="L8114"/>
    </row>
    <row r="8115" spans="9:12">
      <c r="I8115"/>
      <c r="L8115"/>
    </row>
    <row r="8116" spans="9:12">
      <c r="I8116"/>
      <c r="L8116"/>
    </row>
    <row r="8117" spans="9:12">
      <c r="I8117"/>
      <c r="L8117"/>
    </row>
    <row r="8118" spans="9:12">
      <c r="I8118"/>
      <c r="L8118"/>
    </row>
    <row r="8119" spans="9:12">
      <c r="I8119"/>
      <c r="L8119"/>
    </row>
    <row r="8120" spans="9:12">
      <c r="I8120"/>
      <c r="L8120"/>
    </row>
    <row r="8121" spans="9:12">
      <c r="I8121"/>
      <c r="L8121"/>
    </row>
    <row r="8122" spans="9:12">
      <c r="I8122"/>
      <c r="L8122"/>
    </row>
    <row r="8123" spans="9:12">
      <c r="I8123"/>
      <c r="L8123"/>
    </row>
    <row r="8124" spans="9:12">
      <c r="I8124"/>
      <c r="L8124"/>
    </row>
    <row r="8125" spans="9:12">
      <c r="I8125"/>
      <c r="L8125"/>
    </row>
    <row r="8126" spans="9:12">
      <c r="I8126"/>
      <c r="L8126"/>
    </row>
    <row r="8127" spans="9:12">
      <c r="I8127"/>
      <c r="L8127"/>
    </row>
    <row r="8128" spans="9:12">
      <c r="I8128"/>
      <c r="L8128"/>
    </row>
    <row r="8129" spans="9:12">
      <c r="I8129"/>
      <c r="L8129"/>
    </row>
    <row r="8130" spans="9:12">
      <c r="I8130"/>
      <c r="L8130"/>
    </row>
    <row r="8131" spans="9:12">
      <c r="I8131"/>
      <c r="L8131"/>
    </row>
    <row r="8132" spans="9:12">
      <c r="I8132"/>
      <c r="L8132"/>
    </row>
    <row r="8133" spans="9:12">
      <c r="I8133"/>
      <c r="L8133"/>
    </row>
    <row r="8134" spans="9:12">
      <c r="I8134"/>
      <c r="L8134"/>
    </row>
    <row r="8135" spans="9:12">
      <c r="I8135"/>
      <c r="L8135"/>
    </row>
    <row r="8136" spans="9:12">
      <c r="I8136"/>
      <c r="L8136"/>
    </row>
    <row r="8137" spans="9:12">
      <c r="I8137"/>
      <c r="L8137"/>
    </row>
    <row r="8138" spans="9:12">
      <c r="I8138"/>
      <c r="L8138"/>
    </row>
    <row r="8139" spans="9:12">
      <c r="I8139"/>
      <c r="L8139"/>
    </row>
    <row r="8140" spans="9:12">
      <c r="I8140"/>
      <c r="L8140"/>
    </row>
    <row r="8141" spans="9:12">
      <c r="I8141"/>
      <c r="L8141"/>
    </row>
    <row r="8142" spans="9:12">
      <c r="I8142"/>
      <c r="L8142"/>
    </row>
    <row r="8143" spans="9:12">
      <c r="I8143"/>
      <c r="L8143"/>
    </row>
    <row r="8144" spans="9:12">
      <c r="I8144"/>
      <c r="L8144"/>
    </row>
    <row r="8145" spans="9:12">
      <c r="I8145"/>
      <c r="L8145"/>
    </row>
    <row r="8146" spans="9:12">
      <c r="I8146"/>
      <c r="L8146"/>
    </row>
    <row r="8147" spans="9:12">
      <c r="I8147"/>
      <c r="L8147"/>
    </row>
    <row r="8148" spans="9:12">
      <c r="I8148"/>
      <c r="L8148"/>
    </row>
    <row r="8149" spans="9:12">
      <c r="I8149"/>
      <c r="L8149"/>
    </row>
    <row r="8150" spans="9:12">
      <c r="I8150"/>
      <c r="L8150"/>
    </row>
    <row r="8151" spans="9:12">
      <c r="I8151"/>
      <c r="L8151"/>
    </row>
    <row r="8152" spans="9:12">
      <c r="I8152"/>
      <c r="L8152"/>
    </row>
    <row r="8153" spans="9:12">
      <c r="I8153"/>
      <c r="L8153"/>
    </row>
    <row r="8154" spans="9:12">
      <c r="I8154"/>
      <c r="L8154"/>
    </row>
    <row r="8155" spans="9:12">
      <c r="I8155"/>
      <c r="L8155"/>
    </row>
    <row r="8156" spans="9:12">
      <c r="I8156"/>
      <c r="L8156"/>
    </row>
    <row r="8157" spans="9:12">
      <c r="I8157"/>
      <c r="L8157"/>
    </row>
    <row r="8158" spans="9:12">
      <c r="I8158"/>
      <c r="L8158"/>
    </row>
    <row r="8159" spans="9:12">
      <c r="I8159"/>
      <c r="L8159"/>
    </row>
    <row r="8160" spans="9:12">
      <c r="I8160"/>
      <c r="L8160"/>
    </row>
    <row r="8161" spans="9:12">
      <c r="I8161"/>
      <c r="L8161"/>
    </row>
    <row r="8162" spans="9:12">
      <c r="I8162"/>
      <c r="L8162"/>
    </row>
    <row r="8163" spans="9:12">
      <c r="I8163"/>
      <c r="L8163"/>
    </row>
    <row r="8164" spans="9:12">
      <c r="I8164"/>
      <c r="L8164"/>
    </row>
    <row r="8165" spans="9:12">
      <c r="I8165"/>
      <c r="L8165"/>
    </row>
    <row r="8166" spans="9:12">
      <c r="I8166"/>
      <c r="L8166"/>
    </row>
    <row r="8167" spans="9:12">
      <c r="I8167"/>
      <c r="L8167"/>
    </row>
    <row r="8168" spans="9:12">
      <c r="I8168"/>
      <c r="L8168"/>
    </row>
    <row r="8169" spans="9:12">
      <c r="I8169"/>
      <c r="L8169"/>
    </row>
    <row r="8170" spans="9:12">
      <c r="I8170"/>
      <c r="L8170"/>
    </row>
    <row r="8171" spans="9:12">
      <c r="I8171"/>
      <c r="L8171"/>
    </row>
    <row r="8172" spans="9:12">
      <c r="I8172"/>
      <c r="L8172"/>
    </row>
    <row r="8173" spans="9:12">
      <c r="I8173"/>
      <c r="L8173"/>
    </row>
    <row r="8174" spans="9:12">
      <c r="I8174"/>
      <c r="L8174"/>
    </row>
    <row r="8175" spans="9:12">
      <c r="I8175"/>
      <c r="L8175"/>
    </row>
    <row r="8176" spans="9:12">
      <c r="I8176"/>
      <c r="L8176"/>
    </row>
    <row r="8177" spans="9:12">
      <c r="I8177"/>
      <c r="L8177"/>
    </row>
    <row r="8178" spans="9:12">
      <c r="I8178"/>
      <c r="L8178"/>
    </row>
    <row r="8179" spans="9:12">
      <c r="I8179"/>
      <c r="L8179"/>
    </row>
    <row r="8180" spans="9:12">
      <c r="I8180"/>
      <c r="L8180"/>
    </row>
    <row r="8181" spans="9:12">
      <c r="I8181"/>
      <c r="L8181"/>
    </row>
    <row r="8182" spans="9:12">
      <c r="I8182"/>
      <c r="L8182"/>
    </row>
    <row r="8183" spans="9:12">
      <c r="I8183"/>
      <c r="L8183"/>
    </row>
    <row r="8184" spans="9:12">
      <c r="I8184"/>
      <c r="L8184"/>
    </row>
    <row r="8185" spans="9:12">
      <c r="I8185"/>
      <c r="L8185"/>
    </row>
    <row r="8186" spans="9:12">
      <c r="I8186"/>
      <c r="L8186"/>
    </row>
    <row r="8187" spans="9:12">
      <c r="I8187"/>
      <c r="L8187"/>
    </row>
    <row r="8188" spans="9:12">
      <c r="I8188"/>
      <c r="L8188"/>
    </row>
    <row r="8189" spans="9:12">
      <c r="I8189"/>
      <c r="L8189"/>
    </row>
    <row r="8190" spans="9:12">
      <c r="I8190"/>
      <c r="L8190"/>
    </row>
    <row r="8191" spans="9:12">
      <c r="I8191"/>
      <c r="L8191"/>
    </row>
    <row r="8192" spans="9:12">
      <c r="I8192"/>
      <c r="L8192"/>
    </row>
    <row r="8193" spans="9:12">
      <c r="I8193"/>
      <c r="L8193"/>
    </row>
    <row r="8194" spans="9:12">
      <c r="I8194"/>
      <c r="L8194"/>
    </row>
    <row r="8195" spans="9:12">
      <c r="I8195"/>
      <c r="L8195"/>
    </row>
    <row r="8196" spans="9:12">
      <c r="I8196"/>
      <c r="L8196"/>
    </row>
    <row r="8197" spans="9:12">
      <c r="I8197"/>
      <c r="L8197"/>
    </row>
    <row r="8198" spans="9:12">
      <c r="I8198"/>
      <c r="L8198"/>
    </row>
    <row r="8199" spans="9:12">
      <c r="I8199"/>
      <c r="L8199"/>
    </row>
    <row r="8200" spans="9:12">
      <c r="I8200"/>
      <c r="L8200"/>
    </row>
    <row r="8201" spans="9:12">
      <c r="I8201"/>
      <c r="L8201"/>
    </row>
    <row r="8202" spans="9:12">
      <c r="I8202"/>
      <c r="L8202"/>
    </row>
    <row r="8203" spans="9:12">
      <c r="I8203"/>
      <c r="L8203"/>
    </row>
    <row r="8204" spans="9:12">
      <c r="I8204"/>
      <c r="L8204"/>
    </row>
    <row r="8205" spans="9:12">
      <c r="I8205"/>
      <c r="L8205"/>
    </row>
    <row r="8206" spans="9:12">
      <c r="I8206"/>
      <c r="L8206"/>
    </row>
    <row r="8207" spans="9:12">
      <c r="I8207"/>
      <c r="L8207"/>
    </row>
    <row r="8208" spans="9:12">
      <c r="I8208"/>
      <c r="L8208"/>
    </row>
    <row r="8209" spans="9:12">
      <c r="I8209"/>
      <c r="L8209"/>
    </row>
    <row r="8210" spans="9:12">
      <c r="I8210"/>
      <c r="L8210"/>
    </row>
    <row r="8211" spans="9:12">
      <c r="I8211"/>
      <c r="L8211"/>
    </row>
    <row r="8212" spans="9:12">
      <c r="I8212"/>
      <c r="L8212"/>
    </row>
    <row r="8213" spans="9:12">
      <c r="I8213"/>
      <c r="L8213"/>
    </row>
    <row r="8214" spans="9:12">
      <c r="I8214"/>
      <c r="L8214"/>
    </row>
    <row r="8215" spans="9:12">
      <c r="I8215"/>
      <c r="L8215"/>
    </row>
    <row r="8216" spans="9:12">
      <c r="I8216"/>
      <c r="L8216"/>
    </row>
    <row r="8217" spans="9:12">
      <c r="I8217"/>
      <c r="L8217"/>
    </row>
    <row r="8218" spans="9:12">
      <c r="I8218"/>
      <c r="L8218"/>
    </row>
    <row r="8219" spans="9:12">
      <c r="I8219"/>
      <c r="L8219"/>
    </row>
    <row r="8220" spans="9:12">
      <c r="I8220"/>
      <c r="L8220"/>
    </row>
    <row r="8221" spans="9:12">
      <c r="I8221"/>
      <c r="L8221"/>
    </row>
    <row r="8222" spans="9:12">
      <c r="I8222"/>
      <c r="L8222"/>
    </row>
    <row r="8223" spans="9:12">
      <c r="I8223"/>
      <c r="L8223"/>
    </row>
    <row r="8224" spans="9:12">
      <c r="I8224"/>
      <c r="L8224"/>
    </row>
    <row r="8225" spans="9:12">
      <c r="I8225"/>
      <c r="L8225"/>
    </row>
    <row r="8226" spans="9:12">
      <c r="I8226"/>
      <c r="L8226"/>
    </row>
    <row r="8227" spans="9:12">
      <c r="I8227"/>
      <c r="L8227"/>
    </row>
    <row r="8228" spans="9:12">
      <c r="I8228"/>
      <c r="L8228"/>
    </row>
    <row r="8229" spans="9:12">
      <c r="I8229"/>
      <c r="L8229"/>
    </row>
    <row r="8230" spans="9:12">
      <c r="I8230"/>
      <c r="L8230"/>
    </row>
    <row r="8231" spans="9:12">
      <c r="I8231"/>
      <c r="L8231"/>
    </row>
    <row r="8232" spans="9:12">
      <c r="I8232"/>
      <c r="L8232"/>
    </row>
    <row r="8233" spans="9:12">
      <c r="I8233"/>
      <c r="L8233"/>
    </row>
    <row r="8234" spans="9:12">
      <c r="I8234"/>
      <c r="L8234"/>
    </row>
    <row r="8235" spans="9:12">
      <c r="I8235"/>
      <c r="L8235"/>
    </row>
    <row r="8236" spans="9:12">
      <c r="I8236"/>
      <c r="L8236"/>
    </row>
    <row r="8237" spans="9:12">
      <c r="I8237"/>
      <c r="L8237"/>
    </row>
    <row r="8238" spans="9:12">
      <c r="I8238"/>
      <c r="L8238"/>
    </row>
    <row r="8239" spans="9:12">
      <c r="I8239"/>
      <c r="L8239"/>
    </row>
    <row r="8240" spans="9:12">
      <c r="I8240"/>
      <c r="L8240"/>
    </row>
    <row r="8241" spans="9:12">
      <c r="I8241"/>
      <c r="L8241"/>
    </row>
    <row r="8242" spans="9:12">
      <c r="I8242"/>
      <c r="L8242"/>
    </row>
    <row r="8243" spans="9:12">
      <c r="I8243"/>
      <c r="L8243"/>
    </row>
    <row r="8244" spans="9:12">
      <c r="I8244"/>
      <c r="L8244"/>
    </row>
    <row r="8245" spans="9:12">
      <c r="I8245"/>
      <c r="L8245"/>
    </row>
    <row r="8246" spans="9:12">
      <c r="I8246"/>
      <c r="L8246"/>
    </row>
    <row r="8247" spans="9:12">
      <c r="I8247"/>
      <c r="L8247"/>
    </row>
    <row r="8248" spans="9:12">
      <c r="I8248"/>
      <c r="L8248"/>
    </row>
    <row r="8249" spans="9:12">
      <c r="I8249"/>
      <c r="L8249"/>
    </row>
    <row r="8250" spans="9:12">
      <c r="I8250"/>
      <c r="L8250"/>
    </row>
    <row r="8251" spans="9:12">
      <c r="I8251"/>
      <c r="L8251"/>
    </row>
    <row r="8252" spans="9:12">
      <c r="I8252"/>
      <c r="L8252"/>
    </row>
    <row r="8253" spans="9:12">
      <c r="I8253"/>
      <c r="L8253"/>
    </row>
    <row r="8254" spans="9:12">
      <c r="I8254"/>
      <c r="L8254"/>
    </row>
    <row r="8255" spans="9:12">
      <c r="I8255"/>
      <c r="L8255"/>
    </row>
    <row r="8256" spans="9:12">
      <c r="I8256"/>
      <c r="L8256"/>
    </row>
    <row r="8257" spans="9:12">
      <c r="I8257"/>
      <c r="L8257"/>
    </row>
    <row r="8258" spans="9:12">
      <c r="I8258"/>
      <c r="L8258"/>
    </row>
    <row r="8259" spans="9:12">
      <c r="I8259"/>
      <c r="L8259"/>
    </row>
    <row r="8260" spans="9:12">
      <c r="I8260"/>
      <c r="L8260"/>
    </row>
    <row r="8261" spans="9:12">
      <c r="I8261"/>
      <c r="L8261"/>
    </row>
    <row r="8262" spans="9:12">
      <c r="I8262"/>
      <c r="L8262"/>
    </row>
    <row r="8263" spans="9:12">
      <c r="I8263"/>
      <c r="L8263"/>
    </row>
    <row r="8264" spans="9:12">
      <c r="I8264"/>
      <c r="L8264"/>
    </row>
    <row r="8265" spans="9:12">
      <c r="I8265"/>
      <c r="L8265"/>
    </row>
    <row r="8266" spans="9:12">
      <c r="I8266"/>
      <c r="L8266"/>
    </row>
    <row r="8267" spans="9:12">
      <c r="I8267"/>
      <c r="L8267"/>
    </row>
    <row r="8268" spans="9:12">
      <c r="I8268"/>
      <c r="L8268"/>
    </row>
    <row r="8269" spans="9:12">
      <c r="I8269"/>
      <c r="L8269"/>
    </row>
    <row r="8270" spans="9:12">
      <c r="I8270"/>
      <c r="L8270"/>
    </row>
    <row r="8271" spans="9:12">
      <c r="I8271"/>
      <c r="L8271"/>
    </row>
    <row r="8272" spans="9:12">
      <c r="I8272"/>
      <c r="L8272"/>
    </row>
    <row r="8273" spans="9:12">
      <c r="I8273"/>
      <c r="L8273"/>
    </row>
    <row r="8274" spans="9:12">
      <c r="I8274"/>
      <c r="L8274"/>
    </row>
    <row r="8275" spans="9:12">
      <c r="I8275"/>
      <c r="L8275"/>
    </row>
    <row r="8276" spans="9:12">
      <c r="I8276"/>
      <c r="L8276"/>
    </row>
    <row r="8277" spans="9:12">
      <c r="I8277"/>
      <c r="L8277"/>
    </row>
    <row r="8278" spans="9:12">
      <c r="I8278"/>
      <c r="L8278"/>
    </row>
    <row r="8279" spans="9:12">
      <c r="I8279"/>
      <c r="L8279"/>
    </row>
    <row r="8280" spans="9:12">
      <c r="I8280"/>
      <c r="L8280"/>
    </row>
    <row r="8281" spans="9:12">
      <c r="I8281"/>
      <c r="L8281"/>
    </row>
    <row r="8282" spans="9:12">
      <c r="I8282"/>
      <c r="L8282"/>
    </row>
    <row r="8283" spans="9:12">
      <c r="I8283"/>
      <c r="L8283"/>
    </row>
    <row r="8284" spans="9:12">
      <c r="I8284"/>
      <c r="L8284"/>
    </row>
    <row r="8285" spans="9:12">
      <c r="I8285"/>
      <c r="L8285"/>
    </row>
    <row r="8286" spans="9:12">
      <c r="I8286"/>
      <c r="L8286"/>
    </row>
    <row r="8287" spans="9:12">
      <c r="I8287"/>
      <c r="L8287"/>
    </row>
    <row r="8288" spans="9:12">
      <c r="I8288"/>
      <c r="L8288"/>
    </row>
    <row r="8289" spans="9:12">
      <c r="I8289"/>
      <c r="L8289"/>
    </row>
    <row r="8290" spans="9:12">
      <c r="I8290"/>
      <c r="L8290"/>
    </row>
    <row r="8291" spans="9:12">
      <c r="I8291"/>
      <c r="L8291"/>
    </row>
    <row r="8292" spans="9:12">
      <c r="I8292"/>
      <c r="L8292"/>
    </row>
    <row r="8293" spans="9:12">
      <c r="I8293"/>
      <c r="L8293"/>
    </row>
    <row r="8294" spans="9:12">
      <c r="I8294"/>
      <c r="L8294"/>
    </row>
    <row r="8295" spans="9:12">
      <c r="I8295"/>
      <c r="L8295"/>
    </row>
    <row r="8296" spans="9:12">
      <c r="I8296"/>
      <c r="L8296"/>
    </row>
    <row r="8297" spans="9:12">
      <c r="I8297"/>
      <c r="L8297"/>
    </row>
    <row r="8298" spans="9:12">
      <c r="I8298"/>
      <c r="L8298"/>
    </row>
    <row r="8299" spans="9:12">
      <c r="I8299"/>
      <c r="L8299"/>
    </row>
    <row r="8300" spans="9:12">
      <c r="I8300"/>
      <c r="L8300"/>
    </row>
    <row r="8301" spans="9:12">
      <c r="I8301"/>
      <c r="L8301"/>
    </row>
    <row r="8302" spans="9:12">
      <c r="I8302"/>
      <c r="L8302"/>
    </row>
    <row r="8303" spans="9:12">
      <c r="I8303"/>
      <c r="L8303"/>
    </row>
    <row r="8304" spans="9:12">
      <c r="I8304"/>
      <c r="L8304"/>
    </row>
    <row r="8305" spans="9:12">
      <c r="I8305"/>
      <c r="L8305"/>
    </row>
    <row r="8306" spans="9:12">
      <c r="I8306"/>
      <c r="L8306"/>
    </row>
    <row r="8307" spans="9:12">
      <c r="I8307"/>
      <c r="L8307"/>
    </row>
    <row r="8308" spans="9:12">
      <c r="I8308"/>
      <c r="L8308"/>
    </row>
    <row r="8309" spans="9:12">
      <c r="I8309"/>
      <c r="L8309"/>
    </row>
    <row r="8310" spans="9:12">
      <c r="I8310"/>
      <c r="L8310"/>
    </row>
    <row r="8311" spans="9:12">
      <c r="I8311"/>
      <c r="L8311"/>
    </row>
    <row r="8312" spans="9:12">
      <c r="I8312"/>
      <c r="L8312"/>
    </row>
    <row r="8313" spans="9:12">
      <c r="I8313"/>
      <c r="L8313"/>
    </row>
    <row r="8314" spans="9:12">
      <c r="I8314"/>
      <c r="L8314"/>
    </row>
    <row r="8315" spans="9:12">
      <c r="I8315"/>
      <c r="L8315"/>
    </row>
    <row r="8316" spans="9:12">
      <c r="I8316"/>
      <c r="L8316"/>
    </row>
    <row r="8317" spans="9:12">
      <c r="I8317"/>
      <c r="L8317"/>
    </row>
    <row r="8318" spans="9:12">
      <c r="I8318"/>
      <c r="L8318"/>
    </row>
    <row r="8319" spans="9:12">
      <c r="I8319"/>
      <c r="L8319"/>
    </row>
    <row r="8320" spans="9:12">
      <c r="I8320"/>
      <c r="L8320"/>
    </row>
    <row r="8321" spans="9:12">
      <c r="I8321"/>
      <c r="L8321"/>
    </row>
    <row r="8322" spans="9:12">
      <c r="I8322"/>
      <c r="L8322"/>
    </row>
    <row r="8323" spans="9:12">
      <c r="I8323"/>
      <c r="L8323"/>
    </row>
    <row r="8324" spans="9:12">
      <c r="I8324"/>
      <c r="L8324"/>
    </row>
    <row r="8325" spans="9:12">
      <c r="I8325"/>
      <c r="L8325"/>
    </row>
    <row r="8326" spans="9:12">
      <c r="I8326"/>
      <c r="L8326"/>
    </row>
    <row r="8327" spans="9:12">
      <c r="I8327"/>
      <c r="L8327"/>
    </row>
    <row r="8328" spans="9:12">
      <c r="I8328"/>
      <c r="L8328"/>
    </row>
    <row r="8329" spans="9:12">
      <c r="I8329"/>
      <c r="L8329"/>
    </row>
    <row r="8330" spans="9:12">
      <c r="I8330"/>
      <c r="L8330"/>
    </row>
    <row r="8331" spans="9:12">
      <c r="I8331"/>
      <c r="L8331"/>
    </row>
    <row r="8332" spans="9:12">
      <c r="I8332"/>
      <c r="L8332"/>
    </row>
    <row r="8333" spans="9:12">
      <c r="I8333"/>
      <c r="L8333"/>
    </row>
    <row r="8334" spans="9:12">
      <c r="I8334"/>
      <c r="L8334"/>
    </row>
    <row r="8335" spans="9:12">
      <c r="I8335"/>
      <c r="L8335"/>
    </row>
    <row r="8336" spans="9:12">
      <c r="I8336"/>
      <c r="L8336"/>
    </row>
    <row r="8337" spans="9:12">
      <c r="I8337"/>
      <c r="L8337"/>
    </row>
    <row r="8338" spans="9:12">
      <c r="I8338"/>
      <c r="L8338"/>
    </row>
    <row r="8339" spans="9:12">
      <c r="I8339"/>
      <c r="L8339"/>
    </row>
    <row r="8340" spans="9:12">
      <c r="I8340"/>
      <c r="L8340"/>
    </row>
    <row r="8341" spans="9:12">
      <c r="L8341"/>
    </row>
    <row r="8342" spans="9:12">
      <c r="L8342"/>
    </row>
    <row r="8343" spans="9:12">
      <c r="L8343"/>
    </row>
    <row r="8344" spans="9:12">
      <c r="L8344"/>
    </row>
    <row r="8345" spans="9:12">
      <c r="L8345"/>
    </row>
    <row r="8346" spans="9:12">
      <c r="L8346"/>
    </row>
    <row r="8347" spans="9:12">
      <c r="L8347"/>
    </row>
    <row r="8348" spans="9:12">
      <c r="L8348"/>
    </row>
    <row r="8349" spans="9:12">
      <c r="L8349"/>
    </row>
    <row r="8350" spans="9:12">
      <c r="L8350"/>
    </row>
    <row r="8351" spans="9:12">
      <c r="L8351"/>
    </row>
    <row r="8352" spans="9:12">
      <c r="L8352"/>
    </row>
    <row r="8353" spans="12:12">
      <c r="L8353"/>
    </row>
    <row r="8354" spans="12:12">
      <c r="L8354"/>
    </row>
    <row r="8355" spans="12:12">
      <c r="L8355"/>
    </row>
    <row r="8356" spans="12:12">
      <c r="L8356"/>
    </row>
    <row r="8357" spans="12:12">
      <c r="L8357"/>
    </row>
    <row r="8358" spans="12:12">
      <c r="L8358"/>
    </row>
    <row r="8359" spans="12:12">
      <c r="L8359"/>
    </row>
    <row r="8360" spans="12:12">
      <c r="L8360"/>
    </row>
    <row r="8361" spans="12:12">
      <c r="L8361"/>
    </row>
    <row r="8362" spans="12:12">
      <c r="L8362"/>
    </row>
    <row r="8363" spans="12:12">
      <c r="L8363"/>
    </row>
    <row r="8364" spans="12:12">
      <c r="L8364"/>
    </row>
    <row r="8365" spans="12:12">
      <c r="L8365"/>
    </row>
    <row r="8366" spans="12:12">
      <c r="L8366"/>
    </row>
    <row r="8367" spans="12:12">
      <c r="L8367"/>
    </row>
    <row r="8368" spans="12:12">
      <c r="L8368"/>
    </row>
    <row r="8369" spans="12:12">
      <c r="L8369"/>
    </row>
    <row r="8370" spans="12:12">
      <c r="L8370"/>
    </row>
    <row r="8371" spans="12:12">
      <c r="L8371"/>
    </row>
    <row r="8372" spans="12:12">
      <c r="L8372"/>
    </row>
    <row r="8373" spans="12:12">
      <c r="L8373"/>
    </row>
    <row r="8374" spans="12:12">
      <c r="L8374"/>
    </row>
    <row r="8375" spans="12:12">
      <c r="L8375"/>
    </row>
    <row r="8376" spans="12:12">
      <c r="L8376"/>
    </row>
    <row r="8377" spans="12:12">
      <c r="L8377"/>
    </row>
    <row r="8378" spans="12:12">
      <c r="L8378"/>
    </row>
    <row r="8379" spans="12:12">
      <c r="L8379"/>
    </row>
    <row r="8380" spans="12:12">
      <c r="L8380"/>
    </row>
    <row r="8381" spans="12:12">
      <c r="L8381"/>
    </row>
    <row r="8382" spans="12:12">
      <c r="L8382"/>
    </row>
    <row r="8383" spans="12:12">
      <c r="L8383"/>
    </row>
    <row r="8384" spans="12:12">
      <c r="L8384"/>
    </row>
    <row r="8385" spans="12:12">
      <c r="L8385"/>
    </row>
    <row r="8386" spans="12:12">
      <c r="L8386"/>
    </row>
    <row r="8387" spans="12:12">
      <c r="L8387"/>
    </row>
    <row r="8388" spans="12:12">
      <c r="L8388"/>
    </row>
    <row r="8389" spans="12:12">
      <c r="L8389"/>
    </row>
    <row r="8390" spans="12:12">
      <c r="L8390"/>
    </row>
    <row r="8391" spans="12:12">
      <c r="L8391"/>
    </row>
    <row r="8392" spans="12:12">
      <c r="L8392"/>
    </row>
    <row r="8393" spans="12:12">
      <c r="L8393"/>
    </row>
    <row r="8394" spans="12:12">
      <c r="L8394"/>
    </row>
    <row r="8395" spans="12:12">
      <c r="L8395"/>
    </row>
    <row r="8396" spans="12:12">
      <c r="L8396"/>
    </row>
    <row r="8397" spans="12:12">
      <c r="L8397"/>
    </row>
    <row r="8398" spans="12:12">
      <c r="L8398"/>
    </row>
    <row r="8399" spans="12:12">
      <c r="L8399"/>
    </row>
    <row r="8400" spans="12:12">
      <c r="L8400"/>
    </row>
    <row r="8401" spans="12:12">
      <c r="L8401"/>
    </row>
    <row r="8402" spans="12:12">
      <c r="L8402"/>
    </row>
    <row r="8403" spans="12:12">
      <c r="L8403"/>
    </row>
    <row r="8404" spans="12:12">
      <c r="L8404"/>
    </row>
    <row r="8405" spans="12:12">
      <c r="L8405"/>
    </row>
    <row r="8406" spans="12:12">
      <c r="L8406"/>
    </row>
    <row r="8407" spans="12:12">
      <c r="L8407"/>
    </row>
    <row r="8408" spans="12:12">
      <c r="L8408"/>
    </row>
    <row r="8409" spans="12:12">
      <c r="L8409"/>
    </row>
    <row r="8410" spans="12:12">
      <c r="L8410"/>
    </row>
    <row r="8411" spans="12:12">
      <c r="L8411"/>
    </row>
    <row r="8412" spans="12:12">
      <c r="L8412"/>
    </row>
    <row r="8413" spans="12:12">
      <c r="L8413"/>
    </row>
    <row r="8414" spans="12:12">
      <c r="L8414"/>
    </row>
    <row r="8415" spans="12:12">
      <c r="L8415"/>
    </row>
    <row r="8416" spans="12:12">
      <c r="L8416"/>
    </row>
    <row r="8417" spans="12:12">
      <c r="L8417"/>
    </row>
    <row r="8418" spans="12:12">
      <c r="L8418"/>
    </row>
    <row r="8419" spans="12:12">
      <c r="L8419"/>
    </row>
    <row r="8420" spans="12:12">
      <c r="L8420"/>
    </row>
    <row r="8421" spans="12:12">
      <c r="L8421"/>
    </row>
    <row r="8422" spans="12:12">
      <c r="L8422"/>
    </row>
    <row r="8423" spans="12:12">
      <c r="L8423"/>
    </row>
    <row r="8424" spans="12:12">
      <c r="L8424"/>
    </row>
    <row r="8425" spans="12:12">
      <c r="L8425"/>
    </row>
    <row r="8426" spans="12:12">
      <c r="L8426"/>
    </row>
    <row r="8427" spans="12:12">
      <c r="L8427"/>
    </row>
    <row r="8428" spans="12:12">
      <c r="L8428"/>
    </row>
    <row r="8429" spans="12:12">
      <c r="L8429"/>
    </row>
    <row r="8430" spans="12:12">
      <c r="L8430"/>
    </row>
    <row r="8431" spans="12:12">
      <c r="L8431"/>
    </row>
    <row r="8432" spans="12:12">
      <c r="L8432"/>
    </row>
    <row r="8433" spans="12:12">
      <c r="L8433"/>
    </row>
    <row r="8434" spans="12:12">
      <c r="L8434"/>
    </row>
    <row r="8435" spans="12:12">
      <c r="L8435"/>
    </row>
    <row r="8436" spans="12:12">
      <c r="L8436"/>
    </row>
    <row r="8437" spans="12:12">
      <c r="L8437"/>
    </row>
    <row r="8438" spans="12:12">
      <c r="L8438"/>
    </row>
    <row r="8439" spans="12:12">
      <c r="L8439"/>
    </row>
    <row r="8440" spans="12:12">
      <c r="L8440"/>
    </row>
    <row r="8441" spans="12:12">
      <c r="L8441"/>
    </row>
    <row r="8442" spans="12:12">
      <c r="L8442"/>
    </row>
    <row r="8443" spans="12:12">
      <c r="L8443"/>
    </row>
    <row r="8444" spans="12:12">
      <c r="L8444"/>
    </row>
    <row r="8445" spans="12:12">
      <c r="L8445"/>
    </row>
    <row r="8446" spans="12:12">
      <c r="L8446"/>
    </row>
    <row r="8447" spans="12:12">
      <c r="L8447"/>
    </row>
    <row r="8448" spans="12:12">
      <c r="L8448"/>
    </row>
    <row r="8449" spans="12:12">
      <c r="L8449"/>
    </row>
    <row r="8450" spans="12:12">
      <c r="L8450"/>
    </row>
    <row r="8451" spans="12:12">
      <c r="L8451"/>
    </row>
    <row r="8452" spans="12:12">
      <c r="L8452"/>
    </row>
    <row r="8453" spans="12:12">
      <c r="L8453"/>
    </row>
    <row r="8454" spans="12:12">
      <c r="L8454"/>
    </row>
    <row r="8455" spans="12:12">
      <c r="L8455"/>
    </row>
    <row r="8456" spans="12:12">
      <c r="L8456"/>
    </row>
    <row r="8457" spans="12:12">
      <c r="L8457"/>
    </row>
    <row r="8458" spans="12:12">
      <c r="L8458"/>
    </row>
    <row r="8459" spans="12:12">
      <c r="L8459"/>
    </row>
    <row r="8460" spans="12:12">
      <c r="L8460"/>
    </row>
    <row r="8461" spans="12:12">
      <c r="L8461"/>
    </row>
    <row r="8462" spans="12:12">
      <c r="L8462"/>
    </row>
    <row r="8463" spans="12:12">
      <c r="L8463"/>
    </row>
    <row r="8464" spans="12:12">
      <c r="L8464"/>
    </row>
    <row r="8465" spans="12:12">
      <c r="L8465"/>
    </row>
    <row r="8466" spans="12:12">
      <c r="L8466"/>
    </row>
    <row r="8467" spans="12:12">
      <c r="L8467"/>
    </row>
    <row r="8468" spans="12:12">
      <c r="L8468"/>
    </row>
    <row r="8469" spans="12:12">
      <c r="L8469"/>
    </row>
    <row r="8470" spans="12:12">
      <c r="L8470"/>
    </row>
    <row r="8471" spans="12:12">
      <c r="L8471"/>
    </row>
    <row r="8472" spans="12:12">
      <c r="L8472"/>
    </row>
    <row r="8473" spans="12:12">
      <c r="L8473"/>
    </row>
    <row r="8474" spans="12:12">
      <c r="L8474"/>
    </row>
    <row r="8475" spans="12:12">
      <c r="L8475"/>
    </row>
    <row r="8476" spans="12:12">
      <c r="L8476"/>
    </row>
    <row r="8477" spans="12:12">
      <c r="L8477"/>
    </row>
    <row r="8478" spans="12:12">
      <c r="L8478"/>
    </row>
    <row r="8479" spans="12:12">
      <c r="L8479"/>
    </row>
    <row r="8480" spans="12:12">
      <c r="L8480"/>
    </row>
    <row r="8481" spans="12:12">
      <c r="L8481"/>
    </row>
    <row r="8482" spans="12:12">
      <c r="L8482"/>
    </row>
    <row r="8483" spans="12:12">
      <c r="L8483"/>
    </row>
    <row r="8484" spans="12:12">
      <c r="L8484"/>
    </row>
    <row r="8485" spans="12:12">
      <c r="L8485"/>
    </row>
    <row r="8486" spans="12:12">
      <c r="L8486"/>
    </row>
    <row r="8487" spans="12:12">
      <c r="L8487"/>
    </row>
    <row r="8488" spans="12:12">
      <c r="L8488"/>
    </row>
    <row r="8489" spans="12:12">
      <c r="L8489"/>
    </row>
    <row r="8490" spans="12:12">
      <c r="L8490"/>
    </row>
    <row r="8491" spans="12:12">
      <c r="L8491"/>
    </row>
    <row r="8492" spans="12:12">
      <c r="L8492"/>
    </row>
    <row r="8493" spans="12:12">
      <c r="L8493"/>
    </row>
    <row r="8494" spans="12:12">
      <c r="L8494"/>
    </row>
    <row r="8495" spans="12:12">
      <c r="L8495"/>
    </row>
    <row r="8496" spans="12:12">
      <c r="L8496"/>
    </row>
    <row r="8497" spans="12:12">
      <c r="L8497"/>
    </row>
    <row r="8498" spans="12:12">
      <c r="L8498"/>
    </row>
    <row r="8499" spans="12:12">
      <c r="L8499"/>
    </row>
    <row r="8500" spans="12:12">
      <c r="L8500"/>
    </row>
    <row r="8501" spans="12:12">
      <c r="L8501"/>
    </row>
    <row r="8502" spans="12:12">
      <c r="L8502"/>
    </row>
    <row r="8503" spans="12:12">
      <c r="L8503"/>
    </row>
    <row r="8504" spans="12:12">
      <c r="L8504"/>
    </row>
    <row r="8505" spans="12:12">
      <c r="L8505"/>
    </row>
    <row r="8506" spans="12:12">
      <c r="L8506"/>
    </row>
    <row r="8507" spans="12:12">
      <c r="L8507"/>
    </row>
    <row r="8508" spans="12:12">
      <c r="L8508"/>
    </row>
    <row r="8509" spans="12:12">
      <c r="L8509"/>
    </row>
    <row r="8510" spans="12:12">
      <c r="L8510"/>
    </row>
    <row r="8511" spans="12:12">
      <c r="L8511"/>
    </row>
    <row r="8512" spans="12:12">
      <c r="L8512"/>
    </row>
    <row r="8513" spans="12:12">
      <c r="L8513"/>
    </row>
    <row r="8514" spans="12:12">
      <c r="L8514"/>
    </row>
    <row r="8515" spans="12:12">
      <c r="L8515"/>
    </row>
    <row r="8516" spans="12:12">
      <c r="L8516"/>
    </row>
    <row r="8517" spans="12:12">
      <c r="L8517"/>
    </row>
    <row r="8518" spans="12:12">
      <c r="L8518"/>
    </row>
    <row r="8519" spans="12:12">
      <c r="L8519"/>
    </row>
    <row r="8520" spans="12:12">
      <c r="L8520"/>
    </row>
    <row r="8521" spans="12:12">
      <c r="L8521"/>
    </row>
    <row r="8522" spans="12:12">
      <c r="L8522"/>
    </row>
    <row r="8523" spans="12:12">
      <c r="L8523"/>
    </row>
    <row r="8524" spans="12:12">
      <c r="L8524"/>
    </row>
    <row r="8525" spans="12:12">
      <c r="L8525"/>
    </row>
    <row r="8526" spans="12:12">
      <c r="L8526"/>
    </row>
    <row r="8527" spans="12:12">
      <c r="L8527"/>
    </row>
    <row r="8528" spans="12:12">
      <c r="L8528"/>
    </row>
    <row r="8529" spans="12:12">
      <c r="L8529"/>
    </row>
    <row r="8530" spans="12:12">
      <c r="L8530"/>
    </row>
    <row r="8531" spans="12:12">
      <c r="L8531"/>
    </row>
    <row r="8532" spans="12:12">
      <c r="L8532"/>
    </row>
    <row r="8533" spans="12:12">
      <c r="L8533"/>
    </row>
    <row r="8534" spans="12:12">
      <c r="L8534"/>
    </row>
    <row r="8535" spans="12:12">
      <c r="L8535"/>
    </row>
    <row r="8536" spans="12:12">
      <c r="L8536"/>
    </row>
    <row r="8537" spans="12:12">
      <c r="L8537"/>
    </row>
    <row r="8538" spans="12:12">
      <c r="L8538"/>
    </row>
    <row r="8539" spans="12:12">
      <c r="L8539"/>
    </row>
    <row r="8540" spans="12:12">
      <c r="L8540"/>
    </row>
    <row r="8541" spans="12:12">
      <c r="L8541"/>
    </row>
    <row r="8542" spans="12:12">
      <c r="L8542"/>
    </row>
    <row r="8543" spans="12:12">
      <c r="L8543"/>
    </row>
    <row r="8544" spans="12:12">
      <c r="L8544"/>
    </row>
    <row r="8545" spans="12:12">
      <c r="L8545"/>
    </row>
    <row r="8546" spans="12:12">
      <c r="L8546"/>
    </row>
    <row r="8547" spans="12:12">
      <c r="L8547"/>
    </row>
    <row r="8548" spans="12:12">
      <c r="L8548"/>
    </row>
    <row r="8549" spans="12:12">
      <c r="L8549"/>
    </row>
    <row r="8550" spans="12:12">
      <c r="L8550"/>
    </row>
    <row r="8551" spans="12:12">
      <c r="L8551"/>
    </row>
    <row r="8552" spans="12:12">
      <c r="L8552"/>
    </row>
    <row r="8553" spans="12:12">
      <c r="L8553"/>
    </row>
    <row r="8554" spans="12:12">
      <c r="L8554"/>
    </row>
    <row r="8555" spans="12:12">
      <c r="L8555"/>
    </row>
    <row r="8556" spans="12:12">
      <c r="L8556"/>
    </row>
    <row r="8557" spans="12:12">
      <c r="L8557"/>
    </row>
    <row r="8558" spans="12:12">
      <c r="L8558"/>
    </row>
    <row r="8559" spans="12:12">
      <c r="L8559"/>
    </row>
    <row r="8560" spans="12:12">
      <c r="L8560"/>
    </row>
    <row r="8561" spans="12:12">
      <c r="L8561"/>
    </row>
    <row r="8562" spans="12:12">
      <c r="L8562"/>
    </row>
    <row r="8563" spans="12:12">
      <c r="L8563"/>
    </row>
    <row r="8564" spans="12:12">
      <c r="L8564"/>
    </row>
    <row r="8565" spans="12:12">
      <c r="L8565"/>
    </row>
    <row r="8566" spans="12:12">
      <c r="L8566"/>
    </row>
    <row r="8567" spans="12:12">
      <c r="L8567"/>
    </row>
    <row r="8568" spans="12:12">
      <c r="L8568"/>
    </row>
    <row r="8569" spans="12:12">
      <c r="L8569"/>
    </row>
    <row r="8570" spans="12:12">
      <c r="L8570"/>
    </row>
    <row r="8571" spans="12:12">
      <c r="L8571"/>
    </row>
    <row r="8572" spans="12:12">
      <c r="L8572"/>
    </row>
    <row r="8573" spans="12:12">
      <c r="L8573"/>
    </row>
    <row r="8574" spans="12:12">
      <c r="L8574"/>
    </row>
    <row r="8575" spans="12:12">
      <c r="L8575"/>
    </row>
    <row r="8576" spans="12:12">
      <c r="L8576"/>
    </row>
    <row r="8577" spans="12:12">
      <c r="L8577"/>
    </row>
    <row r="8578" spans="12:12">
      <c r="L8578"/>
    </row>
    <row r="8579" spans="12:12">
      <c r="L8579"/>
    </row>
    <row r="8580" spans="12:12">
      <c r="L8580"/>
    </row>
    <row r="8581" spans="12:12">
      <c r="L8581"/>
    </row>
    <row r="8582" spans="12:12">
      <c r="L8582"/>
    </row>
    <row r="8583" spans="12:12">
      <c r="L8583"/>
    </row>
    <row r="8584" spans="12:12">
      <c r="L8584"/>
    </row>
    <row r="8585" spans="12:12">
      <c r="L8585"/>
    </row>
    <row r="8586" spans="12:12">
      <c r="L8586"/>
    </row>
    <row r="8587" spans="12:12">
      <c r="L8587"/>
    </row>
    <row r="8588" spans="12:12">
      <c r="L8588"/>
    </row>
    <row r="8589" spans="12:12">
      <c r="L8589"/>
    </row>
    <row r="8590" spans="12:12">
      <c r="L8590"/>
    </row>
    <row r="8591" spans="12:12">
      <c r="L8591"/>
    </row>
    <row r="8592" spans="12:12">
      <c r="L8592"/>
    </row>
    <row r="8593" spans="12:12">
      <c r="L8593"/>
    </row>
    <row r="8594" spans="12:12">
      <c r="L8594"/>
    </row>
    <row r="8595" spans="12:12">
      <c r="L8595"/>
    </row>
    <row r="8596" spans="12:12">
      <c r="L8596"/>
    </row>
    <row r="8597" spans="12:12">
      <c r="L8597"/>
    </row>
    <row r="8598" spans="12:12">
      <c r="L8598"/>
    </row>
    <row r="8599" spans="12:12">
      <c r="L8599"/>
    </row>
    <row r="8600" spans="12:12">
      <c r="L8600"/>
    </row>
    <row r="8601" spans="12:12">
      <c r="L8601"/>
    </row>
    <row r="8602" spans="12:12">
      <c r="L8602"/>
    </row>
    <row r="8603" spans="12:12">
      <c r="L8603"/>
    </row>
    <row r="8604" spans="12:12">
      <c r="L8604"/>
    </row>
    <row r="8605" spans="12:12">
      <c r="L8605"/>
    </row>
    <row r="8606" spans="12:12">
      <c r="L8606"/>
    </row>
    <row r="8607" spans="12:12">
      <c r="L8607"/>
    </row>
    <row r="8608" spans="12:12">
      <c r="L8608"/>
    </row>
    <row r="8609" spans="12:12">
      <c r="L8609"/>
    </row>
    <row r="8610" spans="12:12">
      <c r="L8610"/>
    </row>
    <row r="8611" spans="12:12">
      <c r="L8611"/>
    </row>
    <row r="8612" spans="12:12">
      <c r="L8612"/>
    </row>
    <row r="8613" spans="12:12">
      <c r="L8613"/>
    </row>
    <row r="8614" spans="12:12">
      <c r="L8614"/>
    </row>
    <row r="8615" spans="12:12">
      <c r="L8615"/>
    </row>
    <row r="8616" spans="12:12">
      <c r="L8616"/>
    </row>
    <row r="8617" spans="12:12">
      <c r="L8617"/>
    </row>
    <row r="8618" spans="12:12">
      <c r="L8618"/>
    </row>
    <row r="8619" spans="12:12">
      <c r="L8619"/>
    </row>
    <row r="8620" spans="12:12">
      <c r="L8620"/>
    </row>
    <row r="8621" spans="12:12">
      <c r="L8621"/>
    </row>
    <row r="8622" spans="12:12">
      <c r="L8622"/>
    </row>
    <row r="8623" spans="12:12">
      <c r="L8623"/>
    </row>
    <row r="8624" spans="12:12">
      <c r="L8624"/>
    </row>
    <row r="8625" spans="12:12">
      <c r="L8625"/>
    </row>
    <row r="8626" spans="12:12">
      <c r="L8626"/>
    </row>
    <row r="8627" spans="12:12">
      <c r="L8627"/>
    </row>
    <row r="8628" spans="12:12">
      <c r="L8628"/>
    </row>
    <row r="8629" spans="12:12">
      <c r="L8629"/>
    </row>
    <row r="8630" spans="12:12">
      <c r="L8630"/>
    </row>
    <row r="8631" spans="12:12">
      <c r="L8631"/>
    </row>
    <row r="8632" spans="12:12">
      <c r="L8632"/>
    </row>
    <row r="8633" spans="12:12">
      <c r="L8633"/>
    </row>
    <row r="8634" spans="12:12">
      <c r="L8634"/>
    </row>
    <row r="8635" spans="12:12">
      <c r="L8635"/>
    </row>
    <row r="8636" spans="12:12">
      <c r="L8636"/>
    </row>
    <row r="8637" spans="12:12">
      <c r="L8637"/>
    </row>
    <row r="8638" spans="12:12">
      <c r="L8638"/>
    </row>
    <row r="8639" spans="12:12">
      <c r="L8639"/>
    </row>
    <row r="8640" spans="12:12">
      <c r="L8640"/>
    </row>
    <row r="8641" spans="12:12">
      <c r="L8641"/>
    </row>
    <row r="8642" spans="12:12">
      <c r="L8642"/>
    </row>
    <row r="8643" spans="12:12">
      <c r="L8643"/>
    </row>
    <row r="8644" spans="12:12">
      <c r="L8644"/>
    </row>
    <row r="8645" spans="12:12">
      <c r="L8645"/>
    </row>
    <row r="8646" spans="12:12">
      <c r="L8646"/>
    </row>
    <row r="8647" spans="12:12">
      <c r="L8647"/>
    </row>
    <row r="8648" spans="12:12">
      <c r="L8648"/>
    </row>
    <row r="8649" spans="12:12">
      <c r="L8649"/>
    </row>
    <row r="8650" spans="12:12">
      <c r="L8650"/>
    </row>
    <row r="8651" spans="12:12">
      <c r="L8651"/>
    </row>
    <row r="8652" spans="12:12">
      <c r="L8652"/>
    </row>
    <row r="8653" spans="12:12">
      <c r="L8653"/>
    </row>
    <row r="8654" spans="12:12">
      <c r="L8654"/>
    </row>
    <row r="8655" spans="12:12">
      <c r="L8655"/>
    </row>
    <row r="8656" spans="12:12">
      <c r="L8656"/>
    </row>
    <row r="8657" spans="12:12">
      <c r="L8657"/>
    </row>
    <row r="8658" spans="12:12">
      <c r="L8658"/>
    </row>
    <row r="8659" spans="12:12">
      <c r="L8659"/>
    </row>
    <row r="8660" spans="12:12">
      <c r="L8660"/>
    </row>
    <row r="8661" spans="12:12">
      <c r="L8661"/>
    </row>
    <row r="8662" spans="12:12">
      <c r="L8662"/>
    </row>
    <row r="8663" spans="12:12">
      <c r="L8663"/>
    </row>
    <row r="8664" spans="12:12">
      <c r="L8664"/>
    </row>
    <row r="8665" spans="12:12">
      <c r="L8665"/>
    </row>
    <row r="8666" spans="12:12">
      <c r="L8666"/>
    </row>
    <row r="8667" spans="12:12">
      <c r="L8667"/>
    </row>
    <row r="8668" spans="12:12">
      <c r="L8668"/>
    </row>
    <row r="8669" spans="12:12">
      <c r="L8669"/>
    </row>
    <row r="8670" spans="12:12">
      <c r="L8670"/>
    </row>
    <row r="8671" spans="12:12">
      <c r="L8671"/>
    </row>
    <row r="8672" spans="12:12">
      <c r="L8672"/>
    </row>
    <row r="8673" spans="12:12">
      <c r="L8673"/>
    </row>
    <row r="8674" spans="12:12">
      <c r="L8674"/>
    </row>
    <row r="8675" spans="12:12">
      <c r="L8675"/>
    </row>
    <row r="8676" spans="12:12">
      <c r="L8676"/>
    </row>
    <row r="8677" spans="12:12">
      <c r="L8677"/>
    </row>
    <row r="8678" spans="12:12">
      <c r="L8678"/>
    </row>
    <row r="8679" spans="12:12">
      <c r="L8679"/>
    </row>
    <row r="8680" spans="12:12">
      <c r="L8680"/>
    </row>
    <row r="8681" spans="12:12">
      <c r="L8681"/>
    </row>
    <row r="8682" spans="12:12">
      <c r="L8682"/>
    </row>
    <row r="8683" spans="12:12">
      <c r="L8683"/>
    </row>
    <row r="8684" spans="12:12">
      <c r="L8684"/>
    </row>
    <row r="8685" spans="12:12">
      <c r="L8685"/>
    </row>
    <row r="8686" spans="12:12">
      <c r="L8686"/>
    </row>
    <row r="8687" spans="12:12">
      <c r="L8687"/>
    </row>
    <row r="8688" spans="12:12">
      <c r="L8688"/>
    </row>
    <row r="8689" spans="12:12">
      <c r="L8689"/>
    </row>
    <row r="8690" spans="12:12">
      <c r="L8690"/>
    </row>
    <row r="8691" spans="12:12">
      <c r="L8691"/>
    </row>
    <row r="8692" spans="12:12">
      <c r="L8692"/>
    </row>
    <row r="8693" spans="12:12">
      <c r="L8693"/>
    </row>
    <row r="8694" spans="12:12">
      <c r="L8694"/>
    </row>
    <row r="8695" spans="12:12">
      <c r="L8695"/>
    </row>
    <row r="8696" spans="12:12">
      <c r="L8696"/>
    </row>
    <row r="8697" spans="12:12">
      <c r="L8697"/>
    </row>
    <row r="8698" spans="12:12">
      <c r="L8698"/>
    </row>
    <row r="8699" spans="12:12">
      <c r="L8699"/>
    </row>
    <row r="8700" spans="12:12">
      <c r="L8700"/>
    </row>
    <row r="8701" spans="12:12">
      <c r="L8701"/>
    </row>
    <row r="8702" spans="12:12">
      <c r="L8702"/>
    </row>
    <row r="8703" spans="12:12">
      <c r="L8703"/>
    </row>
    <row r="8704" spans="12:12">
      <c r="L8704"/>
    </row>
    <row r="8705" spans="12:12">
      <c r="L8705"/>
    </row>
    <row r="8706" spans="12:12">
      <c r="L8706"/>
    </row>
    <row r="8707" spans="12:12">
      <c r="L8707"/>
    </row>
    <row r="8708" spans="12:12">
      <c r="L8708"/>
    </row>
    <row r="8709" spans="12:12">
      <c r="L8709"/>
    </row>
    <row r="8710" spans="12:12">
      <c r="L8710"/>
    </row>
    <row r="8711" spans="12:12">
      <c r="L8711"/>
    </row>
    <row r="8712" spans="12:12">
      <c r="L8712"/>
    </row>
    <row r="8713" spans="12:12">
      <c r="L8713"/>
    </row>
    <row r="8714" spans="12:12">
      <c r="L8714"/>
    </row>
    <row r="8715" spans="12:12">
      <c r="L8715"/>
    </row>
    <row r="8716" spans="12:12">
      <c r="L8716"/>
    </row>
    <row r="8717" spans="12:12">
      <c r="L8717"/>
    </row>
    <row r="8718" spans="12:12">
      <c r="L8718"/>
    </row>
    <row r="8719" spans="12:12">
      <c r="L8719"/>
    </row>
    <row r="8720" spans="12:12">
      <c r="L8720"/>
    </row>
    <row r="8721" spans="12:12">
      <c r="L8721"/>
    </row>
    <row r="8722" spans="12:12">
      <c r="L8722"/>
    </row>
    <row r="8723" spans="12:12">
      <c r="L8723"/>
    </row>
    <row r="8724" spans="12:12">
      <c r="L8724"/>
    </row>
    <row r="8725" spans="12:12">
      <c r="L8725"/>
    </row>
    <row r="8726" spans="12:12">
      <c r="L8726"/>
    </row>
    <row r="8727" spans="12:12">
      <c r="L8727"/>
    </row>
    <row r="8728" spans="12:12">
      <c r="L8728"/>
    </row>
    <row r="8729" spans="12:12">
      <c r="L8729"/>
    </row>
    <row r="8730" spans="12:12">
      <c r="L8730"/>
    </row>
    <row r="8731" spans="12:12">
      <c r="L8731"/>
    </row>
    <row r="8732" spans="12:12">
      <c r="L8732"/>
    </row>
    <row r="8733" spans="12:12">
      <c r="L8733"/>
    </row>
    <row r="8734" spans="12:12">
      <c r="L8734"/>
    </row>
    <row r="8735" spans="12:12">
      <c r="L8735"/>
    </row>
    <row r="8736" spans="12:12">
      <c r="L8736"/>
    </row>
    <row r="8737" spans="12:12">
      <c r="L8737"/>
    </row>
    <row r="8738" spans="12:12">
      <c r="L8738"/>
    </row>
    <row r="8739" spans="12:12">
      <c r="L8739"/>
    </row>
    <row r="8740" spans="12:12">
      <c r="L8740"/>
    </row>
    <row r="8741" spans="12:12">
      <c r="L8741"/>
    </row>
    <row r="8742" spans="12:12">
      <c r="L8742"/>
    </row>
    <row r="8743" spans="12:12">
      <c r="L8743"/>
    </row>
    <row r="8744" spans="12:12">
      <c r="L8744"/>
    </row>
    <row r="8745" spans="12:12">
      <c r="L8745"/>
    </row>
    <row r="8746" spans="12:12">
      <c r="L8746"/>
    </row>
    <row r="8747" spans="12:12">
      <c r="L8747"/>
    </row>
    <row r="8748" spans="12:12">
      <c r="L8748"/>
    </row>
    <row r="8749" spans="12:12">
      <c r="L8749"/>
    </row>
    <row r="8750" spans="12:12">
      <c r="L8750"/>
    </row>
    <row r="8751" spans="12:12">
      <c r="L8751"/>
    </row>
    <row r="8752" spans="12:12">
      <c r="L8752"/>
    </row>
    <row r="8753" spans="12:12">
      <c r="L8753"/>
    </row>
    <row r="8754" spans="12:12">
      <c r="L8754"/>
    </row>
    <row r="8755" spans="12:12">
      <c r="L8755"/>
    </row>
    <row r="8756" spans="12:12">
      <c r="L8756"/>
    </row>
    <row r="8757" spans="12:12">
      <c r="L8757"/>
    </row>
    <row r="8758" spans="12:12">
      <c r="L8758"/>
    </row>
    <row r="8759" spans="12:12">
      <c r="L8759"/>
    </row>
    <row r="8760" spans="12:12">
      <c r="L8760"/>
    </row>
    <row r="8761" spans="12:12">
      <c r="L8761"/>
    </row>
    <row r="8762" spans="12:12">
      <c r="L8762"/>
    </row>
    <row r="8763" spans="12:12">
      <c r="L8763"/>
    </row>
    <row r="8764" spans="12:12">
      <c r="L8764"/>
    </row>
    <row r="8765" spans="12:12">
      <c r="L8765"/>
    </row>
    <row r="8766" spans="12:12">
      <c r="L8766"/>
    </row>
    <row r="8767" spans="12:12">
      <c r="L8767"/>
    </row>
    <row r="8768" spans="12:12">
      <c r="L8768"/>
    </row>
    <row r="8769" spans="12:12">
      <c r="L8769"/>
    </row>
    <row r="8770" spans="12:12">
      <c r="L8770"/>
    </row>
    <row r="8771" spans="12:12">
      <c r="L8771"/>
    </row>
    <row r="8772" spans="12:12">
      <c r="L8772"/>
    </row>
    <row r="8773" spans="12:12">
      <c r="L8773"/>
    </row>
    <row r="8774" spans="12:12">
      <c r="L8774"/>
    </row>
    <row r="8775" spans="12:12">
      <c r="L8775"/>
    </row>
    <row r="8776" spans="12:12">
      <c r="L8776"/>
    </row>
    <row r="8777" spans="12:12">
      <c r="L8777"/>
    </row>
    <row r="8778" spans="12:12">
      <c r="L8778"/>
    </row>
    <row r="8779" spans="12:12">
      <c r="L8779"/>
    </row>
    <row r="8780" spans="12:12">
      <c r="L8780"/>
    </row>
    <row r="8781" spans="12:12">
      <c r="L8781"/>
    </row>
    <row r="8782" spans="12:12">
      <c r="L8782"/>
    </row>
    <row r="8783" spans="12:12">
      <c r="L8783"/>
    </row>
    <row r="8784" spans="12:12">
      <c r="L8784"/>
    </row>
    <row r="8785" spans="12:12">
      <c r="L8785"/>
    </row>
    <row r="8786" spans="12:12">
      <c r="L8786"/>
    </row>
    <row r="8787" spans="12:12">
      <c r="L8787"/>
    </row>
    <row r="8788" spans="12:12">
      <c r="L8788"/>
    </row>
    <row r="8789" spans="12:12">
      <c r="L8789"/>
    </row>
    <row r="8790" spans="12:12">
      <c r="L8790"/>
    </row>
    <row r="8791" spans="12:12">
      <c r="L8791"/>
    </row>
    <row r="8792" spans="12:12">
      <c r="L8792"/>
    </row>
    <row r="8793" spans="12:12">
      <c r="L8793"/>
    </row>
    <row r="8794" spans="12:12">
      <c r="L8794"/>
    </row>
    <row r="8795" spans="12:12">
      <c r="L8795"/>
    </row>
    <row r="8796" spans="12:12">
      <c r="L8796"/>
    </row>
    <row r="8797" spans="12:12">
      <c r="L8797"/>
    </row>
    <row r="8798" spans="12:12">
      <c r="L8798"/>
    </row>
    <row r="8799" spans="12:12">
      <c r="L8799"/>
    </row>
    <row r="8800" spans="12:12">
      <c r="L8800"/>
    </row>
    <row r="8801" spans="12:12">
      <c r="L8801"/>
    </row>
    <row r="8802" spans="12:12">
      <c r="L8802"/>
    </row>
    <row r="8803" spans="12:12">
      <c r="L8803"/>
    </row>
    <row r="8804" spans="12:12">
      <c r="L8804"/>
    </row>
    <row r="8805" spans="12:12">
      <c r="L8805"/>
    </row>
    <row r="8806" spans="12:12">
      <c r="L8806"/>
    </row>
    <row r="8807" spans="12:12">
      <c r="L8807"/>
    </row>
    <row r="8808" spans="12:12">
      <c r="L8808"/>
    </row>
    <row r="8809" spans="12:12">
      <c r="L8809"/>
    </row>
    <row r="8810" spans="12:12">
      <c r="L8810"/>
    </row>
    <row r="8811" spans="12:12">
      <c r="L8811"/>
    </row>
    <row r="8812" spans="12:12">
      <c r="L8812"/>
    </row>
    <row r="8813" spans="12:12">
      <c r="L8813"/>
    </row>
    <row r="8814" spans="12:12">
      <c r="L8814"/>
    </row>
    <row r="8815" spans="12:12">
      <c r="L8815"/>
    </row>
    <row r="8816" spans="12:12">
      <c r="L8816"/>
    </row>
    <row r="8817" spans="12:12">
      <c r="L8817"/>
    </row>
    <row r="8818" spans="12:12">
      <c r="L8818"/>
    </row>
    <row r="8819" spans="12:12">
      <c r="L8819"/>
    </row>
    <row r="8820" spans="12:12">
      <c r="L8820"/>
    </row>
    <row r="8821" spans="12:12">
      <c r="L8821"/>
    </row>
    <row r="8822" spans="12:12">
      <c r="L8822"/>
    </row>
    <row r="8823" spans="12:12">
      <c r="L8823"/>
    </row>
    <row r="8824" spans="12:12">
      <c r="L8824"/>
    </row>
    <row r="8825" spans="12:12">
      <c r="L8825"/>
    </row>
    <row r="8826" spans="12:12">
      <c r="L8826"/>
    </row>
    <row r="8827" spans="12:12">
      <c r="L8827"/>
    </row>
    <row r="8828" spans="12:12">
      <c r="L8828"/>
    </row>
    <row r="8829" spans="12:12">
      <c r="L8829"/>
    </row>
    <row r="8830" spans="12:12">
      <c r="L8830"/>
    </row>
    <row r="8831" spans="12:12">
      <c r="L8831"/>
    </row>
    <row r="8832" spans="12:12">
      <c r="L8832"/>
    </row>
    <row r="8833" spans="12:12">
      <c r="L8833"/>
    </row>
    <row r="8834" spans="12:12">
      <c r="L8834"/>
    </row>
    <row r="8835" spans="12:12">
      <c r="L8835"/>
    </row>
    <row r="8836" spans="12:12">
      <c r="L8836"/>
    </row>
    <row r="8837" spans="12:12">
      <c r="L8837"/>
    </row>
    <row r="8838" spans="12:12">
      <c r="L8838"/>
    </row>
    <row r="8839" spans="12:12">
      <c r="L8839"/>
    </row>
    <row r="8840" spans="12:12">
      <c r="L8840"/>
    </row>
    <row r="8841" spans="12:12">
      <c r="L8841"/>
    </row>
    <row r="8842" spans="12:12">
      <c r="L8842"/>
    </row>
    <row r="8843" spans="12:12">
      <c r="L8843"/>
    </row>
    <row r="8844" spans="12:12">
      <c r="L8844"/>
    </row>
    <row r="8845" spans="12:12">
      <c r="L8845"/>
    </row>
    <row r="8846" spans="12:12">
      <c r="L8846"/>
    </row>
    <row r="8847" spans="12:12">
      <c r="L8847"/>
    </row>
    <row r="8848" spans="12:12">
      <c r="L8848"/>
    </row>
    <row r="8849" spans="12:12">
      <c r="L8849"/>
    </row>
    <row r="8850" spans="12:12">
      <c r="L8850"/>
    </row>
    <row r="8851" spans="12:12">
      <c r="L8851"/>
    </row>
    <row r="8852" spans="12:12">
      <c r="L8852"/>
    </row>
    <row r="8853" spans="12:12">
      <c r="L8853"/>
    </row>
    <row r="8854" spans="12:12">
      <c r="L8854"/>
    </row>
    <row r="8855" spans="12:12">
      <c r="L8855"/>
    </row>
    <row r="8856" spans="12:12">
      <c r="L8856"/>
    </row>
    <row r="8857" spans="12:12">
      <c r="L8857"/>
    </row>
    <row r="8858" spans="12:12">
      <c r="L8858"/>
    </row>
    <row r="8859" spans="12:12">
      <c r="L8859"/>
    </row>
    <row r="8860" spans="12:12">
      <c r="L8860"/>
    </row>
    <row r="8861" spans="12:12">
      <c r="L8861"/>
    </row>
    <row r="8862" spans="12:12">
      <c r="L8862"/>
    </row>
    <row r="8863" spans="12:12">
      <c r="L8863"/>
    </row>
    <row r="8864" spans="12:12">
      <c r="L8864"/>
    </row>
    <row r="8865" spans="12:12">
      <c r="L8865"/>
    </row>
    <row r="8866" spans="12:12">
      <c r="L8866"/>
    </row>
    <row r="8867" spans="12:12">
      <c r="L8867"/>
    </row>
    <row r="8868" spans="12:12">
      <c r="L8868"/>
    </row>
    <row r="8869" spans="12:12">
      <c r="L8869"/>
    </row>
    <row r="8870" spans="12:12">
      <c r="L8870"/>
    </row>
    <row r="8871" spans="12:12">
      <c r="L8871"/>
    </row>
    <row r="8872" spans="12:12">
      <c r="L8872"/>
    </row>
    <row r="8873" spans="12:12">
      <c r="L8873"/>
    </row>
    <row r="8874" spans="12:12">
      <c r="L8874"/>
    </row>
    <row r="8875" spans="12:12">
      <c r="L8875"/>
    </row>
    <row r="8876" spans="12:12">
      <c r="L8876"/>
    </row>
    <row r="8877" spans="12:12">
      <c r="L8877"/>
    </row>
    <row r="8878" spans="12:12">
      <c r="L8878"/>
    </row>
    <row r="8879" spans="12:12">
      <c r="L8879"/>
    </row>
    <row r="8880" spans="12:12">
      <c r="L8880"/>
    </row>
    <row r="8881" spans="12:12">
      <c r="L8881"/>
    </row>
    <row r="8882" spans="12:12">
      <c r="L8882"/>
    </row>
    <row r="8883" spans="12:12">
      <c r="L8883"/>
    </row>
    <row r="8884" spans="12:12">
      <c r="L8884"/>
    </row>
    <row r="8885" spans="12:12">
      <c r="L8885"/>
    </row>
    <row r="8886" spans="12:12">
      <c r="L8886"/>
    </row>
    <row r="8887" spans="12:12">
      <c r="L8887"/>
    </row>
    <row r="8888" spans="12:12">
      <c r="L8888"/>
    </row>
    <row r="8889" spans="12:12">
      <c r="L8889"/>
    </row>
    <row r="8890" spans="12:12">
      <c r="L8890"/>
    </row>
    <row r="8891" spans="12:12">
      <c r="L8891"/>
    </row>
    <row r="8892" spans="12:12">
      <c r="L8892"/>
    </row>
    <row r="8893" spans="12:12">
      <c r="L8893"/>
    </row>
    <row r="8894" spans="12:12">
      <c r="L8894"/>
    </row>
    <row r="8895" spans="12:12">
      <c r="L8895"/>
    </row>
    <row r="8896" spans="12:12">
      <c r="L8896"/>
    </row>
    <row r="8897" spans="12:12">
      <c r="L8897"/>
    </row>
    <row r="8898" spans="12:12">
      <c r="L8898"/>
    </row>
    <row r="8899" spans="12:12">
      <c r="L8899"/>
    </row>
    <row r="8900" spans="12:12">
      <c r="L8900"/>
    </row>
    <row r="8901" spans="12:12">
      <c r="L8901"/>
    </row>
    <row r="8902" spans="12:12">
      <c r="L8902"/>
    </row>
    <row r="8903" spans="12:12">
      <c r="L8903"/>
    </row>
    <row r="8904" spans="12:12">
      <c r="L8904"/>
    </row>
    <row r="8905" spans="12:12">
      <c r="L8905"/>
    </row>
    <row r="8906" spans="12:12">
      <c r="L8906"/>
    </row>
    <row r="8907" spans="12:12">
      <c r="L8907"/>
    </row>
    <row r="8908" spans="12:12">
      <c r="L8908"/>
    </row>
    <row r="8909" spans="12:12">
      <c r="L8909"/>
    </row>
    <row r="8910" spans="12:12">
      <c r="L8910"/>
    </row>
    <row r="8911" spans="12:12">
      <c r="L8911"/>
    </row>
    <row r="8912" spans="12:12">
      <c r="L8912"/>
    </row>
    <row r="8913" spans="12:12">
      <c r="L8913"/>
    </row>
    <row r="8914" spans="12:12">
      <c r="L8914"/>
    </row>
    <row r="8915" spans="12:12">
      <c r="L8915"/>
    </row>
    <row r="8916" spans="12:12">
      <c r="L8916"/>
    </row>
    <row r="8917" spans="12:12">
      <c r="L8917"/>
    </row>
    <row r="8918" spans="12:12">
      <c r="L8918"/>
    </row>
    <row r="8919" spans="12:12">
      <c r="L8919"/>
    </row>
    <row r="8920" spans="12:12">
      <c r="L8920"/>
    </row>
    <row r="8921" spans="12:12">
      <c r="L8921"/>
    </row>
    <row r="8922" spans="12:12">
      <c r="L8922"/>
    </row>
    <row r="8923" spans="12:12">
      <c r="L8923"/>
    </row>
    <row r="8924" spans="12:12">
      <c r="L8924"/>
    </row>
    <row r="8925" spans="12:12">
      <c r="L8925"/>
    </row>
    <row r="8926" spans="12:12">
      <c r="L8926"/>
    </row>
    <row r="8927" spans="12:12">
      <c r="L8927"/>
    </row>
    <row r="8928" spans="12:12">
      <c r="L8928"/>
    </row>
    <row r="8929" spans="12:12">
      <c r="L8929"/>
    </row>
    <row r="8930" spans="12:12">
      <c r="L8930"/>
    </row>
    <row r="8931" spans="12:12">
      <c r="L8931"/>
    </row>
    <row r="8932" spans="12:12">
      <c r="L8932"/>
    </row>
    <row r="8933" spans="12:12">
      <c r="L8933"/>
    </row>
    <row r="8934" spans="12:12">
      <c r="L8934"/>
    </row>
    <row r="8935" spans="12:12">
      <c r="L8935"/>
    </row>
    <row r="8936" spans="12:12">
      <c r="L8936"/>
    </row>
    <row r="8937" spans="12:12">
      <c r="L8937"/>
    </row>
    <row r="8938" spans="12:12">
      <c r="L8938"/>
    </row>
    <row r="8939" spans="12:12">
      <c r="L8939"/>
    </row>
    <row r="8940" spans="12:12">
      <c r="L8940"/>
    </row>
    <row r="8941" spans="12:12">
      <c r="L8941"/>
    </row>
    <row r="8942" spans="12:12">
      <c r="L8942"/>
    </row>
    <row r="8943" spans="12:12">
      <c r="L8943"/>
    </row>
    <row r="8944" spans="12:12">
      <c r="L8944"/>
    </row>
    <row r="8945" spans="12:12">
      <c r="L8945"/>
    </row>
    <row r="8946" spans="12:12">
      <c r="L8946"/>
    </row>
    <row r="8947" spans="12:12">
      <c r="L8947"/>
    </row>
    <row r="8948" spans="12:12">
      <c r="L8948"/>
    </row>
    <row r="8949" spans="12:12">
      <c r="L8949"/>
    </row>
    <row r="8950" spans="12:12">
      <c r="L8950"/>
    </row>
    <row r="8951" spans="12:12">
      <c r="L8951"/>
    </row>
    <row r="8952" spans="12:12">
      <c r="L8952"/>
    </row>
    <row r="8953" spans="12:12">
      <c r="L8953"/>
    </row>
    <row r="8954" spans="12:12">
      <c r="L8954"/>
    </row>
    <row r="8955" spans="12:12">
      <c r="L8955"/>
    </row>
    <row r="8956" spans="12:12">
      <c r="L8956"/>
    </row>
    <row r="8957" spans="12:12">
      <c r="L8957"/>
    </row>
    <row r="8958" spans="12:12">
      <c r="L8958"/>
    </row>
    <row r="8959" spans="12:12">
      <c r="L8959"/>
    </row>
    <row r="8960" spans="12:12">
      <c r="L8960"/>
    </row>
    <row r="8961" spans="12:12">
      <c r="L8961"/>
    </row>
    <row r="8962" spans="12:12">
      <c r="L8962"/>
    </row>
    <row r="8963" spans="12:12">
      <c r="L8963"/>
    </row>
    <row r="8964" spans="12:12">
      <c r="L8964"/>
    </row>
    <row r="8965" spans="12:12">
      <c r="L8965"/>
    </row>
    <row r="8966" spans="12:12">
      <c r="L8966"/>
    </row>
    <row r="8967" spans="12:12">
      <c r="L8967"/>
    </row>
    <row r="8968" spans="12:12">
      <c r="L8968"/>
    </row>
    <row r="8969" spans="12:12">
      <c r="L8969"/>
    </row>
    <row r="8970" spans="12:12">
      <c r="L8970"/>
    </row>
    <row r="8971" spans="12:12">
      <c r="L8971"/>
    </row>
    <row r="8972" spans="12:12">
      <c r="L8972"/>
    </row>
    <row r="8973" spans="12:12">
      <c r="L8973"/>
    </row>
    <row r="8974" spans="12:12">
      <c r="L8974"/>
    </row>
    <row r="8975" spans="12:12">
      <c r="L8975"/>
    </row>
    <row r="8976" spans="12:12">
      <c r="L8976"/>
    </row>
    <row r="8977" spans="12:12">
      <c r="L8977"/>
    </row>
    <row r="8978" spans="12:12">
      <c r="L8978"/>
    </row>
    <row r="8979" spans="12:12">
      <c r="L8979"/>
    </row>
    <row r="8980" spans="12:12">
      <c r="L8980"/>
    </row>
    <row r="8981" spans="12:12">
      <c r="L8981"/>
    </row>
    <row r="8982" spans="12:12">
      <c r="L8982"/>
    </row>
    <row r="8983" spans="12:12">
      <c r="L8983"/>
    </row>
    <row r="8984" spans="12:12">
      <c r="L8984"/>
    </row>
    <row r="8985" spans="12:12">
      <c r="L8985"/>
    </row>
    <row r="8986" spans="12:12">
      <c r="L8986"/>
    </row>
    <row r="8987" spans="12:12">
      <c r="L8987"/>
    </row>
    <row r="8988" spans="12:12">
      <c r="L8988"/>
    </row>
    <row r="8989" spans="12:12">
      <c r="L8989"/>
    </row>
    <row r="8990" spans="12:12">
      <c r="L8990"/>
    </row>
    <row r="8991" spans="12:12">
      <c r="L8991"/>
    </row>
    <row r="8992" spans="12:12">
      <c r="L8992"/>
    </row>
    <row r="8993" spans="12:12">
      <c r="L8993"/>
    </row>
    <row r="8994" spans="12:12">
      <c r="L8994"/>
    </row>
    <row r="8995" spans="12:12">
      <c r="L8995"/>
    </row>
    <row r="8996" spans="12:12">
      <c r="L8996"/>
    </row>
    <row r="8997" spans="12:12">
      <c r="L8997"/>
    </row>
    <row r="8998" spans="12:12">
      <c r="L8998"/>
    </row>
    <row r="8999" spans="12:12">
      <c r="L8999"/>
    </row>
    <row r="9000" spans="12:12">
      <c r="L9000"/>
    </row>
    <row r="9001" spans="12:12">
      <c r="L9001"/>
    </row>
    <row r="9002" spans="12:12">
      <c r="L9002"/>
    </row>
    <row r="9003" spans="12:12">
      <c r="L9003"/>
    </row>
    <row r="9004" spans="12:12">
      <c r="L9004"/>
    </row>
    <row r="9005" spans="12:12">
      <c r="L9005"/>
    </row>
    <row r="9006" spans="12:12">
      <c r="L9006"/>
    </row>
    <row r="9007" spans="12:12">
      <c r="L9007"/>
    </row>
    <row r="9008" spans="12:12">
      <c r="L9008"/>
    </row>
    <row r="9009" spans="12:12">
      <c r="L9009"/>
    </row>
    <row r="9010" spans="12:12">
      <c r="L9010"/>
    </row>
    <row r="9011" spans="12:12">
      <c r="L9011"/>
    </row>
    <row r="9012" spans="12:12">
      <c r="L9012"/>
    </row>
    <row r="9013" spans="12:12">
      <c r="L9013"/>
    </row>
    <row r="9014" spans="12:12">
      <c r="L9014"/>
    </row>
    <row r="9015" spans="12:12">
      <c r="L9015"/>
    </row>
    <row r="9016" spans="12:12">
      <c r="L9016"/>
    </row>
    <row r="9017" spans="12:12">
      <c r="L9017"/>
    </row>
    <row r="9018" spans="12:12">
      <c r="L9018"/>
    </row>
    <row r="9019" spans="12:12">
      <c r="L9019"/>
    </row>
    <row r="9020" spans="12:12">
      <c r="L9020"/>
    </row>
    <row r="9021" spans="12:12">
      <c r="L9021"/>
    </row>
    <row r="9022" spans="12:12">
      <c r="L9022"/>
    </row>
    <row r="9023" spans="12:12">
      <c r="L9023"/>
    </row>
    <row r="9024" spans="12:12">
      <c r="L9024"/>
    </row>
    <row r="9025" spans="12:12">
      <c r="L9025"/>
    </row>
    <row r="9026" spans="12:12">
      <c r="L9026"/>
    </row>
    <row r="9027" spans="12:12">
      <c r="L9027"/>
    </row>
    <row r="9028" spans="12:12">
      <c r="L9028"/>
    </row>
    <row r="9029" spans="12:12">
      <c r="L9029"/>
    </row>
    <row r="9030" spans="12:12">
      <c r="L9030"/>
    </row>
    <row r="9031" spans="12:12">
      <c r="L9031"/>
    </row>
    <row r="9032" spans="12:12">
      <c r="L9032"/>
    </row>
    <row r="9033" spans="12:12">
      <c r="L9033"/>
    </row>
    <row r="9034" spans="12:12">
      <c r="L9034"/>
    </row>
    <row r="9035" spans="12:12">
      <c r="L9035"/>
    </row>
    <row r="9036" spans="12:12">
      <c r="L9036"/>
    </row>
    <row r="9037" spans="12:12">
      <c r="L9037"/>
    </row>
    <row r="9038" spans="12:12">
      <c r="L9038"/>
    </row>
    <row r="9039" spans="12:12">
      <c r="L9039"/>
    </row>
    <row r="9040" spans="12:12">
      <c r="L9040"/>
    </row>
    <row r="9041" spans="12:12">
      <c r="L9041"/>
    </row>
    <row r="9042" spans="12:12">
      <c r="L9042"/>
    </row>
    <row r="9043" spans="12:12">
      <c r="L9043"/>
    </row>
    <row r="9044" spans="12:12">
      <c r="L9044"/>
    </row>
    <row r="9045" spans="12:12">
      <c r="L9045"/>
    </row>
    <row r="9046" spans="12:12">
      <c r="L9046"/>
    </row>
    <row r="9047" spans="12:12">
      <c r="L9047"/>
    </row>
    <row r="9048" spans="12:12">
      <c r="L9048"/>
    </row>
    <row r="9049" spans="12:12">
      <c r="L9049"/>
    </row>
    <row r="9050" spans="12:12">
      <c r="L9050"/>
    </row>
    <row r="9051" spans="12:12">
      <c r="L9051"/>
    </row>
    <row r="9052" spans="12:12">
      <c r="L9052"/>
    </row>
    <row r="9053" spans="12:12">
      <c r="L9053"/>
    </row>
    <row r="9054" spans="12:12">
      <c r="L9054"/>
    </row>
    <row r="9055" spans="12:12">
      <c r="L9055"/>
    </row>
    <row r="9056" spans="12:12">
      <c r="L9056"/>
    </row>
    <row r="9057" spans="12:12">
      <c r="L9057"/>
    </row>
    <row r="9058" spans="12:12">
      <c r="L9058"/>
    </row>
    <row r="9059" spans="12:12">
      <c r="L9059"/>
    </row>
    <row r="9060" spans="12:12">
      <c r="L9060"/>
    </row>
    <row r="9061" spans="12:12">
      <c r="L9061"/>
    </row>
    <row r="9062" spans="12:12">
      <c r="L9062"/>
    </row>
    <row r="9063" spans="12:12">
      <c r="L9063"/>
    </row>
    <row r="9064" spans="12:12">
      <c r="L9064"/>
    </row>
    <row r="9065" spans="12:12">
      <c r="L9065"/>
    </row>
    <row r="9066" spans="12:12">
      <c r="L9066"/>
    </row>
    <row r="9067" spans="12:12">
      <c r="L9067"/>
    </row>
    <row r="9068" spans="12:12">
      <c r="L9068"/>
    </row>
    <row r="9069" spans="12:12">
      <c r="L9069"/>
    </row>
    <row r="9070" spans="12:12">
      <c r="L9070"/>
    </row>
    <row r="9071" spans="12:12">
      <c r="L9071"/>
    </row>
    <row r="9072" spans="12:12">
      <c r="L9072"/>
    </row>
    <row r="9073" spans="12:12">
      <c r="L9073"/>
    </row>
    <row r="9074" spans="12:12">
      <c r="L9074"/>
    </row>
    <row r="9075" spans="12:12">
      <c r="L9075"/>
    </row>
    <row r="9076" spans="12:12">
      <c r="L9076"/>
    </row>
    <row r="9077" spans="12:12">
      <c r="L9077"/>
    </row>
    <row r="9078" spans="12:12">
      <c r="L9078"/>
    </row>
    <row r="9079" spans="12:12">
      <c r="L9079"/>
    </row>
    <row r="9080" spans="12:12">
      <c r="L9080"/>
    </row>
    <row r="9081" spans="12:12">
      <c r="L9081"/>
    </row>
    <row r="9082" spans="12:12">
      <c r="L9082"/>
    </row>
    <row r="9083" spans="12:12">
      <c r="L9083"/>
    </row>
    <row r="9084" spans="12:12">
      <c r="L9084"/>
    </row>
    <row r="9085" spans="12:12">
      <c r="L9085"/>
    </row>
    <row r="9086" spans="12:12">
      <c r="L9086"/>
    </row>
    <row r="9087" spans="12:12">
      <c r="L9087"/>
    </row>
    <row r="9088" spans="12:12">
      <c r="L9088"/>
    </row>
    <row r="9089" spans="12:12">
      <c r="L9089"/>
    </row>
    <row r="9090" spans="12:12">
      <c r="L9090"/>
    </row>
    <row r="9091" spans="12:12">
      <c r="L9091"/>
    </row>
    <row r="9092" spans="12:12">
      <c r="L9092"/>
    </row>
    <row r="9093" spans="12:12">
      <c r="L9093"/>
    </row>
    <row r="9094" spans="12:12">
      <c r="L9094"/>
    </row>
    <row r="9095" spans="12:12">
      <c r="L9095"/>
    </row>
    <row r="9096" spans="12:12">
      <c r="L9096"/>
    </row>
    <row r="9097" spans="12:12">
      <c r="L9097"/>
    </row>
    <row r="9098" spans="12:12">
      <c r="L9098"/>
    </row>
    <row r="9099" spans="12:12">
      <c r="L9099"/>
    </row>
    <row r="9100" spans="12:12">
      <c r="L9100"/>
    </row>
    <row r="9101" spans="12:12">
      <c r="L9101"/>
    </row>
    <row r="9102" spans="12:12">
      <c r="L9102"/>
    </row>
    <row r="9103" spans="12:12">
      <c r="L9103"/>
    </row>
    <row r="9104" spans="12:12">
      <c r="L9104"/>
    </row>
    <row r="9105" spans="12:12">
      <c r="L9105"/>
    </row>
    <row r="9106" spans="12:12">
      <c r="L9106"/>
    </row>
    <row r="9107" spans="12:12">
      <c r="L9107"/>
    </row>
    <row r="9108" spans="12:12">
      <c r="L9108"/>
    </row>
    <row r="9109" spans="12:12">
      <c r="L9109"/>
    </row>
    <row r="9110" spans="12:12">
      <c r="L9110"/>
    </row>
    <row r="9111" spans="12:12">
      <c r="L9111"/>
    </row>
    <row r="9112" spans="12:12">
      <c r="L9112"/>
    </row>
    <row r="9113" spans="12:12">
      <c r="L9113"/>
    </row>
    <row r="9114" spans="12:12">
      <c r="L9114"/>
    </row>
    <row r="9115" spans="12:12">
      <c r="L9115"/>
    </row>
    <row r="9116" spans="12:12">
      <c r="L9116"/>
    </row>
    <row r="9117" spans="12:12">
      <c r="L9117"/>
    </row>
    <row r="9118" spans="12:12">
      <c r="L9118"/>
    </row>
    <row r="9119" spans="12:12">
      <c r="L9119"/>
    </row>
    <row r="9120" spans="12:12">
      <c r="L9120"/>
    </row>
    <row r="9121" spans="12:12">
      <c r="L9121"/>
    </row>
    <row r="9122" spans="12:12">
      <c r="L9122"/>
    </row>
    <row r="9123" spans="12:12">
      <c r="L9123"/>
    </row>
    <row r="9124" spans="12:12">
      <c r="L9124"/>
    </row>
    <row r="9125" spans="12:12">
      <c r="L9125"/>
    </row>
    <row r="9126" spans="12:12">
      <c r="L9126"/>
    </row>
    <row r="9127" spans="12:12">
      <c r="L9127"/>
    </row>
    <row r="9128" spans="12:12">
      <c r="L9128"/>
    </row>
    <row r="9129" spans="12:12">
      <c r="L9129"/>
    </row>
    <row r="9130" spans="12:12">
      <c r="L9130"/>
    </row>
    <row r="9131" spans="12:12">
      <c r="L9131"/>
    </row>
    <row r="9132" spans="12:12">
      <c r="L9132"/>
    </row>
    <row r="9133" spans="12:12">
      <c r="L9133"/>
    </row>
    <row r="9134" spans="12:12">
      <c r="L9134"/>
    </row>
    <row r="9135" spans="12:12">
      <c r="L9135"/>
    </row>
    <row r="9136" spans="12:12">
      <c r="L9136"/>
    </row>
    <row r="9137" spans="12:12">
      <c r="L9137"/>
    </row>
    <row r="9138" spans="12:12">
      <c r="L9138"/>
    </row>
    <row r="9139" spans="12:12">
      <c r="L9139"/>
    </row>
    <row r="9140" spans="12:12">
      <c r="L9140"/>
    </row>
    <row r="9141" spans="12:12">
      <c r="L9141"/>
    </row>
    <row r="9142" spans="12:12">
      <c r="L9142"/>
    </row>
    <row r="9143" spans="12:12">
      <c r="L9143"/>
    </row>
    <row r="9144" spans="12:12">
      <c r="L9144"/>
    </row>
    <row r="9145" spans="12:12">
      <c r="L9145"/>
    </row>
    <row r="9146" spans="12:12">
      <c r="L9146"/>
    </row>
    <row r="9147" spans="12:12">
      <c r="L9147"/>
    </row>
    <row r="9148" spans="12:12">
      <c r="L9148"/>
    </row>
    <row r="9149" spans="12:12">
      <c r="L9149"/>
    </row>
    <row r="9150" spans="12:12">
      <c r="L9150"/>
    </row>
    <row r="9151" spans="12:12">
      <c r="L9151"/>
    </row>
    <row r="9152" spans="12:12">
      <c r="L9152"/>
    </row>
    <row r="9153" spans="12:12">
      <c r="L9153"/>
    </row>
    <row r="9154" spans="12:12">
      <c r="L9154"/>
    </row>
    <row r="9155" spans="12:12">
      <c r="L9155"/>
    </row>
    <row r="9156" spans="12:12">
      <c r="L9156"/>
    </row>
    <row r="9157" spans="12:12">
      <c r="L9157"/>
    </row>
    <row r="9158" spans="12:12">
      <c r="L9158"/>
    </row>
    <row r="9159" spans="12:12">
      <c r="L9159"/>
    </row>
    <row r="9160" spans="12:12">
      <c r="L9160"/>
    </row>
    <row r="9161" spans="12:12">
      <c r="L9161"/>
    </row>
    <row r="9162" spans="12:12">
      <c r="L9162"/>
    </row>
    <row r="9163" spans="12:12">
      <c r="L9163"/>
    </row>
    <row r="9164" spans="12:12">
      <c r="L9164"/>
    </row>
    <row r="9165" spans="12:12">
      <c r="L9165"/>
    </row>
    <row r="9166" spans="12:12">
      <c r="L9166"/>
    </row>
    <row r="9167" spans="12:12">
      <c r="L9167"/>
    </row>
    <row r="9168" spans="12:12">
      <c r="L9168"/>
    </row>
    <row r="9169" spans="12:12">
      <c r="L9169"/>
    </row>
    <row r="9170" spans="12:12">
      <c r="L9170"/>
    </row>
    <row r="9171" spans="12:12">
      <c r="L9171"/>
    </row>
    <row r="9172" spans="12:12">
      <c r="L9172"/>
    </row>
    <row r="9173" spans="12:12">
      <c r="L9173"/>
    </row>
    <row r="9174" spans="12:12">
      <c r="L9174"/>
    </row>
    <row r="9175" spans="12:12">
      <c r="L9175"/>
    </row>
    <row r="9176" spans="12:12">
      <c r="L9176"/>
    </row>
    <row r="9177" spans="12:12">
      <c r="L9177"/>
    </row>
    <row r="9178" spans="12:12">
      <c r="L9178"/>
    </row>
    <row r="9179" spans="12:12">
      <c r="L9179"/>
    </row>
    <row r="9180" spans="12:12">
      <c r="L9180"/>
    </row>
    <row r="9181" spans="12:12">
      <c r="L9181"/>
    </row>
    <row r="9182" spans="12:12">
      <c r="L9182"/>
    </row>
    <row r="9183" spans="12:12">
      <c r="L9183"/>
    </row>
    <row r="9184" spans="12:12">
      <c r="L9184"/>
    </row>
    <row r="9185" spans="12:12">
      <c r="L9185"/>
    </row>
    <row r="9186" spans="12:12">
      <c r="L9186"/>
    </row>
    <row r="9187" spans="12:12">
      <c r="L9187"/>
    </row>
    <row r="9188" spans="12:12">
      <c r="L9188"/>
    </row>
    <row r="9189" spans="12:12">
      <c r="L9189"/>
    </row>
    <row r="9190" spans="12:12">
      <c r="L9190"/>
    </row>
    <row r="9191" spans="12:12">
      <c r="L9191"/>
    </row>
    <row r="9192" spans="12:12">
      <c r="L9192"/>
    </row>
    <row r="9193" spans="12:12">
      <c r="L9193"/>
    </row>
    <row r="9194" spans="12:12">
      <c r="L9194"/>
    </row>
    <row r="9195" spans="12:12">
      <c r="L9195"/>
    </row>
    <row r="9196" spans="12:12">
      <c r="L9196"/>
    </row>
    <row r="9197" spans="12:12">
      <c r="L9197"/>
    </row>
    <row r="9198" spans="12:12">
      <c r="L9198"/>
    </row>
    <row r="9199" spans="12:12">
      <c r="L9199"/>
    </row>
    <row r="9200" spans="12:12">
      <c r="L9200"/>
    </row>
    <row r="9201" spans="12:12">
      <c r="L9201"/>
    </row>
    <row r="9202" spans="12:12">
      <c r="L9202"/>
    </row>
    <row r="9203" spans="12:12">
      <c r="L9203"/>
    </row>
    <row r="9204" spans="12:12">
      <c r="L9204"/>
    </row>
    <row r="9205" spans="12:12">
      <c r="L9205"/>
    </row>
    <row r="9206" spans="12:12">
      <c r="L9206"/>
    </row>
    <row r="9207" spans="12:12">
      <c r="L9207"/>
    </row>
    <row r="9208" spans="12:12">
      <c r="L9208"/>
    </row>
    <row r="9209" spans="12:12">
      <c r="L9209"/>
    </row>
    <row r="9210" spans="12:12">
      <c r="L9210"/>
    </row>
    <row r="9211" spans="12:12">
      <c r="L9211"/>
    </row>
    <row r="9212" spans="12:12">
      <c r="L9212"/>
    </row>
    <row r="9213" spans="12:12">
      <c r="L9213"/>
    </row>
    <row r="9214" spans="12:12">
      <c r="L9214"/>
    </row>
    <row r="9215" spans="12:12">
      <c r="L9215"/>
    </row>
    <row r="9216" spans="12:12">
      <c r="L9216"/>
    </row>
    <row r="9217" spans="12:12">
      <c r="L9217"/>
    </row>
    <row r="9218" spans="12:12">
      <c r="L9218"/>
    </row>
    <row r="9219" spans="12:12">
      <c r="L9219"/>
    </row>
    <row r="9220" spans="12:12">
      <c r="L9220"/>
    </row>
    <row r="9221" spans="12:12">
      <c r="L9221"/>
    </row>
    <row r="9222" spans="12:12">
      <c r="L9222"/>
    </row>
    <row r="9223" spans="12:12">
      <c r="L9223"/>
    </row>
    <row r="9224" spans="12:12">
      <c r="L9224"/>
    </row>
    <row r="9225" spans="12:12">
      <c r="L9225"/>
    </row>
    <row r="9226" spans="12:12">
      <c r="L9226"/>
    </row>
    <row r="9227" spans="12:12">
      <c r="L9227"/>
    </row>
    <row r="9228" spans="12:12">
      <c r="L9228"/>
    </row>
    <row r="9229" spans="12:12">
      <c r="L9229"/>
    </row>
    <row r="9230" spans="12:12">
      <c r="L9230"/>
    </row>
    <row r="9231" spans="12:12">
      <c r="L9231"/>
    </row>
    <row r="9232" spans="12:12">
      <c r="L9232"/>
    </row>
    <row r="9233" spans="12:12">
      <c r="L9233"/>
    </row>
    <row r="9234" spans="12:12">
      <c r="L9234"/>
    </row>
    <row r="9235" spans="12:12">
      <c r="L9235"/>
    </row>
    <row r="9236" spans="12:12">
      <c r="L9236"/>
    </row>
    <row r="9237" spans="12:12">
      <c r="L9237"/>
    </row>
    <row r="9238" spans="12:12">
      <c r="L9238"/>
    </row>
    <row r="9239" spans="12:12">
      <c r="L9239"/>
    </row>
    <row r="9240" spans="12:12">
      <c r="L9240"/>
    </row>
    <row r="9241" spans="12:12">
      <c r="L9241"/>
    </row>
    <row r="9242" spans="12:12">
      <c r="L9242"/>
    </row>
    <row r="9243" spans="12:12">
      <c r="L9243"/>
    </row>
    <row r="9244" spans="12:12">
      <c r="L9244"/>
    </row>
    <row r="9245" spans="12:12">
      <c r="L9245"/>
    </row>
    <row r="9246" spans="12:12">
      <c r="L9246"/>
    </row>
    <row r="9247" spans="12:12">
      <c r="L9247"/>
    </row>
    <row r="9248" spans="12:12">
      <c r="L9248"/>
    </row>
    <row r="9249" spans="12:12">
      <c r="L9249"/>
    </row>
    <row r="9250" spans="12:12">
      <c r="L9250"/>
    </row>
    <row r="9251" spans="12:12">
      <c r="L9251"/>
    </row>
    <row r="9252" spans="12:12">
      <c r="L9252"/>
    </row>
    <row r="9253" spans="12:12">
      <c r="L9253"/>
    </row>
    <row r="9254" spans="12:12">
      <c r="L9254"/>
    </row>
    <row r="9255" spans="12:12">
      <c r="L9255"/>
    </row>
    <row r="9256" spans="12:12">
      <c r="L9256"/>
    </row>
    <row r="9257" spans="12:12">
      <c r="L9257"/>
    </row>
    <row r="9258" spans="12:12">
      <c r="L9258"/>
    </row>
    <row r="9259" spans="12:12">
      <c r="L9259"/>
    </row>
    <row r="9260" spans="12:12">
      <c r="L9260"/>
    </row>
    <row r="9261" spans="12:12">
      <c r="L9261"/>
    </row>
    <row r="9262" spans="12:12">
      <c r="L9262"/>
    </row>
    <row r="9263" spans="12:12">
      <c r="L9263"/>
    </row>
    <row r="9264" spans="12:12">
      <c r="L9264"/>
    </row>
    <row r="9265" spans="12:12">
      <c r="L9265"/>
    </row>
    <row r="9266" spans="12:12">
      <c r="L9266"/>
    </row>
    <row r="9267" spans="12:12">
      <c r="L9267"/>
    </row>
    <row r="9268" spans="12:12">
      <c r="L9268"/>
    </row>
    <row r="9269" spans="12:12">
      <c r="L9269"/>
    </row>
    <row r="9270" spans="12:12">
      <c r="L9270"/>
    </row>
    <row r="9271" spans="12:12">
      <c r="L9271"/>
    </row>
    <row r="9272" spans="12:12">
      <c r="L9272"/>
    </row>
    <row r="9273" spans="12:12">
      <c r="L9273"/>
    </row>
    <row r="9274" spans="12:12">
      <c r="L9274"/>
    </row>
    <row r="9275" spans="12:12">
      <c r="L9275"/>
    </row>
    <row r="9276" spans="12:12">
      <c r="L9276"/>
    </row>
    <row r="9277" spans="12:12">
      <c r="L9277"/>
    </row>
    <row r="9278" spans="12:12">
      <c r="L9278"/>
    </row>
    <row r="9279" spans="12:12">
      <c r="L9279"/>
    </row>
    <row r="9280" spans="12:12">
      <c r="L9280"/>
    </row>
    <row r="9281" spans="12:12">
      <c r="L9281"/>
    </row>
    <row r="9282" spans="12:12">
      <c r="L9282"/>
    </row>
    <row r="9283" spans="12:12">
      <c r="L9283"/>
    </row>
    <row r="9284" spans="12:12">
      <c r="L9284"/>
    </row>
    <row r="9285" spans="12:12">
      <c r="L9285"/>
    </row>
    <row r="9286" spans="12:12">
      <c r="L9286"/>
    </row>
    <row r="9287" spans="12:12">
      <c r="L9287"/>
    </row>
    <row r="9288" spans="12:12">
      <c r="L9288"/>
    </row>
    <row r="9289" spans="12:12">
      <c r="L9289"/>
    </row>
    <row r="9290" spans="12:12">
      <c r="L9290"/>
    </row>
    <row r="9291" spans="12:12">
      <c r="L9291"/>
    </row>
    <row r="9292" spans="12:12">
      <c r="L9292"/>
    </row>
    <row r="9293" spans="12:12">
      <c r="L9293"/>
    </row>
    <row r="9294" spans="12:12">
      <c r="L9294"/>
    </row>
    <row r="9295" spans="12:12">
      <c r="L9295"/>
    </row>
    <row r="9296" spans="12:12">
      <c r="L9296"/>
    </row>
    <row r="9297" spans="12:12">
      <c r="L9297"/>
    </row>
    <row r="9298" spans="12:12">
      <c r="L9298"/>
    </row>
    <row r="9299" spans="12:12">
      <c r="L9299"/>
    </row>
    <row r="9300" spans="12:12">
      <c r="L9300"/>
    </row>
    <row r="9301" spans="12:12">
      <c r="L9301"/>
    </row>
    <row r="9302" spans="12:12">
      <c r="L9302"/>
    </row>
    <row r="9303" spans="12:12">
      <c r="L9303"/>
    </row>
    <row r="9304" spans="12:12">
      <c r="L9304"/>
    </row>
    <row r="9305" spans="12:12">
      <c r="L9305"/>
    </row>
    <row r="9306" spans="12:12">
      <c r="L9306"/>
    </row>
    <row r="9307" spans="12:12">
      <c r="L9307"/>
    </row>
    <row r="9308" spans="12:12">
      <c r="L9308"/>
    </row>
    <row r="9309" spans="12:12">
      <c r="L9309"/>
    </row>
    <row r="9310" spans="12:12">
      <c r="L9310"/>
    </row>
    <row r="9311" spans="12:12">
      <c r="L9311"/>
    </row>
    <row r="9312" spans="12:12">
      <c r="L9312"/>
    </row>
    <row r="9313" spans="12:12">
      <c r="L9313"/>
    </row>
    <row r="9314" spans="12:12">
      <c r="L9314"/>
    </row>
    <row r="9315" spans="12:12">
      <c r="L9315"/>
    </row>
    <row r="9316" spans="12:12">
      <c r="L9316"/>
    </row>
    <row r="9317" spans="12:12">
      <c r="L9317"/>
    </row>
    <row r="9318" spans="12:12">
      <c r="L9318"/>
    </row>
    <row r="9319" spans="12:12">
      <c r="L9319"/>
    </row>
    <row r="9320" spans="12:12">
      <c r="L9320"/>
    </row>
    <row r="9321" spans="12:12">
      <c r="L9321"/>
    </row>
    <row r="9322" spans="12:12">
      <c r="L9322"/>
    </row>
    <row r="9323" spans="12:12">
      <c r="L9323"/>
    </row>
    <row r="9324" spans="12:12">
      <c r="L9324"/>
    </row>
    <row r="9325" spans="12:12">
      <c r="L9325"/>
    </row>
    <row r="9326" spans="12:12">
      <c r="L9326"/>
    </row>
    <row r="9327" spans="12:12">
      <c r="L9327"/>
    </row>
    <row r="9328" spans="12:12">
      <c r="L9328"/>
    </row>
    <row r="9329" spans="12:12">
      <c r="L9329"/>
    </row>
    <row r="9330" spans="12:12">
      <c r="L9330"/>
    </row>
    <row r="9331" spans="12:12">
      <c r="L9331"/>
    </row>
    <row r="9332" spans="12:12">
      <c r="L9332"/>
    </row>
    <row r="9333" spans="12:12">
      <c r="L9333"/>
    </row>
    <row r="9334" spans="12:12">
      <c r="L9334"/>
    </row>
    <row r="9335" spans="12:12">
      <c r="L9335"/>
    </row>
    <row r="9336" spans="12:12">
      <c r="L9336"/>
    </row>
    <row r="9337" spans="12:12">
      <c r="L9337"/>
    </row>
    <row r="9338" spans="12:12">
      <c r="L9338"/>
    </row>
    <row r="9339" spans="12:12">
      <c r="L9339"/>
    </row>
    <row r="9340" spans="12:12">
      <c r="L9340"/>
    </row>
    <row r="9341" spans="12:12">
      <c r="L9341"/>
    </row>
    <row r="9342" spans="12:12">
      <c r="L9342"/>
    </row>
    <row r="9343" spans="12:12">
      <c r="L9343"/>
    </row>
    <row r="9344" spans="12:12">
      <c r="L9344"/>
    </row>
    <row r="9345" spans="12:12">
      <c r="L9345"/>
    </row>
    <row r="9346" spans="12:12">
      <c r="L9346"/>
    </row>
    <row r="9347" spans="12:12">
      <c r="L9347"/>
    </row>
    <row r="9348" spans="12:12">
      <c r="L9348"/>
    </row>
    <row r="9349" spans="12:12">
      <c r="L9349"/>
    </row>
    <row r="9350" spans="12:12">
      <c r="L9350"/>
    </row>
    <row r="9351" spans="12:12">
      <c r="L9351"/>
    </row>
    <row r="9352" spans="12:12">
      <c r="L9352"/>
    </row>
    <row r="9353" spans="12:12">
      <c r="L9353"/>
    </row>
    <row r="9354" spans="12:12">
      <c r="L9354"/>
    </row>
    <row r="9355" spans="12:12">
      <c r="L9355"/>
    </row>
    <row r="9356" spans="12:12">
      <c r="L9356"/>
    </row>
    <row r="9357" spans="12:12">
      <c r="L9357"/>
    </row>
    <row r="9358" spans="12:12">
      <c r="L9358"/>
    </row>
    <row r="9359" spans="12:12">
      <c r="L9359"/>
    </row>
    <row r="9360" spans="12:12">
      <c r="L9360"/>
    </row>
    <row r="9361" spans="12:12">
      <c r="L9361"/>
    </row>
    <row r="9362" spans="12:12">
      <c r="L9362"/>
    </row>
    <row r="9363" spans="12:12">
      <c r="L9363"/>
    </row>
    <row r="9364" spans="12:12">
      <c r="L9364"/>
    </row>
    <row r="9365" spans="12:12">
      <c r="L9365"/>
    </row>
    <row r="9366" spans="12:12">
      <c r="L9366"/>
    </row>
    <row r="9367" spans="12:12">
      <c r="L9367"/>
    </row>
    <row r="9368" spans="12:12">
      <c r="L9368"/>
    </row>
    <row r="9369" spans="12:12">
      <c r="L9369"/>
    </row>
    <row r="9370" spans="12:12">
      <c r="L9370"/>
    </row>
    <row r="9371" spans="12:12">
      <c r="L9371"/>
    </row>
    <row r="9372" spans="12:12">
      <c r="L9372"/>
    </row>
    <row r="9373" spans="12:12">
      <c r="L9373"/>
    </row>
    <row r="9374" spans="12:12">
      <c r="L9374"/>
    </row>
    <row r="9375" spans="12:12">
      <c r="L9375"/>
    </row>
    <row r="9376" spans="12:12">
      <c r="L9376"/>
    </row>
    <row r="9377" spans="12:12">
      <c r="L9377"/>
    </row>
    <row r="9378" spans="12:12">
      <c r="L9378"/>
    </row>
    <row r="9379" spans="12:12">
      <c r="L9379"/>
    </row>
    <row r="9380" spans="12:12">
      <c r="L9380"/>
    </row>
    <row r="9381" spans="12:12">
      <c r="L9381"/>
    </row>
    <row r="9382" spans="12:12">
      <c r="L9382"/>
    </row>
    <row r="9383" spans="12:12">
      <c r="L9383"/>
    </row>
    <row r="9384" spans="12:12">
      <c r="L9384"/>
    </row>
    <row r="9385" spans="12:12">
      <c r="L9385"/>
    </row>
    <row r="9386" spans="12:12">
      <c r="L9386"/>
    </row>
    <row r="9387" spans="12:12">
      <c r="L9387"/>
    </row>
    <row r="9388" spans="12:12">
      <c r="L9388"/>
    </row>
    <row r="9389" spans="12:12">
      <c r="L9389"/>
    </row>
    <row r="9390" spans="12:12">
      <c r="L9390"/>
    </row>
    <row r="9391" spans="12:12">
      <c r="L9391"/>
    </row>
    <row r="9392" spans="12:12">
      <c r="L9392"/>
    </row>
    <row r="9393" spans="12:12">
      <c r="L9393"/>
    </row>
    <row r="9394" spans="12:12">
      <c r="L9394"/>
    </row>
    <row r="9395" spans="12:12">
      <c r="L9395"/>
    </row>
    <row r="9396" spans="12:12">
      <c r="L9396"/>
    </row>
    <row r="9397" spans="12:12">
      <c r="L9397"/>
    </row>
    <row r="9398" spans="12:12">
      <c r="L9398"/>
    </row>
    <row r="9399" spans="12:12">
      <c r="L9399"/>
    </row>
    <row r="9400" spans="12:12">
      <c r="L9400"/>
    </row>
    <row r="9401" spans="12:12">
      <c r="L9401"/>
    </row>
    <row r="9402" spans="12:12">
      <c r="L9402"/>
    </row>
    <row r="9403" spans="12:12">
      <c r="L9403"/>
    </row>
    <row r="9404" spans="12:12">
      <c r="L9404"/>
    </row>
    <row r="9405" spans="12:12">
      <c r="L9405"/>
    </row>
    <row r="9406" spans="12:12">
      <c r="L9406"/>
    </row>
    <row r="9407" spans="12:12">
      <c r="L9407"/>
    </row>
    <row r="9408" spans="12:12">
      <c r="L9408"/>
    </row>
    <row r="9409" spans="12:12">
      <c r="L9409"/>
    </row>
    <row r="9410" spans="12:12">
      <c r="L9410"/>
    </row>
    <row r="9411" spans="12:12">
      <c r="L9411"/>
    </row>
    <row r="9412" spans="12:12">
      <c r="L9412"/>
    </row>
    <row r="9413" spans="12:12">
      <c r="L9413"/>
    </row>
    <row r="9414" spans="12:12">
      <c r="L9414"/>
    </row>
    <row r="9415" spans="12:12">
      <c r="L9415"/>
    </row>
    <row r="9416" spans="12:12">
      <c r="L9416"/>
    </row>
    <row r="9417" spans="12:12">
      <c r="L9417"/>
    </row>
    <row r="9418" spans="12:12">
      <c r="L9418"/>
    </row>
    <row r="9419" spans="12:12">
      <c r="L9419"/>
    </row>
    <row r="9420" spans="12:12">
      <c r="L9420"/>
    </row>
    <row r="9421" spans="12:12">
      <c r="L9421"/>
    </row>
    <row r="9422" spans="12:12">
      <c r="L9422"/>
    </row>
    <row r="9423" spans="12:12">
      <c r="L9423"/>
    </row>
    <row r="9424" spans="12:12">
      <c r="L9424"/>
    </row>
    <row r="9425" spans="12:12">
      <c r="L9425"/>
    </row>
    <row r="9426" spans="12:12">
      <c r="L9426"/>
    </row>
    <row r="9427" spans="12:12">
      <c r="L9427"/>
    </row>
    <row r="9428" spans="12:12">
      <c r="L9428"/>
    </row>
    <row r="9429" spans="12:12">
      <c r="L9429"/>
    </row>
    <row r="9430" spans="12:12">
      <c r="L9430"/>
    </row>
    <row r="9431" spans="12:12">
      <c r="L9431"/>
    </row>
    <row r="9432" spans="12:12">
      <c r="L9432"/>
    </row>
    <row r="9433" spans="12:12">
      <c r="L9433"/>
    </row>
    <row r="9434" spans="12:12">
      <c r="L9434"/>
    </row>
    <row r="9435" spans="12:12">
      <c r="L9435"/>
    </row>
    <row r="9436" spans="12:12">
      <c r="L9436"/>
    </row>
    <row r="9437" spans="12:12">
      <c r="L9437"/>
    </row>
    <row r="9438" spans="12:12">
      <c r="L9438"/>
    </row>
    <row r="9439" spans="12:12">
      <c r="L9439"/>
    </row>
    <row r="9440" spans="12:12">
      <c r="L9440"/>
    </row>
    <row r="9441" spans="12:12">
      <c r="L9441"/>
    </row>
    <row r="9442" spans="12:12">
      <c r="L9442"/>
    </row>
    <row r="9443" spans="12:12">
      <c r="L9443"/>
    </row>
    <row r="9444" spans="12:12">
      <c r="L9444"/>
    </row>
    <row r="9445" spans="12:12">
      <c r="L9445"/>
    </row>
    <row r="9446" spans="12:12">
      <c r="L9446"/>
    </row>
    <row r="9447" spans="12:12">
      <c r="L9447"/>
    </row>
    <row r="9448" spans="12:12">
      <c r="L9448"/>
    </row>
    <row r="9449" spans="12:12">
      <c r="L9449"/>
    </row>
    <row r="9450" spans="12:12">
      <c r="L9450"/>
    </row>
    <row r="9451" spans="12:12">
      <c r="L9451"/>
    </row>
    <row r="9452" spans="12:12">
      <c r="L9452"/>
    </row>
    <row r="9453" spans="12:12">
      <c r="L9453"/>
    </row>
    <row r="9454" spans="12:12">
      <c r="L9454"/>
    </row>
    <row r="9455" spans="12:12">
      <c r="L9455"/>
    </row>
    <row r="9456" spans="12:12">
      <c r="L9456"/>
    </row>
    <row r="9457" spans="12:12">
      <c r="L9457"/>
    </row>
    <row r="9458" spans="12:12">
      <c r="L9458"/>
    </row>
    <row r="9459" spans="12:12">
      <c r="L9459"/>
    </row>
    <row r="9460" spans="12:12">
      <c r="L9460"/>
    </row>
    <row r="9461" spans="12:12">
      <c r="L9461"/>
    </row>
    <row r="9462" spans="12:12">
      <c r="L9462"/>
    </row>
    <row r="9463" spans="12:12">
      <c r="L9463"/>
    </row>
    <row r="9464" spans="12:12">
      <c r="L9464"/>
    </row>
    <row r="9465" spans="12:12">
      <c r="L9465"/>
    </row>
    <row r="9466" spans="12:12">
      <c r="L9466"/>
    </row>
    <row r="9467" spans="12:12">
      <c r="L9467"/>
    </row>
    <row r="9468" spans="12:12">
      <c r="L9468"/>
    </row>
    <row r="9469" spans="12:12">
      <c r="L9469"/>
    </row>
    <row r="9470" spans="12:12">
      <c r="L9470"/>
    </row>
    <row r="9471" spans="12:12">
      <c r="L9471"/>
    </row>
    <row r="9472" spans="12:12">
      <c r="L9472"/>
    </row>
    <row r="9473" spans="12:12">
      <c r="L9473"/>
    </row>
    <row r="9474" spans="12:12">
      <c r="L9474"/>
    </row>
    <row r="9475" spans="12:12">
      <c r="L9475"/>
    </row>
    <row r="9476" spans="12:12">
      <c r="L9476"/>
    </row>
    <row r="9477" spans="12:12">
      <c r="L9477"/>
    </row>
    <row r="9478" spans="12:12">
      <c r="L9478"/>
    </row>
    <row r="9479" spans="12:12">
      <c r="L9479"/>
    </row>
    <row r="9480" spans="12:12">
      <c r="L9480"/>
    </row>
    <row r="9481" spans="12:12">
      <c r="L9481"/>
    </row>
    <row r="9482" spans="12:12">
      <c r="L9482"/>
    </row>
    <row r="9483" spans="12:12">
      <c r="L9483"/>
    </row>
    <row r="9484" spans="12:12">
      <c r="L9484"/>
    </row>
    <row r="9485" spans="12:12">
      <c r="L9485"/>
    </row>
    <row r="9486" spans="12:12">
      <c r="L9486"/>
    </row>
    <row r="9487" spans="12:12">
      <c r="L9487"/>
    </row>
    <row r="9488" spans="12:12">
      <c r="L9488"/>
    </row>
    <row r="9489" spans="12:12">
      <c r="L9489"/>
    </row>
    <row r="9490" spans="12:12">
      <c r="L9490"/>
    </row>
    <row r="9491" spans="12:12">
      <c r="L9491"/>
    </row>
    <row r="9492" spans="12:12">
      <c r="L9492"/>
    </row>
    <row r="9493" spans="12:12">
      <c r="L9493"/>
    </row>
    <row r="9494" spans="12:12">
      <c r="L9494"/>
    </row>
    <row r="9495" spans="12:12">
      <c r="L9495"/>
    </row>
    <row r="9496" spans="12:12">
      <c r="L9496"/>
    </row>
    <row r="9497" spans="12:12">
      <c r="L9497"/>
    </row>
    <row r="9498" spans="12:12">
      <c r="L9498"/>
    </row>
    <row r="9499" spans="12:12">
      <c r="L9499"/>
    </row>
    <row r="9500" spans="12:12">
      <c r="L9500"/>
    </row>
    <row r="9501" spans="12:12">
      <c r="L9501"/>
    </row>
    <row r="9502" spans="12:12">
      <c r="L9502"/>
    </row>
    <row r="9503" spans="12:12">
      <c r="L9503"/>
    </row>
    <row r="9504" spans="12:12">
      <c r="L9504"/>
    </row>
    <row r="9505" spans="12:12">
      <c r="L9505"/>
    </row>
    <row r="9506" spans="12:12">
      <c r="L9506"/>
    </row>
    <row r="9507" spans="12:12">
      <c r="L9507"/>
    </row>
    <row r="9508" spans="12:12">
      <c r="L9508"/>
    </row>
    <row r="9509" spans="12:12">
      <c r="L9509"/>
    </row>
    <row r="9510" spans="12:12">
      <c r="L9510"/>
    </row>
    <row r="9511" spans="12:12">
      <c r="L9511"/>
    </row>
    <row r="9512" spans="12:12">
      <c r="L9512"/>
    </row>
    <row r="9513" spans="12:12">
      <c r="L9513"/>
    </row>
    <row r="9514" spans="12:12">
      <c r="L9514"/>
    </row>
    <row r="9515" spans="12:12">
      <c r="L9515"/>
    </row>
    <row r="9516" spans="12:12">
      <c r="L9516"/>
    </row>
    <row r="9517" spans="12:12">
      <c r="L9517"/>
    </row>
    <row r="9518" spans="12:12">
      <c r="L9518"/>
    </row>
    <row r="9519" spans="12:12">
      <c r="L9519"/>
    </row>
    <row r="9520" spans="12:12">
      <c r="L9520"/>
    </row>
    <row r="9521" spans="12:12">
      <c r="L9521"/>
    </row>
    <row r="9522" spans="12:12">
      <c r="L9522"/>
    </row>
    <row r="9523" spans="12:12">
      <c r="L9523"/>
    </row>
    <row r="9524" spans="12:12">
      <c r="L9524"/>
    </row>
    <row r="9525" spans="12:12">
      <c r="L9525"/>
    </row>
    <row r="9526" spans="12:12">
      <c r="L9526"/>
    </row>
    <row r="9527" spans="12:12">
      <c r="L9527"/>
    </row>
    <row r="9528" spans="12:12">
      <c r="L9528"/>
    </row>
    <row r="9529" spans="12:12">
      <c r="L9529"/>
    </row>
    <row r="9530" spans="12:12">
      <c r="L9530"/>
    </row>
    <row r="9531" spans="12:12">
      <c r="L9531"/>
    </row>
    <row r="9532" spans="12:12">
      <c r="L9532"/>
    </row>
    <row r="9533" spans="12:12">
      <c r="L9533"/>
    </row>
    <row r="9534" spans="12:12">
      <c r="L9534"/>
    </row>
    <row r="9535" spans="12:12">
      <c r="L9535"/>
    </row>
    <row r="9536" spans="12:12">
      <c r="L9536"/>
    </row>
    <row r="9537" spans="12:12">
      <c r="L9537"/>
    </row>
    <row r="9538" spans="12:12">
      <c r="L9538"/>
    </row>
    <row r="9539" spans="12:12">
      <c r="L9539"/>
    </row>
    <row r="9540" spans="12:12">
      <c r="L9540"/>
    </row>
    <row r="9541" spans="12:12">
      <c r="L9541"/>
    </row>
    <row r="9542" spans="12:12">
      <c r="L9542"/>
    </row>
    <row r="9543" spans="12:12">
      <c r="L9543"/>
    </row>
    <row r="9544" spans="12:12">
      <c r="L9544"/>
    </row>
    <row r="9545" spans="12:12">
      <c r="L9545"/>
    </row>
    <row r="9546" spans="12:12">
      <c r="L9546"/>
    </row>
    <row r="9547" spans="12:12">
      <c r="L9547"/>
    </row>
    <row r="9548" spans="12:12">
      <c r="L9548"/>
    </row>
    <row r="9549" spans="12:12">
      <c r="L9549"/>
    </row>
    <row r="9550" spans="12:12">
      <c r="L9550"/>
    </row>
    <row r="9551" spans="12:12">
      <c r="L9551"/>
    </row>
    <row r="9552" spans="12:12">
      <c r="L9552"/>
    </row>
    <row r="9553" spans="12:12">
      <c r="L9553"/>
    </row>
    <row r="9554" spans="12:12">
      <c r="L9554"/>
    </row>
    <row r="9555" spans="12:12">
      <c r="L9555"/>
    </row>
    <row r="9556" spans="12:12">
      <c r="L9556"/>
    </row>
    <row r="9557" spans="12:12">
      <c r="L9557"/>
    </row>
    <row r="9558" spans="12:12">
      <c r="L9558"/>
    </row>
    <row r="9559" spans="12:12">
      <c r="L9559"/>
    </row>
    <row r="9560" spans="12:12">
      <c r="L9560"/>
    </row>
    <row r="9561" spans="12:12">
      <c r="L9561"/>
    </row>
    <row r="9562" spans="12:12">
      <c r="L9562"/>
    </row>
    <row r="9563" spans="12:12">
      <c r="L9563"/>
    </row>
    <row r="9564" spans="12:12">
      <c r="L9564"/>
    </row>
    <row r="9565" spans="12:12">
      <c r="L9565"/>
    </row>
    <row r="9566" spans="12:12">
      <c r="L9566"/>
    </row>
    <row r="9567" spans="12:12">
      <c r="L9567"/>
    </row>
    <row r="9568" spans="12:12">
      <c r="L9568"/>
    </row>
    <row r="9569" spans="12:12">
      <c r="L9569"/>
    </row>
    <row r="9570" spans="12:12">
      <c r="L9570"/>
    </row>
    <row r="9571" spans="12:12">
      <c r="L9571"/>
    </row>
    <row r="9572" spans="12:12">
      <c r="L9572"/>
    </row>
    <row r="9573" spans="12:12">
      <c r="L9573"/>
    </row>
    <row r="9574" spans="12:12">
      <c r="L9574"/>
    </row>
    <row r="9575" spans="12:12">
      <c r="L9575"/>
    </row>
    <row r="9576" spans="12:12">
      <c r="L9576"/>
    </row>
    <row r="9577" spans="12:12">
      <c r="L9577"/>
    </row>
    <row r="9578" spans="12:12">
      <c r="L9578"/>
    </row>
    <row r="9579" spans="12:12">
      <c r="L9579"/>
    </row>
    <row r="9580" spans="12:12">
      <c r="L9580"/>
    </row>
    <row r="9581" spans="12:12">
      <c r="L9581"/>
    </row>
    <row r="9582" spans="12:12">
      <c r="L9582"/>
    </row>
    <row r="9583" spans="12:12">
      <c r="L9583"/>
    </row>
    <row r="9584" spans="12:12">
      <c r="L9584"/>
    </row>
    <row r="9585" spans="12:12">
      <c r="L9585"/>
    </row>
    <row r="9586" spans="12:12">
      <c r="L9586"/>
    </row>
    <row r="9587" spans="12:12">
      <c r="L9587"/>
    </row>
    <row r="9588" spans="12:12">
      <c r="L9588"/>
    </row>
    <row r="9589" spans="12:12">
      <c r="L9589"/>
    </row>
    <row r="9590" spans="12:12">
      <c r="L9590"/>
    </row>
    <row r="9591" spans="12:12">
      <c r="L9591"/>
    </row>
    <row r="9592" spans="12:12">
      <c r="L9592"/>
    </row>
    <row r="9593" spans="12:12">
      <c r="L9593"/>
    </row>
    <row r="9594" spans="12:12">
      <c r="L9594"/>
    </row>
    <row r="9595" spans="12:12">
      <c r="L9595"/>
    </row>
    <row r="9596" spans="12:12">
      <c r="L9596"/>
    </row>
    <row r="9597" spans="12:12">
      <c r="L9597"/>
    </row>
    <row r="9598" spans="12:12">
      <c r="L9598"/>
    </row>
    <row r="9599" spans="12:12">
      <c r="L9599"/>
    </row>
    <row r="9600" spans="12:12">
      <c r="L9600"/>
    </row>
    <row r="9601" spans="12:12">
      <c r="L9601"/>
    </row>
    <row r="9602" spans="12:12">
      <c r="L9602"/>
    </row>
    <row r="9603" spans="12:12">
      <c r="L9603"/>
    </row>
    <row r="9604" spans="12:12">
      <c r="L9604"/>
    </row>
    <row r="9605" spans="12:12">
      <c r="L9605"/>
    </row>
    <row r="9606" spans="12:12">
      <c r="L9606"/>
    </row>
    <row r="9607" spans="12:12">
      <c r="L9607"/>
    </row>
    <row r="9608" spans="12:12">
      <c r="L9608"/>
    </row>
    <row r="9609" spans="12:12">
      <c r="L9609"/>
    </row>
    <row r="9610" spans="12:12">
      <c r="L9610"/>
    </row>
    <row r="9611" spans="12:12">
      <c r="L9611"/>
    </row>
    <row r="9612" spans="12:12">
      <c r="L9612"/>
    </row>
    <row r="9613" spans="12:12">
      <c r="L9613"/>
    </row>
    <row r="9614" spans="12:12">
      <c r="L9614"/>
    </row>
    <row r="9615" spans="12:12">
      <c r="L9615"/>
    </row>
    <row r="9616" spans="12:12">
      <c r="L9616"/>
    </row>
    <row r="9617" spans="12:12">
      <c r="L9617"/>
    </row>
    <row r="9618" spans="12:12">
      <c r="L9618"/>
    </row>
    <row r="9619" spans="12:12">
      <c r="L9619"/>
    </row>
    <row r="9620" spans="12:12">
      <c r="L9620"/>
    </row>
    <row r="9621" spans="12:12">
      <c r="L9621"/>
    </row>
    <row r="9622" spans="12:12">
      <c r="L9622"/>
    </row>
    <row r="9623" spans="12:12">
      <c r="L9623"/>
    </row>
    <row r="9624" spans="12:12">
      <c r="L9624"/>
    </row>
    <row r="9625" spans="12:12">
      <c r="L9625"/>
    </row>
    <row r="9626" spans="12:12">
      <c r="L9626"/>
    </row>
    <row r="9627" spans="12:12">
      <c r="L9627"/>
    </row>
    <row r="9628" spans="12:12">
      <c r="L9628"/>
    </row>
    <row r="9629" spans="12:12">
      <c r="L9629"/>
    </row>
    <row r="9630" spans="12:12">
      <c r="L9630"/>
    </row>
    <row r="9631" spans="12:12">
      <c r="L9631"/>
    </row>
    <row r="9632" spans="12:12">
      <c r="L9632"/>
    </row>
    <row r="9633" spans="12:12">
      <c r="L9633"/>
    </row>
    <row r="9634" spans="12:12">
      <c r="L9634"/>
    </row>
    <row r="9635" spans="12:12">
      <c r="L9635"/>
    </row>
    <row r="9636" spans="12:12">
      <c r="L9636"/>
    </row>
    <row r="9637" spans="12:12">
      <c r="L9637"/>
    </row>
    <row r="9638" spans="12:12">
      <c r="L9638"/>
    </row>
    <row r="9639" spans="12:12">
      <c r="L9639"/>
    </row>
    <row r="9640" spans="12:12">
      <c r="L9640"/>
    </row>
    <row r="9641" spans="12:12">
      <c r="L9641"/>
    </row>
    <row r="9642" spans="12:12">
      <c r="L9642"/>
    </row>
    <row r="9643" spans="12:12">
      <c r="L9643"/>
    </row>
    <row r="9644" spans="12:12">
      <c r="L9644"/>
    </row>
    <row r="9645" spans="12:12">
      <c r="L9645"/>
    </row>
    <row r="9646" spans="12:12">
      <c r="L9646"/>
    </row>
    <row r="9647" spans="12:12">
      <c r="L9647"/>
    </row>
    <row r="9648" spans="12:12">
      <c r="L9648"/>
    </row>
    <row r="9649" spans="12:12">
      <c r="L9649"/>
    </row>
    <row r="9650" spans="12:12">
      <c r="L9650"/>
    </row>
    <row r="9651" spans="12:12">
      <c r="L9651"/>
    </row>
    <row r="9652" spans="12:12">
      <c r="L9652"/>
    </row>
    <row r="9653" spans="12:12">
      <c r="L9653"/>
    </row>
    <row r="9654" spans="12:12">
      <c r="L9654"/>
    </row>
    <row r="9655" spans="12:12">
      <c r="L9655"/>
    </row>
    <row r="9656" spans="12:12">
      <c r="L9656"/>
    </row>
    <row r="9657" spans="12:12">
      <c r="L9657"/>
    </row>
    <row r="9658" spans="12:12">
      <c r="L9658"/>
    </row>
    <row r="9659" spans="12:12">
      <c r="L9659"/>
    </row>
    <row r="9660" spans="12:12">
      <c r="L9660"/>
    </row>
    <row r="9661" spans="12:12">
      <c r="L9661"/>
    </row>
    <row r="9662" spans="12:12">
      <c r="L9662"/>
    </row>
    <row r="9663" spans="12:12">
      <c r="L9663"/>
    </row>
    <row r="9664" spans="12:12">
      <c r="L9664"/>
    </row>
    <row r="9665" spans="12:12">
      <c r="L9665"/>
    </row>
    <row r="9666" spans="12:12">
      <c r="L9666"/>
    </row>
    <row r="9667" spans="12:12">
      <c r="L9667"/>
    </row>
    <row r="9668" spans="12:12">
      <c r="L9668"/>
    </row>
    <row r="9669" spans="12:12">
      <c r="L9669"/>
    </row>
    <row r="9670" spans="12:12">
      <c r="L9670"/>
    </row>
    <row r="9671" spans="12:12">
      <c r="L9671"/>
    </row>
    <row r="9672" spans="12:12">
      <c r="L9672"/>
    </row>
    <row r="9673" spans="12:12">
      <c r="L9673"/>
    </row>
    <row r="9674" spans="12:12">
      <c r="L9674"/>
    </row>
    <row r="9675" spans="12:12">
      <c r="L9675"/>
    </row>
    <row r="9676" spans="12:12">
      <c r="L9676"/>
    </row>
    <row r="9677" spans="12:12">
      <c r="L9677"/>
    </row>
    <row r="9678" spans="12:12">
      <c r="L9678"/>
    </row>
    <row r="9679" spans="12:12">
      <c r="L9679"/>
    </row>
    <row r="9680" spans="12:12">
      <c r="L9680"/>
    </row>
    <row r="9681" spans="12:12">
      <c r="L9681"/>
    </row>
    <row r="9682" spans="12:12">
      <c r="L9682"/>
    </row>
    <row r="9683" spans="12:12">
      <c r="L9683"/>
    </row>
    <row r="9684" spans="12:12">
      <c r="L9684"/>
    </row>
    <row r="9685" spans="12:12">
      <c r="L9685"/>
    </row>
    <row r="9686" spans="12:12">
      <c r="L9686"/>
    </row>
    <row r="9687" spans="12:12">
      <c r="L9687"/>
    </row>
    <row r="9688" spans="12:12">
      <c r="L9688"/>
    </row>
    <row r="9689" spans="12:12">
      <c r="L9689"/>
    </row>
    <row r="9690" spans="12:12">
      <c r="L9690"/>
    </row>
    <row r="9691" spans="12:12">
      <c r="L9691"/>
    </row>
    <row r="9692" spans="12:12">
      <c r="L9692"/>
    </row>
    <row r="9693" spans="12:12">
      <c r="L9693"/>
    </row>
    <row r="9694" spans="12:12">
      <c r="L9694"/>
    </row>
    <row r="9695" spans="12:12">
      <c r="L9695"/>
    </row>
    <row r="9696" spans="12:12">
      <c r="L9696"/>
    </row>
    <row r="9697" spans="12:12">
      <c r="L9697"/>
    </row>
    <row r="9698" spans="12:12">
      <c r="L9698"/>
    </row>
    <row r="9699" spans="12:12">
      <c r="L9699"/>
    </row>
    <row r="9700" spans="12:12">
      <c r="L9700"/>
    </row>
    <row r="9701" spans="12:12">
      <c r="L9701"/>
    </row>
    <row r="9702" spans="12:12">
      <c r="L9702"/>
    </row>
    <row r="9703" spans="12:12">
      <c r="L9703"/>
    </row>
    <row r="9704" spans="12:12">
      <c r="L9704"/>
    </row>
    <row r="9705" spans="12:12">
      <c r="L9705"/>
    </row>
    <row r="9706" spans="12:12">
      <c r="L9706"/>
    </row>
    <row r="9707" spans="12:12">
      <c r="L9707"/>
    </row>
    <row r="9708" spans="12:12">
      <c r="L9708"/>
    </row>
    <row r="9709" spans="12:12">
      <c r="L9709"/>
    </row>
    <row r="9710" spans="12:12">
      <c r="L9710"/>
    </row>
    <row r="9711" spans="12:12">
      <c r="L9711"/>
    </row>
    <row r="9712" spans="12:12">
      <c r="L9712"/>
    </row>
    <row r="9713" spans="12:12">
      <c r="L9713"/>
    </row>
    <row r="9714" spans="12:12">
      <c r="L9714"/>
    </row>
    <row r="9715" spans="12:12">
      <c r="L9715"/>
    </row>
    <row r="9716" spans="12:12">
      <c r="L9716"/>
    </row>
    <row r="9717" spans="12:12">
      <c r="L9717"/>
    </row>
    <row r="9718" spans="12:12">
      <c r="L9718"/>
    </row>
    <row r="9719" spans="12:12">
      <c r="L9719"/>
    </row>
    <row r="9720" spans="12:12">
      <c r="L9720"/>
    </row>
    <row r="9721" spans="12:12">
      <c r="L9721"/>
    </row>
    <row r="9722" spans="12:12">
      <c r="L9722"/>
    </row>
    <row r="9723" spans="12:12">
      <c r="L9723"/>
    </row>
    <row r="9724" spans="12:12">
      <c r="L9724"/>
    </row>
    <row r="9725" spans="12:12">
      <c r="L9725"/>
    </row>
    <row r="9726" spans="12:12">
      <c r="L9726"/>
    </row>
    <row r="9727" spans="12:12">
      <c r="L9727"/>
    </row>
    <row r="9728" spans="12:12">
      <c r="L9728"/>
    </row>
    <row r="9729" spans="12:12">
      <c r="L9729"/>
    </row>
    <row r="9730" spans="12:12">
      <c r="L9730"/>
    </row>
    <row r="9731" spans="12:12">
      <c r="L9731"/>
    </row>
    <row r="9732" spans="12:12">
      <c r="L9732"/>
    </row>
    <row r="9733" spans="12:12">
      <c r="L9733"/>
    </row>
    <row r="9734" spans="12:12">
      <c r="L9734"/>
    </row>
    <row r="9735" spans="12:12">
      <c r="L9735"/>
    </row>
    <row r="9736" spans="12:12">
      <c r="L9736"/>
    </row>
    <row r="9737" spans="12:12">
      <c r="L9737"/>
    </row>
    <row r="9738" spans="12:12">
      <c r="L9738"/>
    </row>
    <row r="9739" spans="12:12">
      <c r="L9739"/>
    </row>
    <row r="9740" spans="12:12">
      <c r="L9740"/>
    </row>
    <row r="9741" spans="12:12">
      <c r="L9741"/>
    </row>
    <row r="9742" spans="12:12">
      <c r="L9742"/>
    </row>
    <row r="9743" spans="12:12">
      <c r="L9743"/>
    </row>
    <row r="9744" spans="12:12">
      <c r="L9744"/>
    </row>
    <row r="9745" spans="12:12">
      <c r="L9745"/>
    </row>
    <row r="9746" spans="12:12">
      <c r="L9746"/>
    </row>
    <row r="9747" spans="12:12">
      <c r="L9747"/>
    </row>
    <row r="9748" spans="12:12">
      <c r="L9748"/>
    </row>
    <row r="9749" spans="12:12">
      <c r="L9749"/>
    </row>
    <row r="9750" spans="12:12">
      <c r="L9750"/>
    </row>
    <row r="9751" spans="12:12">
      <c r="L9751"/>
    </row>
    <row r="9752" spans="12:12">
      <c r="L9752"/>
    </row>
    <row r="9753" spans="12:12">
      <c r="L9753"/>
    </row>
    <row r="9754" spans="12:12">
      <c r="L9754"/>
    </row>
    <row r="9755" spans="12:12">
      <c r="L9755"/>
    </row>
    <row r="9756" spans="12:12">
      <c r="L9756"/>
    </row>
    <row r="9757" spans="12:12">
      <c r="L9757"/>
    </row>
    <row r="9758" spans="12:12">
      <c r="L9758"/>
    </row>
    <row r="9759" spans="12:12">
      <c r="L9759"/>
    </row>
    <row r="9760" spans="12:12">
      <c r="L9760"/>
    </row>
    <row r="9761" spans="12:12">
      <c r="L9761"/>
    </row>
    <row r="9762" spans="12:12">
      <c r="L9762"/>
    </row>
    <row r="9763" spans="12:12">
      <c r="L9763"/>
    </row>
    <row r="9764" spans="12:12">
      <c r="L9764"/>
    </row>
    <row r="9765" spans="12:12">
      <c r="L9765"/>
    </row>
    <row r="9766" spans="12:12">
      <c r="L9766"/>
    </row>
    <row r="9767" spans="12:12">
      <c r="L9767"/>
    </row>
    <row r="9768" spans="12:12">
      <c r="L9768"/>
    </row>
    <row r="9769" spans="12:12">
      <c r="L9769"/>
    </row>
    <row r="9770" spans="12:12">
      <c r="L9770"/>
    </row>
    <row r="9771" spans="12:12">
      <c r="L9771"/>
    </row>
    <row r="9772" spans="12:12">
      <c r="L9772"/>
    </row>
    <row r="9773" spans="12:12">
      <c r="L9773"/>
    </row>
    <row r="9774" spans="12:12">
      <c r="L9774"/>
    </row>
    <row r="9775" spans="12:12">
      <c r="L9775"/>
    </row>
    <row r="9776" spans="12:12">
      <c r="L9776"/>
    </row>
    <row r="9777" spans="12:12">
      <c r="L9777"/>
    </row>
    <row r="9778" spans="12:12">
      <c r="L9778"/>
    </row>
    <row r="9779" spans="12:12">
      <c r="L9779"/>
    </row>
    <row r="9780" spans="12:12">
      <c r="L9780"/>
    </row>
    <row r="9781" spans="12:12">
      <c r="L9781"/>
    </row>
    <row r="9782" spans="12:12">
      <c r="L9782"/>
    </row>
    <row r="9783" spans="12:12">
      <c r="L9783"/>
    </row>
    <row r="9784" spans="12:12">
      <c r="L9784"/>
    </row>
    <row r="9785" spans="12:12">
      <c r="L9785"/>
    </row>
    <row r="9786" spans="12:12">
      <c r="L9786"/>
    </row>
    <row r="9787" spans="12:12">
      <c r="L9787"/>
    </row>
    <row r="9788" spans="12:12">
      <c r="L9788"/>
    </row>
    <row r="9789" spans="12:12">
      <c r="L9789"/>
    </row>
    <row r="9790" spans="12:12">
      <c r="L9790"/>
    </row>
    <row r="9791" spans="12:12">
      <c r="L9791"/>
    </row>
    <row r="9792" spans="12:12">
      <c r="L9792"/>
    </row>
    <row r="9793" spans="12:12">
      <c r="L9793"/>
    </row>
    <row r="9794" spans="12:12">
      <c r="L9794"/>
    </row>
    <row r="9795" spans="12:12">
      <c r="L9795"/>
    </row>
    <row r="9796" spans="12:12">
      <c r="L9796"/>
    </row>
    <row r="9797" spans="12:12">
      <c r="L9797"/>
    </row>
    <row r="9798" spans="12:12">
      <c r="L9798"/>
    </row>
    <row r="9799" spans="12:12">
      <c r="L9799"/>
    </row>
    <row r="9800" spans="12:12">
      <c r="L9800"/>
    </row>
    <row r="9801" spans="12:12">
      <c r="L9801"/>
    </row>
    <row r="9802" spans="12:12">
      <c r="L9802"/>
    </row>
    <row r="9803" spans="12:12">
      <c r="L9803"/>
    </row>
    <row r="9804" spans="12:12">
      <c r="L9804"/>
    </row>
    <row r="9805" spans="12:12">
      <c r="L9805"/>
    </row>
    <row r="9806" spans="12:12">
      <c r="L9806"/>
    </row>
    <row r="9807" spans="12:12">
      <c r="L9807"/>
    </row>
    <row r="9808" spans="12:12">
      <c r="L9808"/>
    </row>
    <row r="9809" spans="12:12">
      <c r="L9809"/>
    </row>
    <row r="9810" spans="12:12">
      <c r="L9810"/>
    </row>
    <row r="9811" spans="12:12">
      <c r="L9811"/>
    </row>
    <row r="9812" spans="12:12">
      <c r="L9812"/>
    </row>
    <row r="9813" spans="12:12">
      <c r="L9813"/>
    </row>
    <row r="9814" spans="12:12">
      <c r="L9814"/>
    </row>
    <row r="9815" spans="12:12">
      <c r="L9815"/>
    </row>
    <row r="9816" spans="12:12">
      <c r="L9816"/>
    </row>
    <row r="9817" spans="12:12">
      <c r="L9817"/>
    </row>
    <row r="9818" spans="12:12">
      <c r="L9818"/>
    </row>
    <row r="9819" spans="12:12">
      <c r="L9819"/>
    </row>
    <row r="9820" spans="12:12">
      <c r="L9820"/>
    </row>
    <row r="9821" spans="12:12">
      <c r="L9821"/>
    </row>
    <row r="9822" spans="12:12">
      <c r="L9822"/>
    </row>
    <row r="9823" spans="12:12">
      <c r="L9823"/>
    </row>
    <row r="9824" spans="12:12">
      <c r="L9824"/>
    </row>
    <row r="9825" spans="12:12">
      <c r="L9825"/>
    </row>
    <row r="9826" spans="12:12">
      <c r="L9826"/>
    </row>
    <row r="9827" spans="12:12">
      <c r="L9827"/>
    </row>
    <row r="9828" spans="12:12">
      <c r="L9828"/>
    </row>
    <row r="9829" spans="12:12">
      <c r="L9829"/>
    </row>
    <row r="9830" spans="12:12">
      <c r="L9830"/>
    </row>
    <row r="9831" spans="12:12">
      <c r="L9831"/>
    </row>
    <row r="9832" spans="12:12">
      <c r="L9832"/>
    </row>
    <row r="9833" spans="12:12">
      <c r="L9833"/>
    </row>
    <row r="9834" spans="12:12">
      <c r="L9834"/>
    </row>
    <row r="9835" spans="12:12">
      <c r="L9835"/>
    </row>
    <row r="9836" spans="12:12">
      <c r="L9836"/>
    </row>
    <row r="9837" spans="12:12">
      <c r="L9837"/>
    </row>
    <row r="9838" spans="12:12">
      <c r="L9838"/>
    </row>
    <row r="9839" spans="12:12">
      <c r="L9839"/>
    </row>
    <row r="9840" spans="12:12">
      <c r="L9840"/>
    </row>
    <row r="9841" spans="12:12">
      <c r="L9841"/>
    </row>
    <row r="9842" spans="12:12">
      <c r="L9842"/>
    </row>
    <row r="9843" spans="12:12">
      <c r="L9843"/>
    </row>
    <row r="9844" spans="12:12">
      <c r="L9844"/>
    </row>
    <row r="9845" spans="12:12">
      <c r="L9845"/>
    </row>
    <row r="9846" spans="12:12">
      <c r="L9846"/>
    </row>
    <row r="9847" spans="12:12">
      <c r="L9847"/>
    </row>
    <row r="9848" spans="12:12">
      <c r="L9848"/>
    </row>
    <row r="9849" spans="12:12">
      <c r="L9849"/>
    </row>
    <row r="9850" spans="12:12">
      <c r="L9850"/>
    </row>
    <row r="9851" spans="12:12">
      <c r="L9851"/>
    </row>
    <row r="9852" spans="12:12">
      <c r="L9852"/>
    </row>
    <row r="9853" spans="12:12">
      <c r="L9853"/>
    </row>
    <row r="9854" spans="12:12">
      <c r="L9854"/>
    </row>
    <row r="9855" spans="12:12">
      <c r="L9855"/>
    </row>
    <row r="9856" spans="12:12">
      <c r="L9856"/>
    </row>
    <row r="9857" spans="12:12">
      <c r="L9857"/>
    </row>
    <row r="9858" spans="12:12">
      <c r="L9858"/>
    </row>
    <row r="9859" spans="12:12">
      <c r="L9859"/>
    </row>
    <row r="9860" spans="12:12">
      <c r="L9860"/>
    </row>
    <row r="9861" spans="12:12">
      <c r="L9861"/>
    </row>
    <row r="9862" spans="12:12">
      <c r="L9862"/>
    </row>
    <row r="9863" spans="12:12">
      <c r="L9863"/>
    </row>
    <row r="9864" spans="12:12">
      <c r="L9864"/>
    </row>
    <row r="9865" spans="12:12">
      <c r="L9865"/>
    </row>
    <row r="9866" spans="12:12">
      <c r="L9866"/>
    </row>
    <row r="9867" spans="12:12">
      <c r="L9867"/>
    </row>
    <row r="9868" spans="12:12">
      <c r="L9868"/>
    </row>
    <row r="9869" spans="12:12">
      <c r="L9869"/>
    </row>
    <row r="9870" spans="12:12">
      <c r="L9870"/>
    </row>
    <row r="9871" spans="12:12">
      <c r="L9871"/>
    </row>
    <row r="9872" spans="12:12">
      <c r="L9872"/>
    </row>
    <row r="9873" spans="12:12">
      <c r="L9873"/>
    </row>
    <row r="9874" spans="12:12">
      <c r="L9874"/>
    </row>
    <row r="9875" spans="12:12">
      <c r="L9875"/>
    </row>
    <row r="9876" spans="12:12">
      <c r="L9876"/>
    </row>
    <row r="9877" spans="12:12">
      <c r="L9877"/>
    </row>
    <row r="9878" spans="12:12">
      <c r="L9878"/>
    </row>
    <row r="9879" spans="12:12">
      <c r="L9879"/>
    </row>
    <row r="9880" spans="12:12">
      <c r="L9880"/>
    </row>
    <row r="9881" spans="12:12">
      <c r="L9881"/>
    </row>
    <row r="9882" spans="12:12">
      <c r="L9882"/>
    </row>
    <row r="9883" spans="12:12">
      <c r="L9883"/>
    </row>
    <row r="9884" spans="12:12">
      <c r="L9884"/>
    </row>
    <row r="9885" spans="12:12">
      <c r="L9885"/>
    </row>
    <row r="9886" spans="12:12">
      <c r="L9886"/>
    </row>
    <row r="9887" spans="12:12">
      <c r="L9887"/>
    </row>
    <row r="9888" spans="12:12">
      <c r="L9888"/>
    </row>
    <row r="9889" spans="12:12">
      <c r="L9889"/>
    </row>
    <row r="9890" spans="12:12">
      <c r="L9890"/>
    </row>
    <row r="9891" spans="12:12">
      <c r="L9891"/>
    </row>
    <row r="9892" spans="12:12">
      <c r="L9892"/>
    </row>
    <row r="9893" spans="12:12">
      <c r="L9893"/>
    </row>
    <row r="9894" spans="12:12">
      <c r="L9894"/>
    </row>
    <row r="9895" spans="12:12">
      <c r="L9895"/>
    </row>
    <row r="9896" spans="12:12">
      <c r="L9896"/>
    </row>
    <row r="9897" spans="12:12">
      <c r="L9897"/>
    </row>
    <row r="9898" spans="12:12">
      <c r="L9898"/>
    </row>
    <row r="9899" spans="12:12">
      <c r="L9899"/>
    </row>
    <row r="9900" spans="12:12">
      <c r="L9900"/>
    </row>
    <row r="9901" spans="12:12">
      <c r="L9901"/>
    </row>
    <row r="9902" spans="12:12">
      <c r="L9902"/>
    </row>
    <row r="9903" spans="12:12">
      <c r="L9903"/>
    </row>
    <row r="9904" spans="12:12">
      <c r="L9904"/>
    </row>
    <row r="9905" spans="12:12">
      <c r="L9905"/>
    </row>
    <row r="9906" spans="12:12">
      <c r="L9906"/>
    </row>
    <row r="9907" spans="12:12">
      <c r="L9907"/>
    </row>
    <row r="9908" spans="12:12">
      <c r="L9908"/>
    </row>
    <row r="9909" spans="12:12">
      <c r="L9909"/>
    </row>
    <row r="9910" spans="12:12">
      <c r="L9910"/>
    </row>
    <row r="9911" spans="12:12">
      <c r="L9911"/>
    </row>
    <row r="9912" spans="12:12">
      <c r="L9912"/>
    </row>
    <row r="9913" spans="12:12">
      <c r="L9913"/>
    </row>
    <row r="9914" spans="12:12">
      <c r="L9914"/>
    </row>
    <row r="9915" spans="12:12">
      <c r="L9915"/>
    </row>
    <row r="9916" spans="12:12">
      <c r="L9916"/>
    </row>
    <row r="9917" spans="12:12">
      <c r="L9917"/>
    </row>
    <row r="9918" spans="12:12">
      <c r="L9918"/>
    </row>
    <row r="9919" spans="12:12">
      <c r="L9919"/>
    </row>
    <row r="9920" spans="12:12">
      <c r="L9920"/>
    </row>
    <row r="9921" spans="12:12">
      <c r="L9921"/>
    </row>
    <row r="9922" spans="12:12">
      <c r="L9922"/>
    </row>
    <row r="9923" spans="12:12">
      <c r="L9923"/>
    </row>
    <row r="9924" spans="12:12">
      <c r="L9924"/>
    </row>
    <row r="9925" spans="12:12">
      <c r="L9925"/>
    </row>
    <row r="9926" spans="12:12">
      <c r="L9926"/>
    </row>
    <row r="9927" spans="12:12">
      <c r="L9927"/>
    </row>
    <row r="9928" spans="12:12">
      <c r="L9928"/>
    </row>
    <row r="9929" spans="12:12">
      <c r="L9929"/>
    </row>
    <row r="9930" spans="12:12">
      <c r="L9930"/>
    </row>
    <row r="9931" spans="12:12">
      <c r="L9931"/>
    </row>
    <row r="9932" spans="12:12">
      <c r="L9932"/>
    </row>
    <row r="9933" spans="12:12">
      <c r="L9933"/>
    </row>
    <row r="9934" spans="12:12">
      <c r="L9934"/>
    </row>
    <row r="9935" spans="12:12">
      <c r="L9935"/>
    </row>
    <row r="9936" spans="12:12">
      <c r="L9936"/>
    </row>
    <row r="9937" spans="12:12">
      <c r="L9937"/>
    </row>
    <row r="9938" spans="12:12">
      <c r="L9938"/>
    </row>
    <row r="9939" spans="12:12">
      <c r="L9939"/>
    </row>
    <row r="9940" spans="12:12">
      <c r="L9940"/>
    </row>
    <row r="9941" spans="12:12">
      <c r="L9941"/>
    </row>
    <row r="9942" spans="12:12">
      <c r="L9942"/>
    </row>
    <row r="9943" spans="12:12">
      <c r="L9943"/>
    </row>
    <row r="9944" spans="12:12">
      <c r="L9944"/>
    </row>
    <row r="9945" spans="12:12">
      <c r="L9945"/>
    </row>
    <row r="9946" spans="12:12">
      <c r="L9946"/>
    </row>
    <row r="9947" spans="12:12">
      <c r="L9947"/>
    </row>
    <row r="9948" spans="12:12">
      <c r="L9948"/>
    </row>
    <row r="9949" spans="12:12">
      <c r="L9949"/>
    </row>
    <row r="9950" spans="12:12">
      <c r="L9950"/>
    </row>
    <row r="9951" spans="12:12">
      <c r="L9951"/>
    </row>
    <row r="9952" spans="12:12">
      <c r="L9952"/>
    </row>
    <row r="9953" spans="12:12">
      <c r="L9953"/>
    </row>
    <row r="9954" spans="12:12">
      <c r="L9954"/>
    </row>
    <row r="9955" spans="12:12">
      <c r="L9955"/>
    </row>
    <row r="9956" spans="12:12">
      <c r="L9956"/>
    </row>
    <row r="9957" spans="12:12">
      <c r="L9957"/>
    </row>
    <row r="9958" spans="12:12">
      <c r="L9958"/>
    </row>
    <row r="9959" spans="12:12">
      <c r="L9959"/>
    </row>
    <row r="9960" spans="12:12">
      <c r="L9960"/>
    </row>
    <row r="9961" spans="12:12">
      <c r="L9961"/>
    </row>
    <row r="9962" spans="12:12">
      <c r="L9962"/>
    </row>
    <row r="9963" spans="12:12">
      <c r="L9963"/>
    </row>
    <row r="9964" spans="12:12">
      <c r="L9964"/>
    </row>
    <row r="9965" spans="12:12">
      <c r="L9965"/>
    </row>
    <row r="9966" spans="12:12">
      <c r="L9966"/>
    </row>
    <row r="9967" spans="12:12">
      <c r="L9967"/>
    </row>
    <row r="9968" spans="12:12">
      <c r="L9968"/>
    </row>
    <row r="9969" spans="12:12">
      <c r="L9969"/>
    </row>
    <row r="9970" spans="12:12">
      <c r="L9970"/>
    </row>
    <row r="9971" spans="12:12">
      <c r="L9971"/>
    </row>
    <row r="9972" spans="12:12">
      <c r="L9972"/>
    </row>
    <row r="9973" spans="12:12">
      <c r="L9973"/>
    </row>
    <row r="9974" spans="12:12">
      <c r="L9974"/>
    </row>
    <row r="9975" spans="12:12">
      <c r="L9975"/>
    </row>
    <row r="9976" spans="12:12">
      <c r="L9976"/>
    </row>
    <row r="9977" spans="12:12">
      <c r="L9977"/>
    </row>
    <row r="9978" spans="12:12">
      <c r="L9978"/>
    </row>
    <row r="9979" spans="12:12">
      <c r="L9979"/>
    </row>
    <row r="9980" spans="12:12">
      <c r="L9980"/>
    </row>
    <row r="9981" spans="12:12">
      <c r="L9981"/>
    </row>
    <row r="9982" spans="12:12">
      <c r="L9982"/>
    </row>
    <row r="9983" spans="12:12">
      <c r="L9983"/>
    </row>
    <row r="9984" spans="12:12">
      <c r="L9984"/>
    </row>
    <row r="9985" spans="12:12">
      <c r="L9985"/>
    </row>
    <row r="9986" spans="12:12">
      <c r="L9986"/>
    </row>
    <row r="9987" spans="12:12">
      <c r="L9987"/>
    </row>
    <row r="9988" spans="12:12">
      <c r="L9988"/>
    </row>
    <row r="9989" spans="12:12">
      <c r="L9989"/>
    </row>
    <row r="9990" spans="12:12">
      <c r="L9990"/>
    </row>
    <row r="9991" spans="12:12">
      <c r="L9991"/>
    </row>
    <row r="9992" spans="12:12">
      <c r="L9992"/>
    </row>
    <row r="9993" spans="12:12">
      <c r="L9993"/>
    </row>
    <row r="9994" spans="12:12">
      <c r="L9994"/>
    </row>
    <row r="9995" spans="12:12">
      <c r="L9995"/>
    </row>
    <row r="9996" spans="12:12">
      <c r="L9996"/>
    </row>
    <row r="9997" spans="12:12">
      <c r="L9997"/>
    </row>
    <row r="9998" spans="12:12">
      <c r="L9998"/>
    </row>
    <row r="9999" spans="12:12">
      <c r="L9999"/>
    </row>
    <row r="10000" spans="12:12">
      <c r="L10000"/>
    </row>
    <row r="10001" spans="12:12">
      <c r="L10001"/>
    </row>
    <row r="10002" spans="12:12">
      <c r="L10002"/>
    </row>
    <row r="10003" spans="12:12">
      <c r="L10003"/>
    </row>
    <row r="10004" spans="12:12">
      <c r="L10004"/>
    </row>
    <row r="10005" spans="12:12">
      <c r="L10005"/>
    </row>
    <row r="10006" spans="12:12">
      <c r="L10006"/>
    </row>
    <row r="10007" spans="12:12">
      <c r="L10007"/>
    </row>
    <row r="10008" spans="12:12">
      <c r="L10008"/>
    </row>
    <row r="10009" spans="12:12">
      <c r="L10009"/>
    </row>
    <row r="10010" spans="12:12">
      <c r="L10010"/>
    </row>
    <row r="10011" spans="12:12">
      <c r="L10011"/>
    </row>
    <row r="10012" spans="12:12">
      <c r="L10012"/>
    </row>
    <row r="10013" spans="12:12">
      <c r="L10013"/>
    </row>
    <row r="10014" spans="12:12">
      <c r="L10014"/>
    </row>
    <row r="10015" spans="12:12">
      <c r="L10015"/>
    </row>
    <row r="10016" spans="12:12">
      <c r="L10016"/>
    </row>
    <row r="10017" spans="12:12">
      <c r="L10017"/>
    </row>
    <row r="10018" spans="12:12">
      <c r="L10018"/>
    </row>
    <row r="10019" spans="12:12">
      <c r="L10019"/>
    </row>
    <row r="10020" spans="12:12">
      <c r="L10020"/>
    </row>
    <row r="10021" spans="12:12">
      <c r="L10021"/>
    </row>
    <row r="10022" spans="12:12">
      <c r="L10022"/>
    </row>
    <row r="10023" spans="12:12">
      <c r="L10023"/>
    </row>
    <row r="10024" spans="12:12">
      <c r="L10024"/>
    </row>
    <row r="10025" spans="12:12">
      <c r="L10025"/>
    </row>
    <row r="10026" spans="12:12">
      <c r="L10026"/>
    </row>
    <row r="10027" spans="12:12">
      <c r="L10027"/>
    </row>
    <row r="10028" spans="12:12">
      <c r="L10028"/>
    </row>
    <row r="10029" spans="12:12">
      <c r="L10029"/>
    </row>
    <row r="10030" spans="12:12">
      <c r="L10030"/>
    </row>
    <row r="10031" spans="12:12">
      <c r="L10031"/>
    </row>
    <row r="10032" spans="12:12">
      <c r="L10032"/>
    </row>
    <row r="10033" spans="12:12">
      <c r="L10033"/>
    </row>
    <row r="10034" spans="12:12">
      <c r="L10034"/>
    </row>
    <row r="10035" spans="12:12">
      <c r="L10035"/>
    </row>
    <row r="10036" spans="12:12">
      <c r="L10036"/>
    </row>
    <row r="10037" spans="12:12">
      <c r="L10037"/>
    </row>
    <row r="10038" spans="12:12">
      <c r="L10038"/>
    </row>
    <row r="10039" spans="12:12">
      <c r="L10039"/>
    </row>
    <row r="10040" spans="12:12">
      <c r="L10040"/>
    </row>
    <row r="10041" spans="12:12">
      <c r="L10041"/>
    </row>
    <row r="10042" spans="12:12">
      <c r="L10042"/>
    </row>
    <row r="10043" spans="12:12">
      <c r="L10043"/>
    </row>
    <row r="10044" spans="12:12">
      <c r="L10044"/>
    </row>
    <row r="10045" spans="12:12">
      <c r="L10045"/>
    </row>
    <row r="10046" spans="12:12">
      <c r="L10046"/>
    </row>
    <row r="10047" spans="12:12">
      <c r="L10047"/>
    </row>
    <row r="10048" spans="12:12">
      <c r="L10048"/>
    </row>
    <row r="10049" spans="12:12">
      <c r="L10049"/>
    </row>
    <row r="10050" spans="12:12">
      <c r="L10050"/>
    </row>
    <row r="10051" spans="12:12">
      <c r="L10051"/>
    </row>
    <row r="10052" spans="12:12">
      <c r="L10052"/>
    </row>
    <row r="10053" spans="12:12">
      <c r="L10053"/>
    </row>
    <row r="10054" spans="12:12">
      <c r="L10054"/>
    </row>
    <row r="10055" spans="12:12">
      <c r="L10055"/>
    </row>
    <row r="10056" spans="12:12">
      <c r="L10056"/>
    </row>
    <row r="10057" spans="12:12">
      <c r="L10057"/>
    </row>
    <row r="10058" spans="12:12">
      <c r="L10058"/>
    </row>
    <row r="10059" spans="12:12">
      <c r="L10059"/>
    </row>
    <row r="10060" spans="12:12">
      <c r="L10060"/>
    </row>
    <row r="10061" spans="12:12">
      <c r="L10061"/>
    </row>
    <row r="10062" spans="12:12">
      <c r="L10062"/>
    </row>
    <row r="10063" spans="12:12">
      <c r="L10063"/>
    </row>
    <row r="10064" spans="12:12">
      <c r="L10064"/>
    </row>
    <row r="10065" spans="12:12">
      <c r="L10065"/>
    </row>
    <row r="10066" spans="12:12">
      <c r="L10066"/>
    </row>
    <row r="10067" spans="12:12">
      <c r="L10067"/>
    </row>
    <row r="10068" spans="12:12">
      <c r="L10068"/>
    </row>
    <row r="10069" spans="12:12">
      <c r="L10069"/>
    </row>
    <row r="10070" spans="12:12">
      <c r="L10070"/>
    </row>
    <row r="10071" spans="12:12">
      <c r="L10071"/>
    </row>
    <row r="10072" spans="12:12">
      <c r="L10072"/>
    </row>
    <row r="10073" spans="12:12">
      <c r="L10073"/>
    </row>
    <row r="10074" spans="12:12">
      <c r="L10074"/>
    </row>
    <row r="10075" spans="12:12">
      <c r="L10075"/>
    </row>
    <row r="10076" spans="12:12">
      <c r="L10076"/>
    </row>
    <row r="10077" spans="12:12">
      <c r="L10077"/>
    </row>
    <row r="10078" spans="12:12">
      <c r="L10078"/>
    </row>
    <row r="10079" spans="12:12">
      <c r="L10079"/>
    </row>
    <row r="10080" spans="12:12">
      <c r="L10080"/>
    </row>
    <row r="10081" spans="12:12">
      <c r="L10081"/>
    </row>
    <row r="10082" spans="12:12">
      <c r="L10082"/>
    </row>
    <row r="10083" spans="12:12">
      <c r="L10083"/>
    </row>
    <row r="10084" spans="12:12">
      <c r="L10084"/>
    </row>
    <row r="10085" spans="12:12">
      <c r="L10085"/>
    </row>
    <row r="10086" spans="12:12">
      <c r="L10086"/>
    </row>
    <row r="10087" spans="12:12">
      <c r="L10087"/>
    </row>
    <row r="10088" spans="12:12">
      <c r="L10088"/>
    </row>
    <row r="10089" spans="12:12">
      <c r="L10089"/>
    </row>
    <row r="10090" spans="12:12">
      <c r="L10090"/>
    </row>
    <row r="10091" spans="12:12">
      <c r="L10091"/>
    </row>
    <row r="10092" spans="12:12">
      <c r="L10092"/>
    </row>
    <row r="10093" spans="12:12">
      <c r="L10093"/>
    </row>
    <row r="10094" spans="12:12">
      <c r="L10094"/>
    </row>
    <row r="10095" spans="12:12">
      <c r="L10095"/>
    </row>
    <row r="10096" spans="12:12">
      <c r="L10096"/>
    </row>
    <row r="10097" spans="12:12">
      <c r="L10097"/>
    </row>
    <row r="10098" spans="12:12">
      <c r="L10098"/>
    </row>
    <row r="10099" spans="12:12">
      <c r="L10099"/>
    </row>
    <row r="10100" spans="12:12">
      <c r="L10100"/>
    </row>
    <row r="10101" spans="12:12">
      <c r="L10101"/>
    </row>
    <row r="10102" spans="12:12">
      <c r="L10102"/>
    </row>
    <row r="10103" spans="12:12">
      <c r="L10103"/>
    </row>
    <row r="10104" spans="12:12">
      <c r="L10104"/>
    </row>
    <row r="10105" spans="12:12">
      <c r="L10105"/>
    </row>
    <row r="10106" spans="12:12">
      <c r="L10106"/>
    </row>
    <row r="10107" spans="12:12">
      <c r="L10107"/>
    </row>
    <row r="10108" spans="12:12">
      <c r="L10108"/>
    </row>
    <row r="10109" spans="12:12">
      <c r="L10109"/>
    </row>
    <row r="10110" spans="12:12">
      <c r="L10110"/>
    </row>
    <row r="10111" spans="12:12">
      <c r="L10111"/>
    </row>
    <row r="10112" spans="12:12">
      <c r="L10112"/>
    </row>
    <row r="10113" spans="12:12">
      <c r="L10113"/>
    </row>
    <row r="10114" spans="12:12">
      <c r="L10114"/>
    </row>
    <row r="10115" spans="12:12">
      <c r="L10115"/>
    </row>
    <row r="10116" spans="12:12">
      <c r="L10116"/>
    </row>
    <row r="10117" spans="12:12">
      <c r="L10117"/>
    </row>
    <row r="10118" spans="12:12">
      <c r="L10118"/>
    </row>
    <row r="10119" spans="12:12">
      <c r="L10119"/>
    </row>
    <row r="10120" spans="12:12">
      <c r="L10120"/>
    </row>
    <row r="10121" spans="12:12">
      <c r="L10121"/>
    </row>
    <row r="10122" spans="12:12">
      <c r="L10122"/>
    </row>
    <row r="10123" spans="12:12">
      <c r="L10123"/>
    </row>
    <row r="10124" spans="12:12">
      <c r="L10124"/>
    </row>
    <row r="10125" spans="12:12">
      <c r="L10125"/>
    </row>
    <row r="10126" spans="12:12">
      <c r="L10126"/>
    </row>
    <row r="10127" spans="12:12">
      <c r="L10127"/>
    </row>
    <row r="10128" spans="12:12">
      <c r="L10128"/>
    </row>
    <row r="10129" spans="12:12">
      <c r="L10129"/>
    </row>
    <row r="10130" spans="12:12">
      <c r="L10130"/>
    </row>
    <row r="10131" spans="12:12">
      <c r="L10131"/>
    </row>
    <row r="10132" spans="12:12">
      <c r="L10132"/>
    </row>
    <row r="10133" spans="12:12">
      <c r="L10133"/>
    </row>
    <row r="10134" spans="12:12">
      <c r="L10134"/>
    </row>
    <row r="10135" spans="12:12">
      <c r="L10135"/>
    </row>
    <row r="10136" spans="12:12">
      <c r="L10136"/>
    </row>
    <row r="10137" spans="12:12">
      <c r="L10137"/>
    </row>
    <row r="10138" spans="12:12">
      <c r="L10138"/>
    </row>
    <row r="10139" spans="12:12">
      <c r="L10139"/>
    </row>
    <row r="10140" spans="12:12">
      <c r="L10140"/>
    </row>
    <row r="10141" spans="12:12">
      <c r="L10141"/>
    </row>
    <row r="10142" spans="12:12">
      <c r="L10142"/>
    </row>
    <row r="10143" spans="12:12">
      <c r="L10143"/>
    </row>
    <row r="10144" spans="12:12">
      <c r="L10144"/>
    </row>
    <row r="10145" spans="12:12">
      <c r="L10145"/>
    </row>
    <row r="10146" spans="12:12">
      <c r="L10146"/>
    </row>
    <row r="10147" spans="12:12">
      <c r="L10147"/>
    </row>
    <row r="10148" spans="12:12">
      <c r="L10148"/>
    </row>
    <row r="10149" spans="12:12">
      <c r="L10149"/>
    </row>
    <row r="10150" spans="12:12">
      <c r="L10150"/>
    </row>
    <row r="10151" spans="12:12">
      <c r="L10151"/>
    </row>
    <row r="10152" spans="12:12">
      <c r="L10152"/>
    </row>
    <row r="10153" spans="12:12">
      <c r="L10153"/>
    </row>
    <row r="10154" spans="12:12">
      <c r="L10154"/>
    </row>
    <row r="10155" spans="12:12">
      <c r="L10155"/>
    </row>
    <row r="10156" spans="12:12">
      <c r="L10156"/>
    </row>
    <row r="10157" spans="12:12">
      <c r="L10157"/>
    </row>
    <row r="10158" spans="12:12">
      <c r="L10158"/>
    </row>
    <row r="10159" spans="12:12">
      <c r="L10159"/>
    </row>
    <row r="10160" spans="12:12">
      <c r="L10160"/>
    </row>
    <row r="10161" spans="12:12">
      <c r="L10161"/>
    </row>
    <row r="10162" spans="12:12">
      <c r="L10162"/>
    </row>
    <row r="10163" spans="12:12">
      <c r="L10163"/>
    </row>
    <row r="10164" spans="12:12">
      <c r="L10164"/>
    </row>
    <row r="10165" spans="12:12">
      <c r="L10165"/>
    </row>
    <row r="10166" spans="12:12">
      <c r="L10166"/>
    </row>
    <row r="10167" spans="12:12">
      <c r="L10167"/>
    </row>
    <row r="10168" spans="12:12">
      <c r="L10168"/>
    </row>
    <row r="10169" spans="12:12">
      <c r="L10169"/>
    </row>
    <row r="10170" spans="12:12">
      <c r="L10170"/>
    </row>
    <row r="10171" spans="12:12">
      <c r="L10171"/>
    </row>
    <row r="10172" spans="12:12">
      <c r="L10172"/>
    </row>
    <row r="10173" spans="12:12">
      <c r="L10173"/>
    </row>
    <row r="10174" spans="12:12">
      <c r="L10174"/>
    </row>
    <row r="10175" spans="12:12">
      <c r="L10175"/>
    </row>
    <row r="10176" spans="12:12">
      <c r="L10176"/>
    </row>
    <row r="10177" spans="12:12">
      <c r="L10177"/>
    </row>
    <row r="10178" spans="12:12">
      <c r="L10178"/>
    </row>
    <row r="10179" spans="12:12">
      <c r="L10179"/>
    </row>
    <row r="10180" spans="12:12">
      <c r="L10180"/>
    </row>
    <row r="10181" spans="12:12">
      <c r="L10181"/>
    </row>
    <row r="10182" spans="12:12">
      <c r="L10182"/>
    </row>
    <row r="10183" spans="12:12">
      <c r="L10183"/>
    </row>
    <row r="10184" spans="12:12">
      <c r="L10184"/>
    </row>
    <row r="10185" spans="12:12">
      <c r="L10185"/>
    </row>
    <row r="10186" spans="12:12">
      <c r="L10186"/>
    </row>
    <row r="10187" spans="12:12">
      <c r="L10187"/>
    </row>
    <row r="10188" spans="12:12">
      <c r="L10188"/>
    </row>
    <row r="10189" spans="12:12">
      <c r="L10189"/>
    </row>
    <row r="10190" spans="12:12">
      <c r="L10190"/>
    </row>
    <row r="10191" spans="12:12">
      <c r="L10191"/>
    </row>
    <row r="10192" spans="12:12">
      <c r="L10192"/>
    </row>
    <row r="10193" spans="12:12">
      <c r="L10193"/>
    </row>
    <row r="10194" spans="12:12">
      <c r="L10194"/>
    </row>
    <row r="10195" spans="12:12">
      <c r="L10195"/>
    </row>
    <row r="10196" spans="12:12">
      <c r="L10196"/>
    </row>
    <row r="10197" spans="12:12">
      <c r="L10197"/>
    </row>
    <row r="10198" spans="12:12">
      <c r="L10198"/>
    </row>
    <row r="10199" spans="12:12">
      <c r="L10199"/>
    </row>
    <row r="10200" spans="12:12">
      <c r="L10200"/>
    </row>
    <row r="10201" spans="12:12">
      <c r="L10201"/>
    </row>
    <row r="10202" spans="12:12">
      <c r="L10202"/>
    </row>
    <row r="10203" spans="12:12">
      <c r="L10203"/>
    </row>
    <row r="10204" spans="12:12">
      <c r="L10204"/>
    </row>
    <row r="10205" spans="12:12">
      <c r="L10205"/>
    </row>
    <row r="10206" spans="12:12">
      <c r="L10206"/>
    </row>
    <row r="10207" spans="12:12">
      <c r="L10207"/>
    </row>
    <row r="10208" spans="12:12">
      <c r="L10208"/>
    </row>
    <row r="10209" spans="12:12">
      <c r="L10209"/>
    </row>
    <row r="10210" spans="12:12">
      <c r="L10210"/>
    </row>
    <row r="10211" spans="12:12">
      <c r="L10211"/>
    </row>
    <row r="10212" spans="12:12">
      <c r="L10212"/>
    </row>
    <row r="10213" spans="12:12">
      <c r="L10213"/>
    </row>
    <row r="10214" spans="12:12">
      <c r="L10214"/>
    </row>
    <row r="10215" spans="12:12">
      <c r="L10215"/>
    </row>
    <row r="10216" spans="12:12">
      <c r="L10216"/>
    </row>
    <row r="10217" spans="12:12">
      <c r="L10217"/>
    </row>
    <row r="10218" spans="12:12">
      <c r="L10218"/>
    </row>
    <row r="10219" spans="12:12">
      <c r="L10219"/>
    </row>
    <row r="10220" spans="12:12">
      <c r="L10220"/>
    </row>
    <row r="10221" spans="12:12">
      <c r="L10221"/>
    </row>
    <row r="10222" spans="12:12">
      <c r="L10222"/>
    </row>
    <row r="10223" spans="12:12">
      <c r="L10223"/>
    </row>
    <row r="10224" spans="12:12">
      <c r="L10224"/>
    </row>
    <row r="10225" spans="12:12">
      <c r="L10225"/>
    </row>
    <row r="10226" spans="12:12">
      <c r="L10226"/>
    </row>
    <row r="10227" spans="12:12">
      <c r="L10227"/>
    </row>
    <row r="10228" spans="12:12">
      <c r="L10228"/>
    </row>
    <row r="10229" spans="12:12">
      <c r="L10229"/>
    </row>
    <row r="10230" spans="12:12">
      <c r="L10230"/>
    </row>
    <row r="10231" spans="12:12">
      <c r="L10231"/>
    </row>
    <row r="10232" spans="12:12">
      <c r="L10232"/>
    </row>
    <row r="10233" spans="12:12">
      <c r="L10233"/>
    </row>
    <row r="10234" spans="12:12">
      <c r="L10234"/>
    </row>
    <row r="10235" spans="12:12">
      <c r="L10235"/>
    </row>
    <row r="10236" spans="12:12">
      <c r="L10236"/>
    </row>
    <row r="10237" spans="12:12">
      <c r="L10237"/>
    </row>
    <row r="10238" spans="12:12">
      <c r="L10238"/>
    </row>
    <row r="10239" spans="12:12">
      <c r="L10239"/>
    </row>
    <row r="10240" spans="12:12">
      <c r="L10240"/>
    </row>
    <row r="10241" spans="12:12">
      <c r="L10241"/>
    </row>
    <row r="10242" spans="12:12">
      <c r="L10242"/>
    </row>
    <row r="10243" spans="12:12">
      <c r="L10243"/>
    </row>
    <row r="10244" spans="12:12">
      <c r="L10244"/>
    </row>
    <row r="10245" spans="12:12">
      <c r="L10245"/>
    </row>
    <row r="10246" spans="12:12">
      <c r="L10246"/>
    </row>
    <row r="10247" spans="12:12">
      <c r="L10247"/>
    </row>
    <row r="10248" spans="12:12">
      <c r="L10248"/>
    </row>
    <row r="10249" spans="12:12">
      <c r="L10249"/>
    </row>
    <row r="10250" spans="12:12">
      <c r="L10250"/>
    </row>
    <row r="10251" spans="12:12">
      <c r="L10251"/>
    </row>
    <row r="10252" spans="12:12">
      <c r="L10252"/>
    </row>
    <row r="10253" spans="12:12">
      <c r="L10253"/>
    </row>
    <row r="10254" spans="12:12">
      <c r="L10254"/>
    </row>
    <row r="10255" spans="12:12">
      <c r="L10255"/>
    </row>
    <row r="10256" spans="12:12">
      <c r="L10256"/>
    </row>
    <row r="10257" spans="12:12">
      <c r="L10257"/>
    </row>
    <row r="10258" spans="12:12">
      <c r="L10258"/>
    </row>
    <row r="10259" spans="12:12">
      <c r="L10259"/>
    </row>
    <row r="10260" spans="12:12">
      <c r="L10260"/>
    </row>
    <row r="10261" spans="12:12">
      <c r="L10261"/>
    </row>
    <row r="10262" spans="12:12">
      <c r="L10262"/>
    </row>
    <row r="10263" spans="12:12">
      <c r="L10263"/>
    </row>
    <row r="10264" spans="12:12">
      <c r="L10264"/>
    </row>
    <row r="10265" spans="12:12">
      <c r="L10265"/>
    </row>
    <row r="10266" spans="12:12">
      <c r="L10266"/>
    </row>
    <row r="10267" spans="12:12">
      <c r="L10267"/>
    </row>
    <row r="10268" spans="12:12">
      <c r="L10268"/>
    </row>
    <row r="10269" spans="12:12">
      <c r="L10269"/>
    </row>
    <row r="10270" spans="12:12">
      <c r="L10270"/>
    </row>
    <row r="10271" spans="12:12">
      <c r="L10271"/>
    </row>
    <row r="10272" spans="12:12">
      <c r="L10272"/>
    </row>
    <row r="10273" spans="12:12">
      <c r="L10273"/>
    </row>
    <row r="10274" spans="12:12">
      <c r="L10274"/>
    </row>
    <row r="10275" spans="12:12">
      <c r="L10275"/>
    </row>
    <row r="10276" spans="12:12">
      <c r="L10276"/>
    </row>
    <row r="10277" spans="12:12">
      <c r="L10277"/>
    </row>
    <row r="10278" spans="12:12">
      <c r="L10278"/>
    </row>
    <row r="10279" spans="12:12">
      <c r="L10279"/>
    </row>
    <row r="10280" spans="12:12">
      <c r="L10280"/>
    </row>
    <row r="10281" spans="12:12">
      <c r="L10281"/>
    </row>
    <row r="10282" spans="12:12">
      <c r="L10282"/>
    </row>
    <row r="10283" spans="12:12">
      <c r="L10283"/>
    </row>
    <row r="10284" spans="12:12">
      <c r="L10284"/>
    </row>
    <row r="10285" spans="12:12">
      <c r="L10285"/>
    </row>
    <row r="10286" spans="12:12">
      <c r="L10286"/>
    </row>
    <row r="10287" spans="12:12">
      <c r="L10287"/>
    </row>
    <row r="10288" spans="12:12">
      <c r="L10288"/>
    </row>
    <row r="10289" spans="12:12">
      <c r="L10289"/>
    </row>
    <row r="10290" spans="12:12">
      <c r="L10290"/>
    </row>
    <row r="10291" spans="12:12">
      <c r="L10291"/>
    </row>
    <row r="10292" spans="12:12">
      <c r="L10292"/>
    </row>
    <row r="10293" spans="12:12">
      <c r="L10293"/>
    </row>
    <row r="10294" spans="12:12">
      <c r="L10294"/>
    </row>
    <row r="10295" spans="12:12">
      <c r="L10295"/>
    </row>
    <row r="10296" spans="12:12">
      <c r="L10296"/>
    </row>
    <row r="10297" spans="12:12">
      <c r="L10297"/>
    </row>
    <row r="10298" spans="12:12">
      <c r="L10298"/>
    </row>
    <row r="10299" spans="12:12">
      <c r="L10299"/>
    </row>
    <row r="10300" spans="12:12">
      <c r="L10300"/>
    </row>
    <row r="10301" spans="12:12">
      <c r="L10301"/>
    </row>
    <row r="10302" spans="12:12">
      <c r="L10302"/>
    </row>
    <row r="10303" spans="12:12">
      <c r="L10303"/>
    </row>
    <row r="10304" spans="12:12">
      <c r="L10304"/>
    </row>
    <row r="10305" spans="12:12">
      <c r="L10305"/>
    </row>
    <row r="10306" spans="12:12">
      <c r="L10306"/>
    </row>
    <row r="10307" spans="12:12">
      <c r="L10307"/>
    </row>
    <row r="10308" spans="12:12">
      <c r="L10308"/>
    </row>
    <row r="10309" spans="12:12">
      <c r="L10309"/>
    </row>
    <row r="10310" spans="12:12">
      <c r="L10310"/>
    </row>
    <row r="10311" spans="12:12">
      <c r="L10311"/>
    </row>
    <row r="10312" spans="12:12">
      <c r="L10312"/>
    </row>
    <row r="10313" spans="12:12">
      <c r="L10313"/>
    </row>
    <row r="10314" spans="12:12">
      <c r="L10314"/>
    </row>
    <row r="10315" spans="12:12">
      <c r="L10315"/>
    </row>
    <row r="10316" spans="12:12">
      <c r="L10316"/>
    </row>
    <row r="10317" spans="12:12">
      <c r="L10317"/>
    </row>
    <row r="10318" spans="12:12">
      <c r="L10318"/>
    </row>
    <row r="10319" spans="12:12">
      <c r="L10319"/>
    </row>
    <row r="10320" spans="12:12">
      <c r="L10320"/>
    </row>
    <row r="10321" spans="12:12">
      <c r="L10321"/>
    </row>
    <row r="10322" spans="12:12">
      <c r="L10322"/>
    </row>
    <row r="10323" spans="12:12">
      <c r="L10323"/>
    </row>
    <row r="10324" spans="12:12">
      <c r="L10324"/>
    </row>
    <row r="10325" spans="12:12">
      <c r="L10325"/>
    </row>
    <row r="10326" spans="12:12">
      <c r="L10326"/>
    </row>
    <row r="10327" spans="12:12">
      <c r="L10327"/>
    </row>
    <row r="10328" spans="12:12">
      <c r="L10328"/>
    </row>
    <row r="10329" spans="12:12">
      <c r="L10329"/>
    </row>
    <row r="10330" spans="12:12">
      <c r="L10330"/>
    </row>
    <row r="10331" spans="12:12">
      <c r="L10331"/>
    </row>
    <row r="10332" spans="12:12">
      <c r="L10332"/>
    </row>
    <row r="10333" spans="12:12">
      <c r="L10333"/>
    </row>
    <row r="10334" spans="12:12">
      <c r="L10334"/>
    </row>
    <row r="10335" spans="12:12">
      <c r="L10335"/>
    </row>
    <row r="10336" spans="12:12">
      <c r="L10336"/>
    </row>
    <row r="10337" spans="12:12">
      <c r="L10337"/>
    </row>
    <row r="10338" spans="12:12">
      <c r="L10338"/>
    </row>
    <row r="10339" spans="12:12">
      <c r="L10339"/>
    </row>
    <row r="10340" spans="12:12">
      <c r="L10340"/>
    </row>
    <row r="10341" spans="12:12">
      <c r="L10341"/>
    </row>
    <row r="10342" spans="12:12">
      <c r="L10342"/>
    </row>
    <row r="10343" spans="12:12">
      <c r="L10343"/>
    </row>
    <row r="10344" spans="12:12">
      <c r="L10344"/>
    </row>
    <row r="10345" spans="12:12">
      <c r="L10345"/>
    </row>
    <row r="10346" spans="12:12">
      <c r="L10346"/>
    </row>
    <row r="10347" spans="12:12">
      <c r="L10347"/>
    </row>
    <row r="10348" spans="12:12">
      <c r="L10348"/>
    </row>
    <row r="10349" spans="12:12">
      <c r="L10349"/>
    </row>
    <row r="10350" spans="12:12">
      <c r="L10350"/>
    </row>
    <row r="10351" spans="12:12">
      <c r="L10351"/>
    </row>
    <row r="10352" spans="12:12">
      <c r="L10352"/>
    </row>
    <row r="10353" spans="12:12">
      <c r="L10353"/>
    </row>
    <row r="10354" spans="12:12">
      <c r="L10354"/>
    </row>
    <row r="10355" spans="12:12">
      <c r="L10355"/>
    </row>
    <row r="10356" spans="12:12">
      <c r="L10356"/>
    </row>
    <row r="10357" spans="12:12">
      <c r="L10357"/>
    </row>
    <row r="10358" spans="12:12">
      <c r="L10358"/>
    </row>
    <row r="10359" spans="12:12">
      <c r="L10359"/>
    </row>
    <row r="10360" spans="12:12">
      <c r="L10360"/>
    </row>
    <row r="10361" spans="12:12">
      <c r="L10361"/>
    </row>
    <row r="10362" spans="12:12">
      <c r="L10362"/>
    </row>
    <row r="10363" spans="12:12">
      <c r="L10363"/>
    </row>
    <row r="10364" spans="12:12">
      <c r="L10364"/>
    </row>
    <row r="10365" spans="12:12">
      <c r="L10365"/>
    </row>
    <row r="10366" spans="12:12">
      <c r="L10366"/>
    </row>
    <row r="10367" spans="12:12">
      <c r="L10367"/>
    </row>
    <row r="10368" spans="12:12">
      <c r="L10368"/>
    </row>
    <row r="10369" spans="12:12">
      <c r="L10369"/>
    </row>
    <row r="10370" spans="12:12">
      <c r="L10370"/>
    </row>
    <row r="10371" spans="12:12">
      <c r="L10371"/>
    </row>
    <row r="10372" spans="12:12">
      <c r="L10372"/>
    </row>
    <row r="10373" spans="12:12">
      <c r="L10373"/>
    </row>
    <row r="10374" spans="12:12">
      <c r="L10374"/>
    </row>
    <row r="10375" spans="12:12">
      <c r="L10375"/>
    </row>
    <row r="10376" spans="12:12">
      <c r="L10376"/>
    </row>
    <row r="10377" spans="12:12">
      <c r="L10377"/>
    </row>
    <row r="10378" spans="12:12">
      <c r="L10378"/>
    </row>
    <row r="10379" spans="12:12">
      <c r="L10379"/>
    </row>
    <row r="10380" spans="12:12">
      <c r="L10380"/>
    </row>
    <row r="10381" spans="12:12">
      <c r="L10381"/>
    </row>
    <row r="10382" spans="12:12">
      <c r="L10382"/>
    </row>
    <row r="10383" spans="12:12">
      <c r="L10383"/>
    </row>
    <row r="10384" spans="12:12">
      <c r="L10384"/>
    </row>
    <row r="10385" spans="12:12">
      <c r="L10385"/>
    </row>
    <row r="10386" spans="12:12">
      <c r="L10386"/>
    </row>
    <row r="10387" spans="12:12">
      <c r="L10387"/>
    </row>
    <row r="10388" spans="12:12">
      <c r="L10388"/>
    </row>
    <row r="10389" spans="12:12">
      <c r="L10389"/>
    </row>
    <row r="10390" spans="12:12">
      <c r="L10390"/>
    </row>
    <row r="10391" spans="12:12">
      <c r="L10391"/>
    </row>
    <row r="10392" spans="12:12">
      <c r="L10392"/>
    </row>
    <row r="10393" spans="12:12">
      <c r="L10393"/>
    </row>
    <row r="10394" spans="12:12">
      <c r="L10394"/>
    </row>
    <row r="10395" spans="12:12">
      <c r="L10395"/>
    </row>
    <row r="10396" spans="12:12">
      <c r="L10396"/>
    </row>
    <row r="10397" spans="12:12">
      <c r="L10397"/>
    </row>
    <row r="10398" spans="12:12">
      <c r="L10398"/>
    </row>
    <row r="10399" spans="12:12">
      <c r="L10399"/>
    </row>
    <row r="10400" spans="12:12">
      <c r="L10400"/>
    </row>
    <row r="10401" spans="12:12">
      <c r="L10401"/>
    </row>
    <row r="10402" spans="12:12">
      <c r="L10402"/>
    </row>
    <row r="10403" spans="12:12">
      <c r="L10403"/>
    </row>
    <row r="10404" spans="12:12">
      <c r="L10404"/>
    </row>
    <row r="10405" spans="12:12">
      <c r="L10405"/>
    </row>
    <row r="10406" spans="12:12">
      <c r="L10406"/>
    </row>
    <row r="10407" spans="12:12">
      <c r="L10407"/>
    </row>
    <row r="10408" spans="12:12">
      <c r="L10408"/>
    </row>
    <row r="10409" spans="12:12">
      <c r="L10409"/>
    </row>
    <row r="10410" spans="12:12">
      <c r="L10410"/>
    </row>
    <row r="10411" spans="12:12">
      <c r="L10411"/>
    </row>
    <row r="10412" spans="12:12">
      <c r="L10412"/>
    </row>
    <row r="10413" spans="12:12">
      <c r="L10413"/>
    </row>
    <row r="10414" spans="12:12">
      <c r="L10414"/>
    </row>
    <row r="10415" spans="12:12">
      <c r="L10415"/>
    </row>
    <row r="10416" spans="12:12">
      <c r="L10416"/>
    </row>
    <row r="10417" spans="12:12">
      <c r="L10417"/>
    </row>
    <row r="10418" spans="12:12">
      <c r="L10418"/>
    </row>
    <row r="10419" spans="12:12">
      <c r="L10419"/>
    </row>
    <row r="10420" spans="12:12">
      <c r="L10420"/>
    </row>
    <row r="10421" spans="12:12">
      <c r="L10421"/>
    </row>
    <row r="10422" spans="12:12">
      <c r="L10422"/>
    </row>
    <row r="10423" spans="12:12">
      <c r="L10423"/>
    </row>
    <row r="10424" spans="12:12">
      <c r="L10424"/>
    </row>
    <row r="10425" spans="12:12">
      <c r="L10425"/>
    </row>
    <row r="10426" spans="12:12">
      <c r="L10426"/>
    </row>
    <row r="10427" spans="12:12">
      <c r="L10427"/>
    </row>
    <row r="10428" spans="12:12">
      <c r="L10428"/>
    </row>
    <row r="10429" spans="12:12">
      <c r="L10429"/>
    </row>
    <row r="10430" spans="12:12">
      <c r="L10430"/>
    </row>
    <row r="10431" spans="12:12">
      <c r="L10431"/>
    </row>
    <row r="10432" spans="12:12">
      <c r="L10432"/>
    </row>
    <row r="10433" spans="12:12">
      <c r="L10433"/>
    </row>
    <row r="10434" spans="12:12">
      <c r="L10434"/>
    </row>
    <row r="10435" spans="12:12">
      <c r="L10435"/>
    </row>
    <row r="10436" spans="12:12">
      <c r="L10436"/>
    </row>
    <row r="10437" spans="12:12">
      <c r="L10437"/>
    </row>
    <row r="10438" spans="12:12">
      <c r="L10438"/>
    </row>
    <row r="10439" spans="12:12">
      <c r="L10439"/>
    </row>
    <row r="10440" spans="12:12">
      <c r="L10440"/>
    </row>
    <row r="10441" spans="12:12">
      <c r="L10441"/>
    </row>
    <row r="10442" spans="12:12">
      <c r="L10442"/>
    </row>
    <row r="10443" spans="12:12">
      <c r="L10443"/>
    </row>
    <row r="10444" spans="12:12">
      <c r="L10444"/>
    </row>
    <row r="10445" spans="12:12">
      <c r="L10445"/>
    </row>
    <row r="10446" spans="12:12">
      <c r="L10446"/>
    </row>
    <row r="10447" spans="12:12">
      <c r="L10447"/>
    </row>
    <row r="10448" spans="12:12">
      <c r="L10448"/>
    </row>
    <row r="10449" spans="12:12">
      <c r="L10449"/>
    </row>
    <row r="10450" spans="12:12">
      <c r="L10450"/>
    </row>
    <row r="10451" spans="12:12">
      <c r="L10451"/>
    </row>
    <row r="10452" spans="12:12">
      <c r="L10452"/>
    </row>
    <row r="10453" spans="12:12">
      <c r="L10453"/>
    </row>
    <row r="10454" spans="12:12">
      <c r="L10454"/>
    </row>
    <row r="10455" spans="12:12">
      <c r="L10455"/>
    </row>
    <row r="10456" spans="12:12">
      <c r="L10456"/>
    </row>
    <row r="10457" spans="12:12">
      <c r="L10457"/>
    </row>
    <row r="10458" spans="12:12">
      <c r="L10458"/>
    </row>
    <row r="10459" spans="12:12">
      <c r="L10459"/>
    </row>
    <row r="10460" spans="12:12">
      <c r="L10460"/>
    </row>
    <row r="10461" spans="12:12">
      <c r="L10461"/>
    </row>
    <row r="10462" spans="12:12">
      <c r="L10462"/>
    </row>
    <row r="10463" spans="12:12">
      <c r="L10463"/>
    </row>
    <row r="10464" spans="12:12">
      <c r="L10464"/>
    </row>
    <row r="10465" spans="12:12">
      <c r="L10465"/>
    </row>
    <row r="10466" spans="12:12">
      <c r="L10466"/>
    </row>
    <row r="10467" spans="12:12">
      <c r="L10467"/>
    </row>
    <row r="10468" spans="12:12">
      <c r="L10468"/>
    </row>
    <row r="10469" spans="12:12">
      <c r="L10469"/>
    </row>
    <row r="10470" spans="12:12">
      <c r="L10470"/>
    </row>
    <row r="10471" spans="12:12">
      <c r="L10471"/>
    </row>
    <row r="10472" spans="12:12">
      <c r="L10472"/>
    </row>
    <row r="10473" spans="12:12">
      <c r="L10473"/>
    </row>
    <row r="10474" spans="12:12">
      <c r="L10474"/>
    </row>
    <row r="10475" spans="12:12">
      <c r="L10475"/>
    </row>
    <row r="10476" spans="12:12">
      <c r="L10476"/>
    </row>
    <row r="10477" spans="12:12">
      <c r="L10477"/>
    </row>
    <row r="10478" spans="12:12">
      <c r="L10478"/>
    </row>
    <row r="10479" spans="12:12">
      <c r="L10479"/>
    </row>
    <row r="10480" spans="12:12">
      <c r="L10480"/>
    </row>
    <row r="10481" spans="12:12">
      <c r="L10481"/>
    </row>
    <row r="10482" spans="12:12">
      <c r="L10482"/>
    </row>
    <row r="10483" spans="12:12">
      <c r="L10483"/>
    </row>
    <row r="10484" spans="12:12">
      <c r="L10484"/>
    </row>
    <row r="10485" spans="12:12">
      <c r="L10485"/>
    </row>
    <row r="10486" spans="12:12">
      <c r="L10486"/>
    </row>
    <row r="10487" spans="12:12">
      <c r="L10487"/>
    </row>
    <row r="10488" spans="12:12">
      <c r="L10488"/>
    </row>
    <row r="10489" spans="12:12">
      <c r="L10489"/>
    </row>
    <row r="10490" spans="12:12">
      <c r="L10490"/>
    </row>
    <row r="10491" spans="12:12">
      <c r="L10491"/>
    </row>
    <row r="10492" spans="12:12">
      <c r="L10492"/>
    </row>
    <row r="10493" spans="12:12">
      <c r="L10493"/>
    </row>
    <row r="10494" spans="12:12">
      <c r="L10494"/>
    </row>
    <row r="10495" spans="12:12">
      <c r="L10495"/>
    </row>
    <row r="10496" spans="12:12">
      <c r="L10496"/>
    </row>
    <row r="10497" spans="12:12">
      <c r="L10497"/>
    </row>
    <row r="10498" spans="12:12">
      <c r="L10498"/>
    </row>
    <row r="10499" spans="12:12">
      <c r="L10499"/>
    </row>
    <row r="10500" spans="12:12">
      <c r="L10500"/>
    </row>
    <row r="10501" spans="12:12">
      <c r="L10501"/>
    </row>
    <row r="10502" spans="12:12">
      <c r="L10502"/>
    </row>
    <row r="10503" spans="12:12">
      <c r="L10503"/>
    </row>
    <row r="10504" spans="12:12">
      <c r="L10504"/>
    </row>
    <row r="10505" spans="12:12">
      <c r="L10505"/>
    </row>
    <row r="10506" spans="12:12">
      <c r="L10506"/>
    </row>
    <row r="10507" spans="12:12">
      <c r="L10507"/>
    </row>
    <row r="10508" spans="12:12">
      <c r="L10508"/>
    </row>
    <row r="10509" spans="12:12">
      <c r="L10509"/>
    </row>
    <row r="10510" spans="12:12">
      <c r="L10510"/>
    </row>
    <row r="10511" spans="12:12">
      <c r="L10511"/>
    </row>
    <row r="10512" spans="12:12">
      <c r="L10512"/>
    </row>
    <row r="10513" spans="12:12">
      <c r="L10513"/>
    </row>
    <row r="10514" spans="12:12">
      <c r="L10514"/>
    </row>
    <row r="10515" spans="12:12">
      <c r="L10515"/>
    </row>
    <row r="10516" spans="12:12">
      <c r="L10516"/>
    </row>
    <row r="10517" spans="12:12">
      <c r="L10517"/>
    </row>
    <row r="10518" spans="12:12">
      <c r="L10518"/>
    </row>
    <row r="10519" spans="12:12">
      <c r="L10519"/>
    </row>
    <row r="10520" spans="12:12">
      <c r="L10520"/>
    </row>
    <row r="10521" spans="12:12">
      <c r="L10521"/>
    </row>
    <row r="10522" spans="12:12">
      <c r="L10522"/>
    </row>
    <row r="10523" spans="12:12">
      <c r="L10523"/>
    </row>
    <row r="10524" spans="12:12">
      <c r="L10524"/>
    </row>
    <row r="10525" spans="12:12">
      <c r="L10525"/>
    </row>
    <row r="10526" spans="12:12">
      <c r="L10526"/>
    </row>
    <row r="10527" spans="12:12">
      <c r="L10527"/>
    </row>
    <row r="10528" spans="12:12">
      <c r="L10528"/>
    </row>
    <row r="10529" spans="12:12">
      <c r="L10529"/>
    </row>
    <row r="10530" spans="12:12">
      <c r="L10530"/>
    </row>
    <row r="10531" spans="12:12">
      <c r="L10531"/>
    </row>
    <row r="10532" spans="12:12">
      <c r="L10532"/>
    </row>
    <row r="10533" spans="12:12">
      <c r="L10533"/>
    </row>
    <row r="10534" spans="12:12">
      <c r="L10534"/>
    </row>
    <row r="10535" spans="12:12">
      <c r="L10535"/>
    </row>
    <row r="10536" spans="12:12">
      <c r="L10536"/>
    </row>
    <row r="10537" spans="12:12">
      <c r="L10537"/>
    </row>
    <row r="10538" spans="12:12">
      <c r="L10538"/>
    </row>
    <row r="10539" spans="12:12">
      <c r="L10539"/>
    </row>
    <row r="10540" spans="12:12">
      <c r="L10540"/>
    </row>
    <row r="10541" spans="12:12">
      <c r="L10541"/>
    </row>
    <row r="10542" spans="12:12">
      <c r="L10542"/>
    </row>
    <row r="10543" spans="12:12">
      <c r="L10543"/>
    </row>
    <row r="10544" spans="12:12">
      <c r="L10544"/>
    </row>
    <row r="10545" spans="12:12">
      <c r="L10545"/>
    </row>
    <row r="10546" spans="12:12">
      <c r="L10546"/>
    </row>
    <row r="10547" spans="12:12">
      <c r="L10547"/>
    </row>
    <row r="10548" spans="12:12">
      <c r="L10548"/>
    </row>
    <row r="10549" spans="12:12">
      <c r="L10549"/>
    </row>
    <row r="10550" spans="12:12">
      <c r="L10550"/>
    </row>
    <row r="10551" spans="12:12">
      <c r="L10551"/>
    </row>
    <row r="10552" spans="12:12">
      <c r="L10552"/>
    </row>
    <row r="10553" spans="12:12">
      <c r="L10553"/>
    </row>
    <row r="10554" spans="12:12">
      <c r="L10554"/>
    </row>
    <row r="10555" spans="12:12">
      <c r="L10555"/>
    </row>
    <row r="10556" spans="12:12">
      <c r="L10556"/>
    </row>
    <row r="10557" spans="12:12">
      <c r="L10557"/>
    </row>
    <row r="10558" spans="12:12">
      <c r="L10558"/>
    </row>
    <row r="10559" spans="12:12">
      <c r="L10559"/>
    </row>
    <row r="10560" spans="12:12">
      <c r="L10560"/>
    </row>
    <row r="10561" spans="12:12">
      <c r="L10561"/>
    </row>
    <row r="10562" spans="12:12">
      <c r="L10562"/>
    </row>
    <row r="10563" spans="12:12">
      <c r="L10563"/>
    </row>
    <row r="10564" spans="12:12">
      <c r="L10564"/>
    </row>
    <row r="10565" spans="12:12">
      <c r="L10565"/>
    </row>
    <row r="10566" spans="12:12">
      <c r="L10566"/>
    </row>
    <row r="10567" spans="12:12">
      <c r="L10567"/>
    </row>
    <row r="10568" spans="12:12">
      <c r="L10568"/>
    </row>
    <row r="10569" spans="12:12">
      <c r="L10569"/>
    </row>
    <row r="10570" spans="12:12">
      <c r="L10570"/>
    </row>
    <row r="10571" spans="12:12">
      <c r="L10571"/>
    </row>
    <row r="10572" spans="12:12">
      <c r="L10572"/>
    </row>
    <row r="10573" spans="12:12">
      <c r="L10573"/>
    </row>
    <row r="10574" spans="12:12">
      <c r="L10574"/>
    </row>
    <row r="10575" spans="12:12">
      <c r="L10575"/>
    </row>
    <row r="10576" spans="12:12">
      <c r="L10576"/>
    </row>
    <row r="10577" spans="12:12">
      <c r="L10577"/>
    </row>
    <row r="10578" spans="12:12">
      <c r="L10578"/>
    </row>
    <row r="10579" spans="12:12">
      <c r="L10579"/>
    </row>
    <row r="10580" spans="12:12">
      <c r="L10580"/>
    </row>
    <row r="10581" spans="12:12">
      <c r="L10581"/>
    </row>
    <row r="10582" spans="12:12">
      <c r="L10582"/>
    </row>
    <row r="10583" spans="12:12">
      <c r="L10583"/>
    </row>
    <row r="10584" spans="12:12">
      <c r="L10584"/>
    </row>
    <row r="10585" spans="12:12">
      <c r="L10585"/>
    </row>
    <row r="10586" spans="12:12">
      <c r="L10586"/>
    </row>
    <row r="10587" spans="12:12">
      <c r="L10587"/>
    </row>
    <row r="10588" spans="12:12">
      <c r="L10588"/>
    </row>
    <row r="10589" spans="12:12">
      <c r="L10589"/>
    </row>
    <row r="10590" spans="12:12">
      <c r="L10590"/>
    </row>
    <row r="10591" spans="12:12">
      <c r="L10591"/>
    </row>
    <row r="10592" spans="12:12">
      <c r="L10592"/>
    </row>
    <row r="10593" spans="12:12">
      <c r="L10593"/>
    </row>
    <row r="10594" spans="12:12">
      <c r="L10594"/>
    </row>
    <row r="10595" spans="12:12">
      <c r="L10595"/>
    </row>
    <row r="10596" spans="12:12">
      <c r="L10596"/>
    </row>
    <row r="10597" spans="12:12">
      <c r="L10597"/>
    </row>
    <row r="10598" spans="12:12">
      <c r="L10598"/>
    </row>
    <row r="10599" spans="12:12">
      <c r="L10599"/>
    </row>
    <row r="10600" spans="12:12">
      <c r="L10600"/>
    </row>
    <row r="10601" spans="12:12">
      <c r="L10601"/>
    </row>
    <row r="10602" spans="12:12">
      <c r="L10602"/>
    </row>
    <row r="10603" spans="12:12">
      <c r="L10603"/>
    </row>
    <row r="10604" spans="12:12">
      <c r="L10604"/>
    </row>
    <row r="10605" spans="12:12">
      <c r="L10605"/>
    </row>
    <row r="10606" spans="12:12">
      <c r="L10606"/>
    </row>
    <row r="10607" spans="12:12">
      <c r="L10607"/>
    </row>
    <row r="10608" spans="12:12">
      <c r="L10608"/>
    </row>
    <row r="10609" spans="12:12">
      <c r="L10609"/>
    </row>
    <row r="10610" spans="12:12">
      <c r="L10610"/>
    </row>
    <row r="10611" spans="12:12">
      <c r="L10611"/>
    </row>
    <row r="10612" spans="12:12">
      <c r="L10612"/>
    </row>
    <row r="10613" spans="12:12">
      <c r="L10613"/>
    </row>
    <row r="10614" spans="12:12">
      <c r="L10614"/>
    </row>
    <row r="10615" spans="12:12">
      <c r="L10615"/>
    </row>
    <row r="10616" spans="12:12">
      <c r="L10616"/>
    </row>
    <row r="10617" spans="12:12">
      <c r="L10617"/>
    </row>
    <row r="10618" spans="12:12">
      <c r="L10618"/>
    </row>
    <row r="10619" spans="12:12">
      <c r="L10619"/>
    </row>
    <row r="10620" spans="12:12">
      <c r="L10620"/>
    </row>
    <row r="10621" spans="12:12">
      <c r="L10621"/>
    </row>
    <row r="10622" spans="12:12">
      <c r="L10622"/>
    </row>
    <row r="10623" spans="12:12">
      <c r="L10623"/>
    </row>
    <row r="10624" spans="12:12">
      <c r="L10624"/>
    </row>
    <row r="10625" spans="12:12">
      <c r="L10625"/>
    </row>
    <row r="10626" spans="12:12">
      <c r="L10626"/>
    </row>
    <row r="10627" spans="12:12">
      <c r="L10627"/>
    </row>
    <row r="10628" spans="12:12">
      <c r="L10628"/>
    </row>
    <row r="10629" spans="12:12">
      <c r="L10629"/>
    </row>
    <row r="10630" spans="12:12">
      <c r="L10630"/>
    </row>
    <row r="10631" spans="12:12">
      <c r="L10631"/>
    </row>
    <row r="10632" spans="12:12">
      <c r="L10632"/>
    </row>
    <row r="10633" spans="12:12">
      <c r="L10633"/>
    </row>
    <row r="10634" spans="12:12">
      <c r="L10634"/>
    </row>
    <row r="10635" spans="12:12">
      <c r="L10635"/>
    </row>
    <row r="10636" spans="12:12">
      <c r="L10636"/>
    </row>
    <row r="10637" spans="12:12">
      <c r="L10637"/>
    </row>
    <row r="10638" spans="12:12">
      <c r="L10638"/>
    </row>
    <row r="10639" spans="12:12">
      <c r="L10639"/>
    </row>
    <row r="10640" spans="12:12">
      <c r="L10640"/>
    </row>
    <row r="10641" spans="12:12">
      <c r="L10641"/>
    </row>
    <row r="10642" spans="12:12">
      <c r="L10642"/>
    </row>
    <row r="10643" spans="12:12">
      <c r="L10643"/>
    </row>
    <row r="10644" spans="12:12">
      <c r="L10644"/>
    </row>
    <row r="10645" spans="12:12">
      <c r="L10645"/>
    </row>
    <row r="10646" spans="12:12">
      <c r="L10646"/>
    </row>
    <row r="10647" spans="12:12">
      <c r="L10647"/>
    </row>
    <row r="10648" spans="12:12">
      <c r="L10648"/>
    </row>
    <row r="10649" spans="12:12">
      <c r="L10649"/>
    </row>
    <row r="10650" spans="12:12">
      <c r="L10650"/>
    </row>
    <row r="10651" spans="12:12">
      <c r="L10651"/>
    </row>
    <row r="10652" spans="12:12">
      <c r="L10652"/>
    </row>
    <row r="10653" spans="12:12">
      <c r="L10653"/>
    </row>
    <row r="10654" spans="12:12">
      <c r="L10654"/>
    </row>
    <row r="10655" spans="12:12">
      <c r="L10655"/>
    </row>
    <row r="10656" spans="12:12">
      <c r="L10656"/>
    </row>
    <row r="10657" spans="12:12">
      <c r="L10657"/>
    </row>
    <row r="10658" spans="12:12">
      <c r="L10658"/>
    </row>
    <row r="10659" spans="12:12">
      <c r="L10659"/>
    </row>
    <row r="10660" spans="12:12">
      <c r="L10660"/>
    </row>
    <row r="10661" spans="12:12">
      <c r="L10661"/>
    </row>
    <row r="10662" spans="12:12">
      <c r="L10662"/>
    </row>
    <row r="10663" spans="12:12">
      <c r="L10663"/>
    </row>
    <row r="10664" spans="12:12">
      <c r="L10664"/>
    </row>
    <row r="10665" spans="12:12">
      <c r="L10665"/>
    </row>
    <row r="10666" spans="12:12">
      <c r="L10666"/>
    </row>
    <row r="10667" spans="12:12">
      <c r="L10667"/>
    </row>
    <row r="10668" spans="12:12">
      <c r="L10668"/>
    </row>
    <row r="10669" spans="12:12">
      <c r="L10669"/>
    </row>
    <row r="10670" spans="12:12">
      <c r="L10670"/>
    </row>
    <row r="10671" spans="12:12">
      <c r="L10671"/>
    </row>
    <row r="10672" spans="12:12">
      <c r="L10672"/>
    </row>
    <row r="10673" spans="12:12">
      <c r="L10673"/>
    </row>
    <row r="10674" spans="12:12">
      <c r="L10674"/>
    </row>
    <row r="10675" spans="12:12">
      <c r="L10675"/>
    </row>
    <row r="10676" spans="12:12">
      <c r="L10676"/>
    </row>
    <row r="10677" spans="12:12">
      <c r="L10677"/>
    </row>
    <row r="10678" spans="12:12">
      <c r="L10678"/>
    </row>
    <row r="10679" spans="12:12">
      <c r="L10679"/>
    </row>
    <row r="10680" spans="12:12">
      <c r="L10680"/>
    </row>
    <row r="10681" spans="12:12">
      <c r="L10681"/>
    </row>
    <row r="10682" spans="12:12">
      <c r="L10682"/>
    </row>
    <row r="10683" spans="12:12">
      <c r="L10683"/>
    </row>
    <row r="10684" spans="12:12">
      <c r="L10684"/>
    </row>
    <row r="10685" spans="12:12">
      <c r="L10685"/>
    </row>
    <row r="10686" spans="12:12">
      <c r="L10686"/>
    </row>
    <row r="10687" spans="12:12">
      <c r="L10687"/>
    </row>
    <row r="10688" spans="12:12">
      <c r="L10688"/>
    </row>
    <row r="10689" spans="12:12">
      <c r="L10689"/>
    </row>
    <row r="10690" spans="12:12">
      <c r="L10690"/>
    </row>
    <row r="10691" spans="12:12">
      <c r="L10691"/>
    </row>
    <row r="10692" spans="12:12">
      <c r="L10692"/>
    </row>
    <row r="10693" spans="12:12">
      <c r="L10693"/>
    </row>
    <row r="10694" spans="12:12">
      <c r="L10694"/>
    </row>
    <row r="10695" spans="12:12">
      <c r="L10695"/>
    </row>
    <row r="10696" spans="12:12">
      <c r="L10696"/>
    </row>
    <row r="10697" spans="12:12">
      <c r="L10697"/>
    </row>
    <row r="10698" spans="12:12">
      <c r="L10698"/>
    </row>
    <row r="10699" spans="12:12">
      <c r="L10699"/>
    </row>
    <row r="10700" spans="12:12">
      <c r="L10700"/>
    </row>
    <row r="10701" spans="12:12">
      <c r="L10701"/>
    </row>
    <row r="10702" spans="12:12">
      <c r="L10702"/>
    </row>
    <row r="10703" spans="12:12">
      <c r="L10703"/>
    </row>
    <row r="10704" spans="12:12">
      <c r="L10704"/>
    </row>
    <row r="10705" spans="12:12">
      <c r="L10705"/>
    </row>
    <row r="10706" spans="12:12">
      <c r="L10706"/>
    </row>
    <row r="10707" spans="12:12">
      <c r="L10707"/>
    </row>
    <row r="10708" spans="12:12">
      <c r="L10708"/>
    </row>
    <row r="10709" spans="12:12">
      <c r="L10709"/>
    </row>
    <row r="10710" spans="12:12">
      <c r="L10710"/>
    </row>
    <row r="10711" spans="12:12">
      <c r="L10711"/>
    </row>
    <row r="10712" spans="12:12">
      <c r="L10712"/>
    </row>
    <row r="10713" spans="12:12">
      <c r="L10713"/>
    </row>
    <row r="10714" spans="12:12">
      <c r="L10714"/>
    </row>
    <row r="10715" spans="12:12">
      <c r="L10715"/>
    </row>
    <row r="10716" spans="12:12">
      <c r="L10716"/>
    </row>
    <row r="10717" spans="12:12">
      <c r="L10717"/>
    </row>
    <row r="10718" spans="12:12">
      <c r="L10718"/>
    </row>
    <row r="10719" spans="12:12">
      <c r="L10719"/>
    </row>
    <row r="10720" spans="12:12">
      <c r="L10720"/>
    </row>
    <row r="10721" spans="12:12">
      <c r="L10721"/>
    </row>
    <row r="10722" spans="12:12">
      <c r="L10722"/>
    </row>
    <row r="10723" spans="12:12">
      <c r="L10723"/>
    </row>
    <row r="10724" spans="12:12">
      <c r="L10724"/>
    </row>
    <row r="10725" spans="12:12">
      <c r="L10725"/>
    </row>
    <row r="10726" spans="12:12">
      <c r="L10726"/>
    </row>
    <row r="10727" spans="12:12">
      <c r="L10727"/>
    </row>
    <row r="10728" spans="12:12">
      <c r="L10728"/>
    </row>
    <row r="10729" spans="12:12">
      <c r="L10729"/>
    </row>
    <row r="10730" spans="12:12">
      <c r="L10730"/>
    </row>
    <row r="10731" spans="12:12">
      <c r="L10731"/>
    </row>
    <row r="10732" spans="12:12">
      <c r="L10732"/>
    </row>
    <row r="10733" spans="12:12">
      <c r="L10733"/>
    </row>
    <row r="10734" spans="12:12">
      <c r="L10734"/>
    </row>
    <row r="10735" spans="12:12">
      <c r="L10735"/>
    </row>
    <row r="10736" spans="12:12">
      <c r="L10736"/>
    </row>
    <row r="10737" spans="12:12">
      <c r="L10737"/>
    </row>
    <row r="10738" spans="12:12">
      <c r="L10738"/>
    </row>
    <row r="10739" spans="12:12">
      <c r="L10739"/>
    </row>
    <row r="10740" spans="12:12">
      <c r="L10740"/>
    </row>
    <row r="10741" spans="12:12">
      <c r="L10741"/>
    </row>
    <row r="10742" spans="12:12">
      <c r="L10742"/>
    </row>
    <row r="10743" spans="12:12">
      <c r="L10743"/>
    </row>
    <row r="10744" spans="12:12">
      <c r="L10744"/>
    </row>
    <row r="10745" spans="12:12">
      <c r="L10745"/>
    </row>
    <row r="10746" spans="12:12">
      <c r="L10746"/>
    </row>
    <row r="10747" spans="12:12">
      <c r="L10747"/>
    </row>
    <row r="10748" spans="12:12">
      <c r="L10748"/>
    </row>
    <row r="10749" spans="12:12">
      <c r="L10749"/>
    </row>
    <row r="10750" spans="12:12">
      <c r="L10750"/>
    </row>
    <row r="10751" spans="12:12">
      <c r="L10751"/>
    </row>
    <row r="10752" spans="12:12">
      <c r="L10752"/>
    </row>
    <row r="10753" spans="12:12">
      <c r="L10753"/>
    </row>
    <row r="10754" spans="12:12">
      <c r="L10754"/>
    </row>
    <row r="10755" spans="12:12">
      <c r="L10755"/>
    </row>
    <row r="10756" spans="12:12">
      <c r="L10756"/>
    </row>
    <row r="10757" spans="12:12">
      <c r="L10757"/>
    </row>
    <row r="10758" spans="12:12">
      <c r="L10758"/>
    </row>
    <row r="10759" spans="12:12">
      <c r="L10759"/>
    </row>
    <row r="10760" spans="12:12">
      <c r="L10760"/>
    </row>
    <row r="10761" spans="12:12">
      <c r="L10761"/>
    </row>
    <row r="10762" spans="12:12">
      <c r="L10762"/>
    </row>
    <row r="10763" spans="12:12">
      <c r="L10763"/>
    </row>
    <row r="10764" spans="12:12">
      <c r="L10764"/>
    </row>
    <row r="10765" spans="12:12">
      <c r="L10765"/>
    </row>
    <row r="10766" spans="12:12">
      <c r="L10766"/>
    </row>
    <row r="10767" spans="12:12">
      <c r="L10767"/>
    </row>
    <row r="10768" spans="12:12">
      <c r="L10768"/>
    </row>
    <row r="10769" spans="12:12">
      <c r="L10769"/>
    </row>
    <row r="10770" spans="12:12">
      <c r="L10770"/>
    </row>
    <row r="10771" spans="12:12">
      <c r="L10771"/>
    </row>
    <row r="10772" spans="12:12">
      <c r="L10772"/>
    </row>
    <row r="10773" spans="12:12">
      <c r="L10773"/>
    </row>
    <row r="10774" spans="12:12">
      <c r="L10774"/>
    </row>
    <row r="10775" spans="12:12">
      <c r="L10775"/>
    </row>
    <row r="10776" spans="12:12">
      <c r="L10776"/>
    </row>
    <row r="10777" spans="12:12">
      <c r="L10777"/>
    </row>
    <row r="10778" spans="12:12">
      <c r="L10778"/>
    </row>
    <row r="10779" spans="12:12">
      <c r="L10779"/>
    </row>
    <row r="10780" spans="12:12">
      <c r="L10780"/>
    </row>
    <row r="10781" spans="12:12">
      <c r="L10781"/>
    </row>
    <row r="10782" spans="12:12">
      <c r="L10782"/>
    </row>
    <row r="10783" spans="12:12">
      <c r="L10783"/>
    </row>
    <row r="10784" spans="12:12">
      <c r="L10784"/>
    </row>
    <row r="10785" spans="12:12">
      <c r="L10785"/>
    </row>
    <row r="10786" spans="12:12">
      <c r="L10786"/>
    </row>
    <row r="10787" spans="12:12">
      <c r="L10787"/>
    </row>
    <row r="10788" spans="12:12">
      <c r="L10788"/>
    </row>
    <row r="10789" spans="12:12">
      <c r="L10789"/>
    </row>
    <row r="10790" spans="12:12">
      <c r="L10790"/>
    </row>
    <row r="10791" spans="12:12">
      <c r="L10791"/>
    </row>
    <row r="10792" spans="12:12">
      <c r="L10792"/>
    </row>
    <row r="10793" spans="12:12">
      <c r="L10793"/>
    </row>
    <row r="10794" spans="12:12">
      <c r="L10794"/>
    </row>
    <row r="10795" spans="12:12">
      <c r="L10795"/>
    </row>
    <row r="10796" spans="12:12">
      <c r="L10796"/>
    </row>
    <row r="10797" spans="12:12">
      <c r="L10797"/>
    </row>
    <row r="10798" spans="12:12">
      <c r="L10798"/>
    </row>
    <row r="10799" spans="12:12">
      <c r="L10799"/>
    </row>
    <row r="10800" spans="12:12">
      <c r="L10800"/>
    </row>
    <row r="10801" spans="12:12">
      <c r="L10801"/>
    </row>
    <row r="10802" spans="12:12">
      <c r="L10802"/>
    </row>
    <row r="10803" spans="12:12">
      <c r="L10803"/>
    </row>
    <row r="10804" spans="12:12">
      <c r="L10804"/>
    </row>
    <row r="10805" spans="12:12">
      <c r="L10805"/>
    </row>
    <row r="10806" spans="12:12">
      <c r="L10806"/>
    </row>
    <row r="10807" spans="12:12">
      <c r="L10807"/>
    </row>
    <row r="10808" spans="12:12">
      <c r="L10808"/>
    </row>
    <row r="10809" spans="12:12">
      <c r="L10809"/>
    </row>
    <row r="10810" spans="12:12">
      <c r="L10810"/>
    </row>
    <row r="10811" spans="12:12">
      <c r="L10811"/>
    </row>
    <row r="10812" spans="12:12">
      <c r="L10812"/>
    </row>
    <row r="10813" spans="12:12">
      <c r="L10813"/>
    </row>
    <row r="10814" spans="12:12">
      <c r="L10814"/>
    </row>
    <row r="10815" spans="12:12">
      <c r="L10815"/>
    </row>
    <row r="10816" spans="12:12">
      <c r="L10816"/>
    </row>
    <row r="10817" spans="12:12">
      <c r="L10817"/>
    </row>
    <row r="10818" spans="12:12">
      <c r="L10818"/>
    </row>
    <row r="10819" spans="12:12">
      <c r="L10819"/>
    </row>
    <row r="10820" spans="12:12">
      <c r="L10820"/>
    </row>
    <row r="10821" spans="12:12">
      <c r="L10821"/>
    </row>
    <row r="10822" spans="12:12">
      <c r="L10822"/>
    </row>
    <row r="10823" spans="12:12">
      <c r="L10823"/>
    </row>
    <row r="10824" spans="12:12">
      <c r="L10824"/>
    </row>
    <row r="10825" spans="12:12">
      <c r="L10825"/>
    </row>
    <row r="10826" spans="12:12">
      <c r="L10826"/>
    </row>
    <row r="10827" spans="12:12">
      <c r="L10827"/>
    </row>
    <row r="10828" spans="12:12">
      <c r="L10828"/>
    </row>
    <row r="10829" spans="12:12">
      <c r="L10829"/>
    </row>
    <row r="10830" spans="12:12">
      <c r="L10830"/>
    </row>
    <row r="10831" spans="12:12">
      <c r="L10831"/>
    </row>
    <row r="10832" spans="12:12">
      <c r="L10832"/>
    </row>
    <row r="10833" spans="12:12">
      <c r="L10833"/>
    </row>
    <row r="10834" spans="12:12">
      <c r="L10834"/>
    </row>
    <row r="10835" spans="12:12">
      <c r="L10835"/>
    </row>
    <row r="10836" spans="12:12">
      <c r="L10836"/>
    </row>
    <row r="10837" spans="12:12">
      <c r="L10837"/>
    </row>
    <row r="10838" spans="12:12">
      <c r="L10838"/>
    </row>
    <row r="10839" spans="12:12">
      <c r="L10839"/>
    </row>
    <row r="10840" spans="12:12">
      <c r="L10840"/>
    </row>
    <row r="10841" spans="12:12">
      <c r="L10841"/>
    </row>
    <row r="10842" spans="12:12">
      <c r="L10842"/>
    </row>
    <row r="10843" spans="12:12">
      <c r="L10843"/>
    </row>
    <row r="10844" spans="12:12">
      <c r="L10844"/>
    </row>
    <row r="10845" spans="12:12">
      <c r="L10845"/>
    </row>
    <row r="10846" spans="12:12">
      <c r="L10846"/>
    </row>
    <row r="10847" spans="12:12">
      <c r="L10847"/>
    </row>
    <row r="10848" spans="12:12">
      <c r="L10848"/>
    </row>
    <row r="10849" spans="12:12">
      <c r="L10849"/>
    </row>
    <row r="10850" spans="12:12">
      <c r="L10850"/>
    </row>
    <row r="10851" spans="12:12">
      <c r="L10851"/>
    </row>
    <row r="10852" spans="12:12">
      <c r="L10852"/>
    </row>
    <row r="10853" spans="12:12">
      <c r="L10853"/>
    </row>
    <row r="10854" spans="12:12">
      <c r="L10854"/>
    </row>
    <row r="10855" spans="12:12">
      <c r="L10855"/>
    </row>
    <row r="10856" spans="12:12">
      <c r="L10856"/>
    </row>
    <row r="10857" spans="12:12">
      <c r="L10857"/>
    </row>
    <row r="10858" spans="12:12">
      <c r="L10858"/>
    </row>
    <row r="10859" spans="12:12">
      <c r="L10859"/>
    </row>
    <row r="10860" spans="12:12">
      <c r="L10860"/>
    </row>
    <row r="10861" spans="12:12">
      <c r="L10861"/>
    </row>
    <row r="10862" spans="12:12">
      <c r="L10862"/>
    </row>
    <row r="10863" spans="12:12">
      <c r="L10863"/>
    </row>
    <row r="10864" spans="12:12">
      <c r="L10864"/>
    </row>
    <row r="10865" spans="12:12">
      <c r="L10865"/>
    </row>
    <row r="10866" spans="12:12">
      <c r="L10866"/>
    </row>
    <row r="10867" spans="12:12">
      <c r="L10867"/>
    </row>
    <row r="10868" spans="12:12">
      <c r="L10868"/>
    </row>
    <row r="10869" spans="12:12">
      <c r="L10869"/>
    </row>
    <row r="10870" spans="12:12">
      <c r="L10870"/>
    </row>
    <row r="10871" spans="12:12">
      <c r="L10871"/>
    </row>
    <row r="10872" spans="12:12">
      <c r="L10872"/>
    </row>
    <row r="10873" spans="12:12">
      <c r="L10873"/>
    </row>
    <row r="10874" spans="12:12">
      <c r="L10874"/>
    </row>
    <row r="10875" spans="12:12">
      <c r="L10875"/>
    </row>
    <row r="10876" spans="12:12">
      <c r="L10876"/>
    </row>
    <row r="10877" spans="12:12">
      <c r="L10877"/>
    </row>
    <row r="10878" spans="12:12">
      <c r="L10878"/>
    </row>
    <row r="10879" spans="12:12">
      <c r="L10879"/>
    </row>
    <row r="10880" spans="12:12">
      <c r="L10880"/>
    </row>
    <row r="10881" spans="12:12">
      <c r="L10881"/>
    </row>
    <row r="10882" spans="12:12">
      <c r="L10882"/>
    </row>
    <row r="10883" spans="12:12">
      <c r="L10883"/>
    </row>
    <row r="10884" spans="12:12">
      <c r="L10884"/>
    </row>
    <row r="10885" spans="12:12">
      <c r="L10885"/>
    </row>
    <row r="10886" spans="12:12">
      <c r="L10886"/>
    </row>
    <row r="10887" spans="12:12">
      <c r="L10887"/>
    </row>
    <row r="10888" spans="12:12">
      <c r="L10888"/>
    </row>
    <row r="10889" spans="12:12">
      <c r="L10889"/>
    </row>
    <row r="10890" spans="12:12">
      <c r="L10890"/>
    </row>
    <row r="10891" spans="12:12">
      <c r="L10891"/>
    </row>
    <row r="10892" spans="12:12">
      <c r="L10892"/>
    </row>
    <row r="10893" spans="12:12">
      <c r="L10893"/>
    </row>
    <row r="10894" spans="12:12">
      <c r="L10894"/>
    </row>
    <row r="10895" spans="12:12">
      <c r="L10895"/>
    </row>
    <row r="10896" spans="12:12">
      <c r="L10896"/>
    </row>
    <row r="10897" spans="12:12">
      <c r="L10897"/>
    </row>
    <row r="10898" spans="12:12">
      <c r="L10898"/>
    </row>
    <row r="10899" spans="12:12">
      <c r="L10899"/>
    </row>
    <row r="10900" spans="12:12">
      <c r="L10900"/>
    </row>
    <row r="10901" spans="12:12">
      <c r="L10901"/>
    </row>
    <row r="10902" spans="12:12">
      <c r="L10902"/>
    </row>
    <row r="10903" spans="12:12">
      <c r="L10903"/>
    </row>
    <row r="10904" spans="12:12">
      <c r="L10904"/>
    </row>
    <row r="10905" spans="12:12">
      <c r="L10905"/>
    </row>
    <row r="10906" spans="12:12">
      <c r="L10906"/>
    </row>
    <row r="10907" spans="12:12">
      <c r="L10907"/>
    </row>
    <row r="10908" spans="12:12">
      <c r="L10908"/>
    </row>
    <row r="10909" spans="12:12">
      <c r="L10909"/>
    </row>
    <row r="10910" spans="12:12">
      <c r="L10910"/>
    </row>
    <row r="10911" spans="12:12">
      <c r="L10911"/>
    </row>
    <row r="10912" spans="12:12">
      <c r="L10912"/>
    </row>
    <row r="10913" spans="12:12">
      <c r="L10913"/>
    </row>
    <row r="10914" spans="12:12">
      <c r="L10914"/>
    </row>
    <row r="10915" spans="12:12">
      <c r="L10915"/>
    </row>
    <row r="10916" spans="12:12">
      <c r="L10916"/>
    </row>
    <row r="10917" spans="12:12">
      <c r="L10917"/>
    </row>
    <row r="10918" spans="12:12">
      <c r="L10918"/>
    </row>
    <row r="10919" spans="12:12">
      <c r="L10919"/>
    </row>
    <row r="10920" spans="12:12">
      <c r="L10920"/>
    </row>
    <row r="10921" spans="12:12">
      <c r="L10921"/>
    </row>
    <row r="10922" spans="12:12">
      <c r="L10922"/>
    </row>
    <row r="10923" spans="12:12">
      <c r="L10923"/>
    </row>
    <row r="10924" spans="12:12">
      <c r="L10924"/>
    </row>
    <row r="10925" spans="12:12">
      <c r="L10925"/>
    </row>
    <row r="10926" spans="12:12">
      <c r="L10926"/>
    </row>
    <row r="10927" spans="12:12">
      <c r="L10927"/>
    </row>
    <row r="10928" spans="12:12">
      <c r="L10928"/>
    </row>
    <row r="10929" spans="12:12">
      <c r="L10929"/>
    </row>
    <row r="10930" spans="12:12">
      <c r="L10930"/>
    </row>
    <row r="10931" spans="12:12">
      <c r="L10931"/>
    </row>
    <row r="10932" spans="12:12">
      <c r="L10932"/>
    </row>
    <row r="10933" spans="12:12">
      <c r="L10933"/>
    </row>
    <row r="10934" spans="12:12">
      <c r="L10934"/>
    </row>
    <row r="10935" spans="12:12">
      <c r="L10935"/>
    </row>
    <row r="10936" spans="12:12">
      <c r="L10936"/>
    </row>
    <row r="10937" spans="12:12">
      <c r="L10937"/>
    </row>
    <row r="10938" spans="12:12">
      <c r="L10938"/>
    </row>
    <row r="10939" spans="12:12">
      <c r="L10939"/>
    </row>
    <row r="10940" spans="12:12">
      <c r="L10940"/>
    </row>
    <row r="10941" spans="12:12">
      <c r="L10941"/>
    </row>
    <row r="10942" spans="12:12">
      <c r="L10942"/>
    </row>
    <row r="10943" spans="12:12">
      <c r="L10943"/>
    </row>
    <row r="10944" spans="12:12">
      <c r="L10944"/>
    </row>
    <row r="10945" spans="12:12">
      <c r="L10945"/>
    </row>
    <row r="10946" spans="12:12">
      <c r="L10946"/>
    </row>
    <row r="10947" spans="12:12">
      <c r="L10947"/>
    </row>
    <row r="10948" spans="12:12">
      <c r="L10948"/>
    </row>
    <row r="10949" spans="12:12">
      <c r="L10949"/>
    </row>
    <row r="10950" spans="12:12">
      <c r="L10950"/>
    </row>
    <row r="10951" spans="12:12">
      <c r="L10951"/>
    </row>
    <row r="10952" spans="12:12">
      <c r="L10952"/>
    </row>
    <row r="10953" spans="12:12">
      <c r="L10953"/>
    </row>
    <row r="10954" spans="12:12">
      <c r="L10954"/>
    </row>
    <row r="10955" spans="12:12">
      <c r="L10955"/>
    </row>
    <row r="10956" spans="12:12">
      <c r="L10956"/>
    </row>
    <row r="10957" spans="12:12">
      <c r="L10957"/>
    </row>
    <row r="10958" spans="12:12">
      <c r="L10958"/>
    </row>
    <row r="10959" spans="12:12">
      <c r="L10959"/>
    </row>
    <row r="10960" spans="12:12">
      <c r="L10960"/>
    </row>
    <row r="10961" spans="12:12">
      <c r="L10961"/>
    </row>
    <row r="10962" spans="12:12">
      <c r="L10962"/>
    </row>
    <row r="10963" spans="12:12">
      <c r="L10963"/>
    </row>
    <row r="10964" spans="12:12">
      <c r="L10964"/>
    </row>
    <row r="10965" spans="12:12">
      <c r="L10965"/>
    </row>
    <row r="10966" spans="12:12">
      <c r="L10966"/>
    </row>
    <row r="10967" spans="12:12">
      <c r="L10967"/>
    </row>
    <row r="10968" spans="12:12">
      <c r="L10968"/>
    </row>
    <row r="10969" spans="12:12">
      <c r="L10969"/>
    </row>
    <row r="10970" spans="12:12">
      <c r="L10970"/>
    </row>
    <row r="10971" spans="12:12">
      <c r="L10971"/>
    </row>
    <row r="10972" spans="12:12">
      <c r="L10972"/>
    </row>
    <row r="10973" spans="12:12">
      <c r="L10973"/>
    </row>
    <row r="10974" spans="12:12">
      <c r="L10974"/>
    </row>
    <row r="10975" spans="12:12">
      <c r="L10975"/>
    </row>
    <row r="10976" spans="12:12">
      <c r="L10976"/>
    </row>
    <row r="10977" spans="12:12">
      <c r="L10977"/>
    </row>
    <row r="10978" spans="12:12">
      <c r="L10978"/>
    </row>
    <row r="10979" spans="12:12">
      <c r="L10979"/>
    </row>
    <row r="10980" spans="12:12">
      <c r="L10980"/>
    </row>
    <row r="10981" spans="12:12">
      <c r="L10981"/>
    </row>
    <row r="10982" spans="12:12">
      <c r="L10982"/>
    </row>
    <row r="10983" spans="12:12">
      <c r="L10983"/>
    </row>
    <row r="10984" spans="12:12">
      <c r="L10984"/>
    </row>
    <row r="10985" spans="12:12">
      <c r="L10985"/>
    </row>
    <row r="10986" spans="12:12">
      <c r="L10986"/>
    </row>
    <row r="10987" spans="12:12">
      <c r="L10987"/>
    </row>
    <row r="10988" spans="12:12">
      <c r="L10988"/>
    </row>
    <row r="10989" spans="12:12">
      <c r="L10989"/>
    </row>
    <row r="10990" spans="12:12">
      <c r="L10990"/>
    </row>
    <row r="10991" spans="12:12">
      <c r="L10991"/>
    </row>
    <row r="10992" spans="12:12">
      <c r="L10992"/>
    </row>
    <row r="10993" spans="12:12">
      <c r="L10993"/>
    </row>
    <row r="10994" spans="12:12">
      <c r="L10994"/>
    </row>
    <row r="10995" spans="12:12">
      <c r="L10995"/>
    </row>
    <row r="10996" spans="12:12">
      <c r="L10996"/>
    </row>
    <row r="10997" spans="12:12">
      <c r="L10997"/>
    </row>
    <row r="10998" spans="12:12">
      <c r="L10998"/>
    </row>
    <row r="10999" spans="12:12">
      <c r="L10999"/>
    </row>
    <row r="11000" spans="12:12">
      <c r="L11000"/>
    </row>
    <row r="11001" spans="12:12">
      <c r="L11001"/>
    </row>
    <row r="11002" spans="12:12">
      <c r="L11002"/>
    </row>
    <row r="11003" spans="12:12">
      <c r="L11003"/>
    </row>
    <row r="11004" spans="12:12">
      <c r="L11004"/>
    </row>
    <row r="11005" spans="12:12">
      <c r="L11005"/>
    </row>
    <row r="11006" spans="12:12">
      <c r="L11006"/>
    </row>
    <row r="11007" spans="12:12">
      <c r="L11007"/>
    </row>
    <row r="11008" spans="12:12">
      <c r="L11008"/>
    </row>
    <row r="11009" spans="12:12">
      <c r="L11009"/>
    </row>
    <row r="11010" spans="12:12">
      <c r="L11010"/>
    </row>
    <row r="11011" spans="12:12">
      <c r="L11011"/>
    </row>
    <row r="11012" spans="12:12">
      <c r="L11012"/>
    </row>
    <row r="11013" spans="12:12">
      <c r="L11013"/>
    </row>
    <row r="11014" spans="12:12">
      <c r="L11014"/>
    </row>
    <row r="11015" spans="12:12">
      <c r="L11015"/>
    </row>
    <row r="11016" spans="12:12">
      <c r="L11016"/>
    </row>
    <row r="11017" spans="12:12">
      <c r="L11017"/>
    </row>
    <row r="11018" spans="12:12">
      <c r="L11018"/>
    </row>
    <row r="11019" spans="12:12">
      <c r="L11019"/>
    </row>
    <row r="11020" spans="12:12">
      <c r="L11020"/>
    </row>
    <row r="11021" spans="12:12">
      <c r="L11021"/>
    </row>
    <row r="11022" spans="12:12">
      <c r="L11022"/>
    </row>
    <row r="11023" spans="12:12">
      <c r="L11023"/>
    </row>
    <row r="11024" spans="12:12">
      <c r="L11024"/>
    </row>
    <row r="11025" spans="12:12">
      <c r="L11025"/>
    </row>
    <row r="11026" spans="12:12">
      <c r="L11026"/>
    </row>
    <row r="11027" spans="12:12">
      <c r="L11027"/>
    </row>
    <row r="11028" spans="12:12">
      <c r="L11028"/>
    </row>
    <row r="11029" spans="12:12">
      <c r="L11029"/>
    </row>
    <row r="11030" spans="12:12">
      <c r="L11030"/>
    </row>
    <row r="11031" spans="12:12">
      <c r="L11031"/>
    </row>
    <row r="11032" spans="12:12">
      <c r="L11032"/>
    </row>
    <row r="11033" spans="12:12">
      <c r="L11033"/>
    </row>
    <row r="11034" spans="12:12">
      <c r="L11034"/>
    </row>
    <row r="11035" spans="12:12">
      <c r="L11035"/>
    </row>
    <row r="11036" spans="12:12">
      <c r="L11036"/>
    </row>
    <row r="11037" spans="12:12">
      <c r="L11037"/>
    </row>
    <row r="11038" spans="12:12">
      <c r="L11038"/>
    </row>
    <row r="11039" spans="12:12">
      <c r="L11039"/>
    </row>
    <row r="11040" spans="12:12">
      <c r="L11040"/>
    </row>
    <row r="11041" spans="12:12">
      <c r="L11041"/>
    </row>
    <row r="11042" spans="12:12">
      <c r="L11042"/>
    </row>
    <row r="11043" spans="12:12">
      <c r="L11043"/>
    </row>
    <row r="11044" spans="12:12">
      <c r="L11044"/>
    </row>
    <row r="11045" spans="12:12">
      <c r="L11045"/>
    </row>
    <row r="11046" spans="12:12">
      <c r="L11046"/>
    </row>
    <row r="11047" spans="12:12">
      <c r="L11047"/>
    </row>
    <row r="11048" spans="12:12">
      <c r="L11048"/>
    </row>
    <row r="11049" spans="12:12">
      <c r="L11049"/>
    </row>
    <row r="11050" spans="12:12">
      <c r="L11050"/>
    </row>
    <row r="11051" spans="12:12">
      <c r="L11051"/>
    </row>
    <row r="11052" spans="12:12">
      <c r="L11052"/>
    </row>
    <row r="11053" spans="12:12">
      <c r="L11053"/>
    </row>
    <row r="11054" spans="12:12">
      <c r="L11054"/>
    </row>
    <row r="11055" spans="12:12">
      <c r="L11055"/>
    </row>
    <row r="11056" spans="12:12">
      <c r="L11056"/>
    </row>
    <row r="11057" spans="12:12">
      <c r="L11057"/>
    </row>
    <row r="11058" spans="12:12">
      <c r="L11058"/>
    </row>
    <row r="11059" spans="12:12">
      <c r="L11059"/>
    </row>
    <row r="11060" spans="12:12">
      <c r="L11060"/>
    </row>
    <row r="11061" spans="12:12">
      <c r="L11061"/>
    </row>
    <row r="11062" spans="12:12">
      <c r="L11062"/>
    </row>
    <row r="11063" spans="12:12">
      <c r="L11063"/>
    </row>
    <row r="11064" spans="12:12">
      <c r="L11064"/>
    </row>
    <row r="11065" spans="12:12">
      <c r="L11065"/>
    </row>
    <row r="11066" spans="12:12">
      <c r="L11066"/>
    </row>
    <row r="11067" spans="12:12">
      <c r="L11067"/>
    </row>
    <row r="11068" spans="12:12">
      <c r="L11068"/>
    </row>
    <row r="11069" spans="12:12">
      <c r="L11069"/>
    </row>
    <row r="11070" spans="12:12">
      <c r="L11070"/>
    </row>
    <row r="11071" spans="12:12">
      <c r="L11071"/>
    </row>
    <row r="11072" spans="12:12">
      <c r="L11072"/>
    </row>
    <row r="11073" spans="12:12">
      <c r="L11073"/>
    </row>
    <row r="11074" spans="12:12">
      <c r="L11074"/>
    </row>
    <row r="11075" spans="12:12">
      <c r="L11075"/>
    </row>
    <row r="11076" spans="12:12">
      <c r="L11076"/>
    </row>
    <row r="11077" spans="12:12">
      <c r="L11077"/>
    </row>
    <row r="11078" spans="12:12">
      <c r="L11078"/>
    </row>
    <row r="11079" spans="12:12">
      <c r="L11079"/>
    </row>
    <row r="11080" spans="12:12">
      <c r="L11080"/>
    </row>
    <row r="11081" spans="12:12">
      <c r="L11081"/>
    </row>
    <row r="11082" spans="12:12">
      <c r="L11082"/>
    </row>
    <row r="11083" spans="12:12">
      <c r="L11083"/>
    </row>
    <row r="11084" spans="12:12">
      <c r="L11084"/>
    </row>
    <row r="11085" spans="12:12">
      <c r="L11085"/>
    </row>
    <row r="11086" spans="12:12">
      <c r="L11086"/>
    </row>
    <row r="11087" spans="12:12">
      <c r="L11087"/>
    </row>
    <row r="11088" spans="12:12">
      <c r="L11088"/>
    </row>
    <row r="11089" spans="12:12">
      <c r="L11089"/>
    </row>
    <row r="11090" spans="12:12">
      <c r="L11090"/>
    </row>
    <row r="11091" spans="12:12">
      <c r="L11091"/>
    </row>
    <row r="11092" spans="12:12">
      <c r="L11092"/>
    </row>
    <row r="11093" spans="12:12">
      <c r="L11093"/>
    </row>
    <row r="11094" spans="12:12">
      <c r="L11094"/>
    </row>
    <row r="11095" spans="12:12">
      <c r="L11095"/>
    </row>
    <row r="11096" spans="12:12">
      <c r="L11096"/>
    </row>
    <row r="11097" spans="12:12">
      <c r="L11097"/>
    </row>
    <row r="11098" spans="12:12">
      <c r="L11098"/>
    </row>
    <row r="11099" spans="12:12">
      <c r="L11099"/>
    </row>
    <row r="11100" spans="12:12">
      <c r="L11100"/>
    </row>
    <row r="11101" spans="12:12">
      <c r="L11101"/>
    </row>
    <row r="11102" spans="12:12">
      <c r="L11102"/>
    </row>
    <row r="11103" spans="12:12">
      <c r="L11103"/>
    </row>
    <row r="11104" spans="12:12">
      <c r="L11104"/>
    </row>
    <row r="11105" spans="12:12">
      <c r="L11105"/>
    </row>
    <row r="11106" spans="12:12">
      <c r="L11106"/>
    </row>
    <row r="11107" spans="12:12">
      <c r="L11107"/>
    </row>
    <row r="11108" spans="12:12">
      <c r="L11108"/>
    </row>
    <row r="11109" spans="12:12">
      <c r="L11109"/>
    </row>
    <row r="11110" spans="12:12">
      <c r="L11110"/>
    </row>
    <row r="11111" spans="12:12">
      <c r="L11111"/>
    </row>
    <row r="11112" spans="12:12">
      <c r="L11112"/>
    </row>
    <row r="11113" spans="12:12">
      <c r="L11113"/>
    </row>
    <row r="11114" spans="12:12">
      <c r="L11114"/>
    </row>
    <row r="11115" spans="12:12">
      <c r="L11115"/>
    </row>
    <row r="11116" spans="12:12">
      <c r="L11116"/>
    </row>
    <row r="11117" spans="12:12">
      <c r="L11117"/>
    </row>
    <row r="11118" spans="12:12">
      <c r="L11118"/>
    </row>
    <row r="11119" spans="12:12">
      <c r="L11119"/>
    </row>
    <row r="11120" spans="12:12">
      <c r="L11120"/>
    </row>
    <row r="11121" spans="12:12">
      <c r="L11121"/>
    </row>
    <row r="11122" spans="12:12">
      <c r="L11122"/>
    </row>
    <row r="11123" spans="12:12">
      <c r="L11123"/>
    </row>
    <row r="11124" spans="12:12">
      <c r="L11124"/>
    </row>
    <row r="11125" spans="12:12">
      <c r="L11125"/>
    </row>
    <row r="11126" spans="12:12">
      <c r="L11126"/>
    </row>
    <row r="11127" spans="12:12">
      <c r="L11127"/>
    </row>
    <row r="11128" spans="12:12">
      <c r="L11128"/>
    </row>
    <row r="11129" spans="12:12">
      <c r="L11129"/>
    </row>
    <row r="11130" spans="12:12">
      <c r="L11130"/>
    </row>
    <row r="11131" spans="12:12">
      <c r="L11131"/>
    </row>
    <row r="11132" spans="12:12">
      <c r="L11132"/>
    </row>
    <row r="11133" spans="12:12">
      <c r="L11133"/>
    </row>
    <row r="11134" spans="12:12">
      <c r="L11134"/>
    </row>
    <row r="11135" spans="12:12">
      <c r="L11135"/>
    </row>
    <row r="11136" spans="12:12">
      <c r="L11136"/>
    </row>
    <row r="11137" spans="12:12">
      <c r="L11137"/>
    </row>
    <row r="11138" spans="12:12">
      <c r="L11138"/>
    </row>
    <row r="11139" spans="12:12">
      <c r="L11139"/>
    </row>
    <row r="11140" spans="12:12">
      <c r="L11140"/>
    </row>
    <row r="11141" spans="12:12">
      <c r="L11141"/>
    </row>
    <row r="11142" spans="12:12">
      <c r="L11142"/>
    </row>
    <row r="11143" spans="12:12">
      <c r="L11143"/>
    </row>
    <row r="11144" spans="12:12">
      <c r="L11144"/>
    </row>
    <row r="11145" spans="12:12">
      <c r="L11145"/>
    </row>
    <row r="11146" spans="12:12">
      <c r="L11146"/>
    </row>
    <row r="11147" spans="12:12">
      <c r="L11147"/>
    </row>
    <row r="11148" spans="12:12">
      <c r="L11148"/>
    </row>
    <row r="11149" spans="12:12">
      <c r="L11149"/>
    </row>
    <row r="11150" spans="12:12">
      <c r="L11150"/>
    </row>
    <row r="11151" spans="12:12">
      <c r="L11151"/>
    </row>
    <row r="11152" spans="12:12">
      <c r="L11152"/>
    </row>
    <row r="11153" spans="12:12">
      <c r="L11153"/>
    </row>
    <row r="11154" spans="12:12">
      <c r="L11154"/>
    </row>
    <row r="11155" spans="12:12">
      <c r="L11155"/>
    </row>
    <row r="11156" spans="12:12">
      <c r="L11156"/>
    </row>
    <row r="11157" spans="12:12">
      <c r="L11157"/>
    </row>
    <row r="11158" spans="12:12">
      <c r="L11158"/>
    </row>
    <row r="11159" spans="12:12">
      <c r="L11159"/>
    </row>
    <row r="11160" spans="12:12">
      <c r="L11160"/>
    </row>
    <row r="11161" spans="12:12">
      <c r="L11161"/>
    </row>
    <row r="11162" spans="12:12">
      <c r="L11162"/>
    </row>
    <row r="11163" spans="12:12">
      <c r="L11163"/>
    </row>
    <row r="11164" spans="12:12">
      <c r="L11164"/>
    </row>
    <row r="11165" spans="12:12">
      <c r="L11165"/>
    </row>
    <row r="11166" spans="12:12">
      <c r="L11166"/>
    </row>
    <row r="11167" spans="12:12">
      <c r="L11167"/>
    </row>
    <row r="11168" spans="12:12">
      <c r="L11168"/>
    </row>
    <row r="11169" spans="12:12">
      <c r="L11169"/>
    </row>
    <row r="11170" spans="12:12">
      <c r="L11170"/>
    </row>
    <row r="11171" spans="12:12">
      <c r="L11171"/>
    </row>
    <row r="11172" spans="12:12">
      <c r="L11172"/>
    </row>
    <row r="11173" spans="12:12">
      <c r="L11173"/>
    </row>
    <row r="11174" spans="12:12">
      <c r="L11174"/>
    </row>
    <row r="11175" spans="12:12">
      <c r="L11175"/>
    </row>
    <row r="11176" spans="12:12">
      <c r="L11176"/>
    </row>
    <row r="11177" spans="12:12">
      <c r="L11177"/>
    </row>
    <row r="11178" spans="12:12">
      <c r="L11178"/>
    </row>
    <row r="11179" spans="12:12">
      <c r="L11179"/>
    </row>
    <row r="11180" spans="12:12">
      <c r="L11180"/>
    </row>
    <row r="11181" spans="12:12">
      <c r="L11181"/>
    </row>
    <row r="11182" spans="12:12">
      <c r="L11182"/>
    </row>
    <row r="11183" spans="12:12">
      <c r="L11183"/>
    </row>
    <row r="11184" spans="12:12">
      <c r="L11184"/>
    </row>
    <row r="11185" spans="12:12">
      <c r="L11185"/>
    </row>
    <row r="11186" spans="12:12">
      <c r="L11186"/>
    </row>
    <row r="11187" spans="12:12">
      <c r="L11187"/>
    </row>
    <row r="11188" spans="12:12">
      <c r="L11188"/>
    </row>
    <row r="11189" spans="12:12">
      <c r="L11189"/>
    </row>
    <row r="11190" spans="12:12">
      <c r="L11190"/>
    </row>
    <row r="11191" spans="12:12">
      <c r="L11191"/>
    </row>
    <row r="11192" spans="12:12">
      <c r="L11192"/>
    </row>
    <row r="11193" spans="12:12">
      <c r="L11193"/>
    </row>
    <row r="11194" spans="12:12">
      <c r="L11194"/>
    </row>
    <row r="11195" spans="12:12">
      <c r="L11195"/>
    </row>
    <row r="11196" spans="12:12">
      <c r="L11196"/>
    </row>
    <row r="11197" spans="12:12">
      <c r="L11197"/>
    </row>
    <row r="11198" spans="12:12">
      <c r="L11198"/>
    </row>
    <row r="11199" spans="12:12">
      <c r="L11199"/>
    </row>
    <row r="11200" spans="12:12">
      <c r="L11200"/>
    </row>
    <row r="11201" spans="12:12">
      <c r="L11201"/>
    </row>
    <row r="11202" spans="12:12">
      <c r="L11202"/>
    </row>
    <row r="11203" spans="12:12">
      <c r="L11203"/>
    </row>
    <row r="11204" spans="12:12">
      <c r="L11204"/>
    </row>
    <row r="11205" spans="12:12">
      <c r="L11205"/>
    </row>
    <row r="11206" spans="12:12">
      <c r="L11206"/>
    </row>
    <row r="11207" spans="12:12">
      <c r="L11207"/>
    </row>
    <row r="11208" spans="12:12">
      <c r="L11208"/>
    </row>
    <row r="11209" spans="12:12">
      <c r="L11209"/>
    </row>
    <row r="11210" spans="12:12">
      <c r="L11210"/>
    </row>
    <row r="11211" spans="12:12">
      <c r="L11211"/>
    </row>
    <row r="11212" spans="12:12">
      <c r="L11212"/>
    </row>
    <row r="11213" spans="12:12">
      <c r="L11213"/>
    </row>
    <row r="11214" spans="12:12">
      <c r="L11214"/>
    </row>
    <row r="11215" spans="12:12">
      <c r="L11215"/>
    </row>
    <row r="11216" spans="12:12">
      <c r="L11216"/>
    </row>
    <row r="11217" spans="12:12">
      <c r="L11217"/>
    </row>
    <row r="11218" spans="12:12">
      <c r="L11218"/>
    </row>
    <row r="11219" spans="12:12">
      <c r="L11219"/>
    </row>
    <row r="11220" spans="12:12">
      <c r="L11220"/>
    </row>
    <row r="11221" spans="12:12">
      <c r="L11221"/>
    </row>
    <row r="11222" spans="12:12">
      <c r="L11222"/>
    </row>
    <row r="11223" spans="12:12">
      <c r="L11223"/>
    </row>
    <row r="11224" spans="12:12">
      <c r="L11224"/>
    </row>
    <row r="11225" spans="12:12">
      <c r="L11225"/>
    </row>
    <row r="11226" spans="12:12">
      <c r="L11226"/>
    </row>
    <row r="11227" spans="12:12">
      <c r="L11227"/>
    </row>
    <row r="11228" spans="12:12">
      <c r="L11228"/>
    </row>
    <row r="11229" spans="12:12">
      <c r="L11229"/>
    </row>
    <row r="11230" spans="12:12">
      <c r="L11230"/>
    </row>
    <row r="11231" spans="12:12">
      <c r="L11231"/>
    </row>
    <row r="11232" spans="12:12">
      <c r="L11232"/>
    </row>
    <row r="11233" spans="12:12">
      <c r="L11233"/>
    </row>
    <row r="11234" spans="12:12">
      <c r="L11234"/>
    </row>
    <row r="11235" spans="12:12">
      <c r="L11235"/>
    </row>
    <row r="11236" spans="12:12">
      <c r="L11236"/>
    </row>
    <row r="11237" spans="12:12">
      <c r="L11237"/>
    </row>
    <row r="11238" spans="12:12">
      <c r="L11238"/>
    </row>
    <row r="11239" spans="12:12">
      <c r="L11239"/>
    </row>
    <row r="11240" spans="12:12">
      <c r="L11240"/>
    </row>
    <row r="11241" spans="12:12">
      <c r="L11241"/>
    </row>
    <row r="11242" spans="12:12">
      <c r="L11242"/>
    </row>
    <row r="11243" spans="12:12">
      <c r="L11243"/>
    </row>
    <row r="11244" spans="12:12">
      <c r="L11244"/>
    </row>
    <row r="11245" spans="12:12">
      <c r="L11245"/>
    </row>
    <row r="11246" spans="12:12">
      <c r="L11246"/>
    </row>
    <row r="11247" spans="12:12">
      <c r="L11247"/>
    </row>
    <row r="11248" spans="12:12">
      <c r="L11248"/>
    </row>
    <row r="11249" spans="12:12">
      <c r="L11249"/>
    </row>
    <row r="11250" spans="12:12">
      <c r="L11250"/>
    </row>
    <row r="11251" spans="12:12">
      <c r="L11251"/>
    </row>
    <row r="11252" spans="12:12">
      <c r="L11252"/>
    </row>
    <row r="11253" spans="12:12">
      <c r="L11253"/>
    </row>
    <row r="11254" spans="12:12">
      <c r="L11254"/>
    </row>
    <row r="11255" spans="12:12">
      <c r="L11255"/>
    </row>
    <row r="11256" spans="12:12">
      <c r="L11256"/>
    </row>
    <row r="11257" spans="12:12">
      <c r="L11257"/>
    </row>
    <row r="11258" spans="12:12">
      <c r="L11258"/>
    </row>
    <row r="11259" spans="12:12">
      <c r="L11259"/>
    </row>
    <row r="11260" spans="12:12">
      <c r="L11260"/>
    </row>
    <row r="11261" spans="12:12">
      <c r="L11261"/>
    </row>
    <row r="11262" spans="12:12">
      <c r="L11262"/>
    </row>
    <row r="11263" spans="12:12">
      <c r="L11263"/>
    </row>
    <row r="11264" spans="12:12">
      <c r="L11264"/>
    </row>
    <row r="11265" spans="12:12">
      <c r="L11265"/>
    </row>
    <row r="11266" spans="12:12">
      <c r="L11266"/>
    </row>
    <row r="11267" spans="12:12">
      <c r="L11267"/>
    </row>
    <row r="11268" spans="12:12">
      <c r="L11268"/>
    </row>
    <row r="11269" spans="12:12">
      <c r="L11269"/>
    </row>
    <row r="11270" spans="12:12">
      <c r="L11270"/>
    </row>
    <row r="11271" spans="12:12">
      <c r="L11271"/>
    </row>
    <row r="11272" spans="12:12">
      <c r="L11272"/>
    </row>
    <row r="11273" spans="12:12">
      <c r="L11273"/>
    </row>
    <row r="11274" spans="12:12">
      <c r="L11274"/>
    </row>
    <row r="11275" spans="12:12">
      <c r="L11275"/>
    </row>
    <row r="11276" spans="12:12">
      <c r="L11276"/>
    </row>
    <row r="11277" spans="12:12">
      <c r="L11277"/>
    </row>
    <row r="11278" spans="12:12">
      <c r="L11278"/>
    </row>
    <row r="11279" spans="12:12">
      <c r="L11279"/>
    </row>
    <row r="11280" spans="12:12">
      <c r="L11280"/>
    </row>
    <row r="11281" spans="12:12">
      <c r="L11281"/>
    </row>
    <row r="11282" spans="12:12">
      <c r="L11282"/>
    </row>
    <row r="11283" spans="12:12">
      <c r="L11283"/>
    </row>
    <row r="11284" spans="12:12">
      <c r="L11284"/>
    </row>
    <row r="11285" spans="12:12">
      <c r="L11285"/>
    </row>
    <row r="11286" spans="12:12">
      <c r="L11286"/>
    </row>
    <row r="11287" spans="12:12">
      <c r="L11287"/>
    </row>
    <row r="11288" spans="12:12">
      <c r="L11288"/>
    </row>
    <row r="11289" spans="12:12">
      <c r="L11289"/>
    </row>
    <row r="11290" spans="12:12">
      <c r="L11290"/>
    </row>
    <row r="11291" spans="12:12">
      <c r="L11291"/>
    </row>
    <row r="11292" spans="12:12">
      <c r="L11292"/>
    </row>
    <row r="11293" spans="12:12">
      <c r="L11293"/>
    </row>
    <row r="11294" spans="12:12">
      <c r="L11294"/>
    </row>
    <row r="11295" spans="12:12">
      <c r="L11295"/>
    </row>
    <row r="11296" spans="12:12">
      <c r="L11296"/>
    </row>
    <row r="11297" spans="12:12">
      <c r="L11297"/>
    </row>
    <row r="11298" spans="12:12">
      <c r="L11298"/>
    </row>
    <row r="11299" spans="12:12">
      <c r="L11299"/>
    </row>
    <row r="11300" spans="12:12">
      <c r="L11300"/>
    </row>
    <row r="11301" spans="12:12">
      <c r="L11301"/>
    </row>
    <row r="11302" spans="12:12">
      <c r="L11302"/>
    </row>
    <row r="11303" spans="12:12">
      <c r="L11303"/>
    </row>
    <row r="11304" spans="12:12">
      <c r="L11304"/>
    </row>
    <row r="11305" spans="12:12">
      <c r="L11305"/>
    </row>
    <row r="11306" spans="12:12">
      <c r="L11306"/>
    </row>
    <row r="11307" spans="12:12">
      <c r="L11307"/>
    </row>
    <row r="11308" spans="12:12">
      <c r="L11308"/>
    </row>
    <row r="11309" spans="12:12">
      <c r="L11309"/>
    </row>
    <row r="11310" spans="12:12">
      <c r="L11310"/>
    </row>
    <row r="11311" spans="12:12">
      <c r="L11311"/>
    </row>
    <row r="11312" spans="12:12">
      <c r="L11312"/>
    </row>
    <row r="11313" spans="12:12">
      <c r="L11313"/>
    </row>
    <row r="11314" spans="12:12">
      <c r="L11314"/>
    </row>
    <row r="11315" spans="12:12">
      <c r="L11315"/>
    </row>
    <row r="11316" spans="12:12">
      <c r="L11316"/>
    </row>
    <row r="11317" spans="12:12">
      <c r="L11317"/>
    </row>
    <row r="11318" spans="12:12">
      <c r="L11318"/>
    </row>
    <row r="11319" spans="12:12">
      <c r="L11319"/>
    </row>
    <row r="11320" spans="12:12">
      <c r="L11320"/>
    </row>
    <row r="11321" spans="12:12">
      <c r="L11321"/>
    </row>
    <row r="11322" spans="12:12">
      <c r="L11322"/>
    </row>
    <row r="11323" spans="12:12">
      <c r="L11323"/>
    </row>
    <row r="11324" spans="12:12">
      <c r="L11324"/>
    </row>
    <row r="11325" spans="12:12">
      <c r="L11325"/>
    </row>
    <row r="11326" spans="12:12">
      <c r="L11326"/>
    </row>
    <row r="11327" spans="12:12">
      <c r="L11327"/>
    </row>
    <row r="11328" spans="12:12">
      <c r="L11328"/>
    </row>
    <row r="11329" spans="12:12">
      <c r="L11329"/>
    </row>
    <row r="11330" spans="12:12">
      <c r="L11330"/>
    </row>
    <row r="11331" spans="12:12">
      <c r="L11331"/>
    </row>
    <row r="11332" spans="12:12">
      <c r="L11332"/>
    </row>
    <row r="11333" spans="12:12">
      <c r="L11333"/>
    </row>
    <row r="11334" spans="12:12">
      <c r="L11334"/>
    </row>
    <row r="11335" spans="12:12">
      <c r="L11335"/>
    </row>
    <row r="11336" spans="12:12">
      <c r="L11336"/>
    </row>
    <row r="11337" spans="12:12">
      <c r="L11337"/>
    </row>
    <row r="11338" spans="12:12">
      <c r="L11338"/>
    </row>
    <row r="11339" spans="12:12">
      <c r="L11339"/>
    </row>
    <row r="11340" spans="12:12">
      <c r="L11340"/>
    </row>
    <row r="11341" spans="12:12">
      <c r="L11341"/>
    </row>
    <row r="11342" spans="12:12">
      <c r="L11342"/>
    </row>
    <row r="11343" spans="12:12">
      <c r="L11343"/>
    </row>
    <row r="11344" spans="12:12">
      <c r="L11344"/>
    </row>
    <row r="11345" spans="12:12">
      <c r="L11345"/>
    </row>
    <row r="11346" spans="12:12">
      <c r="L11346"/>
    </row>
    <row r="11347" spans="12:12">
      <c r="L11347"/>
    </row>
    <row r="11348" spans="12:12">
      <c r="L11348"/>
    </row>
    <row r="11349" spans="12:12">
      <c r="L11349"/>
    </row>
    <row r="11350" spans="12:12">
      <c r="L11350"/>
    </row>
    <row r="11351" spans="12:12">
      <c r="L11351"/>
    </row>
    <row r="11352" spans="12:12">
      <c r="L11352"/>
    </row>
    <row r="11353" spans="12:12">
      <c r="L11353"/>
    </row>
    <row r="11354" spans="12:12">
      <c r="L11354"/>
    </row>
    <row r="11355" spans="12:12">
      <c r="L11355"/>
    </row>
    <row r="11356" spans="12:12">
      <c r="L11356"/>
    </row>
    <row r="11357" spans="12:12">
      <c r="L11357"/>
    </row>
    <row r="11358" spans="12:12">
      <c r="L11358"/>
    </row>
    <row r="11359" spans="12:12">
      <c r="L11359"/>
    </row>
    <row r="11360" spans="12:12">
      <c r="L11360"/>
    </row>
    <row r="11361" spans="12:12">
      <c r="L11361"/>
    </row>
    <row r="11362" spans="12:12">
      <c r="L11362"/>
    </row>
    <row r="11363" spans="12:12">
      <c r="L11363"/>
    </row>
    <row r="11364" spans="12:12">
      <c r="L11364"/>
    </row>
    <row r="11365" spans="12:12">
      <c r="L11365"/>
    </row>
    <row r="11366" spans="12:12">
      <c r="L11366"/>
    </row>
    <row r="11367" spans="12:12">
      <c r="L11367"/>
    </row>
    <row r="11368" spans="12:12">
      <c r="L11368"/>
    </row>
    <row r="11369" spans="12:12">
      <c r="L11369"/>
    </row>
    <row r="11370" spans="12:12">
      <c r="L11370"/>
    </row>
    <row r="11371" spans="12:12">
      <c r="L11371"/>
    </row>
    <row r="11372" spans="12:12">
      <c r="L11372"/>
    </row>
    <row r="11373" spans="12:12">
      <c r="L11373"/>
    </row>
    <row r="11374" spans="12:12">
      <c r="L11374"/>
    </row>
    <row r="11375" spans="12:12">
      <c r="L11375"/>
    </row>
    <row r="11376" spans="12:12">
      <c r="L11376"/>
    </row>
    <row r="11377" spans="12:12">
      <c r="L11377"/>
    </row>
    <row r="11378" spans="12:12">
      <c r="L11378"/>
    </row>
    <row r="11379" spans="12:12">
      <c r="L11379"/>
    </row>
    <row r="11380" spans="12:12">
      <c r="L11380"/>
    </row>
    <row r="11381" spans="12:12">
      <c r="L11381"/>
    </row>
    <row r="11382" spans="12:12">
      <c r="L11382"/>
    </row>
    <row r="11383" spans="12:12">
      <c r="L11383"/>
    </row>
    <row r="11384" spans="12:12">
      <c r="L11384"/>
    </row>
    <row r="11385" spans="12:12">
      <c r="L11385"/>
    </row>
    <row r="11386" spans="12:12">
      <c r="L11386"/>
    </row>
    <row r="11387" spans="12:12">
      <c r="L11387"/>
    </row>
    <row r="11388" spans="12:12">
      <c r="L11388"/>
    </row>
    <row r="11389" spans="12:12">
      <c r="L11389"/>
    </row>
    <row r="11390" spans="12:12">
      <c r="L11390"/>
    </row>
    <row r="11391" spans="12:12">
      <c r="L11391"/>
    </row>
    <row r="11392" spans="12:12">
      <c r="L11392"/>
    </row>
    <row r="11393" spans="12:12">
      <c r="L11393"/>
    </row>
    <row r="11394" spans="12:12">
      <c r="L11394"/>
    </row>
    <row r="11395" spans="12:12">
      <c r="L11395"/>
    </row>
    <row r="11396" spans="12:12">
      <c r="L11396"/>
    </row>
    <row r="11397" spans="12:12">
      <c r="L11397"/>
    </row>
    <row r="11398" spans="12:12">
      <c r="L11398"/>
    </row>
    <row r="11399" spans="12:12">
      <c r="L11399"/>
    </row>
    <row r="11400" spans="12:12">
      <c r="L11400"/>
    </row>
    <row r="11401" spans="12:12">
      <c r="L11401"/>
    </row>
    <row r="11402" spans="12:12">
      <c r="L11402"/>
    </row>
    <row r="11403" spans="12:12">
      <c r="L11403"/>
    </row>
    <row r="11404" spans="12:12">
      <c r="L11404"/>
    </row>
    <row r="11405" spans="12:12">
      <c r="L11405"/>
    </row>
    <row r="11406" spans="12:12">
      <c r="L11406"/>
    </row>
    <row r="11407" spans="12:12">
      <c r="L11407"/>
    </row>
    <row r="11408" spans="12:12">
      <c r="L11408"/>
    </row>
    <row r="11409" spans="12:12">
      <c r="L11409"/>
    </row>
    <row r="11410" spans="12:12">
      <c r="L11410"/>
    </row>
    <row r="11411" spans="12:12">
      <c r="L11411"/>
    </row>
    <row r="11412" spans="12:12">
      <c r="L11412"/>
    </row>
    <row r="11413" spans="12:12">
      <c r="L11413"/>
    </row>
    <row r="11414" spans="12:12">
      <c r="L11414"/>
    </row>
    <row r="11415" spans="12:12">
      <c r="L11415"/>
    </row>
    <row r="11416" spans="12:12">
      <c r="L11416"/>
    </row>
    <row r="11417" spans="12:12">
      <c r="L11417"/>
    </row>
    <row r="11418" spans="12:12">
      <c r="L11418"/>
    </row>
    <row r="11419" spans="12:12">
      <c r="L11419"/>
    </row>
    <row r="11420" spans="12:12">
      <c r="L11420"/>
    </row>
    <row r="11421" spans="12:12">
      <c r="L11421"/>
    </row>
    <row r="11422" spans="12:12">
      <c r="L11422"/>
    </row>
    <row r="11423" spans="12:12">
      <c r="L11423"/>
    </row>
    <row r="11424" spans="12:12">
      <c r="L11424"/>
    </row>
    <row r="11425" spans="12:12">
      <c r="L11425"/>
    </row>
    <row r="11426" spans="12:12">
      <c r="L11426"/>
    </row>
    <row r="11427" spans="12:12">
      <c r="L11427"/>
    </row>
    <row r="11428" spans="12:12">
      <c r="L11428"/>
    </row>
    <row r="11429" spans="12:12">
      <c r="L11429"/>
    </row>
    <row r="11430" spans="12:12">
      <c r="L11430"/>
    </row>
    <row r="11431" spans="12:12">
      <c r="L11431"/>
    </row>
    <row r="11432" spans="12:12">
      <c r="L11432"/>
    </row>
    <row r="11433" spans="12:12">
      <c r="L11433"/>
    </row>
    <row r="11434" spans="12:12">
      <c r="L11434"/>
    </row>
    <row r="11435" spans="12:12">
      <c r="L11435"/>
    </row>
    <row r="11436" spans="12:12">
      <c r="L11436"/>
    </row>
    <row r="11437" spans="12:12">
      <c r="L11437"/>
    </row>
    <row r="11438" spans="12:12">
      <c r="L11438"/>
    </row>
    <row r="11439" spans="12:12">
      <c r="L11439"/>
    </row>
    <row r="11440" spans="12:12">
      <c r="L11440"/>
    </row>
    <row r="11441" spans="12:12">
      <c r="L11441"/>
    </row>
    <row r="11442" spans="12:12">
      <c r="L11442"/>
    </row>
    <row r="11443" spans="12:12">
      <c r="L11443"/>
    </row>
    <row r="11444" spans="12:12">
      <c r="L11444"/>
    </row>
    <row r="11445" spans="12:12">
      <c r="L11445"/>
    </row>
    <row r="11446" spans="12:12">
      <c r="L11446"/>
    </row>
    <row r="11447" spans="12:12">
      <c r="L11447"/>
    </row>
    <row r="11448" spans="12:12">
      <c r="L11448"/>
    </row>
    <row r="11449" spans="12:12">
      <c r="L11449"/>
    </row>
    <row r="11450" spans="12:12">
      <c r="L11450"/>
    </row>
    <row r="11451" spans="12:12">
      <c r="L11451"/>
    </row>
    <row r="11452" spans="12:12">
      <c r="L11452"/>
    </row>
    <row r="11453" spans="12:12">
      <c r="L11453"/>
    </row>
    <row r="11454" spans="12:12">
      <c r="L11454"/>
    </row>
    <row r="11455" spans="12:12">
      <c r="L11455"/>
    </row>
    <row r="11456" spans="12:12">
      <c r="L11456"/>
    </row>
    <row r="11457" spans="12:12">
      <c r="L11457"/>
    </row>
    <row r="11458" spans="12:12">
      <c r="L11458"/>
    </row>
    <row r="11459" spans="12:12">
      <c r="L11459"/>
    </row>
    <row r="11460" spans="12:12">
      <c r="L11460"/>
    </row>
    <row r="11461" spans="12:12">
      <c r="L11461"/>
    </row>
    <row r="11462" spans="12:12">
      <c r="L11462"/>
    </row>
    <row r="11463" spans="12:12">
      <c r="L11463"/>
    </row>
    <row r="11464" spans="12:12">
      <c r="L11464"/>
    </row>
    <row r="11465" spans="12:12">
      <c r="L11465"/>
    </row>
    <row r="11466" spans="12:12">
      <c r="L11466"/>
    </row>
    <row r="11467" spans="12:12">
      <c r="L11467"/>
    </row>
    <row r="11468" spans="12:12">
      <c r="L11468"/>
    </row>
    <row r="11469" spans="12:12">
      <c r="L11469"/>
    </row>
    <row r="11470" spans="12:12">
      <c r="L11470"/>
    </row>
    <row r="11471" spans="12:12">
      <c r="L11471"/>
    </row>
    <row r="11472" spans="12:12">
      <c r="L11472"/>
    </row>
    <row r="11473" spans="12:12">
      <c r="L11473"/>
    </row>
    <row r="11474" spans="12:12">
      <c r="L11474"/>
    </row>
    <row r="11475" spans="12:12">
      <c r="L11475"/>
    </row>
    <row r="11476" spans="12:12">
      <c r="L11476"/>
    </row>
    <row r="11477" spans="12:12">
      <c r="L11477"/>
    </row>
    <row r="11478" spans="12:12">
      <c r="L11478"/>
    </row>
    <row r="11479" spans="12:12">
      <c r="L11479"/>
    </row>
    <row r="11480" spans="12:12">
      <c r="L11480"/>
    </row>
    <row r="11481" spans="12:12">
      <c r="L11481"/>
    </row>
    <row r="11482" spans="12:12">
      <c r="L11482"/>
    </row>
    <row r="11483" spans="12:12">
      <c r="L11483"/>
    </row>
    <row r="11484" spans="12:12">
      <c r="L11484"/>
    </row>
    <row r="11485" spans="12:12">
      <c r="L11485"/>
    </row>
    <row r="11486" spans="12:12">
      <c r="L11486"/>
    </row>
    <row r="11487" spans="12:12">
      <c r="L11487"/>
    </row>
    <row r="11488" spans="12:12">
      <c r="L11488"/>
    </row>
    <row r="11489" spans="12:12">
      <c r="L11489"/>
    </row>
    <row r="11490" spans="12:12">
      <c r="L11490"/>
    </row>
    <row r="11491" spans="12:12">
      <c r="L11491"/>
    </row>
    <row r="11492" spans="12:12">
      <c r="L11492"/>
    </row>
    <row r="11493" spans="12:12">
      <c r="L11493"/>
    </row>
    <row r="11494" spans="12:12">
      <c r="L11494"/>
    </row>
    <row r="11495" spans="12:12">
      <c r="L11495"/>
    </row>
    <row r="11496" spans="12:12">
      <c r="L11496"/>
    </row>
    <row r="11497" spans="12:12">
      <c r="L11497"/>
    </row>
    <row r="11498" spans="12:12">
      <c r="L11498"/>
    </row>
    <row r="11499" spans="12:12">
      <c r="L11499"/>
    </row>
    <row r="11500" spans="12:12">
      <c r="L11500"/>
    </row>
    <row r="11501" spans="12:12">
      <c r="L11501"/>
    </row>
    <row r="11502" spans="12:12">
      <c r="L11502"/>
    </row>
    <row r="11503" spans="12:12">
      <c r="L11503"/>
    </row>
    <row r="11504" spans="12:12">
      <c r="L11504"/>
    </row>
    <row r="11505" spans="12:12">
      <c r="L11505"/>
    </row>
    <row r="11506" spans="12:12">
      <c r="L11506"/>
    </row>
    <row r="11507" spans="12:12">
      <c r="L11507"/>
    </row>
    <row r="11508" spans="12:12">
      <c r="L11508"/>
    </row>
    <row r="11509" spans="12:12">
      <c r="L11509"/>
    </row>
    <row r="11510" spans="12:12">
      <c r="L11510"/>
    </row>
    <row r="11511" spans="12:12">
      <c r="L11511"/>
    </row>
    <row r="11512" spans="12:12">
      <c r="L11512"/>
    </row>
    <row r="11513" spans="12:12">
      <c r="L11513"/>
    </row>
    <row r="11514" spans="12:12">
      <c r="L11514"/>
    </row>
    <row r="11515" spans="12:12">
      <c r="L11515"/>
    </row>
    <row r="11516" spans="12:12">
      <c r="L11516"/>
    </row>
    <row r="11517" spans="12:12">
      <c r="L11517"/>
    </row>
    <row r="11518" spans="12:12">
      <c r="L11518"/>
    </row>
    <row r="11519" spans="12:12">
      <c r="L11519"/>
    </row>
    <row r="11520" spans="12:12">
      <c r="L11520"/>
    </row>
    <row r="11521" spans="12:12">
      <c r="L11521"/>
    </row>
    <row r="11522" spans="12:12">
      <c r="L11522"/>
    </row>
    <row r="11523" spans="12:12">
      <c r="L11523"/>
    </row>
    <row r="11524" spans="12:12">
      <c r="L11524"/>
    </row>
    <row r="11525" spans="12:12">
      <c r="L11525"/>
    </row>
    <row r="11526" spans="12:12">
      <c r="L11526"/>
    </row>
    <row r="11527" spans="12:12">
      <c r="L11527"/>
    </row>
    <row r="11528" spans="12:12">
      <c r="L11528"/>
    </row>
    <row r="11529" spans="12:12">
      <c r="L11529"/>
    </row>
    <row r="11530" spans="12:12">
      <c r="L11530"/>
    </row>
    <row r="11531" spans="12:12">
      <c r="L11531"/>
    </row>
    <row r="11532" spans="12:12">
      <c r="L11532"/>
    </row>
    <row r="11533" spans="12:12">
      <c r="L11533"/>
    </row>
    <row r="11534" spans="12:12">
      <c r="L11534"/>
    </row>
    <row r="11535" spans="12:12">
      <c r="L11535"/>
    </row>
    <row r="11536" spans="12:12">
      <c r="L11536"/>
    </row>
    <row r="11537" spans="12:12">
      <c r="L11537"/>
    </row>
    <row r="11538" spans="12:12">
      <c r="L11538"/>
    </row>
    <row r="11539" spans="12:12">
      <c r="L11539"/>
    </row>
    <row r="11540" spans="12:12">
      <c r="L11540"/>
    </row>
    <row r="11541" spans="12:12">
      <c r="L11541"/>
    </row>
    <row r="11542" spans="12:12">
      <c r="L11542"/>
    </row>
    <row r="11543" spans="12:12">
      <c r="L11543"/>
    </row>
    <row r="11544" spans="12:12">
      <c r="L11544"/>
    </row>
    <row r="11545" spans="12:12">
      <c r="L11545"/>
    </row>
    <row r="11546" spans="12:12">
      <c r="L11546"/>
    </row>
    <row r="11547" spans="12:12">
      <c r="L11547"/>
    </row>
    <row r="11548" spans="12:12">
      <c r="L11548"/>
    </row>
    <row r="11549" spans="12:12">
      <c r="L11549"/>
    </row>
    <row r="11550" spans="12:12">
      <c r="L11550"/>
    </row>
    <row r="11551" spans="12:12">
      <c r="L11551"/>
    </row>
    <row r="11552" spans="12:12">
      <c r="L11552"/>
    </row>
    <row r="11553" spans="12:12">
      <c r="L11553"/>
    </row>
    <row r="11554" spans="12:12">
      <c r="L11554"/>
    </row>
    <row r="11555" spans="12:12">
      <c r="L11555"/>
    </row>
    <row r="11556" spans="12:12">
      <c r="L11556"/>
    </row>
    <row r="11557" spans="12:12">
      <c r="L11557"/>
    </row>
    <row r="11558" spans="12:12">
      <c r="L11558"/>
    </row>
    <row r="11559" spans="12:12">
      <c r="L11559"/>
    </row>
    <row r="11560" spans="12:12">
      <c r="L11560"/>
    </row>
    <row r="11561" spans="12:12">
      <c r="L11561"/>
    </row>
    <row r="11562" spans="12:12">
      <c r="L11562"/>
    </row>
    <row r="11563" spans="12:12">
      <c r="L11563"/>
    </row>
    <row r="11564" spans="12:12">
      <c r="L11564"/>
    </row>
    <row r="11565" spans="12:12">
      <c r="L11565"/>
    </row>
    <row r="11566" spans="12:12">
      <c r="L11566"/>
    </row>
    <row r="11567" spans="12:12">
      <c r="L11567"/>
    </row>
    <row r="11568" spans="12:12">
      <c r="L11568"/>
    </row>
    <row r="11569" spans="12:12">
      <c r="L11569"/>
    </row>
    <row r="11570" spans="12:12">
      <c r="L11570"/>
    </row>
    <row r="11571" spans="12:12">
      <c r="L11571"/>
    </row>
    <row r="11572" spans="12:12">
      <c r="L11572"/>
    </row>
    <row r="11573" spans="12:12">
      <c r="L11573"/>
    </row>
    <row r="11574" spans="12:12">
      <c r="L11574"/>
    </row>
    <row r="11575" spans="12:12">
      <c r="L11575"/>
    </row>
    <row r="11576" spans="12:12">
      <c r="L11576"/>
    </row>
    <row r="11577" spans="12:12">
      <c r="L11577"/>
    </row>
    <row r="11578" spans="12:12">
      <c r="L11578"/>
    </row>
    <row r="11579" spans="12:12">
      <c r="L11579"/>
    </row>
    <row r="11580" spans="12:12">
      <c r="L11580"/>
    </row>
    <row r="11581" spans="12:12">
      <c r="L11581"/>
    </row>
    <row r="11582" spans="12:12">
      <c r="L11582"/>
    </row>
    <row r="11583" spans="12:12">
      <c r="L11583"/>
    </row>
    <row r="11584" spans="12:12">
      <c r="L11584"/>
    </row>
    <row r="11585" spans="12:12">
      <c r="L11585"/>
    </row>
    <row r="11586" spans="12:12">
      <c r="L11586"/>
    </row>
    <row r="11587" spans="12:12">
      <c r="L11587"/>
    </row>
    <row r="11588" spans="12:12">
      <c r="L11588"/>
    </row>
    <row r="11589" spans="12:12">
      <c r="L11589"/>
    </row>
    <row r="11590" spans="12:12">
      <c r="L11590"/>
    </row>
    <row r="11591" spans="12:12">
      <c r="L11591"/>
    </row>
    <row r="11592" spans="12:12">
      <c r="L11592"/>
    </row>
    <row r="11593" spans="12:12">
      <c r="L11593"/>
    </row>
    <row r="11594" spans="12:12">
      <c r="L11594"/>
    </row>
    <row r="11595" spans="12:12">
      <c r="L11595"/>
    </row>
    <row r="11596" spans="12:12">
      <c r="L11596"/>
    </row>
    <row r="11597" spans="12:12">
      <c r="L11597"/>
    </row>
    <row r="11598" spans="12:12">
      <c r="L11598"/>
    </row>
    <row r="11599" spans="12:12">
      <c r="L11599"/>
    </row>
    <row r="11600" spans="12:12">
      <c r="L11600"/>
    </row>
    <row r="11601" spans="12:12">
      <c r="L11601"/>
    </row>
    <row r="11602" spans="12:12">
      <c r="L11602"/>
    </row>
    <row r="11603" spans="12:12">
      <c r="L11603"/>
    </row>
    <row r="11604" spans="12:12">
      <c r="L11604"/>
    </row>
    <row r="11605" spans="12:12">
      <c r="L11605"/>
    </row>
    <row r="11606" spans="12:12">
      <c r="L11606"/>
    </row>
    <row r="11607" spans="12:12">
      <c r="L11607"/>
    </row>
    <row r="11608" spans="12:12">
      <c r="L11608"/>
    </row>
    <row r="11609" spans="12:12">
      <c r="L11609"/>
    </row>
    <row r="11610" spans="12:12">
      <c r="L11610"/>
    </row>
    <row r="11611" spans="12:12">
      <c r="L11611"/>
    </row>
    <row r="11612" spans="12:12">
      <c r="L11612"/>
    </row>
    <row r="11613" spans="12:12">
      <c r="L11613"/>
    </row>
    <row r="11614" spans="12:12">
      <c r="L11614"/>
    </row>
    <row r="11615" spans="12:12">
      <c r="L11615"/>
    </row>
    <row r="11616" spans="12:12">
      <c r="L11616"/>
    </row>
    <row r="11617" spans="12:12">
      <c r="L11617"/>
    </row>
    <row r="11618" spans="12:12">
      <c r="L11618"/>
    </row>
    <row r="11619" spans="12:12">
      <c r="L11619"/>
    </row>
    <row r="11620" spans="12:12">
      <c r="L11620"/>
    </row>
    <row r="11621" spans="12:12">
      <c r="L11621"/>
    </row>
    <row r="11622" spans="12:12">
      <c r="L11622"/>
    </row>
    <row r="11623" spans="12:12">
      <c r="L11623"/>
    </row>
    <row r="11624" spans="12:12">
      <c r="L11624"/>
    </row>
    <row r="11625" spans="12:12">
      <c r="L11625"/>
    </row>
    <row r="11626" spans="12:12">
      <c r="L11626"/>
    </row>
    <row r="11627" spans="12:12">
      <c r="L11627"/>
    </row>
    <row r="11628" spans="12:12">
      <c r="L11628"/>
    </row>
    <row r="11629" spans="12:12">
      <c r="L11629"/>
    </row>
    <row r="11630" spans="12:12">
      <c r="L11630"/>
    </row>
    <row r="11631" spans="12:12">
      <c r="L11631"/>
    </row>
    <row r="11632" spans="12:12">
      <c r="L11632"/>
    </row>
    <row r="11633" spans="12:12">
      <c r="L11633"/>
    </row>
    <row r="11634" spans="12:12">
      <c r="L11634"/>
    </row>
    <row r="11635" spans="12:12">
      <c r="L11635"/>
    </row>
    <row r="11636" spans="12:12">
      <c r="L11636"/>
    </row>
    <row r="11637" spans="12:12">
      <c r="L11637"/>
    </row>
    <row r="11638" spans="12:12">
      <c r="L11638"/>
    </row>
    <row r="11639" spans="12:12">
      <c r="L11639"/>
    </row>
    <row r="11640" spans="12:12">
      <c r="L11640"/>
    </row>
    <row r="11641" spans="12:12">
      <c r="L11641"/>
    </row>
    <row r="11642" spans="12:12">
      <c r="L11642"/>
    </row>
    <row r="11643" spans="12:12">
      <c r="L11643"/>
    </row>
    <row r="11644" spans="12:12">
      <c r="L11644"/>
    </row>
    <row r="11645" spans="12:12">
      <c r="L11645"/>
    </row>
    <row r="11646" spans="12:12">
      <c r="L11646"/>
    </row>
    <row r="11647" spans="12:12">
      <c r="L11647"/>
    </row>
    <row r="11648" spans="12:12">
      <c r="L11648"/>
    </row>
    <row r="11649" spans="12:12">
      <c r="L11649"/>
    </row>
    <row r="11650" spans="12:12">
      <c r="L11650"/>
    </row>
    <row r="11651" spans="12:12">
      <c r="L11651"/>
    </row>
    <row r="11652" spans="12:12">
      <c r="L11652"/>
    </row>
    <row r="11653" spans="12:12">
      <c r="L11653"/>
    </row>
    <row r="11654" spans="12:12">
      <c r="L11654"/>
    </row>
    <row r="11655" spans="12:12">
      <c r="L11655"/>
    </row>
    <row r="11656" spans="12:12">
      <c r="L11656"/>
    </row>
    <row r="11657" spans="12:12">
      <c r="L11657"/>
    </row>
    <row r="11658" spans="12:12">
      <c r="L11658"/>
    </row>
    <row r="11659" spans="12:12">
      <c r="L11659"/>
    </row>
    <row r="11660" spans="12:12">
      <c r="L11660"/>
    </row>
    <row r="11661" spans="12:12">
      <c r="L11661"/>
    </row>
    <row r="11662" spans="12:12">
      <c r="L11662"/>
    </row>
    <row r="11663" spans="12:12">
      <c r="L11663"/>
    </row>
    <row r="11664" spans="12:12">
      <c r="L11664"/>
    </row>
    <row r="11665" spans="12:12">
      <c r="L11665"/>
    </row>
    <row r="11666" spans="12:12">
      <c r="L11666"/>
    </row>
    <row r="11667" spans="12:12">
      <c r="L11667"/>
    </row>
    <row r="11668" spans="12:12">
      <c r="L11668"/>
    </row>
    <row r="11669" spans="12:12">
      <c r="L11669"/>
    </row>
    <row r="11670" spans="12:12">
      <c r="L11670"/>
    </row>
    <row r="11671" spans="12:12">
      <c r="L11671"/>
    </row>
    <row r="11672" spans="12:12">
      <c r="L11672"/>
    </row>
    <row r="11673" spans="12:12">
      <c r="L11673"/>
    </row>
    <row r="11674" spans="12:12">
      <c r="L11674"/>
    </row>
    <row r="11675" spans="12:12">
      <c r="L11675"/>
    </row>
    <row r="11676" spans="12:12">
      <c r="L11676"/>
    </row>
    <row r="11677" spans="12:12">
      <c r="L11677"/>
    </row>
    <row r="11678" spans="12:12">
      <c r="L11678"/>
    </row>
    <row r="11679" spans="12:12">
      <c r="L11679"/>
    </row>
    <row r="11680" spans="12:12">
      <c r="L11680"/>
    </row>
    <row r="11681" spans="12:12">
      <c r="L11681"/>
    </row>
    <row r="11682" spans="12:12">
      <c r="L11682"/>
    </row>
    <row r="11683" spans="12:12">
      <c r="L11683"/>
    </row>
    <row r="11684" spans="12:12">
      <c r="L11684"/>
    </row>
    <row r="11685" spans="12:12">
      <c r="L11685"/>
    </row>
    <row r="11686" spans="12:12">
      <c r="L11686"/>
    </row>
    <row r="11687" spans="12:12">
      <c r="L11687"/>
    </row>
    <row r="11688" spans="12:12">
      <c r="L11688"/>
    </row>
    <row r="11689" spans="12:12">
      <c r="L11689"/>
    </row>
    <row r="11690" spans="12:12">
      <c r="L11690"/>
    </row>
    <row r="11691" spans="12:12">
      <c r="L11691"/>
    </row>
    <row r="11692" spans="12:12">
      <c r="L11692"/>
    </row>
    <row r="11693" spans="12:12">
      <c r="L11693"/>
    </row>
    <row r="11694" spans="12:12">
      <c r="L11694"/>
    </row>
    <row r="11695" spans="12:12">
      <c r="L11695"/>
    </row>
    <row r="11696" spans="12:12">
      <c r="L11696"/>
    </row>
    <row r="11697" spans="12:12">
      <c r="L11697"/>
    </row>
    <row r="11698" spans="12:12">
      <c r="L11698"/>
    </row>
    <row r="11699" spans="12:12">
      <c r="L11699"/>
    </row>
    <row r="11700" spans="12:12">
      <c r="L11700"/>
    </row>
    <row r="11701" spans="12:12">
      <c r="L11701"/>
    </row>
    <row r="11702" spans="12:12">
      <c r="L11702"/>
    </row>
    <row r="11703" spans="12:12">
      <c r="L11703"/>
    </row>
    <row r="11704" spans="12:12">
      <c r="L11704"/>
    </row>
    <row r="11705" spans="12:12">
      <c r="L11705"/>
    </row>
    <row r="11706" spans="12:12">
      <c r="L11706"/>
    </row>
    <row r="11707" spans="12:12">
      <c r="L11707"/>
    </row>
    <row r="11708" spans="12:12">
      <c r="L11708"/>
    </row>
    <row r="11709" spans="12:12">
      <c r="L11709"/>
    </row>
    <row r="11710" spans="12:12">
      <c r="L11710"/>
    </row>
    <row r="11711" spans="12:12">
      <c r="L11711"/>
    </row>
    <row r="11712" spans="12:12">
      <c r="L11712"/>
    </row>
    <row r="11713" spans="12:12">
      <c r="L11713"/>
    </row>
    <row r="11714" spans="12:12">
      <c r="L11714"/>
    </row>
    <row r="11715" spans="12:12">
      <c r="L11715"/>
    </row>
    <row r="11716" spans="12:12">
      <c r="L11716"/>
    </row>
    <row r="11717" spans="12:12">
      <c r="L11717"/>
    </row>
    <row r="11718" spans="12:12">
      <c r="L11718"/>
    </row>
    <row r="11719" spans="12:12">
      <c r="L11719"/>
    </row>
    <row r="11720" spans="12:12">
      <c r="L11720"/>
    </row>
    <row r="11721" spans="12:12">
      <c r="L11721"/>
    </row>
    <row r="11722" spans="12:12">
      <c r="L11722"/>
    </row>
    <row r="11723" spans="12:12">
      <c r="L11723"/>
    </row>
    <row r="11724" spans="12:12">
      <c r="L11724"/>
    </row>
    <row r="11725" spans="12:12">
      <c r="L11725"/>
    </row>
    <row r="11726" spans="12:12">
      <c r="L11726"/>
    </row>
    <row r="11727" spans="12:12">
      <c r="L11727"/>
    </row>
    <row r="11728" spans="12:12">
      <c r="L11728"/>
    </row>
    <row r="11729" spans="12:12">
      <c r="L11729"/>
    </row>
    <row r="11730" spans="12:12">
      <c r="L11730"/>
    </row>
    <row r="11731" spans="12:12">
      <c r="L11731"/>
    </row>
    <row r="11732" spans="12:12">
      <c r="L11732"/>
    </row>
    <row r="11733" spans="12:12">
      <c r="L11733"/>
    </row>
    <row r="11734" spans="12:12">
      <c r="L11734"/>
    </row>
    <row r="11735" spans="12:12">
      <c r="L11735"/>
    </row>
    <row r="11736" spans="12:12">
      <c r="L11736"/>
    </row>
    <row r="11737" spans="12:12">
      <c r="L11737"/>
    </row>
    <row r="11738" spans="12:12">
      <c r="L11738"/>
    </row>
    <row r="11739" spans="12:12">
      <c r="L11739"/>
    </row>
    <row r="11740" spans="12:12">
      <c r="L11740"/>
    </row>
    <row r="11741" spans="12:12">
      <c r="L11741"/>
    </row>
    <row r="11742" spans="12:12">
      <c r="L11742"/>
    </row>
    <row r="11743" spans="12:12">
      <c r="L11743"/>
    </row>
    <row r="11744" spans="12:12">
      <c r="L11744"/>
    </row>
    <row r="11745" spans="12:12">
      <c r="L11745"/>
    </row>
    <row r="11746" spans="12:12">
      <c r="L11746"/>
    </row>
    <row r="11747" spans="12:12">
      <c r="L11747"/>
    </row>
    <row r="11748" spans="12:12">
      <c r="L11748"/>
    </row>
    <row r="11749" spans="12:12">
      <c r="L11749"/>
    </row>
    <row r="11750" spans="12:12">
      <c r="L11750"/>
    </row>
    <row r="11751" spans="12:12">
      <c r="L11751"/>
    </row>
    <row r="11752" spans="12:12">
      <c r="L11752"/>
    </row>
    <row r="11753" spans="12:12">
      <c r="L11753"/>
    </row>
    <row r="11754" spans="12:12">
      <c r="L11754"/>
    </row>
    <row r="11755" spans="12:12">
      <c r="L11755"/>
    </row>
    <row r="11756" spans="12:12">
      <c r="L11756"/>
    </row>
    <row r="11757" spans="12:12">
      <c r="L11757"/>
    </row>
    <row r="11758" spans="12:12">
      <c r="L11758"/>
    </row>
    <row r="11759" spans="12:12">
      <c r="L11759"/>
    </row>
    <row r="11760" spans="12:12">
      <c r="L11760"/>
    </row>
    <row r="11761" spans="12:12">
      <c r="L11761"/>
    </row>
    <row r="11762" spans="12:12">
      <c r="L11762"/>
    </row>
    <row r="11763" spans="12:12">
      <c r="L11763"/>
    </row>
    <row r="11764" spans="12:12">
      <c r="L11764"/>
    </row>
    <row r="11765" spans="12:12">
      <c r="L11765"/>
    </row>
    <row r="11766" spans="12:12">
      <c r="L11766"/>
    </row>
    <row r="11767" spans="12:12">
      <c r="L11767"/>
    </row>
    <row r="11768" spans="12:12">
      <c r="L11768"/>
    </row>
    <row r="11769" spans="12:12">
      <c r="L11769"/>
    </row>
    <row r="11770" spans="12:12">
      <c r="L11770"/>
    </row>
    <row r="11771" spans="12:12">
      <c r="L11771"/>
    </row>
    <row r="11772" spans="12:12">
      <c r="L11772"/>
    </row>
    <row r="11773" spans="12:12">
      <c r="L11773"/>
    </row>
    <row r="11774" spans="12:12">
      <c r="L11774"/>
    </row>
    <row r="11775" spans="12:12">
      <c r="L11775"/>
    </row>
    <row r="11776" spans="12:12">
      <c r="L11776"/>
    </row>
    <row r="11777" spans="12:12">
      <c r="L11777"/>
    </row>
    <row r="11778" spans="12:12">
      <c r="L11778"/>
    </row>
    <row r="11779" spans="12:12">
      <c r="L11779"/>
    </row>
    <row r="11780" spans="12:12">
      <c r="L11780"/>
    </row>
    <row r="11781" spans="12:12">
      <c r="L11781"/>
    </row>
    <row r="11782" spans="12:12">
      <c r="L11782"/>
    </row>
    <row r="11783" spans="12:12">
      <c r="L11783"/>
    </row>
    <row r="11784" spans="12:12">
      <c r="L11784"/>
    </row>
    <row r="11785" spans="12:12">
      <c r="L11785"/>
    </row>
    <row r="11786" spans="12:12">
      <c r="L11786"/>
    </row>
    <row r="11787" spans="12:12">
      <c r="L11787"/>
    </row>
    <row r="11788" spans="12:12">
      <c r="L11788"/>
    </row>
    <row r="11789" spans="12:12">
      <c r="L11789"/>
    </row>
    <row r="11790" spans="12:12">
      <c r="L11790"/>
    </row>
    <row r="11791" spans="12:12">
      <c r="L11791"/>
    </row>
    <row r="11792" spans="12:12">
      <c r="L11792"/>
    </row>
    <row r="11793" spans="12:12">
      <c r="L11793"/>
    </row>
    <row r="11794" spans="12:12">
      <c r="L11794"/>
    </row>
    <row r="11795" spans="12:12">
      <c r="L11795"/>
    </row>
    <row r="11796" spans="12:12">
      <c r="L11796"/>
    </row>
    <row r="11797" spans="12:12">
      <c r="L11797"/>
    </row>
    <row r="11798" spans="12:12">
      <c r="L11798"/>
    </row>
    <row r="11799" spans="12:12">
      <c r="L11799"/>
    </row>
    <row r="11800" spans="12:12">
      <c r="L11800"/>
    </row>
    <row r="11801" spans="12:12">
      <c r="L11801"/>
    </row>
    <row r="11802" spans="12:12">
      <c r="L11802"/>
    </row>
    <row r="11803" spans="12:12">
      <c r="L11803"/>
    </row>
    <row r="11804" spans="12:12">
      <c r="L11804"/>
    </row>
    <row r="11805" spans="12:12">
      <c r="L11805"/>
    </row>
    <row r="11806" spans="12:12">
      <c r="L11806"/>
    </row>
    <row r="11807" spans="12:12">
      <c r="L11807"/>
    </row>
    <row r="11808" spans="12:12">
      <c r="L11808"/>
    </row>
    <row r="11809" spans="12:12">
      <c r="L11809"/>
    </row>
    <row r="11810" spans="12:12">
      <c r="L11810"/>
    </row>
    <row r="11811" spans="12:12">
      <c r="L11811"/>
    </row>
    <row r="11812" spans="12:12">
      <c r="L11812"/>
    </row>
    <row r="11813" spans="12:12">
      <c r="L11813"/>
    </row>
    <row r="11814" spans="12:12">
      <c r="L11814"/>
    </row>
    <row r="11815" spans="12:12">
      <c r="L11815"/>
    </row>
    <row r="11816" spans="12:12">
      <c r="L11816"/>
    </row>
    <row r="11817" spans="12:12">
      <c r="L11817"/>
    </row>
    <row r="11818" spans="12:12">
      <c r="L11818"/>
    </row>
    <row r="11819" spans="12:12">
      <c r="L11819"/>
    </row>
    <row r="11820" spans="12:12">
      <c r="L11820"/>
    </row>
    <row r="11821" spans="12:12">
      <c r="L11821"/>
    </row>
    <row r="11822" spans="12:12">
      <c r="L11822"/>
    </row>
    <row r="11823" spans="12:12">
      <c r="L11823"/>
    </row>
    <row r="11824" spans="12:12">
      <c r="L11824"/>
    </row>
    <row r="11825" spans="12:12">
      <c r="L11825"/>
    </row>
    <row r="11826" spans="12:12">
      <c r="L11826"/>
    </row>
    <row r="11827" spans="12:12">
      <c r="L11827"/>
    </row>
    <row r="11828" spans="12:12">
      <c r="L11828"/>
    </row>
    <row r="11829" spans="12:12">
      <c r="L11829"/>
    </row>
    <row r="11830" spans="12:12">
      <c r="L11830"/>
    </row>
    <row r="11831" spans="12:12">
      <c r="L11831"/>
    </row>
    <row r="11832" spans="12:12">
      <c r="L11832"/>
    </row>
    <row r="11833" spans="12:12">
      <c r="L11833"/>
    </row>
    <row r="11834" spans="12:12">
      <c r="L11834"/>
    </row>
    <row r="11835" spans="12:12">
      <c r="L11835"/>
    </row>
    <row r="11836" spans="12:12">
      <c r="L11836"/>
    </row>
    <row r="11837" spans="12:12">
      <c r="L11837"/>
    </row>
    <row r="11838" spans="12:12">
      <c r="L11838"/>
    </row>
    <row r="11839" spans="12:12">
      <c r="L11839"/>
    </row>
    <row r="11840" spans="12:12">
      <c r="L11840"/>
    </row>
    <row r="11841" spans="12:12">
      <c r="L11841"/>
    </row>
    <row r="11842" spans="12:12">
      <c r="L11842"/>
    </row>
    <row r="11843" spans="12:12">
      <c r="L11843"/>
    </row>
    <row r="11844" spans="12:12">
      <c r="L11844"/>
    </row>
    <row r="11845" spans="12:12">
      <c r="L11845"/>
    </row>
    <row r="11846" spans="12:12">
      <c r="L11846"/>
    </row>
    <row r="11847" spans="12:12">
      <c r="L11847"/>
    </row>
    <row r="11848" spans="12:12">
      <c r="L11848"/>
    </row>
    <row r="11849" spans="12:12">
      <c r="L11849"/>
    </row>
    <row r="11850" spans="12:12">
      <c r="L11850"/>
    </row>
    <row r="11851" spans="12:12">
      <c r="L11851"/>
    </row>
    <row r="11852" spans="12:12">
      <c r="L11852"/>
    </row>
    <row r="11853" spans="12:12">
      <c r="L11853"/>
    </row>
    <row r="11854" spans="12:12">
      <c r="L11854"/>
    </row>
    <row r="11855" spans="12:12">
      <c r="L11855"/>
    </row>
    <row r="11856" spans="12:12">
      <c r="L11856"/>
    </row>
    <row r="11857" spans="12:12">
      <c r="L11857"/>
    </row>
    <row r="11858" spans="12:12">
      <c r="L11858"/>
    </row>
    <row r="11859" spans="12:12">
      <c r="L11859"/>
    </row>
    <row r="11860" spans="12:12">
      <c r="L11860"/>
    </row>
    <row r="11861" spans="12:12">
      <c r="L11861"/>
    </row>
    <row r="11862" spans="12:12">
      <c r="L11862"/>
    </row>
    <row r="11863" spans="12:12">
      <c r="L11863"/>
    </row>
    <row r="11864" spans="12:12">
      <c r="L11864"/>
    </row>
    <row r="11865" spans="12:12">
      <c r="L11865"/>
    </row>
    <row r="11866" spans="12:12">
      <c r="L11866"/>
    </row>
    <row r="11867" spans="12:12">
      <c r="L11867"/>
    </row>
    <row r="11868" spans="12:12">
      <c r="L11868"/>
    </row>
    <row r="11869" spans="12:12">
      <c r="L11869"/>
    </row>
    <row r="11870" spans="12:12">
      <c r="L11870"/>
    </row>
    <row r="11871" spans="12:12">
      <c r="L11871"/>
    </row>
    <row r="11872" spans="12:12">
      <c r="L11872"/>
    </row>
    <row r="11873" spans="12:12">
      <c r="L11873"/>
    </row>
    <row r="11874" spans="12:12">
      <c r="L11874"/>
    </row>
    <row r="11875" spans="12:12">
      <c r="L11875"/>
    </row>
    <row r="11876" spans="12:12">
      <c r="L11876"/>
    </row>
    <row r="11877" spans="12:12">
      <c r="L11877"/>
    </row>
    <row r="11878" spans="12:12">
      <c r="L11878"/>
    </row>
    <row r="11879" spans="12:12">
      <c r="L11879"/>
    </row>
    <row r="11880" spans="12:12">
      <c r="L11880"/>
    </row>
    <row r="11881" spans="12:12">
      <c r="L11881"/>
    </row>
    <row r="11882" spans="12:12">
      <c r="L11882"/>
    </row>
    <row r="11883" spans="12:12">
      <c r="L11883"/>
    </row>
    <row r="11884" spans="12:12">
      <c r="L11884"/>
    </row>
    <row r="11885" spans="12:12">
      <c r="L11885"/>
    </row>
    <row r="11886" spans="12:12">
      <c r="L11886"/>
    </row>
    <row r="11887" spans="12:12">
      <c r="L11887"/>
    </row>
    <row r="11888" spans="12:12">
      <c r="L11888"/>
    </row>
    <row r="11889" spans="12:12">
      <c r="L11889"/>
    </row>
    <row r="11890" spans="12:12">
      <c r="L11890"/>
    </row>
    <row r="11891" spans="12:12">
      <c r="L11891"/>
    </row>
    <row r="11892" spans="12:12">
      <c r="L11892"/>
    </row>
    <row r="11893" spans="12:12">
      <c r="L11893"/>
    </row>
    <row r="11894" spans="12:12">
      <c r="L11894"/>
    </row>
    <row r="11895" spans="12:12">
      <c r="L11895"/>
    </row>
    <row r="11896" spans="12:12">
      <c r="L11896"/>
    </row>
    <row r="11897" spans="12:12">
      <c r="L11897"/>
    </row>
    <row r="11898" spans="12:12">
      <c r="L11898"/>
    </row>
    <row r="11899" spans="12:12">
      <c r="L11899"/>
    </row>
    <row r="11900" spans="12:12">
      <c r="L11900"/>
    </row>
    <row r="11901" spans="12:12">
      <c r="L11901"/>
    </row>
    <row r="11902" spans="12:12">
      <c r="L11902"/>
    </row>
    <row r="11903" spans="12:12">
      <c r="L11903"/>
    </row>
    <row r="11904" spans="12:12">
      <c r="L11904"/>
    </row>
    <row r="11905" spans="12:12">
      <c r="L11905"/>
    </row>
    <row r="11906" spans="12:12">
      <c r="L11906"/>
    </row>
    <row r="11907" spans="12:12">
      <c r="L11907"/>
    </row>
    <row r="11908" spans="12:12">
      <c r="L11908"/>
    </row>
    <row r="11909" spans="12:12">
      <c r="L11909"/>
    </row>
    <row r="11910" spans="12:12">
      <c r="L11910"/>
    </row>
    <row r="11911" spans="12:12">
      <c r="L11911"/>
    </row>
    <row r="11912" spans="12:12">
      <c r="L11912"/>
    </row>
    <row r="11913" spans="12:12">
      <c r="L11913"/>
    </row>
    <row r="11914" spans="12:12">
      <c r="L11914"/>
    </row>
    <row r="11915" spans="12:12">
      <c r="L11915"/>
    </row>
    <row r="11916" spans="12:12">
      <c r="L11916"/>
    </row>
    <row r="11917" spans="12:12">
      <c r="L11917"/>
    </row>
    <row r="11918" spans="12:12">
      <c r="L11918"/>
    </row>
    <row r="11919" spans="12:12">
      <c r="L11919"/>
    </row>
    <row r="11920" spans="12:12">
      <c r="L11920"/>
    </row>
    <row r="11921" spans="12:12">
      <c r="L11921"/>
    </row>
    <row r="11922" spans="12:12">
      <c r="L11922"/>
    </row>
    <row r="11923" spans="12:12">
      <c r="L11923"/>
    </row>
    <row r="11924" spans="12:12">
      <c r="L11924"/>
    </row>
    <row r="11925" spans="12:12">
      <c r="L11925"/>
    </row>
    <row r="11926" spans="12:12">
      <c r="L11926"/>
    </row>
    <row r="11927" spans="12:12">
      <c r="L11927"/>
    </row>
    <row r="11928" spans="12:12">
      <c r="L11928"/>
    </row>
    <row r="11929" spans="12:12">
      <c r="L11929"/>
    </row>
    <row r="11930" spans="12:12">
      <c r="L11930"/>
    </row>
    <row r="11931" spans="12:12">
      <c r="L11931"/>
    </row>
    <row r="11932" spans="12:12">
      <c r="L11932"/>
    </row>
    <row r="11933" spans="12:12">
      <c r="L11933"/>
    </row>
    <row r="11934" spans="12:12">
      <c r="L11934"/>
    </row>
    <row r="11935" spans="12:12">
      <c r="L11935"/>
    </row>
    <row r="11936" spans="12:12">
      <c r="L11936"/>
    </row>
    <row r="11937" spans="12:12">
      <c r="L11937"/>
    </row>
    <row r="11938" spans="12:12">
      <c r="L11938"/>
    </row>
    <row r="11939" spans="12:12">
      <c r="L11939"/>
    </row>
    <row r="11940" spans="12:12">
      <c r="L11940"/>
    </row>
    <row r="11941" spans="12:12">
      <c r="L11941"/>
    </row>
    <row r="11942" spans="12:12">
      <c r="L11942"/>
    </row>
    <row r="11943" spans="12:12">
      <c r="L11943"/>
    </row>
    <row r="11944" spans="12:12">
      <c r="L11944"/>
    </row>
    <row r="11945" spans="12:12">
      <c r="L11945"/>
    </row>
    <row r="11946" spans="12:12">
      <c r="L11946"/>
    </row>
    <row r="11947" spans="12:12">
      <c r="L11947"/>
    </row>
    <row r="11948" spans="12:12">
      <c r="L11948"/>
    </row>
    <row r="11949" spans="12:12">
      <c r="L11949"/>
    </row>
    <row r="11950" spans="12:12">
      <c r="L11950"/>
    </row>
    <row r="11951" spans="12:12">
      <c r="L11951"/>
    </row>
    <row r="11952" spans="12:12">
      <c r="L11952"/>
    </row>
    <row r="11953" spans="12:12">
      <c r="L11953"/>
    </row>
    <row r="11954" spans="12:12">
      <c r="L11954"/>
    </row>
    <row r="11955" spans="12:12">
      <c r="L11955"/>
    </row>
    <row r="11956" spans="12:12">
      <c r="L11956"/>
    </row>
    <row r="11957" spans="12:12">
      <c r="L11957"/>
    </row>
    <row r="11958" spans="12:12">
      <c r="L11958"/>
    </row>
    <row r="11959" spans="12:12">
      <c r="L11959"/>
    </row>
    <row r="11960" spans="12:12">
      <c r="L11960"/>
    </row>
    <row r="11961" spans="12:12">
      <c r="L11961"/>
    </row>
    <row r="11962" spans="12:12">
      <c r="L11962"/>
    </row>
    <row r="11963" spans="12:12">
      <c r="L11963"/>
    </row>
    <row r="11964" spans="12:12">
      <c r="L11964"/>
    </row>
    <row r="11965" spans="12:12">
      <c r="L11965"/>
    </row>
    <row r="11966" spans="12:12">
      <c r="L11966"/>
    </row>
    <row r="11967" spans="12:12">
      <c r="L11967"/>
    </row>
    <row r="11968" spans="12:12">
      <c r="L11968"/>
    </row>
    <row r="11969" spans="12:12">
      <c r="L11969"/>
    </row>
    <row r="11970" spans="12:12">
      <c r="L11970"/>
    </row>
    <row r="11971" spans="12:12">
      <c r="L11971"/>
    </row>
    <row r="11972" spans="12:12">
      <c r="L11972"/>
    </row>
    <row r="11973" spans="12:12">
      <c r="L11973"/>
    </row>
    <row r="11974" spans="12:12">
      <c r="L11974"/>
    </row>
    <row r="11975" spans="12:12">
      <c r="L11975"/>
    </row>
    <row r="11976" spans="12:12">
      <c r="L11976"/>
    </row>
    <row r="11977" spans="12:12">
      <c r="L11977"/>
    </row>
    <row r="11978" spans="12:12">
      <c r="L11978"/>
    </row>
    <row r="11979" spans="12:12">
      <c r="L11979"/>
    </row>
    <row r="11980" spans="12:12">
      <c r="L11980"/>
    </row>
    <row r="11981" spans="12:12">
      <c r="L11981"/>
    </row>
    <row r="11982" spans="12:12">
      <c r="L11982"/>
    </row>
    <row r="11983" spans="12:12">
      <c r="L11983"/>
    </row>
    <row r="11984" spans="12:12">
      <c r="L11984"/>
    </row>
    <row r="11985" spans="12:12">
      <c r="L11985"/>
    </row>
    <row r="11986" spans="12:12">
      <c r="L11986"/>
    </row>
    <row r="11987" spans="12:12">
      <c r="L11987"/>
    </row>
    <row r="11988" spans="12:12">
      <c r="L11988"/>
    </row>
    <row r="11989" spans="12:12">
      <c r="L11989"/>
    </row>
    <row r="11990" spans="12:12">
      <c r="L11990"/>
    </row>
    <row r="11991" spans="12:12">
      <c r="L11991"/>
    </row>
    <row r="11992" spans="12:12">
      <c r="L11992"/>
    </row>
    <row r="11993" spans="12:12">
      <c r="L11993"/>
    </row>
    <row r="11994" spans="12:12">
      <c r="L11994"/>
    </row>
    <row r="11995" spans="12:12">
      <c r="L11995"/>
    </row>
    <row r="11996" spans="12:12">
      <c r="L11996"/>
    </row>
    <row r="11997" spans="12:12">
      <c r="L11997"/>
    </row>
    <row r="11998" spans="12:12">
      <c r="L11998"/>
    </row>
    <row r="11999" spans="12:12">
      <c r="L11999"/>
    </row>
    <row r="12000" spans="12:12">
      <c r="L12000"/>
    </row>
    <row r="12001" spans="12:12">
      <c r="L12001"/>
    </row>
    <row r="12002" spans="12:12">
      <c r="L12002"/>
    </row>
    <row r="12003" spans="12:12">
      <c r="L12003"/>
    </row>
    <row r="12004" spans="12:12">
      <c r="L12004"/>
    </row>
    <row r="12005" spans="12:12">
      <c r="L12005"/>
    </row>
    <row r="12006" spans="12:12">
      <c r="L12006"/>
    </row>
    <row r="12007" spans="12:12">
      <c r="L12007"/>
    </row>
    <row r="12008" spans="12:12">
      <c r="L12008"/>
    </row>
    <row r="12009" spans="12:12">
      <c r="L12009"/>
    </row>
    <row r="12010" spans="12:12">
      <c r="L12010"/>
    </row>
    <row r="12011" spans="12:12">
      <c r="L12011"/>
    </row>
    <row r="12012" spans="12:12">
      <c r="L12012"/>
    </row>
    <row r="12013" spans="12:12">
      <c r="L12013"/>
    </row>
    <row r="12014" spans="12:12">
      <c r="L12014"/>
    </row>
    <row r="12015" spans="12:12">
      <c r="L12015"/>
    </row>
    <row r="12016" spans="12:12">
      <c r="L12016"/>
    </row>
    <row r="12017" spans="12:12">
      <c r="L12017"/>
    </row>
    <row r="12018" spans="12:12">
      <c r="L12018"/>
    </row>
    <row r="12019" spans="12:12">
      <c r="L12019"/>
    </row>
    <row r="12020" spans="12:12">
      <c r="L12020"/>
    </row>
    <row r="12021" spans="12:12">
      <c r="L12021"/>
    </row>
    <row r="12022" spans="12:12">
      <c r="L12022"/>
    </row>
    <row r="12023" spans="12:12">
      <c r="L12023"/>
    </row>
    <row r="12024" spans="12:12">
      <c r="L12024"/>
    </row>
    <row r="12025" spans="12:12">
      <c r="L12025"/>
    </row>
    <row r="12026" spans="12:12">
      <c r="L12026"/>
    </row>
    <row r="12027" spans="12:12">
      <c r="L12027"/>
    </row>
    <row r="12028" spans="12:12">
      <c r="L12028"/>
    </row>
    <row r="12029" spans="12:12">
      <c r="L12029"/>
    </row>
    <row r="12030" spans="12:12">
      <c r="L12030"/>
    </row>
    <row r="12031" spans="12:12">
      <c r="L12031"/>
    </row>
    <row r="12032" spans="12:12">
      <c r="L12032"/>
    </row>
    <row r="12033" spans="12:12">
      <c r="L12033"/>
    </row>
    <row r="12034" spans="12:12">
      <c r="L12034"/>
    </row>
    <row r="12035" spans="12:12">
      <c r="L12035"/>
    </row>
    <row r="12036" spans="12:12">
      <c r="L12036"/>
    </row>
    <row r="12037" spans="12:12">
      <c r="L12037"/>
    </row>
    <row r="12038" spans="12:12">
      <c r="L12038"/>
    </row>
    <row r="12039" spans="12:12">
      <c r="L12039"/>
    </row>
    <row r="12040" spans="12:12">
      <c r="L12040"/>
    </row>
    <row r="12041" spans="12:12">
      <c r="L12041"/>
    </row>
    <row r="12042" spans="12:12">
      <c r="L12042"/>
    </row>
    <row r="12043" spans="12:12">
      <c r="L12043"/>
    </row>
    <row r="12044" spans="12:12">
      <c r="L12044"/>
    </row>
    <row r="12045" spans="12:12">
      <c r="L12045"/>
    </row>
    <row r="12046" spans="12:12">
      <c r="L12046"/>
    </row>
    <row r="12047" spans="12:12">
      <c r="L12047"/>
    </row>
    <row r="12048" spans="12:12">
      <c r="L12048"/>
    </row>
    <row r="12049" spans="12:12">
      <c r="L12049"/>
    </row>
    <row r="12050" spans="12:12">
      <c r="L12050"/>
    </row>
    <row r="12051" spans="12:12">
      <c r="L12051"/>
    </row>
    <row r="12052" spans="12:12">
      <c r="L12052"/>
    </row>
    <row r="12053" spans="12:12">
      <c r="L12053"/>
    </row>
    <row r="12054" spans="12:12">
      <c r="L12054"/>
    </row>
    <row r="12055" spans="12:12">
      <c r="L12055"/>
    </row>
    <row r="12056" spans="12:12">
      <c r="L12056"/>
    </row>
    <row r="12057" spans="12:12">
      <c r="L12057"/>
    </row>
    <row r="12058" spans="12:12">
      <c r="L12058"/>
    </row>
    <row r="12059" spans="12:12">
      <c r="L12059"/>
    </row>
    <row r="12060" spans="12:12">
      <c r="L12060"/>
    </row>
    <row r="12061" spans="12:12">
      <c r="L12061"/>
    </row>
    <row r="12062" spans="12:12">
      <c r="L12062"/>
    </row>
    <row r="12063" spans="12:12">
      <c r="L12063"/>
    </row>
    <row r="12064" spans="12:12">
      <c r="L12064"/>
    </row>
    <row r="12065" spans="12:12">
      <c r="L12065"/>
    </row>
    <row r="12066" spans="12:12">
      <c r="L12066"/>
    </row>
    <row r="12067" spans="12:12">
      <c r="L12067"/>
    </row>
    <row r="12068" spans="12:12">
      <c r="L12068"/>
    </row>
    <row r="12069" spans="12:12">
      <c r="L12069"/>
    </row>
    <row r="12070" spans="12:12">
      <c r="L12070"/>
    </row>
    <row r="12071" spans="12:12">
      <c r="L12071"/>
    </row>
    <row r="12072" spans="12:12">
      <c r="L12072"/>
    </row>
    <row r="12073" spans="12:12">
      <c r="L12073"/>
    </row>
    <row r="12074" spans="12:12">
      <c r="L12074"/>
    </row>
    <row r="12075" spans="12:12">
      <c r="L12075"/>
    </row>
    <row r="12076" spans="12:12">
      <c r="L12076"/>
    </row>
    <row r="12077" spans="12:12">
      <c r="L12077"/>
    </row>
    <row r="12078" spans="12:12">
      <c r="L12078"/>
    </row>
    <row r="12079" spans="12:12">
      <c r="L12079"/>
    </row>
    <row r="12080" spans="12:12">
      <c r="L12080"/>
    </row>
    <row r="12081" spans="12:12">
      <c r="L12081"/>
    </row>
    <row r="12082" spans="12:12">
      <c r="L12082"/>
    </row>
    <row r="12083" spans="12:12">
      <c r="L12083"/>
    </row>
    <row r="12084" spans="12:12">
      <c r="L12084"/>
    </row>
    <row r="12085" spans="12:12">
      <c r="L12085"/>
    </row>
    <row r="12086" spans="12:12">
      <c r="L12086"/>
    </row>
    <row r="12087" spans="12:12">
      <c r="L12087"/>
    </row>
    <row r="12088" spans="12:12">
      <c r="L12088"/>
    </row>
    <row r="12089" spans="12:12">
      <c r="L12089"/>
    </row>
    <row r="12090" spans="12:12">
      <c r="L12090"/>
    </row>
    <row r="12091" spans="12:12">
      <c r="L12091"/>
    </row>
    <row r="12092" spans="12:12">
      <c r="L12092"/>
    </row>
    <row r="12093" spans="12:12">
      <c r="L12093"/>
    </row>
    <row r="12094" spans="12:12">
      <c r="L12094"/>
    </row>
    <row r="12095" spans="12:12">
      <c r="L12095"/>
    </row>
    <row r="12096" spans="12:12">
      <c r="L12096"/>
    </row>
    <row r="12097" spans="12:12">
      <c r="L12097"/>
    </row>
    <row r="12098" spans="12:12">
      <c r="L12098"/>
    </row>
    <row r="12099" spans="12:12">
      <c r="L12099"/>
    </row>
    <row r="12100" spans="12:12">
      <c r="L12100"/>
    </row>
    <row r="12101" spans="12:12">
      <c r="L12101"/>
    </row>
    <row r="12102" spans="12:12">
      <c r="L12102"/>
    </row>
    <row r="12103" spans="12:12">
      <c r="L12103"/>
    </row>
    <row r="12104" spans="12:12">
      <c r="L12104"/>
    </row>
    <row r="12105" spans="12:12">
      <c r="L12105"/>
    </row>
    <row r="12106" spans="12:12">
      <c r="L12106"/>
    </row>
    <row r="12107" spans="12:12">
      <c r="L12107"/>
    </row>
    <row r="12108" spans="12:12">
      <c r="L12108"/>
    </row>
    <row r="12109" spans="12:12">
      <c r="L12109"/>
    </row>
    <row r="12110" spans="12:12">
      <c r="L12110"/>
    </row>
    <row r="12111" spans="12:12">
      <c r="L12111"/>
    </row>
    <row r="12112" spans="12:12">
      <c r="L12112"/>
    </row>
    <row r="12113" spans="12:12">
      <c r="L12113"/>
    </row>
    <row r="12114" spans="12:12">
      <c r="L12114"/>
    </row>
    <row r="12115" spans="12:12">
      <c r="L12115"/>
    </row>
    <row r="12116" spans="12:12">
      <c r="L12116"/>
    </row>
    <row r="12117" spans="12:12">
      <c r="L12117"/>
    </row>
    <row r="12118" spans="12:12">
      <c r="L12118"/>
    </row>
    <row r="12119" spans="12:12">
      <c r="L12119"/>
    </row>
    <row r="12120" spans="12:12">
      <c r="L12120"/>
    </row>
    <row r="12121" spans="12:12">
      <c r="L12121"/>
    </row>
    <row r="12122" spans="12:12">
      <c r="L12122"/>
    </row>
    <row r="12123" spans="12:12">
      <c r="L12123"/>
    </row>
    <row r="12124" spans="12:12">
      <c r="L12124"/>
    </row>
    <row r="12125" spans="12:12">
      <c r="L12125"/>
    </row>
    <row r="12126" spans="12:12">
      <c r="L12126"/>
    </row>
    <row r="12127" spans="12:12">
      <c r="L12127"/>
    </row>
    <row r="12128" spans="12:12">
      <c r="L12128"/>
    </row>
    <row r="12129" spans="12:12">
      <c r="L12129"/>
    </row>
    <row r="12130" spans="12:12">
      <c r="L12130"/>
    </row>
    <row r="12131" spans="12:12">
      <c r="L12131"/>
    </row>
    <row r="12132" spans="12:12">
      <c r="L12132"/>
    </row>
    <row r="12133" spans="12:12">
      <c r="L12133"/>
    </row>
    <row r="12134" spans="12:12">
      <c r="L12134"/>
    </row>
    <row r="12135" spans="12:12">
      <c r="L12135"/>
    </row>
    <row r="12136" spans="12:12">
      <c r="L12136"/>
    </row>
    <row r="12137" spans="12:12">
      <c r="L12137"/>
    </row>
    <row r="12138" spans="12:12">
      <c r="L12138"/>
    </row>
    <row r="12139" spans="12:12">
      <c r="L12139"/>
    </row>
    <row r="12140" spans="12:12">
      <c r="L12140"/>
    </row>
    <row r="12141" spans="12:12">
      <c r="L12141"/>
    </row>
    <row r="12142" spans="12:12">
      <c r="L12142"/>
    </row>
    <row r="12143" spans="12:12">
      <c r="L12143"/>
    </row>
    <row r="12144" spans="12:12">
      <c r="L12144"/>
    </row>
    <row r="12145" spans="12:12">
      <c r="L12145"/>
    </row>
    <row r="12146" spans="12:12">
      <c r="L12146"/>
    </row>
    <row r="12147" spans="12:12">
      <c r="L12147"/>
    </row>
    <row r="12148" spans="12:12">
      <c r="L12148"/>
    </row>
    <row r="12149" spans="12:12">
      <c r="L12149"/>
    </row>
    <row r="12150" spans="12:12">
      <c r="L12150"/>
    </row>
    <row r="12151" spans="12:12">
      <c r="L12151"/>
    </row>
    <row r="12152" spans="12:12">
      <c r="L12152"/>
    </row>
    <row r="12153" spans="12:12">
      <c r="L12153"/>
    </row>
    <row r="12154" spans="12:12">
      <c r="L12154"/>
    </row>
    <row r="12155" spans="12:12">
      <c r="L12155"/>
    </row>
    <row r="12156" spans="12:12">
      <c r="L12156"/>
    </row>
    <row r="12157" spans="12:12">
      <c r="L12157"/>
    </row>
    <row r="12158" spans="12:12">
      <c r="L12158"/>
    </row>
    <row r="12159" spans="12:12">
      <c r="L12159"/>
    </row>
    <row r="12160" spans="12:12">
      <c r="L12160"/>
    </row>
    <row r="12161" spans="12:12">
      <c r="L12161"/>
    </row>
    <row r="12162" spans="12:12">
      <c r="L12162"/>
    </row>
    <row r="12163" spans="12:12">
      <c r="L12163"/>
    </row>
    <row r="12164" spans="12:12">
      <c r="L12164"/>
    </row>
    <row r="12165" spans="12:12">
      <c r="L12165"/>
    </row>
    <row r="12166" spans="12:12">
      <c r="L12166"/>
    </row>
    <row r="12167" spans="12:12">
      <c r="L12167"/>
    </row>
    <row r="12168" spans="12:12">
      <c r="L12168"/>
    </row>
    <row r="12169" spans="12:12">
      <c r="L12169"/>
    </row>
    <row r="12170" spans="12:12">
      <c r="L12170"/>
    </row>
    <row r="12171" spans="12:12">
      <c r="L12171"/>
    </row>
    <row r="12172" spans="12:12">
      <c r="L12172"/>
    </row>
    <row r="12173" spans="12:12">
      <c r="L12173"/>
    </row>
    <row r="12174" spans="12:12">
      <c r="L12174"/>
    </row>
    <row r="12175" spans="12:12">
      <c r="L12175"/>
    </row>
    <row r="12176" spans="12:12">
      <c r="L12176"/>
    </row>
    <row r="12177" spans="12:12">
      <c r="L12177"/>
    </row>
    <row r="12178" spans="12:12">
      <c r="L12178"/>
    </row>
    <row r="12179" spans="12:12">
      <c r="L12179"/>
    </row>
    <row r="12180" spans="12:12">
      <c r="L12180"/>
    </row>
    <row r="12181" spans="12:12">
      <c r="L12181"/>
    </row>
    <row r="12182" spans="12:12">
      <c r="L12182"/>
    </row>
    <row r="12183" spans="12:12">
      <c r="L12183"/>
    </row>
    <row r="12184" spans="12:12">
      <c r="L12184"/>
    </row>
    <row r="12185" spans="12:12">
      <c r="L12185"/>
    </row>
    <row r="12186" spans="12:12">
      <c r="L12186"/>
    </row>
    <row r="12187" spans="12:12">
      <c r="L12187"/>
    </row>
    <row r="12188" spans="12:12">
      <c r="L12188"/>
    </row>
    <row r="12189" spans="12:12">
      <c r="L12189"/>
    </row>
    <row r="12190" spans="12:12">
      <c r="L12190"/>
    </row>
    <row r="12191" spans="12:12">
      <c r="L12191"/>
    </row>
    <row r="12192" spans="12:12">
      <c r="L12192"/>
    </row>
    <row r="12193" spans="12:12">
      <c r="L12193"/>
    </row>
    <row r="12194" spans="12:12">
      <c r="L12194"/>
    </row>
    <row r="12195" spans="12:12">
      <c r="L12195"/>
    </row>
    <row r="12196" spans="12:12">
      <c r="L12196"/>
    </row>
    <row r="12197" spans="12:12">
      <c r="L12197"/>
    </row>
    <row r="12198" spans="12:12">
      <c r="L12198"/>
    </row>
    <row r="12199" spans="12:12">
      <c r="L12199"/>
    </row>
    <row r="12200" spans="12:12">
      <c r="L12200"/>
    </row>
    <row r="12201" spans="12:12">
      <c r="L12201"/>
    </row>
    <row r="12202" spans="12:12">
      <c r="L12202"/>
    </row>
    <row r="12203" spans="12:12">
      <c r="L12203"/>
    </row>
    <row r="12204" spans="12:12">
      <c r="L12204"/>
    </row>
    <row r="12205" spans="12:12">
      <c r="L12205"/>
    </row>
    <row r="12206" spans="12:12">
      <c r="L12206"/>
    </row>
    <row r="12207" spans="12:12">
      <c r="L12207"/>
    </row>
    <row r="12208" spans="12:12">
      <c r="L12208"/>
    </row>
    <row r="12209" spans="12:12">
      <c r="L12209"/>
    </row>
    <row r="12210" spans="12:12">
      <c r="L12210"/>
    </row>
    <row r="12211" spans="12:12">
      <c r="L12211"/>
    </row>
    <row r="12212" spans="12:12">
      <c r="L12212"/>
    </row>
    <row r="12213" spans="12:12">
      <c r="L12213"/>
    </row>
    <row r="12214" spans="12:12">
      <c r="L12214"/>
    </row>
    <row r="12215" spans="12:12">
      <c r="L12215"/>
    </row>
    <row r="12216" spans="12:12">
      <c r="L12216"/>
    </row>
    <row r="12217" spans="12:12">
      <c r="L12217"/>
    </row>
    <row r="12218" spans="12:12">
      <c r="L12218"/>
    </row>
    <row r="12219" spans="12:12">
      <c r="L12219"/>
    </row>
    <row r="12220" spans="12:12">
      <c r="L12220"/>
    </row>
    <row r="12221" spans="12:12">
      <c r="L12221"/>
    </row>
    <row r="12222" spans="12:12">
      <c r="L12222"/>
    </row>
    <row r="12223" spans="12:12">
      <c r="L12223"/>
    </row>
    <row r="12224" spans="12:12">
      <c r="L12224"/>
    </row>
    <row r="12225" spans="12:12">
      <c r="L12225"/>
    </row>
    <row r="12226" spans="12:12">
      <c r="L12226"/>
    </row>
    <row r="12227" spans="12:12">
      <c r="L12227"/>
    </row>
    <row r="12228" spans="12:12">
      <c r="L12228"/>
    </row>
    <row r="12229" spans="12:12">
      <c r="L12229"/>
    </row>
    <row r="12230" spans="12:12">
      <c r="L12230"/>
    </row>
    <row r="12231" spans="12:12">
      <c r="L12231"/>
    </row>
    <row r="12232" spans="12:12">
      <c r="L12232"/>
    </row>
    <row r="12233" spans="12:12">
      <c r="L12233"/>
    </row>
    <row r="12234" spans="12:12">
      <c r="L12234"/>
    </row>
    <row r="12235" spans="12:12">
      <c r="L12235"/>
    </row>
    <row r="12236" spans="12:12">
      <c r="L12236"/>
    </row>
    <row r="12237" spans="12:12">
      <c r="L12237"/>
    </row>
    <row r="12238" spans="12:12">
      <c r="L12238"/>
    </row>
    <row r="12239" spans="12:12">
      <c r="L12239"/>
    </row>
    <row r="12240" spans="12:12">
      <c r="L12240"/>
    </row>
    <row r="12241" spans="12:12">
      <c r="L12241"/>
    </row>
    <row r="12242" spans="12:12">
      <c r="L12242"/>
    </row>
    <row r="12243" spans="12:12">
      <c r="L12243"/>
    </row>
    <row r="12244" spans="12:12">
      <c r="L12244"/>
    </row>
    <row r="12245" spans="12:12">
      <c r="L12245"/>
    </row>
    <row r="12246" spans="12:12">
      <c r="L12246"/>
    </row>
    <row r="12247" spans="12:12">
      <c r="L12247"/>
    </row>
    <row r="12248" spans="12:12">
      <c r="L12248"/>
    </row>
    <row r="12249" spans="12:12">
      <c r="L12249"/>
    </row>
    <row r="12250" spans="12:12">
      <c r="L12250"/>
    </row>
    <row r="12251" spans="12:12">
      <c r="L12251"/>
    </row>
    <row r="12252" spans="12:12">
      <c r="L12252"/>
    </row>
    <row r="12253" spans="12:12">
      <c r="L12253"/>
    </row>
    <row r="12254" spans="12:12">
      <c r="L12254"/>
    </row>
    <row r="12255" spans="12:12">
      <c r="L12255"/>
    </row>
    <row r="12256" spans="12:12">
      <c r="L12256"/>
    </row>
    <row r="12257" spans="12:12">
      <c r="L12257"/>
    </row>
    <row r="12258" spans="12:12">
      <c r="L12258"/>
    </row>
    <row r="12259" spans="12:12">
      <c r="L12259"/>
    </row>
    <row r="12260" spans="12:12">
      <c r="L12260"/>
    </row>
    <row r="12261" spans="12:12">
      <c r="L12261"/>
    </row>
    <row r="12262" spans="12:12">
      <c r="L12262"/>
    </row>
    <row r="12263" spans="12:12">
      <c r="L12263"/>
    </row>
    <row r="12264" spans="12:12">
      <c r="L12264"/>
    </row>
    <row r="12265" spans="12:12">
      <c r="L12265"/>
    </row>
    <row r="12266" spans="12:12">
      <c r="L12266"/>
    </row>
    <row r="12267" spans="12:12">
      <c r="L12267"/>
    </row>
    <row r="12268" spans="12:12">
      <c r="L12268"/>
    </row>
    <row r="12269" spans="12:12">
      <c r="L12269"/>
    </row>
    <row r="12270" spans="12:12">
      <c r="L12270"/>
    </row>
    <row r="12271" spans="12:12">
      <c r="L12271"/>
    </row>
    <row r="12272" spans="12:12">
      <c r="L12272"/>
    </row>
    <row r="12273" spans="12:12">
      <c r="L12273"/>
    </row>
    <row r="12274" spans="12:12">
      <c r="L12274"/>
    </row>
    <row r="12275" spans="12:12">
      <c r="L12275"/>
    </row>
    <row r="12276" spans="12:12">
      <c r="L12276"/>
    </row>
    <row r="12277" spans="12:12">
      <c r="L12277"/>
    </row>
    <row r="12278" spans="12:12">
      <c r="L12278"/>
    </row>
    <row r="12279" spans="12:12">
      <c r="L12279"/>
    </row>
    <row r="12280" spans="12:12">
      <c r="L12280"/>
    </row>
    <row r="12281" spans="12:12">
      <c r="L12281"/>
    </row>
    <row r="12282" spans="12:12">
      <c r="L12282"/>
    </row>
    <row r="12283" spans="12:12">
      <c r="L12283"/>
    </row>
    <row r="12284" spans="12:12">
      <c r="L12284"/>
    </row>
    <row r="12285" spans="12:12">
      <c r="L12285"/>
    </row>
    <row r="12286" spans="12:12">
      <c r="L12286"/>
    </row>
    <row r="12287" spans="12:12">
      <c r="L12287"/>
    </row>
    <row r="12288" spans="12:12">
      <c r="L12288"/>
    </row>
    <row r="12289" spans="12:12">
      <c r="L12289"/>
    </row>
    <row r="12290" spans="12:12">
      <c r="L12290"/>
    </row>
    <row r="12291" spans="12:12">
      <c r="L12291"/>
    </row>
    <row r="12292" spans="12:12">
      <c r="L12292"/>
    </row>
    <row r="12293" spans="12:12">
      <c r="L12293"/>
    </row>
    <row r="12294" spans="12:12">
      <c r="L12294"/>
    </row>
    <row r="12295" spans="12:12">
      <c r="L12295"/>
    </row>
    <row r="12296" spans="12:12">
      <c r="L12296"/>
    </row>
    <row r="12297" spans="12:12">
      <c r="L12297"/>
    </row>
    <row r="12298" spans="12:12">
      <c r="L12298"/>
    </row>
    <row r="12299" spans="12:12">
      <c r="L12299"/>
    </row>
    <row r="12300" spans="12:12">
      <c r="L12300"/>
    </row>
    <row r="12301" spans="12:12">
      <c r="L12301"/>
    </row>
    <row r="12302" spans="12:12">
      <c r="L12302"/>
    </row>
    <row r="12303" spans="12:12">
      <c r="L12303"/>
    </row>
    <row r="12304" spans="12:12">
      <c r="L12304"/>
    </row>
    <row r="12305" spans="12:12">
      <c r="L12305"/>
    </row>
    <row r="12306" spans="12:12">
      <c r="L12306"/>
    </row>
    <row r="12307" spans="12:12">
      <c r="L12307"/>
    </row>
    <row r="12308" spans="12:12">
      <c r="L12308"/>
    </row>
    <row r="12309" spans="12:12">
      <c r="L12309"/>
    </row>
    <row r="12310" spans="12:12">
      <c r="L12310"/>
    </row>
    <row r="12311" spans="12:12">
      <c r="L12311"/>
    </row>
    <row r="12312" spans="12:12">
      <c r="L12312"/>
    </row>
    <row r="12313" spans="12:12">
      <c r="L12313"/>
    </row>
    <row r="12314" spans="12:12">
      <c r="L12314"/>
    </row>
    <row r="12315" spans="12:12">
      <c r="L12315"/>
    </row>
    <row r="12316" spans="12:12">
      <c r="L12316"/>
    </row>
    <row r="12317" spans="12:12">
      <c r="L12317"/>
    </row>
    <row r="12318" spans="12:12">
      <c r="L12318"/>
    </row>
    <row r="12319" spans="12:12">
      <c r="L12319"/>
    </row>
    <row r="12320" spans="12:12">
      <c r="L12320"/>
    </row>
    <row r="12321" spans="12:12">
      <c r="L12321"/>
    </row>
    <row r="12322" spans="12:12">
      <c r="L12322"/>
    </row>
    <row r="12323" spans="12:12">
      <c r="L12323"/>
    </row>
    <row r="12324" spans="12:12">
      <c r="L12324"/>
    </row>
    <row r="12325" spans="12:12">
      <c r="L12325"/>
    </row>
    <row r="12326" spans="12:12">
      <c r="L12326"/>
    </row>
    <row r="12327" spans="12:12">
      <c r="L12327"/>
    </row>
    <row r="12328" spans="12:12">
      <c r="L12328"/>
    </row>
    <row r="12329" spans="12:12">
      <c r="L12329"/>
    </row>
    <row r="12330" spans="12:12">
      <c r="L12330"/>
    </row>
    <row r="12331" spans="12:12">
      <c r="L12331"/>
    </row>
    <row r="12332" spans="12:12">
      <c r="L12332"/>
    </row>
    <row r="12333" spans="12:12">
      <c r="L12333"/>
    </row>
    <row r="12334" spans="12:12">
      <c r="L12334"/>
    </row>
    <row r="12335" spans="12:12">
      <c r="L12335"/>
    </row>
    <row r="12336" spans="12:12">
      <c r="L12336"/>
    </row>
    <row r="12337" spans="12:12">
      <c r="L12337"/>
    </row>
    <row r="12338" spans="12:12">
      <c r="L12338"/>
    </row>
    <row r="12339" spans="12:12">
      <c r="L12339"/>
    </row>
    <row r="12340" spans="12:12">
      <c r="L12340"/>
    </row>
    <row r="12341" spans="12:12">
      <c r="L12341"/>
    </row>
    <row r="12342" spans="12:12">
      <c r="L12342"/>
    </row>
    <row r="12343" spans="12:12">
      <c r="L12343"/>
    </row>
    <row r="12344" spans="12:12">
      <c r="L12344"/>
    </row>
    <row r="12345" spans="12:12">
      <c r="L12345"/>
    </row>
    <row r="12346" spans="12:12">
      <c r="L12346"/>
    </row>
    <row r="12347" spans="12:12">
      <c r="L12347"/>
    </row>
    <row r="12348" spans="12:12">
      <c r="L12348"/>
    </row>
    <row r="12349" spans="12:12">
      <c r="L12349"/>
    </row>
    <row r="12350" spans="12:12">
      <c r="L12350"/>
    </row>
    <row r="12351" spans="12:12">
      <c r="L12351"/>
    </row>
    <row r="12352" spans="12:12">
      <c r="L12352"/>
    </row>
    <row r="12353" spans="12:12">
      <c r="L12353"/>
    </row>
    <row r="12354" spans="12:12">
      <c r="L12354"/>
    </row>
    <row r="12355" spans="12:12">
      <c r="L12355"/>
    </row>
    <row r="12356" spans="12:12">
      <c r="L12356"/>
    </row>
    <row r="12357" spans="12:12">
      <c r="L12357"/>
    </row>
    <row r="12358" spans="12:12">
      <c r="L12358"/>
    </row>
    <row r="12359" spans="12:12">
      <c r="L12359"/>
    </row>
    <row r="12360" spans="12:12">
      <c r="L12360"/>
    </row>
    <row r="12361" spans="12:12">
      <c r="L12361"/>
    </row>
    <row r="12362" spans="12:12">
      <c r="L12362"/>
    </row>
    <row r="12363" spans="12:12">
      <c r="L12363"/>
    </row>
    <row r="12364" spans="12:12">
      <c r="L12364"/>
    </row>
    <row r="12365" spans="12:12">
      <c r="L12365"/>
    </row>
    <row r="12366" spans="12:12">
      <c r="L12366"/>
    </row>
    <row r="12367" spans="12:12">
      <c r="L12367"/>
    </row>
    <row r="12368" spans="12:12">
      <c r="L12368"/>
    </row>
    <row r="12369" spans="12:12">
      <c r="L12369"/>
    </row>
    <row r="12370" spans="12:12">
      <c r="L12370"/>
    </row>
    <row r="12371" spans="12:12">
      <c r="L12371"/>
    </row>
    <row r="12372" spans="12:12">
      <c r="L12372"/>
    </row>
    <row r="12373" spans="12:12">
      <c r="L12373"/>
    </row>
    <row r="12374" spans="12:12">
      <c r="L12374"/>
    </row>
    <row r="12375" spans="12:12">
      <c r="L12375"/>
    </row>
    <row r="12376" spans="12:12">
      <c r="L12376"/>
    </row>
    <row r="12377" spans="12:12">
      <c r="L12377"/>
    </row>
    <row r="12378" spans="12:12">
      <c r="L12378"/>
    </row>
    <row r="12379" spans="12:12">
      <c r="L12379"/>
    </row>
    <row r="12380" spans="12:12">
      <c r="L12380"/>
    </row>
    <row r="12381" spans="12:12">
      <c r="L12381"/>
    </row>
    <row r="12382" spans="12:12">
      <c r="L12382"/>
    </row>
    <row r="12383" spans="12:12">
      <c r="L12383"/>
    </row>
    <row r="12384" spans="12:12">
      <c r="L12384"/>
    </row>
    <row r="12385" spans="12:12">
      <c r="L12385"/>
    </row>
    <row r="12386" spans="12:12">
      <c r="L12386"/>
    </row>
    <row r="12387" spans="12:12">
      <c r="L12387"/>
    </row>
    <row r="12388" spans="12:12">
      <c r="L12388"/>
    </row>
    <row r="12389" spans="12:12">
      <c r="L12389"/>
    </row>
    <row r="12390" spans="12:12">
      <c r="L12390"/>
    </row>
    <row r="12391" spans="12:12">
      <c r="L12391"/>
    </row>
    <row r="12392" spans="12:12">
      <c r="L12392"/>
    </row>
    <row r="12393" spans="12:12">
      <c r="L12393"/>
    </row>
    <row r="12394" spans="12:12">
      <c r="L12394"/>
    </row>
    <row r="12395" spans="12:12">
      <c r="L12395"/>
    </row>
    <row r="12396" spans="12:12">
      <c r="L12396"/>
    </row>
    <row r="12397" spans="12:12">
      <c r="L12397"/>
    </row>
    <row r="12398" spans="12:12">
      <c r="L12398"/>
    </row>
    <row r="12399" spans="12:12">
      <c r="L12399"/>
    </row>
    <row r="12400" spans="12:12">
      <c r="L12400"/>
    </row>
    <row r="12401" spans="12:12">
      <c r="L12401"/>
    </row>
    <row r="12402" spans="12:12">
      <c r="L12402"/>
    </row>
    <row r="12403" spans="12:12">
      <c r="L12403"/>
    </row>
    <row r="12404" spans="12:12">
      <c r="L12404"/>
    </row>
    <row r="12405" spans="12:12">
      <c r="L12405"/>
    </row>
    <row r="12406" spans="12:12">
      <c r="L12406"/>
    </row>
    <row r="12407" spans="12:12">
      <c r="L12407"/>
    </row>
    <row r="12408" spans="12:12">
      <c r="L12408"/>
    </row>
    <row r="12409" spans="12:12">
      <c r="L12409"/>
    </row>
    <row r="12410" spans="12:12">
      <c r="L12410"/>
    </row>
    <row r="12411" spans="12:12">
      <c r="L12411"/>
    </row>
    <row r="12412" spans="12:12">
      <c r="L12412"/>
    </row>
    <row r="12413" spans="12:12">
      <c r="L12413"/>
    </row>
    <row r="12414" spans="12:12">
      <c r="L12414"/>
    </row>
    <row r="12415" spans="12:12">
      <c r="L12415"/>
    </row>
    <row r="12416" spans="12:12">
      <c r="L12416"/>
    </row>
    <row r="12417" spans="12:12">
      <c r="L12417"/>
    </row>
    <row r="12418" spans="12:12">
      <c r="L12418"/>
    </row>
    <row r="12419" spans="12:12">
      <c r="L12419"/>
    </row>
    <row r="12420" spans="12:12">
      <c r="L12420"/>
    </row>
    <row r="12421" spans="12:12">
      <c r="L12421"/>
    </row>
    <row r="12422" spans="12:12">
      <c r="L12422"/>
    </row>
    <row r="12423" spans="12:12">
      <c r="L12423"/>
    </row>
    <row r="12424" spans="12:12">
      <c r="L12424"/>
    </row>
    <row r="12425" spans="12:12">
      <c r="L12425"/>
    </row>
    <row r="12426" spans="12:12">
      <c r="L12426"/>
    </row>
    <row r="12427" spans="12:12">
      <c r="L12427"/>
    </row>
    <row r="12428" spans="12:12">
      <c r="L12428"/>
    </row>
    <row r="12429" spans="12:12">
      <c r="L12429"/>
    </row>
    <row r="12430" spans="12:12">
      <c r="L12430"/>
    </row>
    <row r="12431" spans="12:12">
      <c r="L12431"/>
    </row>
    <row r="12432" spans="12:12">
      <c r="L12432"/>
    </row>
    <row r="12433" spans="12:12">
      <c r="L12433"/>
    </row>
    <row r="12434" spans="12:12">
      <c r="L12434"/>
    </row>
    <row r="12435" spans="12:12">
      <c r="L12435"/>
    </row>
    <row r="12436" spans="12:12">
      <c r="L12436"/>
    </row>
    <row r="12437" spans="12:12">
      <c r="L12437"/>
    </row>
    <row r="12438" spans="12:12">
      <c r="L12438"/>
    </row>
    <row r="12439" spans="12:12">
      <c r="L12439"/>
    </row>
    <row r="12440" spans="12:12">
      <c r="L12440"/>
    </row>
    <row r="12441" spans="12:12">
      <c r="L12441"/>
    </row>
    <row r="12442" spans="12:12">
      <c r="L12442"/>
    </row>
    <row r="12443" spans="12:12">
      <c r="L12443"/>
    </row>
    <row r="12444" spans="12:12">
      <c r="L12444"/>
    </row>
    <row r="12445" spans="12:12">
      <c r="L12445"/>
    </row>
    <row r="12446" spans="12:12">
      <c r="L12446"/>
    </row>
    <row r="12447" spans="12:12">
      <c r="L12447"/>
    </row>
    <row r="12448" spans="12:12">
      <c r="L12448"/>
    </row>
    <row r="12449" spans="12:12">
      <c r="L12449"/>
    </row>
    <row r="12450" spans="12:12">
      <c r="L12450"/>
    </row>
    <row r="12451" spans="12:12">
      <c r="L12451"/>
    </row>
    <row r="12452" spans="12:12">
      <c r="L12452"/>
    </row>
    <row r="12453" spans="12:12">
      <c r="L12453"/>
    </row>
    <row r="12454" spans="12:12">
      <c r="L12454"/>
    </row>
    <row r="12455" spans="12:12">
      <c r="L12455"/>
    </row>
    <row r="12456" spans="12:12">
      <c r="L12456"/>
    </row>
    <row r="12457" spans="12:12">
      <c r="L12457"/>
    </row>
    <row r="12458" spans="12:12">
      <c r="L12458"/>
    </row>
    <row r="12459" spans="12:12">
      <c r="L12459"/>
    </row>
    <row r="12460" spans="12:12">
      <c r="L12460"/>
    </row>
    <row r="12461" spans="12:12">
      <c r="L12461"/>
    </row>
    <row r="12462" spans="12:12">
      <c r="L12462"/>
    </row>
    <row r="12463" spans="12:12">
      <c r="L12463"/>
    </row>
    <row r="12464" spans="12:12">
      <c r="L12464"/>
    </row>
    <row r="12465" spans="12:12">
      <c r="L12465"/>
    </row>
    <row r="12466" spans="12:12">
      <c r="L12466"/>
    </row>
    <row r="12467" spans="12:12">
      <c r="L12467"/>
    </row>
    <row r="12468" spans="12:12">
      <c r="L12468"/>
    </row>
    <row r="12469" spans="12:12">
      <c r="L12469"/>
    </row>
    <row r="12470" spans="12:12">
      <c r="L12470"/>
    </row>
    <row r="12471" spans="12:12">
      <c r="L12471"/>
    </row>
    <row r="12472" spans="12:12">
      <c r="L12472"/>
    </row>
    <row r="12473" spans="12:12">
      <c r="L12473"/>
    </row>
    <row r="12474" spans="12:12">
      <c r="L12474"/>
    </row>
    <row r="12475" spans="12:12">
      <c r="L12475"/>
    </row>
    <row r="12476" spans="12:12">
      <c r="L12476"/>
    </row>
    <row r="12477" spans="12:12">
      <c r="L12477"/>
    </row>
    <row r="12478" spans="12:12">
      <c r="L12478"/>
    </row>
    <row r="12479" spans="12:12">
      <c r="L12479"/>
    </row>
    <row r="12480" spans="12:12">
      <c r="L12480"/>
    </row>
    <row r="12481" spans="12:12">
      <c r="L12481"/>
    </row>
    <row r="12482" spans="12:12">
      <c r="L12482"/>
    </row>
    <row r="12483" spans="12:12">
      <c r="L12483"/>
    </row>
    <row r="12484" spans="12:12">
      <c r="L12484"/>
    </row>
    <row r="12485" spans="12:12">
      <c r="L12485"/>
    </row>
    <row r="12486" spans="12:12">
      <c r="L12486"/>
    </row>
    <row r="12487" spans="12:12">
      <c r="L12487"/>
    </row>
    <row r="12488" spans="12:12">
      <c r="L12488"/>
    </row>
    <row r="12489" spans="12:12">
      <c r="L12489"/>
    </row>
    <row r="12490" spans="12:12">
      <c r="L12490"/>
    </row>
    <row r="12491" spans="12:12">
      <c r="L12491"/>
    </row>
    <row r="12492" spans="12:12">
      <c r="L12492"/>
    </row>
    <row r="12493" spans="12:12">
      <c r="L12493"/>
    </row>
    <row r="12494" spans="12:12">
      <c r="L12494"/>
    </row>
    <row r="12495" spans="12:12">
      <c r="L12495"/>
    </row>
    <row r="12496" spans="12:12">
      <c r="L12496"/>
    </row>
    <row r="12497" spans="12:12">
      <c r="L12497"/>
    </row>
    <row r="12498" spans="12:12">
      <c r="L12498"/>
    </row>
    <row r="12499" spans="12:12">
      <c r="L12499"/>
    </row>
    <row r="12500" spans="12:12">
      <c r="L12500"/>
    </row>
    <row r="12501" spans="12:12">
      <c r="L12501"/>
    </row>
    <row r="12502" spans="12:12">
      <c r="L12502"/>
    </row>
    <row r="12503" spans="12:12">
      <c r="L12503"/>
    </row>
    <row r="12504" spans="12:12">
      <c r="L12504"/>
    </row>
    <row r="12505" spans="12:12">
      <c r="L12505"/>
    </row>
    <row r="12506" spans="12:12">
      <c r="L12506"/>
    </row>
    <row r="12507" spans="12:12">
      <c r="L12507"/>
    </row>
    <row r="12508" spans="12:12">
      <c r="L12508"/>
    </row>
    <row r="12509" spans="12:12">
      <c r="L12509"/>
    </row>
    <row r="12510" spans="12:12">
      <c r="L12510"/>
    </row>
    <row r="12511" spans="12:12">
      <c r="L12511"/>
    </row>
    <row r="12512" spans="12:12">
      <c r="L12512"/>
    </row>
    <row r="12513" spans="12:12">
      <c r="L12513"/>
    </row>
    <row r="12514" spans="12:12">
      <c r="L12514"/>
    </row>
    <row r="12515" spans="12:12">
      <c r="L12515"/>
    </row>
    <row r="12516" spans="12:12">
      <c r="L12516"/>
    </row>
    <row r="12517" spans="12:12">
      <c r="L12517"/>
    </row>
    <row r="12518" spans="12:12">
      <c r="L12518"/>
    </row>
    <row r="12519" spans="12:12">
      <c r="L12519"/>
    </row>
    <row r="12520" spans="12:12">
      <c r="L12520"/>
    </row>
    <row r="12521" spans="12:12">
      <c r="L12521"/>
    </row>
    <row r="12522" spans="12:12">
      <c r="L12522"/>
    </row>
    <row r="12523" spans="12:12">
      <c r="L12523"/>
    </row>
    <row r="12524" spans="12:12">
      <c r="L12524"/>
    </row>
    <row r="12525" spans="12:12">
      <c r="L12525"/>
    </row>
    <row r="12526" spans="12:12">
      <c r="L12526"/>
    </row>
    <row r="12527" spans="12:12">
      <c r="L12527"/>
    </row>
    <row r="12528" spans="12:12">
      <c r="L12528"/>
    </row>
    <row r="12529" spans="12:12">
      <c r="L12529"/>
    </row>
    <row r="12530" spans="12:12">
      <c r="L12530"/>
    </row>
    <row r="12531" spans="12:12">
      <c r="L12531"/>
    </row>
    <row r="12532" spans="12:12">
      <c r="L12532"/>
    </row>
    <row r="12533" spans="12:12">
      <c r="L12533"/>
    </row>
    <row r="12534" spans="12:12">
      <c r="L12534"/>
    </row>
    <row r="12535" spans="12:12">
      <c r="L12535"/>
    </row>
    <row r="12536" spans="12:12">
      <c r="L12536"/>
    </row>
    <row r="12537" spans="12:12">
      <c r="L12537"/>
    </row>
    <row r="12538" spans="12:12">
      <c r="L12538"/>
    </row>
    <row r="12539" spans="12:12">
      <c r="L12539"/>
    </row>
    <row r="12540" spans="12:12">
      <c r="L12540"/>
    </row>
    <row r="12541" spans="12:12">
      <c r="L12541"/>
    </row>
    <row r="12542" spans="12:12">
      <c r="L12542"/>
    </row>
    <row r="12543" spans="12:12">
      <c r="L12543"/>
    </row>
    <row r="12544" spans="12:12">
      <c r="L12544"/>
    </row>
    <row r="12545" spans="12:12">
      <c r="L12545"/>
    </row>
    <row r="12546" spans="12:12">
      <c r="L12546"/>
    </row>
    <row r="12547" spans="12:12">
      <c r="L12547"/>
    </row>
    <row r="12548" spans="12:12">
      <c r="L12548"/>
    </row>
    <row r="12549" spans="12:12">
      <c r="L12549"/>
    </row>
    <row r="12550" spans="12:12">
      <c r="L12550"/>
    </row>
    <row r="12551" spans="12:12">
      <c r="L12551"/>
    </row>
    <row r="12552" spans="12:12">
      <c r="L12552"/>
    </row>
    <row r="12553" spans="12:12">
      <c r="L12553"/>
    </row>
    <row r="12554" spans="12:12">
      <c r="L12554"/>
    </row>
    <row r="12555" spans="12:12">
      <c r="L12555"/>
    </row>
    <row r="12556" spans="12:12">
      <c r="L12556"/>
    </row>
    <row r="12557" spans="12:12">
      <c r="L12557"/>
    </row>
    <row r="12558" spans="12:12">
      <c r="L12558"/>
    </row>
    <row r="12559" spans="12:12">
      <c r="L12559"/>
    </row>
    <row r="12560" spans="12:12">
      <c r="L12560"/>
    </row>
    <row r="12561" spans="12:12">
      <c r="L12561"/>
    </row>
    <row r="12562" spans="12:12">
      <c r="L12562"/>
    </row>
    <row r="12563" spans="12:12">
      <c r="L12563"/>
    </row>
    <row r="12564" spans="12:12">
      <c r="L12564"/>
    </row>
    <row r="12565" spans="12:12">
      <c r="L12565"/>
    </row>
    <row r="12566" spans="12:12">
      <c r="L12566"/>
    </row>
    <row r="12567" spans="12:12">
      <c r="L12567"/>
    </row>
    <row r="12568" spans="12:12">
      <c r="L12568"/>
    </row>
    <row r="12569" spans="12:12">
      <c r="L12569"/>
    </row>
    <row r="12570" spans="12:12">
      <c r="L12570"/>
    </row>
    <row r="12571" spans="12:12">
      <c r="L12571"/>
    </row>
    <row r="12572" spans="12:12">
      <c r="L12572"/>
    </row>
    <row r="12573" spans="12:12">
      <c r="L12573"/>
    </row>
    <row r="12574" spans="12:12">
      <c r="L12574"/>
    </row>
    <row r="12575" spans="12:12">
      <c r="L12575"/>
    </row>
    <row r="12576" spans="12:12">
      <c r="L12576"/>
    </row>
    <row r="12577" spans="12:12">
      <c r="L12577"/>
    </row>
    <row r="12578" spans="12:12">
      <c r="L12578"/>
    </row>
    <row r="12579" spans="12:12">
      <c r="L12579"/>
    </row>
    <row r="12580" spans="12:12">
      <c r="L12580"/>
    </row>
    <row r="12581" spans="12:12">
      <c r="L12581"/>
    </row>
    <row r="12582" spans="12:12">
      <c r="L12582"/>
    </row>
    <row r="12583" spans="12:12">
      <c r="L12583"/>
    </row>
    <row r="12584" spans="12:12">
      <c r="L12584"/>
    </row>
    <row r="12585" spans="12:12">
      <c r="L12585"/>
    </row>
    <row r="12586" spans="12:12">
      <c r="L12586"/>
    </row>
    <row r="12587" spans="12:12">
      <c r="L12587"/>
    </row>
    <row r="12588" spans="12:12">
      <c r="L12588"/>
    </row>
    <row r="12589" spans="12:12">
      <c r="L12589"/>
    </row>
    <row r="12590" spans="12:12">
      <c r="L12590"/>
    </row>
    <row r="12591" spans="12:12">
      <c r="L12591"/>
    </row>
    <row r="12592" spans="12:12">
      <c r="L12592"/>
    </row>
    <row r="12593" spans="12:12">
      <c r="L12593"/>
    </row>
    <row r="12594" spans="12:12">
      <c r="L12594"/>
    </row>
    <row r="12595" spans="12:12">
      <c r="L12595"/>
    </row>
    <row r="12596" spans="12:12">
      <c r="L12596"/>
    </row>
    <row r="12597" spans="12:12">
      <c r="L12597"/>
    </row>
    <row r="12598" spans="12:12">
      <c r="L12598"/>
    </row>
    <row r="12599" spans="12:12">
      <c r="L12599"/>
    </row>
    <row r="12600" spans="12:12">
      <c r="L12600"/>
    </row>
    <row r="12601" spans="12:12">
      <c r="L12601"/>
    </row>
    <row r="12602" spans="12:12">
      <c r="L12602"/>
    </row>
    <row r="12603" spans="12:12">
      <c r="L12603"/>
    </row>
    <row r="12604" spans="12:12">
      <c r="L12604"/>
    </row>
    <row r="12605" spans="12:12">
      <c r="L12605"/>
    </row>
    <row r="12606" spans="12:12">
      <c r="L12606"/>
    </row>
    <row r="12607" spans="12:12">
      <c r="L12607"/>
    </row>
    <row r="12608" spans="12:12">
      <c r="L12608"/>
    </row>
    <row r="12609" spans="12:12">
      <c r="L12609"/>
    </row>
    <row r="12610" spans="12:12">
      <c r="L12610"/>
    </row>
    <row r="12611" spans="12:12">
      <c r="L12611"/>
    </row>
    <row r="12612" spans="12:12">
      <c r="L12612"/>
    </row>
    <row r="12613" spans="12:12">
      <c r="L12613"/>
    </row>
    <row r="12614" spans="12:12">
      <c r="L12614"/>
    </row>
    <row r="12615" spans="12:12">
      <c r="L12615"/>
    </row>
    <row r="12616" spans="12:12">
      <c r="L12616"/>
    </row>
    <row r="12617" spans="12:12">
      <c r="L12617"/>
    </row>
    <row r="12618" spans="12:12">
      <c r="L12618"/>
    </row>
    <row r="12619" spans="12:12">
      <c r="L12619"/>
    </row>
    <row r="12620" spans="12:12">
      <c r="L12620"/>
    </row>
    <row r="12621" spans="12:12">
      <c r="L12621"/>
    </row>
    <row r="12622" spans="12:12">
      <c r="L12622"/>
    </row>
    <row r="12623" spans="12:12">
      <c r="L12623"/>
    </row>
    <row r="12624" spans="12:12">
      <c r="L12624"/>
    </row>
    <row r="12625" spans="12:12">
      <c r="L12625"/>
    </row>
    <row r="12626" spans="12:12">
      <c r="L12626"/>
    </row>
    <row r="12627" spans="12:12">
      <c r="L12627"/>
    </row>
    <row r="12628" spans="12:12">
      <c r="L12628"/>
    </row>
    <row r="12629" spans="12:12">
      <c r="L12629"/>
    </row>
    <row r="12630" spans="12:12">
      <c r="L12630"/>
    </row>
    <row r="12631" spans="12:12">
      <c r="L12631"/>
    </row>
    <row r="12632" spans="12:12">
      <c r="L12632"/>
    </row>
    <row r="12633" spans="12:12">
      <c r="L12633"/>
    </row>
    <row r="12634" spans="12:12">
      <c r="L12634"/>
    </row>
    <row r="12635" spans="12:12">
      <c r="L12635"/>
    </row>
    <row r="12636" spans="12:12">
      <c r="L12636"/>
    </row>
    <row r="12637" spans="12:12">
      <c r="L12637"/>
    </row>
    <row r="12638" spans="12:12">
      <c r="L12638"/>
    </row>
    <row r="12639" spans="12:12">
      <c r="L12639"/>
    </row>
    <row r="12640" spans="12:12">
      <c r="L12640"/>
    </row>
    <row r="12641" spans="12:12">
      <c r="L12641"/>
    </row>
    <row r="12642" spans="12:12">
      <c r="L12642"/>
    </row>
    <row r="12643" spans="12:12">
      <c r="L12643"/>
    </row>
    <row r="12644" spans="12:12">
      <c r="L12644"/>
    </row>
    <row r="12645" spans="12:12">
      <c r="L12645"/>
    </row>
    <row r="12646" spans="12:12">
      <c r="L12646"/>
    </row>
    <row r="12647" spans="12:12">
      <c r="L12647"/>
    </row>
    <row r="12648" spans="12:12">
      <c r="L12648"/>
    </row>
    <row r="12649" spans="12:12">
      <c r="L12649"/>
    </row>
    <row r="12650" spans="12:12">
      <c r="L12650"/>
    </row>
    <row r="12651" spans="12:12">
      <c r="L12651"/>
    </row>
    <row r="12652" spans="12:12">
      <c r="L12652"/>
    </row>
    <row r="12653" spans="12:12">
      <c r="L12653"/>
    </row>
    <row r="12654" spans="12:12">
      <c r="L12654"/>
    </row>
    <row r="12655" spans="12:12">
      <c r="L12655"/>
    </row>
    <row r="12656" spans="12:12">
      <c r="L12656"/>
    </row>
    <row r="12657" spans="12:12">
      <c r="L12657"/>
    </row>
    <row r="12658" spans="12:12">
      <c r="L12658"/>
    </row>
    <row r="12659" spans="12:12">
      <c r="L12659"/>
    </row>
    <row r="12660" spans="12:12">
      <c r="L12660"/>
    </row>
    <row r="12661" spans="12:12">
      <c r="L12661"/>
    </row>
    <row r="12662" spans="12:12">
      <c r="L12662"/>
    </row>
    <row r="12663" spans="12:12">
      <c r="L12663"/>
    </row>
    <row r="12664" spans="12:12">
      <c r="L12664"/>
    </row>
    <row r="12665" spans="12:12">
      <c r="L12665"/>
    </row>
    <row r="12666" spans="12:12">
      <c r="L12666"/>
    </row>
    <row r="12667" spans="12:12">
      <c r="L12667"/>
    </row>
    <row r="12668" spans="12:12">
      <c r="L12668"/>
    </row>
    <row r="12669" spans="12:12">
      <c r="L12669"/>
    </row>
    <row r="12670" spans="12:12">
      <c r="L12670"/>
    </row>
    <row r="12671" spans="12:12">
      <c r="L12671"/>
    </row>
    <row r="12672" spans="12:12">
      <c r="L12672"/>
    </row>
    <row r="12673" spans="12:12">
      <c r="L12673"/>
    </row>
    <row r="12674" spans="12:12">
      <c r="L12674"/>
    </row>
    <row r="12675" spans="12:12">
      <c r="L12675"/>
    </row>
    <row r="12676" spans="12:12">
      <c r="L12676"/>
    </row>
    <row r="12677" spans="12:12">
      <c r="L12677"/>
    </row>
    <row r="12678" spans="12:12">
      <c r="L12678"/>
    </row>
    <row r="12679" spans="12:12">
      <c r="L12679"/>
    </row>
    <row r="12680" spans="12:12">
      <c r="L12680"/>
    </row>
    <row r="12681" spans="12:12">
      <c r="L12681"/>
    </row>
    <row r="12682" spans="12:12">
      <c r="L12682"/>
    </row>
    <row r="12683" spans="12:12">
      <c r="L12683"/>
    </row>
    <row r="12684" spans="12:12">
      <c r="L12684"/>
    </row>
    <row r="12685" spans="12:12">
      <c r="L12685"/>
    </row>
    <row r="12686" spans="12:12">
      <c r="L12686"/>
    </row>
    <row r="12687" spans="12:12">
      <c r="L12687"/>
    </row>
    <row r="12688" spans="12:12">
      <c r="L12688"/>
    </row>
    <row r="12689" spans="12:12">
      <c r="L12689"/>
    </row>
    <row r="12690" spans="12:12">
      <c r="L12690"/>
    </row>
    <row r="12691" spans="12:12">
      <c r="L12691"/>
    </row>
    <row r="12692" spans="12:12">
      <c r="L12692"/>
    </row>
    <row r="12693" spans="12:12">
      <c r="L12693"/>
    </row>
    <row r="12694" spans="12:12">
      <c r="L12694"/>
    </row>
    <row r="12695" spans="12:12">
      <c r="L12695"/>
    </row>
    <row r="12696" spans="12:12">
      <c r="L12696"/>
    </row>
    <row r="12697" spans="12:12">
      <c r="L12697"/>
    </row>
    <row r="12698" spans="12:12">
      <c r="L12698"/>
    </row>
    <row r="12699" spans="12:12">
      <c r="L12699"/>
    </row>
    <row r="12700" spans="12:12">
      <c r="L12700"/>
    </row>
    <row r="12701" spans="12:12">
      <c r="L12701"/>
    </row>
    <row r="12702" spans="12:12">
      <c r="L12702"/>
    </row>
    <row r="12703" spans="12:12">
      <c r="L12703"/>
    </row>
    <row r="12704" spans="12:12">
      <c r="L12704"/>
    </row>
    <row r="12705" spans="12:12">
      <c r="L12705"/>
    </row>
    <row r="12706" spans="12:12">
      <c r="L12706"/>
    </row>
    <row r="12707" spans="12:12">
      <c r="L12707"/>
    </row>
    <row r="12708" spans="12:12">
      <c r="L12708"/>
    </row>
    <row r="12709" spans="12:12">
      <c r="L12709"/>
    </row>
    <row r="12710" spans="12:12">
      <c r="L12710"/>
    </row>
    <row r="12711" spans="12:12">
      <c r="L12711"/>
    </row>
    <row r="12712" spans="12:12">
      <c r="L12712"/>
    </row>
    <row r="12713" spans="12:12">
      <c r="L12713"/>
    </row>
    <row r="12714" spans="12:12">
      <c r="L12714"/>
    </row>
    <row r="12715" spans="12:12">
      <c r="L12715"/>
    </row>
    <row r="12716" spans="12:12">
      <c r="L12716"/>
    </row>
    <row r="12717" spans="12:12">
      <c r="L12717"/>
    </row>
    <row r="12718" spans="12:12">
      <c r="L12718"/>
    </row>
    <row r="12719" spans="12:12">
      <c r="L12719"/>
    </row>
    <row r="12720" spans="12:12">
      <c r="L12720"/>
    </row>
    <row r="12721" spans="12:12">
      <c r="L12721"/>
    </row>
    <row r="12722" spans="12:12">
      <c r="L12722"/>
    </row>
    <row r="12723" spans="12:12">
      <c r="L12723"/>
    </row>
    <row r="12724" spans="12:12">
      <c r="L12724"/>
    </row>
    <row r="12725" spans="12:12">
      <c r="L12725"/>
    </row>
    <row r="12726" spans="12:12">
      <c r="L12726"/>
    </row>
    <row r="12727" spans="12:12">
      <c r="L12727"/>
    </row>
    <row r="12728" spans="12:12">
      <c r="L12728"/>
    </row>
    <row r="12729" spans="12:12">
      <c r="L12729"/>
    </row>
    <row r="12730" spans="12:12">
      <c r="L12730"/>
    </row>
    <row r="12731" spans="12:12">
      <c r="L12731"/>
    </row>
    <row r="12732" spans="12:12">
      <c r="L12732"/>
    </row>
    <row r="12733" spans="12:12">
      <c r="L12733"/>
    </row>
    <row r="12734" spans="12:12">
      <c r="L12734"/>
    </row>
    <row r="12735" spans="12:12">
      <c r="L12735"/>
    </row>
    <row r="12736" spans="12:12">
      <c r="L12736"/>
    </row>
    <row r="12737" spans="12:12">
      <c r="L12737"/>
    </row>
    <row r="12738" spans="12:12">
      <c r="L12738"/>
    </row>
    <row r="12739" spans="12:12">
      <c r="L12739"/>
    </row>
    <row r="12740" spans="12:12">
      <c r="L12740"/>
    </row>
    <row r="12741" spans="12:12">
      <c r="L12741"/>
    </row>
    <row r="12742" spans="12:12">
      <c r="L12742"/>
    </row>
    <row r="12743" spans="12:12">
      <c r="L12743"/>
    </row>
    <row r="12744" spans="12:12">
      <c r="L12744"/>
    </row>
    <row r="12745" spans="12:12">
      <c r="L12745"/>
    </row>
    <row r="12746" spans="12:12">
      <c r="L12746"/>
    </row>
    <row r="12747" spans="12:12">
      <c r="L12747"/>
    </row>
    <row r="12748" spans="12:12">
      <c r="L12748"/>
    </row>
    <row r="12749" spans="12:12">
      <c r="L12749"/>
    </row>
    <row r="12750" spans="12:12">
      <c r="L12750"/>
    </row>
    <row r="12751" spans="12:12">
      <c r="L12751"/>
    </row>
    <row r="12752" spans="12:12">
      <c r="L12752"/>
    </row>
    <row r="12753" spans="12:12">
      <c r="L12753"/>
    </row>
    <row r="12754" spans="12:12">
      <c r="L12754"/>
    </row>
    <row r="12755" spans="12:12">
      <c r="L12755"/>
    </row>
    <row r="12756" spans="12:12">
      <c r="L12756"/>
    </row>
    <row r="12757" spans="12:12">
      <c r="L12757"/>
    </row>
    <row r="12758" spans="12:12">
      <c r="L12758"/>
    </row>
    <row r="12759" spans="12:12">
      <c r="L12759"/>
    </row>
    <row r="12760" spans="12:12">
      <c r="L12760"/>
    </row>
    <row r="12761" spans="12:12">
      <c r="L12761"/>
    </row>
    <row r="12762" spans="12:12">
      <c r="L12762"/>
    </row>
    <row r="12763" spans="12:12">
      <c r="L12763"/>
    </row>
    <row r="12764" spans="12:12">
      <c r="L12764"/>
    </row>
    <row r="12765" spans="12:12">
      <c r="L12765"/>
    </row>
    <row r="12766" spans="12:12">
      <c r="L12766"/>
    </row>
    <row r="12767" spans="12:12">
      <c r="L12767"/>
    </row>
    <row r="12768" spans="12:12">
      <c r="L12768"/>
    </row>
    <row r="12769" spans="12:12">
      <c r="L12769"/>
    </row>
    <row r="12770" spans="12:12">
      <c r="L12770"/>
    </row>
    <row r="12771" spans="12:12">
      <c r="L12771"/>
    </row>
    <row r="12772" spans="12:12">
      <c r="L12772"/>
    </row>
    <row r="12773" spans="12:12">
      <c r="L12773"/>
    </row>
    <row r="12774" spans="12:12">
      <c r="L12774"/>
    </row>
    <row r="12775" spans="12:12">
      <c r="L12775"/>
    </row>
    <row r="12776" spans="12:12">
      <c r="L12776"/>
    </row>
    <row r="12777" spans="12:12">
      <c r="L12777"/>
    </row>
    <row r="12778" spans="12:12">
      <c r="L12778"/>
    </row>
    <row r="12779" spans="12:12">
      <c r="L12779"/>
    </row>
    <row r="12780" spans="12:12">
      <c r="L12780"/>
    </row>
    <row r="12781" spans="12:12">
      <c r="L12781"/>
    </row>
    <row r="12782" spans="12:12">
      <c r="L12782"/>
    </row>
    <row r="12783" spans="12:12">
      <c r="L12783"/>
    </row>
    <row r="12784" spans="12:12">
      <c r="L12784"/>
    </row>
    <row r="12785" spans="12:12">
      <c r="L12785"/>
    </row>
    <row r="12786" spans="12:12">
      <c r="L12786"/>
    </row>
    <row r="12787" spans="12:12">
      <c r="L12787"/>
    </row>
    <row r="12788" spans="12:12">
      <c r="L12788"/>
    </row>
    <row r="12789" spans="12:12">
      <c r="L12789"/>
    </row>
    <row r="12790" spans="12:12">
      <c r="L12790"/>
    </row>
    <row r="12791" spans="12:12">
      <c r="L12791"/>
    </row>
    <row r="12792" spans="12:12">
      <c r="L12792"/>
    </row>
    <row r="12793" spans="12:12">
      <c r="L12793"/>
    </row>
    <row r="12794" spans="12:12">
      <c r="L12794"/>
    </row>
    <row r="12795" spans="12:12">
      <c r="L12795"/>
    </row>
    <row r="12796" spans="12:12">
      <c r="L12796"/>
    </row>
    <row r="12797" spans="12:12">
      <c r="L12797"/>
    </row>
    <row r="12798" spans="12:12">
      <c r="L12798"/>
    </row>
    <row r="12799" spans="12:12">
      <c r="L12799"/>
    </row>
    <row r="12800" spans="12:12">
      <c r="L12800"/>
    </row>
    <row r="12801" spans="12:12">
      <c r="L12801"/>
    </row>
    <row r="12802" spans="12:12">
      <c r="L12802"/>
    </row>
    <row r="12803" spans="12:12">
      <c r="L12803"/>
    </row>
    <row r="12804" spans="12:12">
      <c r="L12804"/>
    </row>
    <row r="12805" spans="12:12">
      <c r="L12805"/>
    </row>
    <row r="12806" spans="12:12">
      <c r="L12806"/>
    </row>
    <row r="12807" spans="12:12">
      <c r="L12807"/>
    </row>
    <row r="12808" spans="12:12">
      <c r="L12808"/>
    </row>
    <row r="12809" spans="12:12">
      <c r="L12809"/>
    </row>
    <row r="12810" spans="12:12">
      <c r="L12810"/>
    </row>
    <row r="12811" spans="12:12">
      <c r="L12811"/>
    </row>
    <row r="12812" spans="12:12">
      <c r="L12812"/>
    </row>
    <row r="12813" spans="12:12">
      <c r="L12813"/>
    </row>
    <row r="12814" spans="12:12">
      <c r="L12814"/>
    </row>
    <row r="12815" spans="12:12">
      <c r="L12815"/>
    </row>
    <row r="12816" spans="12:12">
      <c r="L12816"/>
    </row>
    <row r="12817" spans="12:12">
      <c r="L12817"/>
    </row>
    <row r="12818" spans="12:12">
      <c r="L12818"/>
    </row>
    <row r="12819" spans="12:12">
      <c r="L12819"/>
    </row>
    <row r="12820" spans="12:12">
      <c r="L12820"/>
    </row>
    <row r="12821" spans="12:12">
      <c r="L12821"/>
    </row>
    <row r="12822" spans="12:12">
      <c r="L12822"/>
    </row>
    <row r="12823" spans="12:12">
      <c r="L12823"/>
    </row>
    <row r="12824" spans="12:12">
      <c r="L12824"/>
    </row>
    <row r="12825" spans="12:12">
      <c r="L12825"/>
    </row>
    <row r="12826" spans="12:12">
      <c r="L12826"/>
    </row>
    <row r="12827" spans="12:12">
      <c r="L12827"/>
    </row>
    <row r="12828" spans="12:12">
      <c r="L12828"/>
    </row>
    <row r="12829" spans="12:12">
      <c r="L12829"/>
    </row>
    <row r="12830" spans="12:12">
      <c r="L12830"/>
    </row>
    <row r="12831" spans="12:12">
      <c r="L12831"/>
    </row>
    <row r="12832" spans="12:12">
      <c r="L12832"/>
    </row>
    <row r="12833" spans="12:12">
      <c r="L12833"/>
    </row>
    <row r="12834" spans="12:12">
      <c r="L12834"/>
    </row>
    <row r="12835" spans="12:12">
      <c r="L12835"/>
    </row>
    <row r="12836" spans="12:12">
      <c r="L12836"/>
    </row>
    <row r="12837" spans="12:12">
      <c r="L12837"/>
    </row>
    <row r="12838" spans="12:12">
      <c r="L12838"/>
    </row>
    <row r="12839" spans="12:12">
      <c r="L12839"/>
    </row>
    <row r="12840" spans="12:12">
      <c r="L12840"/>
    </row>
    <row r="12841" spans="12:12">
      <c r="L12841"/>
    </row>
    <row r="12842" spans="12:12">
      <c r="L12842"/>
    </row>
    <row r="12843" spans="12:12">
      <c r="L12843"/>
    </row>
    <row r="12844" spans="12:12">
      <c r="L12844"/>
    </row>
    <row r="12845" spans="12:12">
      <c r="L12845"/>
    </row>
    <row r="12846" spans="12:12">
      <c r="L12846"/>
    </row>
    <row r="12847" spans="12:12">
      <c r="L12847"/>
    </row>
    <row r="12848" spans="12:12">
      <c r="L12848"/>
    </row>
    <row r="12849" spans="12:12">
      <c r="L12849"/>
    </row>
    <row r="12850" spans="12:12">
      <c r="L12850"/>
    </row>
    <row r="12851" spans="12:12">
      <c r="L12851"/>
    </row>
    <row r="12852" spans="12:12">
      <c r="L12852"/>
    </row>
    <row r="12853" spans="12:12">
      <c r="L12853"/>
    </row>
    <row r="12854" spans="12:12">
      <c r="L12854"/>
    </row>
    <row r="12855" spans="12:12">
      <c r="L12855"/>
    </row>
    <row r="12856" spans="12:12">
      <c r="L12856"/>
    </row>
    <row r="12857" spans="12:12">
      <c r="L12857"/>
    </row>
    <row r="12858" spans="12:12">
      <c r="L12858"/>
    </row>
    <row r="12859" spans="12:12">
      <c r="L12859"/>
    </row>
    <row r="12860" spans="12:12">
      <c r="L12860"/>
    </row>
    <row r="12861" spans="12:12">
      <c r="L12861"/>
    </row>
    <row r="12862" spans="12:12">
      <c r="L12862"/>
    </row>
    <row r="12863" spans="12:12">
      <c r="L12863"/>
    </row>
    <row r="12864" spans="12:12">
      <c r="L12864"/>
    </row>
    <row r="12865" spans="12:12">
      <c r="L12865"/>
    </row>
    <row r="12866" spans="12:12">
      <c r="L12866"/>
    </row>
    <row r="12867" spans="12:12">
      <c r="L12867"/>
    </row>
    <row r="12868" spans="12:12">
      <c r="L12868"/>
    </row>
    <row r="12869" spans="12:12">
      <c r="L12869"/>
    </row>
    <row r="12870" spans="12:12">
      <c r="L12870"/>
    </row>
    <row r="12871" spans="12:12">
      <c r="L12871"/>
    </row>
    <row r="12872" spans="12:12">
      <c r="L12872"/>
    </row>
    <row r="12873" spans="12:12">
      <c r="L12873"/>
    </row>
    <row r="12874" spans="12:12">
      <c r="L12874"/>
    </row>
    <row r="12875" spans="12:12">
      <c r="L12875"/>
    </row>
    <row r="12876" spans="12:12">
      <c r="L12876"/>
    </row>
    <row r="12877" spans="12:12">
      <c r="L12877"/>
    </row>
    <row r="12878" spans="12:12">
      <c r="L12878"/>
    </row>
    <row r="12879" spans="12:12">
      <c r="L12879"/>
    </row>
    <row r="12880" spans="12:12">
      <c r="L12880"/>
    </row>
    <row r="12881" spans="12:12">
      <c r="L12881"/>
    </row>
    <row r="12882" spans="12:12">
      <c r="L12882"/>
    </row>
    <row r="12883" spans="12:12">
      <c r="L12883"/>
    </row>
    <row r="12884" spans="12:12">
      <c r="L12884"/>
    </row>
    <row r="12885" spans="12:12">
      <c r="L12885"/>
    </row>
    <row r="12886" spans="12:12">
      <c r="L12886"/>
    </row>
    <row r="12887" spans="12:12">
      <c r="L12887"/>
    </row>
    <row r="12888" spans="12:12">
      <c r="L12888"/>
    </row>
    <row r="12889" spans="12:12">
      <c r="L12889"/>
    </row>
    <row r="12890" spans="12:12">
      <c r="L12890"/>
    </row>
    <row r="12891" spans="12:12">
      <c r="L12891"/>
    </row>
    <row r="12892" spans="12:12">
      <c r="L12892"/>
    </row>
    <row r="12893" spans="12:12">
      <c r="L12893"/>
    </row>
    <row r="12894" spans="12:12">
      <c r="L12894"/>
    </row>
    <row r="12895" spans="12:12">
      <c r="L12895"/>
    </row>
    <row r="12896" spans="12:12">
      <c r="L12896"/>
    </row>
    <row r="12897" spans="12:12">
      <c r="L12897"/>
    </row>
    <row r="12898" spans="12:12">
      <c r="L12898"/>
    </row>
    <row r="12899" spans="12:12">
      <c r="L12899"/>
    </row>
    <row r="12900" spans="12:12">
      <c r="L12900"/>
    </row>
    <row r="12901" spans="12:12">
      <c r="L12901"/>
    </row>
    <row r="12902" spans="12:12">
      <c r="L12902"/>
    </row>
    <row r="12903" spans="12:12">
      <c r="L12903"/>
    </row>
    <row r="12904" spans="12:12">
      <c r="L12904"/>
    </row>
    <row r="12905" spans="12:12">
      <c r="L12905"/>
    </row>
    <row r="12906" spans="12:12">
      <c r="L12906"/>
    </row>
    <row r="12907" spans="12:12">
      <c r="L12907"/>
    </row>
    <row r="12908" spans="12:12">
      <c r="L12908"/>
    </row>
    <row r="12909" spans="12:12">
      <c r="L12909"/>
    </row>
    <row r="12910" spans="12:12">
      <c r="L12910"/>
    </row>
    <row r="12911" spans="12:12">
      <c r="L12911"/>
    </row>
    <row r="12912" spans="12:12">
      <c r="L12912"/>
    </row>
    <row r="12913" spans="12:12">
      <c r="L12913"/>
    </row>
    <row r="12914" spans="12:12">
      <c r="L12914"/>
    </row>
    <row r="12915" spans="12:12">
      <c r="L12915"/>
    </row>
    <row r="12916" spans="12:12">
      <c r="L12916"/>
    </row>
    <row r="12917" spans="12:12">
      <c r="L12917"/>
    </row>
    <row r="12918" spans="12:12">
      <c r="L12918"/>
    </row>
    <row r="12919" spans="12:12">
      <c r="L12919"/>
    </row>
    <row r="12920" spans="12:12">
      <c r="L12920"/>
    </row>
    <row r="12921" spans="12:12">
      <c r="L12921"/>
    </row>
    <row r="12922" spans="12:12">
      <c r="L12922"/>
    </row>
    <row r="12923" spans="12:12">
      <c r="L12923"/>
    </row>
    <row r="12924" spans="12:12">
      <c r="L12924"/>
    </row>
    <row r="12925" spans="12:12">
      <c r="L12925"/>
    </row>
    <row r="12926" spans="12:12">
      <c r="L12926"/>
    </row>
    <row r="12927" spans="12:12">
      <c r="L12927"/>
    </row>
    <row r="12928" spans="12:12">
      <c r="L12928"/>
    </row>
    <row r="12929" spans="12:12">
      <c r="L12929"/>
    </row>
    <row r="12930" spans="12:12">
      <c r="L12930"/>
    </row>
    <row r="12931" spans="12:12">
      <c r="L12931"/>
    </row>
    <row r="12932" spans="12:12">
      <c r="L12932"/>
    </row>
    <row r="12933" spans="12:12">
      <c r="L12933"/>
    </row>
    <row r="12934" spans="12:12">
      <c r="L12934"/>
    </row>
    <row r="12935" spans="12:12">
      <c r="L12935"/>
    </row>
    <row r="12936" spans="12:12">
      <c r="L12936"/>
    </row>
    <row r="12937" spans="12:12">
      <c r="L12937"/>
    </row>
    <row r="12938" spans="12:12">
      <c r="L12938"/>
    </row>
    <row r="12939" spans="12:12">
      <c r="L12939"/>
    </row>
    <row r="12940" spans="12:12">
      <c r="L12940"/>
    </row>
    <row r="12941" spans="12:12">
      <c r="L12941"/>
    </row>
    <row r="12942" spans="12:12">
      <c r="L12942"/>
    </row>
    <row r="12943" spans="12:12">
      <c r="L12943"/>
    </row>
    <row r="12944" spans="12:12">
      <c r="L12944"/>
    </row>
    <row r="12945" spans="12:12">
      <c r="L12945"/>
    </row>
    <row r="12946" spans="12:12">
      <c r="L12946"/>
    </row>
    <row r="12947" spans="12:12">
      <c r="L12947"/>
    </row>
    <row r="12948" spans="12:12">
      <c r="L12948"/>
    </row>
    <row r="12949" spans="12:12">
      <c r="L12949"/>
    </row>
    <row r="12950" spans="12:12">
      <c r="L12950"/>
    </row>
    <row r="12951" spans="12:12">
      <c r="L12951"/>
    </row>
    <row r="12952" spans="12:12">
      <c r="L12952"/>
    </row>
    <row r="12953" spans="12:12">
      <c r="L12953"/>
    </row>
    <row r="12954" spans="12:12">
      <c r="L12954"/>
    </row>
    <row r="12955" spans="12:12">
      <c r="L12955"/>
    </row>
    <row r="12956" spans="12:12">
      <c r="L12956"/>
    </row>
    <row r="12957" spans="12:12">
      <c r="L12957"/>
    </row>
    <row r="12958" spans="12:12">
      <c r="L12958"/>
    </row>
    <row r="12959" spans="12:12">
      <c r="L12959"/>
    </row>
    <row r="12960" spans="12:12">
      <c r="L12960"/>
    </row>
    <row r="12961" spans="12:12">
      <c r="L12961"/>
    </row>
    <row r="12962" spans="12:12">
      <c r="L12962"/>
    </row>
    <row r="12963" spans="12:12">
      <c r="L12963"/>
    </row>
    <row r="12964" spans="12:12">
      <c r="L12964"/>
    </row>
    <row r="12965" spans="12:12">
      <c r="L12965"/>
    </row>
    <row r="12966" spans="12:12">
      <c r="L12966"/>
    </row>
    <row r="12967" spans="12:12">
      <c r="L12967"/>
    </row>
    <row r="12968" spans="12:12">
      <c r="L12968"/>
    </row>
    <row r="12969" spans="12:12">
      <c r="L12969"/>
    </row>
    <row r="12970" spans="12:12">
      <c r="L12970"/>
    </row>
    <row r="12971" spans="12:12">
      <c r="L12971"/>
    </row>
    <row r="12972" spans="12:12">
      <c r="L12972"/>
    </row>
    <row r="12973" spans="12:12">
      <c r="L12973"/>
    </row>
    <row r="12974" spans="12:12">
      <c r="L12974"/>
    </row>
    <row r="12975" spans="12:12">
      <c r="L12975"/>
    </row>
    <row r="12976" spans="12:12">
      <c r="L12976"/>
    </row>
    <row r="12977" spans="12:12">
      <c r="L12977"/>
    </row>
    <row r="12978" spans="12:12">
      <c r="L12978"/>
    </row>
    <row r="12979" spans="12:12">
      <c r="L12979"/>
    </row>
    <row r="12980" spans="12:12">
      <c r="L12980"/>
    </row>
    <row r="12981" spans="12:12">
      <c r="L12981"/>
    </row>
    <row r="12982" spans="12:12">
      <c r="L12982"/>
    </row>
    <row r="12983" spans="12:12">
      <c r="L12983"/>
    </row>
    <row r="12984" spans="12:12">
      <c r="L12984"/>
    </row>
    <row r="12985" spans="12:12">
      <c r="L12985"/>
    </row>
    <row r="12986" spans="12:12">
      <c r="L12986"/>
    </row>
    <row r="12987" spans="12:12">
      <c r="L12987"/>
    </row>
    <row r="12988" spans="12:12">
      <c r="L12988"/>
    </row>
    <row r="12989" spans="12:12">
      <c r="L12989"/>
    </row>
    <row r="12990" spans="12:12">
      <c r="L12990"/>
    </row>
    <row r="12991" spans="12:12">
      <c r="L12991"/>
    </row>
    <row r="12992" spans="12:12">
      <c r="L12992"/>
    </row>
    <row r="12993" spans="12:12">
      <c r="L12993"/>
    </row>
    <row r="12994" spans="12:12">
      <c r="L12994"/>
    </row>
    <row r="12995" spans="12:12">
      <c r="L12995"/>
    </row>
    <row r="12996" spans="12:12">
      <c r="L12996"/>
    </row>
    <row r="12997" spans="12:12">
      <c r="L12997"/>
    </row>
    <row r="12998" spans="12:12">
      <c r="L12998"/>
    </row>
    <row r="12999" spans="12:12">
      <c r="L12999"/>
    </row>
    <row r="13000" spans="12:12">
      <c r="L13000"/>
    </row>
    <row r="13001" spans="12:12">
      <c r="L13001"/>
    </row>
    <row r="13002" spans="12:12">
      <c r="L13002"/>
    </row>
    <row r="13003" spans="12:12">
      <c r="L13003"/>
    </row>
    <row r="13004" spans="12:12">
      <c r="L13004"/>
    </row>
    <row r="13005" spans="12:12">
      <c r="L13005"/>
    </row>
    <row r="13006" spans="12:12">
      <c r="L13006"/>
    </row>
    <row r="13007" spans="12:12">
      <c r="L13007"/>
    </row>
    <row r="13008" spans="12:12">
      <c r="L13008"/>
    </row>
    <row r="13009" spans="12:12">
      <c r="L13009"/>
    </row>
    <row r="13010" spans="12:12">
      <c r="L13010"/>
    </row>
    <row r="13011" spans="12:12">
      <c r="L13011"/>
    </row>
    <row r="13012" spans="12:12">
      <c r="L13012"/>
    </row>
    <row r="13013" spans="12:12">
      <c r="L13013"/>
    </row>
    <row r="13014" spans="12:12">
      <c r="L13014"/>
    </row>
    <row r="13015" spans="12:12">
      <c r="L13015"/>
    </row>
    <row r="13016" spans="12:12">
      <c r="L13016"/>
    </row>
    <row r="13017" spans="12:12">
      <c r="L13017"/>
    </row>
    <row r="13018" spans="12:12">
      <c r="L13018"/>
    </row>
    <row r="13019" spans="12:12">
      <c r="L13019"/>
    </row>
    <row r="13020" spans="12:12">
      <c r="L13020"/>
    </row>
    <row r="13021" spans="12:12">
      <c r="L13021"/>
    </row>
    <row r="13022" spans="12:12">
      <c r="L13022"/>
    </row>
    <row r="13023" spans="12:12">
      <c r="L13023"/>
    </row>
    <row r="13024" spans="12:12">
      <c r="L13024"/>
    </row>
    <row r="13025" spans="12:12">
      <c r="L13025"/>
    </row>
    <row r="13026" spans="12:12">
      <c r="L13026"/>
    </row>
    <row r="13027" spans="12:12">
      <c r="L13027"/>
    </row>
    <row r="13028" spans="12:12">
      <c r="L13028"/>
    </row>
    <row r="13029" spans="12:12">
      <c r="L13029"/>
    </row>
    <row r="13030" spans="12:12">
      <c r="L13030"/>
    </row>
    <row r="13031" spans="12:12">
      <c r="L13031"/>
    </row>
    <row r="13032" spans="12:12">
      <c r="L13032"/>
    </row>
    <row r="13033" spans="12:12">
      <c r="L13033"/>
    </row>
    <row r="13034" spans="12:12">
      <c r="L13034"/>
    </row>
    <row r="13035" spans="12:12">
      <c r="L13035"/>
    </row>
    <row r="13036" spans="12:12">
      <c r="L13036"/>
    </row>
    <row r="13037" spans="12:12">
      <c r="L13037"/>
    </row>
    <row r="13038" spans="12:12">
      <c r="L13038"/>
    </row>
    <row r="13039" spans="12:12">
      <c r="L13039"/>
    </row>
    <row r="13040" spans="12:12">
      <c r="L13040"/>
    </row>
    <row r="13041" spans="12:12">
      <c r="L13041"/>
    </row>
    <row r="13042" spans="12:12">
      <c r="L13042"/>
    </row>
    <row r="13043" spans="12:12">
      <c r="L13043"/>
    </row>
    <row r="13044" spans="12:12">
      <c r="L13044"/>
    </row>
    <row r="13045" spans="12:12">
      <c r="L13045"/>
    </row>
    <row r="13046" spans="12:12">
      <c r="L13046"/>
    </row>
    <row r="13047" spans="12:12">
      <c r="L13047"/>
    </row>
    <row r="13048" spans="12:12">
      <c r="L13048"/>
    </row>
    <row r="13049" spans="12:12">
      <c r="L13049"/>
    </row>
    <row r="13050" spans="12:12">
      <c r="L13050"/>
    </row>
    <row r="13051" spans="12:12">
      <c r="L13051"/>
    </row>
    <row r="13052" spans="12:12">
      <c r="L13052"/>
    </row>
    <row r="13053" spans="12:12">
      <c r="L13053"/>
    </row>
    <row r="13054" spans="12:12">
      <c r="L13054"/>
    </row>
    <row r="13055" spans="12:12">
      <c r="L13055"/>
    </row>
    <row r="13056" spans="12:12">
      <c r="L13056"/>
    </row>
    <row r="13057" spans="12:12">
      <c r="L13057"/>
    </row>
    <row r="13058" spans="12:12">
      <c r="L13058"/>
    </row>
    <row r="13059" spans="12:12">
      <c r="L13059"/>
    </row>
    <row r="13060" spans="12:12">
      <c r="L13060"/>
    </row>
    <row r="13061" spans="12:12">
      <c r="L13061"/>
    </row>
    <row r="13062" spans="12:12">
      <c r="L13062"/>
    </row>
    <row r="13063" spans="12:12">
      <c r="L13063"/>
    </row>
    <row r="13064" spans="12:12">
      <c r="L13064"/>
    </row>
    <row r="13065" spans="12:12">
      <c r="L13065"/>
    </row>
    <row r="13066" spans="12:12">
      <c r="L13066"/>
    </row>
    <row r="13067" spans="12:12">
      <c r="L13067"/>
    </row>
    <row r="13068" spans="12:12">
      <c r="L13068"/>
    </row>
    <row r="13069" spans="12:12">
      <c r="L13069"/>
    </row>
    <row r="13070" spans="12:12">
      <c r="L13070"/>
    </row>
    <row r="13071" spans="12:12">
      <c r="L13071"/>
    </row>
    <row r="13072" spans="12:12">
      <c r="L13072"/>
    </row>
    <row r="13073" spans="12:12">
      <c r="L13073"/>
    </row>
    <row r="13074" spans="12:12">
      <c r="L13074"/>
    </row>
    <row r="13075" spans="12:12">
      <c r="L13075"/>
    </row>
    <row r="13076" spans="12:12">
      <c r="L13076"/>
    </row>
    <row r="13077" spans="12:12">
      <c r="L13077"/>
    </row>
    <row r="13078" spans="12:12">
      <c r="L13078"/>
    </row>
    <row r="13079" spans="12:12">
      <c r="L13079"/>
    </row>
    <row r="13080" spans="12:12">
      <c r="L13080"/>
    </row>
    <row r="13081" spans="12:12">
      <c r="L13081"/>
    </row>
    <row r="13082" spans="12:12">
      <c r="L13082"/>
    </row>
    <row r="13083" spans="12:12">
      <c r="L13083"/>
    </row>
    <row r="13084" spans="12:12">
      <c r="L13084"/>
    </row>
    <row r="13085" spans="12:12">
      <c r="L13085"/>
    </row>
    <row r="13086" spans="12:12">
      <c r="L13086"/>
    </row>
    <row r="13087" spans="12:12">
      <c r="L13087"/>
    </row>
    <row r="13088" spans="12:12">
      <c r="L13088"/>
    </row>
    <row r="13089" spans="12:12">
      <c r="L13089"/>
    </row>
    <row r="13090" spans="12:12">
      <c r="L13090"/>
    </row>
    <row r="13091" spans="12:12">
      <c r="L13091"/>
    </row>
    <row r="13092" spans="12:12">
      <c r="L13092"/>
    </row>
    <row r="13093" spans="12:12">
      <c r="L13093"/>
    </row>
    <row r="13094" spans="12:12">
      <c r="L13094"/>
    </row>
    <row r="13095" spans="12:12">
      <c r="L13095"/>
    </row>
    <row r="13096" spans="12:12">
      <c r="L13096"/>
    </row>
    <row r="13097" spans="12:12">
      <c r="L13097"/>
    </row>
    <row r="13098" spans="12:12">
      <c r="L13098"/>
    </row>
    <row r="13099" spans="12:12">
      <c r="L13099"/>
    </row>
    <row r="13100" spans="12:12">
      <c r="L13100"/>
    </row>
    <row r="13101" spans="12:12">
      <c r="L13101"/>
    </row>
    <row r="13102" spans="12:12">
      <c r="L13102"/>
    </row>
    <row r="13103" spans="12:12">
      <c r="L13103"/>
    </row>
    <row r="13104" spans="12:12">
      <c r="L13104"/>
    </row>
    <row r="13105" spans="12:12">
      <c r="L13105"/>
    </row>
    <row r="13106" spans="12:12">
      <c r="L13106"/>
    </row>
    <row r="13107" spans="12:12">
      <c r="L13107"/>
    </row>
    <row r="13108" spans="12:12">
      <c r="L13108"/>
    </row>
    <row r="13109" spans="12:12">
      <c r="L13109"/>
    </row>
    <row r="13110" spans="12:12">
      <c r="L13110"/>
    </row>
    <row r="13111" spans="12:12">
      <c r="L13111"/>
    </row>
    <row r="13112" spans="12:12">
      <c r="L13112"/>
    </row>
    <row r="13113" spans="12:12">
      <c r="L13113"/>
    </row>
    <row r="13114" spans="12:12">
      <c r="L13114"/>
    </row>
    <row r="13115" spans="12:12">
      <c r="L13115"/>
    </row>
    <row r="13116" spans="12:12">
      <c r="L13116"/>
    </row>
    <row r="13117" spans="12:12">
      <c r="L13117"/>
    </row>
    <row r="13118" spans="12:12">
      <c r="L13118"/>
    </row>
    <row r="13119" spans="12:12">
      <c r="L13119"/>
    </row>
    <row r="13120" spans="12:12">
      <c r="L13120"/>
    </row>
    <row r="13121" spans="12:12">
      <c r="L13121"/>
    </row>
    <row r="13122" spans="12:12">
      <c r="L13122"/>
    </row>
    <row r="13123" spans="12:12">
      <c r="L13123"/>
    </row>
    <row r="13124" spans="12:12">
      <c r="L13124"/>
    </row>
    <row r="13125" spans="12:12">
      <c r="L13125"/>
    </row>
    <row r="13126" spans="12:12">
      <c r="L13126"/>
    </row>
    <row r="13127" spans="12:12">
      <c r="L13127"/>
    </row>
    <row r="13128" spans="12:12">
      <c r="L13128"/>
    </row>
    <row r="13129" spans="12:12">
      <c r="L13129"/>
    </row>
    <row r="13130" spans="12:12">
      <c r="L13130"/>
    </row>
    <row r="13131" spans="12:12">
      <c r="L13131"/>
    </row>
    <row r="13132" spans="12:12">
      <c r="L13132"/>
    </row>
    <row r="13133" spans="12:12">
      <c r="L13133"/>
    </row>
    <row r="13134" spans="12:12">
      <c r="L13134"/>
    </row>
    <row r="13135" spans="12:12">
      <c r="L13135"/>
    </row>
    <row r="13136" spans="12:12">
      <c r="L13136"/>
    </row>
    <row r="13137" spans="12:12">
      <c r="L13137"/>
    </row>
    <row r="13138" spans="12:12">
      <c r="L13138"/>
    </row>
    <row r="13139" spans="12:12">
      <c r="L13139"/>
    </row>
    <row r="13140" spans="12:12">
      <c r="L13140"/>
    </row>
    <row r="13141" spans="12:12">
      <c r="L13141"/>
    </row>
    <row r="13142" spans="12:12">
      <c r="L13142"/>
    </row>
    <row r="13143" spans="12:12">
      <c r="L13143"/>
    </row>
    <row r="13144" spans="12:12">
      <c r="L13144"/>
    </row>
    <row r="13145" spans="12:12">
      <c r="L13145"/>
    </row>
    <row r="13146" spans="12:12">
      <c r="L13146"/>
    </row>
    <row r="13147" spans="12:12">
      <c r="L13147"/>
    </row>
    <row r="13148" spans="12:12">
      <c r="L13148"/>
    </row>
    <row r="13149" spans="12:12">
      <c r="L13149"/>
    </row>
    <row r="13150" spans="12:12">
      <c r="L13150"/>
    </row>
    <row r="13151" spans="12:12">
      <c r="L13151"/>
    </row>
    <row r="13152" spans="12:12">
      <c r="L13152"/>
    </row>
    <row r="13153" spans="12:12">
      <c r="L13153"/>
    </row>
    <row r="13154" spans="12:12">
      <c r="L13154"/>
    </row>
    <row r="13155" spans="12:12">
      <c r="L13155"/>
    </row>
    <row r="13156" spans="12:12">
      <c r="L13156"/>
    </row>
    <row r="13157" spans="12:12">
      <c r="L13157"/>
    </row>
    <row r="13158" spans="12:12">
      <c r="L13158"/>
    </row>
    <row r="13159" spans="12:12">
      <c r="L13159"/>
    </row>
    <row r="13160" spans="12:12">
      <c r="L13160"/>
    </row>
    <row r="13161" spans="12:12">
      <c r="L13161"/>
    </row>
    <row r="13162" spans="12:12">
      <c r="L13162"/>
    </row>
    <row r="13163" spans="12:12">
      <c r="L13163"/>
    </row>
    <row r="13164" spans="12:12">
      <c r="L13164"/>
    </row>
    <row r="13165" spans="12:12">
      <c r="L13165"/>
    </row>
    <row r="13166" spans="12:12">
      <c r="L13166"/>
    </row>
    <row r="13167" spans="12:12">
      <c r="L13167"/>
    </row>
    <row r="13168" spans="12:12">
      <c r="L13168"/>
    </row>
    <row r="13169" spans="12:12">
      <c r="L13169"/>
    </row>
    <row r="13170" spans="12:12">
      <c r="L13170"/>
    </row>
    <row r="13171" spans="12:12">
      <c r="L13171"/>
    </row>
    <row r="13172" spans="12:12">
      <c r="L13172"/>
    </row>
    <row r="13173" spans="12:12">
      <c r="L13173"/>
    </row>
    <row r="13174" spans="12:12">
      <c r="L13174"/>
    </row>
    <row r="13175" spans="12:12">
      <c r="L13175"/>
    </row>
    <row r="13176" spans="12:12">
      <c r="L13176"/>
    </row>
    <row r="13177" spans="12:12">
      <c r="L13177"/>
    </row>
    <row r="13178" spans="12:12">
      <c r="L13178"/>
    </row>
    <row r="13179" spans="12:12">
      <c r="L13179"/>
    </row>
    <row r="13180" spans="12:12">
      <c r="L13180"/>
    </row>
    <row r="13181" spans="12:12">
      <c r="L13181"/>
    </row>
    <row r="13182" spans="12:12">
      <c r="L13182"/>
    </row>
    <row r="13183" spans="12:12">
      <c r="L13183"/>
    </row>
    <row r="13184" spans="12:12">
      <c r="L13184"/>
    </row>
    <row r="13185" spans="12:12">
      <c r="L13185"/>
    </row>
    <row r="13186" spans="12:12">
      <c r="L13186"/>
    </row>
    <row r="13187" spans="12:12">
      <c r="L13187"/>
    </row>
    <row r="13188" spans="12:12">
      <c r="L13188"/>
    </row>
    <row r="13189" spans="12:12">
      <c r="L13189"/>
    </row>
    <row r="13190" spans="12:12">
      <c r="L13190"/>
    </row>
    <row r="13191" spans="12:12">
      <c r="L13191"/>
    </row>
    <row r="13192" spans="12:12">
      <c r="L13192"/>
    </row>
    <row r="13193" spans="12:12">
      <c r="L13193"/>
    </row>
    <row r="13194" spans="12:12">
      <c r="L13194"/>
    </row>
    <row r="13195" spans="12:12">
      <c r="L13195"/>
    </row>
    <row r="13196" spans="12:12">
      <c r="L13196"/>
    </row>
    <row r="13197" spans="12:12">
      <c r="L13197"/>
    </row>
    <row r="13198" spans="12:12">
      <c r="L13198"/>
    </row>
    <row r="13199" spans="12:12">
      <c r="L13199"/>
    </row>
    <row r="13200" spans="12:12">
      <c r="L13200"/>
    </row>
    <row r="13201" spans="12:12">
      <c r="L13201"/>
    </row>
    <row r="13202" spans="12:12">
      <c r="L13202"/>
    </row>
    <row r="13203" spans="12:12">
      <c r="L13203"/>
    </row>
    <row r="13204" spans="12:12">
      <c r="L13204"/>
    </row>
    <row r="13205" spans="12:12">
      <c r="L13205"/>
    </row>
    <row r="13206" spans="12:12">
      <c r="L13206"/>
    </row>
    <row r="13207" spans="12:12">
      <c r="L13207"/>
    </row>
    <row r="13208" spans="12:12">
      <c r="L13208"/>
    </row>
    <row r="13209" spans="12:12">
      <c r="L13209"/>
    </row>
    <row r="13210" spans="12:12">
      <c r="L13210"/>
    </row>
    <row r="13211" spans="12:12">
      <c r="L13211"/>
    </row>
    <row r="13212" spans="12:12">
      <c r="L13212"/>
    </row>
    <row r="13213" spans="12:12">
      <c r="L13213"/>
    </row>
    <row r="13214" spans="12:12">
      <c r="L13214"/>
    </row>
    <row r="13215" spans="12:12">
      <c r="L13215"/>
    </row>
    <row r="13216" spans="12:12">
      <c r="L13216"/>
    </row>
    <row r="13217" spans="12:12">
      <c r="L13217"/>
    </row>
    <row r="13218" spans="12:12">
      <c r="L13218"/>
    </row>
    <row r="13219" spans="12:12">
      <c r="L13219"/>
    </row>
    <row r="13220" spans="12:12">
      <c r="L13220"/>
    </row>
    <row r="13221" spans="12:12">
      <c r="L13221"/>
    </row>
    <row r="13222" spans="12:12">
      <c r="L13222"/>
    </row>
    <row r="13223" spans="12:12">
      <c r="L13223"/>
    </row>
    <row r="13224" spans="12:12">
      <c r="L13224"/>
    </row>
    <row r="13225" spans="12:12">
      <c r="L13225"/>
    </row>
    <row r="13226" spans="12:12">
      <c r="L13226"/>
    </row>
    <row r="13227" spans="12:12">
      <c r="L13227"/>
    </row>
    <row r="13228" spans="12:12">
      <c r="L13228"/>
    </row>
    <row r="13229" spans="12:12">
      <c r="L13229"/>
    </row>
    <row r="13230" spans="12:12">
      <c r="L13230"/>
    </row>
    <row r="13231" spans="12:12">
      <c r="L13231"/>
    </row>
    <row r="13232" spans="12:12">
      <c r="L13232"/>
    </row>
    <row r="13233" spans="12:12">
      <c r="L13233"/>
    </row>
    <row r="13234" spans="12:12">
      <c r="L13234"/>
    </row>
    <row r="13235" spans="12:12">
      <c r="L13235"/>
    </row>
    <row r="13236" spans="12:12">
      <c r="L13236"/>
    </row>
    <row r="13237" spans="12:12">
      <c r="L13237"/>
    </row>
    <row r="13238" spans="12:12">
      <c r="L13238"/>
    </row>
    <row r="13239" spans="12:12">
      <c r="L13239"/>
    </row>
    <row r="13240" spans="12:12">
      <c r="L13240"/>
    </row>
    <row r="13241" spans="12:12">
      <c r="L13241"/>
    </row>
    <row r="13242" spans="12:12">
      <c r="L13242"/>
    </row>
    <row r="13243" spans="12:12">
      <c r="L13243"/>
    </row>
    <row r="13244" spans="12:12">
      <c r="L13244"/>
    </row>
    <row r="13245" spans="12:12">
      <c r="L13245"/>
    </row>
    <row r="13246" spans="12:12">
      <c r="L13246"/>
    </row>
    <row r="13247" spans="12:12">
      <c r="L13247"/>
    </row>
    <row r="13248" spans="12:12">
      <c r="L13248"/>
    </row>
    <row r="13249" spans="12:12">
      <c r="L13249"/>
    </row>
    <row r="13250" spans="12:12">
      <c r="L13250"/>
    </row>
    <row r="13251" spans="12:12">
      <c r="L13251"/>
    </row>
    <row r="13252" spans="12:12">
      <c r="L13252"/>
    </row>
    <row r="13253" spans="12:12">
      <c r="L13253"/>
    </row>
    <row r="13254" spans="12:12">
      <c r="L13254"/>
    </row>
    <row r="13255" spans="12:12">
      <c r="L13255"/>
    </row>
    <row r="13256" spans="12:12">
      <c r="L13256"/>
    </row>
    <row r="13257" spans="12:12">
      <c r="L13257"/>
    </row>
    <row r="13258" spans="12:12">
      <c r="L13258"/>
    </row>
    <row r="13259" spans="12:12">
      <c r="L13259"/>
    </row>
    <row r="13260" spans="12:12">
      <c r="L13260"/>
    </row>
    <row r="13261" spans="12:12">
      <c r="L13261"/>
    </row>
    <row r="13262" spans="12:12">
      <c r="L13262"/>
    </row>
    <row r="13263" spans="12:12">
      <c r="L13263"/>
    </row>
    <row r="13264" spans="12:12">
      <c r="L13264"/>
    </row>
    <row r="13265" spans="12:12">
      <c r="L13265"/>
    </row>
    <row r="13266" spans="12:12">
      <c r="L13266"/>
    </row>
    <row r="13267" spans="12:12">
      <c r="L13267"/>
    </row>
    <row r="13268" spans="12:12">
      <c r="L13268"/>
    </row>
    <row r="13269" spans="12:12">
      <c r="L13269"/>
    </row>
    <row r="13270" spans="12:12">
      <c r="L13270"/>
    </row>
    <row r="13271" spans="12:12">
      <c r="L13271"/>
    </row>
    <row r="13272" spans="12:12">
      <c r="L13272"/>
    </row>
    <row r="13273" spans="12:12">
      <c r="L13273"/>
    </row>
    <row r="13274" spans="12:12">
      <c r="L13274"/>
    </row>
    <row r="13275" spans="12:12">
      <c r="L13275"/>
    </row>
    <row r="13276" spans="12:12">
      <c r="L13276"/>
    </row>
    <row r="13277" spans="12:12">
      <c r="L13277"/>
    </row>
    <row r="13278" spans="12:12">
      <c r="L13278"/>
    </row>
    <row r="13279" spans="12:12">
      <c r="L13279"/>
    </row>
    <row r="13280" spans="12:12">
      <c r="L13280"/>
    </row>
    <row r="13281" spans="12:12">
      <c r="L13281"/>
    </row>
    <row r="13282" spans="12:12">
      <c r="L13282"/>
    </row>
    <row r="13283" spans="12:12">
      <c r="L13283"/>
    </row>
    <row r="13284" spans="12:12">
      <c r="L13284"/>
    </row>
    <row r="13285" spans="12:12">
      <c r="L13285"/>
    </row>
    <row r="13286" spans="12:12">
      <c r="L13286"/>
    </row>
    <row r="13287" spans="12:12">
      <c r="L13287"/>
    </row>
    <row r="13288" spans="12:12">
      <c r="L13288"/>
    </row>
    <row r="13289" spans="12:12">
      <c r="L13289"/>
    </row>
    <row r="13290" spans="12:12">
      <c r="L13290"/>
    </row>
    <row r="13291" spans="12:12">
      <c r="L13291"/>
    </row>
    <row r="13292" spans="12:12">
      <c r="L13292"/>
    </row>
    <row r="13293" spans="12:12">
      <c r="L13293"/>
    </row>
    <row r="13294" spans="12:12">
      <c r="L13294"/>
    </row>
    <row r="13295" spans="12:12">
      <c r="L13295"/>
    </row>
    <row r="13296" spans="12:12">
      <c r="L13296"/>
    </row>
    <row r="13297" spans="12:12">
      <c r="L13297"/>
    </row>
    <row r="13298" spans="12:12">
      <c r="L13298"/>
    </row>
    <row r="13299" spans="12:12">
      <c r="L13299"/>
    </row>
    <row r="13300" spans="12:12">
      <c r="L13300"/>
    </row>
    <row r="13301" spans="12:12">
      <c r="L13301"/>
    </row>
    <row r="13302" spans="12:12">
      <c r="L13302"/>
    </row>
    <row r="13303" spans="12:12">
      <c r="L13303"/>
    </row>
    <row r="13304" spans="12:12">
      <c r="L13304"/>
    </row>
    <row r="13305" spans="12:12">
      <c r="L13305"/>
    </row>
    <row r="13306" spans="12:12">
      <c r="L13306"/>
    </row>
    <row r="13307" spans="12:12">
      <c r="L13307"/>
    </row>
    <row r="13308" spans="12:12">
      <c r="L13308"/>
    </row>
    <row r="13309" spans="12:12">
      <c r="L13309"/>
    </row>
    <row r="13310" spans="12:12">
      <c r="L13310"/>
    </row>
    <row r="13311" spans="12:12">
      <c r="L13311"/>
    </row>
    <row r="13312" spans="12:12">
      <c r="L13312"/>
    </row>
    <row r="13313" spans="12:12">
      <c r="L13313"/>
    </row>
    <row r="13314" spans="12:12">
      <c r="L13314"/>
    </row>
    <row r="13315" spans="12:12">
      <c r="L13315"/>
    </row>
    <row r="13316" spans="12:12">
      <c r="L13316"/>
    </row>
    <row r="13317" spans="12:12">
      <c r="L13317"/>
    </row>
    <row r="13318" spans="12:12">
      <c r="L13318"/>
    </row>
    <row r="13319" spans="12:12">
      <c r="L13319"/>
    </row>
    <row r="13320" spans="12:12">
      <c r="L13320"/>
    </row>
    <row r="13321" spans="12:12">
      <c r="L13321"/>
    </row>
    <row r="13322" spans="12:12">
      <c r="L13322"/>
    </row>
    <row r="13323" spans="12:12">
      <c r="L13323"/>
    </row>
    <row r="13324" spans="12:12">
      <c r="L13324"/>
    </row>
    <row r="13325" spans="12:12">
      <c r="L13325"/>
    </row>
    <row r="13326" spans="12:12">
      <c r="L13326"/>
    </row>
    <row r="13327" spans="12:12">
      <c r="L13327"/>
    </row>
    <row r="13328" spans="12:12">
      <c r="L13328"/>
    </row>
    <row r="13329" spans="12:12">
      <c r="L13329"/>
    </row>
    <row r="13330" spans="12:12">
      <c r="L13330"/>
    </row>
    <row r="13331" spans="12:12">
      <c r="L13331"/>
    </row>
    <row r="13332" spans="12:12">
      <c r="L13332"/>
    </row>
    <row r="13333" spans="12:12">
      <c r="L13333"/>
    </row>
    <row r="13334" spans="12:12">
      <c r="L13334"/>
    </row>
    <row r="13335" spans="12:12">
      <c r="L13335"/>
    </row>
    <row r="13336" spans="12:12">
      <c r="L13336"/>
    </row>
    <row r="13337" spans="12:12">
      <c r="L13337"/>
    </row>
    <row r="13338" spans="12:12">
      <c r="L13338"/>
    </row>
    <row r="13339" spans="12:12">
      <c r="L13339"/>
    </row>
    <row r="13340" spans="12:12">
      <c r="L13340"/>
    </row>
    <row r="13341" spans="12:12">
      <c r="L13341"/>
    </row>
    <row r="13342" spans="12:12">
      <c r="L13342"/>
    </row>
    <row r="13343" spans="12:12">
      <c r="L13343"/>
    </row>
    <row r="13344" spans="12:12">
      <c r="L13344"/>
    </row>
    <row r="13345" spans="12:12">
      <c r="L13345"/>
    </row>
    <row r="13346" spans="12:12">
      <c r="L13346"/>
    </row>
    <row r="13347" spans="12:12">
      <c r="L13347"/>
    </row>
    <row r="13348" spans="12:12">
      <c r="L13348"/>
    </row>
    <row r="13349" spans="12:12">
      <c r="L13349"/>
    </row>
    <row r="13350" spans="12:12">
      <c r="L13350"/>
    </row>
    <row r="13351" spans="12:12">
      <c r="L13351"/>
    </row>
    <row r="13352" spans="12:12">
      <c r="L13352"/>
    </row>
    <row r="13353" spans="12:12">
      <c r="L13353"/>
    </row>
    <row r="13354" spans="12:12">
      <c r="L13354"/>
    </row>
    <row r="13355" spans="12:12">
      <c r="L13355"/>
    </row>
    <row r="13356" spans="12:12">
      <c r="L13356"/>
    </row>
    <row r="13357" spans="12:12">
      <c r="L13357"/>
    </row>
    <row r="13358" spans="12:12">
      <c r="L13358"/>
    </row>
    <row r="13359" spans="12:12">
      <c r="L13359"/>
    </row>
    <row r="13360" spans="12:12">
      <c r="L13360"/>
    </row>
    <row r="13361" spans="12:12">
      <c r="L13361"/>
    </row>
    <row r="13362" spans="12:12">
      <c r="L13362"/>
    </row>
    <row r="13363" spans="12:12">
      <c r="L13363"/>
    </row>
    <row r="13364" spans="12:12">
      <c r="L13364"/>
    </row>
    <row r="13365" spans="12:12">
      <c r="L13365"/>
    </row>
    <row r="13366" spans="12:12">
      <c r="L13366"/>
    </row>
    <row r="13367" spans="12:12">
      <c r="L13367"/>
    </row>
    <row r="13368" spans="12:12">
      <c r="L13368"/>
    </row>
    <row r="13369" spans="12:12">
      <c r="L13369"/>
    </row>
    <row r="13370" spans="12:12">
      <c r="L13370"/>
    </row>
    <row r="13371" spans="12:12">
      <c r="L13371"/>
    </row>
    <row r="13372" spans="12:12">
      <c r="L13372"/>
    </row>
    <row r="13373" spans="12:12">
      <c r="L13373"/>
    </row>
    <row r="13374" spans="12:12">
      <c r="L13374"/>
    </row>
    <row r="13375" spans="12:12">
      <c r="L13375"/>
    </row>
    <row r="13376" spans="12:12">
      <c r="L13376"/>
    </row>
    <row r="13377" spans="12:12">
      <c r="L13377"/>
    </row>
    <row r="13378" spans="12:12">
      <c r="L13378"/>
    </row>
    <row r="13379" spans="12:12">
      <c r="L13379"/>
    </row>
    <row r="13380" spans="12:12">
      <c r="L13380"/>
    </row>
    <row r="13381" spans="12:12">
      <c r="L13381"/>
    </row>
    <row r="13382" spans="12:12">
      <c r="L13382"/>
    </row>
    <row r="13383" spans="12:12">
      <c r="L13383"/>
    </row>
    <row r="13384" spans="12:12">
      <c r="L13384"/>
    </row>
    <row r="13385" spans="12:12">
      <c r="L13385"/>
    </row>
    <row r="13386" spans="12:12">
      <c r="L13386"/>
    </row>
    <row r="13387" spans="12:12">
      <c r="L13387"/>
    </row>
    <row r="13388" spans="12:12">
      <c r="L13388"/>
    </row>
    <row r="13389" spans="12:12">
      <c r="L13389"/>
    </row>
    <row r="13390" spans="12:12">
      <c r="L13390"/>
    </row>
    <row r="13391" spans="12:12">
      <c r="L13391"/>
    </row>
    <row r="13392" spans="12:12">
      <c r="L13392"/>
    </row>
    <row r="13393" spans="12:12">
      <c r="L13393"/>
    </row>
    <row r="13394" spans="12:12">
      <c r="L13394"/>
    </row>
    <row r="13395" spans="12:12">
      <c r="L13395"/>
    </row>
    <row r="13396" spans="12:12">
      <c r="L13396"/>
    </row>
    <row r="13397" spans="12:12">
      <c r="L13397"/>
    </row>
    <row r="13398" spans="12:12">
      <c r="L13398"/>
    </row>
    <row r="13399" spans="12:12">
      <c r="L13399"/>
    </row>
    <row r="13400" spans="12:12">
      <c r="L13400"/>
    </row>
    <row r="13401" spans="12:12">
      <c r="L13401"/>
    </row>
    <row r="13402" spans="12:12">
      <c r="L13402"/>
    </row>
    <row r="13403" spans="12:12">
      <c r="L13403"/>
    </row>
    <row r="13404" spans="12:12">
      <c r="L13404"/>
    </row>
    <row r="13405" spans="12:12">
      <c r="L13405"/>
    </row>
    <row r="13406" spans="12:12">
      <c r="L13406"/>
    </row>
    <row r="13407" spans="12:12">
      <c r="L13407"/>
    </row>
    <row r="13408" spans="12:12">
      <c r="L13408"/>
    </row>
    <row r="13409" spans="12:12">
      <c r="L13409"/>
    </row>
    <row r="13410" spans="12:12">
      <c r="L13410"/>
    </row>
    <row r="13411" spans="12:12">
      <c r="L13411"/>
    </row>
    <row r="13412" spans="12:12">
      <c r="L13412"/>
    </row>
    <row r="13413" spans="12:12">
      <c r="L13413"/>
    </row>
    <row r="13414" spans="12:12">
      <c r="L13414"/>
    </row>
    <row r="13415" spans="12:12">
      <c r="L13415"/>
    </row>
    <row r="13416" spans="12:12">
      <c r="L13416"/>
    </row>
    <row r="13417" spans="12:12">
      <c r="L13417"/>
    </row>
    <row r="13418" spans="12:12">
      <c r="L13418"/>
    </row>
    <row r="13419" spans="12:12">
      <c r="L13419"/>
    </row>
    <row r="13420" spans="12:12">
      <c r="L13420"/>
    </row>
    <row r="13421" spans="12:12">
      <c r="L13421"/>
    </row>
    <row r="13422" spans="12:12">
      <c r="L13422"/>
    </row>
    <row r="13423" spans="12:12">
      <c r="L13423"/>
    </row>
    <row r="13424" spans="12:12">
      <c r="L13424"/>
    </row>
    <row r="13425" spans="12:12">
      <c r="L13425"/>
    </row>
    <row r="13426" spans="12:12">
      <c r="L13426"/>
    </row>
    <row r="13427" spans="12:12">
      <c r="L13427"/>
    </row>
    <row r="13428" spans="12:12">
      <c r="L13428"/>
    </row>
    <row r="13429" spans="12:12">
      <c r="L13429"/>
    </row>
    <row r="13430" spans="12:12">
      <c r="L13430"/>
    </row>
    <row r="13431" spans="12:12">
      <c r="L13431"/>
    </row>
    <row r="13432" spans="12:12">
      <c r="L13432"/>
    </row>
    <row r="13433" spans="12:12">
      <c r="L13433"/>
    </row>
    <row r="13434" spans="12:12">
      <c r="L13434"/>
    </row>
    <row r="13435" spans="12:12">
      <c r="L13435"/>
    </row>
    <row r="13436" spans="12:12">
      <c r="L13436"/>
    </row>
    <row r="13437" spans="12:12">
      <c r="L13437"/>
    </row>
    <row r="13438" spans="12:12">
      <c r="L13438"/>
    </row>
    <row r="13439" spans="12:12">
      <c r="L13439"/>
    </row>
    <row r="13440" spans="12:12">
      <c r="L13440"/>
    </row>
    <row r="13441" spans="12:12">
      <c r="L13441"/>
    </row>
    <row r="13442" spans="12:12">
      <c r="L13442"/>
    </row>
    <row r="13443" spans="12:12">
      <c r="L13443"/>
    </row>
    <row r="13444" spans="12:12">
      <c r="L13444"/>
    </row>
    <row r="13445" spans="12:12">
      <c r="L13445"/>
    </row>
    <row r="13446" spans="12:12">
      <c r="L13446"/>
    </row>
    <row r="13447" spans="12:12">
      <c r="L13447"/>
    </row>
    <row r="13448" spans="12:12">
      <c r="L13448"/>
    </row>
    <row r="13449" spans="12:12">
      <c r="L13449"/>
    </row>
    <row r="13450" spans="12:12">
      <c r="L13450"/>
    </row>
    <row r="13451" spans="12:12">
      <c r="L13451"/>
    </row>
    <row r="13452" spans="12:12">
      <c r="L13452"/>
    </row>
    <row r="13453" spans="12:12">
      <c r="L13453"/>
    </row>
    <row r="13454" spans="12:12">
      <c r="L13454"/>
    </row>
    <row r="13455" spans="12:12">
      <c r="L13455"/>
    </row>
    <row r="13456" spans="12:12">
      <c r="L13456"/>
    </row>
    <row r="13457" spans="12:12">
      <c r="L13457"/>
    </row>
    <row r="13458" spans="12:12">
      <c r="L13458"/>
    </row>
    <row r="13459" spans="12:12">
      <c r="L13459"/>
    </row>
    <row r="13460" spans="12:12">
      <c r="L13460"/>
    </row>
    <row r="13461" spans="12:12">
      <c r="L13461"/>
    </row>
    <row r="13462" spans="12:12">
      <c r="L13462"/>
    </row>
    <row r="13463" spans="12:12">
      <c r="L13463"/>
    </row>
    <row r="13464" spans="12:12">
      <c r="L13464"/>
    </row>
    <row r="13465" spans="12:12">
      <c r="L13465"/>
    </row>
    <row r="13466" spans="12:12">
      <c r="L13466"/>
    </row>
    <row r="13467" spans="12:12">
      <c r="L13467"/>
    </row>
    <row r="13468" spans="12:12">
      <c r="L13468"/>
    </row>
    <row r="13469" spans="12:12">
      <c r="L13469"/>
    </row>
    <row r="13470" spans="12:12">
      <c r="L13470"/>
    </row>
    <row r="13471" spans="12:12">
      <c r="L13471"/>
    </row>
    <row r="13472" spans="12:12">
      <c r="L13472"/>
    </row>
    <row r="13473" spans="12:12">
      <c r="L13473"/>
    </row>
    <row r="13474" spans="12:12">
      <c r="L13474"/>
    </row>
    <row r="13475" spans="12:12">
      <c r="L13475"/>
    </row>
    <row r="13476" spans="12:12">
      <c r="L13476"/>
    </row>
    <row r="13477" spans="12:12">
      <c r="L13477"/>
    </row>
    <row r="13478" spans="12:12">
      <c r="L13478"/>
    </row>
    <row r="13479" spans="12:12">
      <c r="L13479"/>
    </row>
    <row r="13480" spans="12:12">
      <c r="L13480"/>
    </row>
    <row r="13481" spans="12:12">
      <c r="L13481"/>
    </row>
    <row r="13482" spans="12:12">
      <c r="L13482"/>
    </row>
    <row r="13483" spans="12:12">
      <c r="L13483"/>
    </row>
    <row r="13484" spans="12:12">
      <c r="L13484"/>
    </row>
    <row r="13485" spans="12:12">
      <c r="L13485"/>
    </row>
    <row r="13486" spans="12:12">
      <c r="L13486"/>
    </row>
    <row r="13487" spans="12:12">
      <c r="L13487"/>
    </row>
    <row r="13488" spans="12:12">
      <c r="L13488"/>
    </row>
    <row r="13489" spans="12:12">
      <c r="L13489"/>
    </row>
    <row r="13490" spans="12:12">
      <c r="L13490"/>
    </row>
    <row r="13491" spans="12:12">
      <c r="L13491"/>
    </row>
    <row r="13492" spans="12:12">
      <c r="L13492"/>
    </row>
    <row r="13493" spans="12:12">
      <c r="L13493"/>
    </row>
    <row r="13494" spans="12:12">
      <c r="L13494"/>
    </row>
    <row r="13495" spans="12:12">
      <c r="L13495"/>
    </row>
    <row r="13496" spans="12:12">
      <c r="L13496"/>
    </row>
    <row r="13497" spans="12:12">
      <c r="L13497"/>
    </row>
    <row r="13498" spans="12:12">
      <c r="L13498"/>
    </row>
    <row r="13499" spans="12:12">
      <c r="L13499"/>
    </row>
    <row r="13500" spans="12:12">
      <c r="L13500"/>
    </row>
    <row r="13501" spans="12:12">
      <c r="L13501"/>
    </row>
    <row r="13502" spans="12:12">
      <c r="L13502"/>
    </row>
    <row r="13503" spans="12:12">
      <c r="L13503"/>
    </row>
    <row r="13504" spans="12:12">
      <c r="L13504"/>
    </row>
    <row r="13505" spans="12:12">
      <c r="L13505"/>
    </row>
    <row r="13506" spans="12:12">
      <c r="L13506"/>
    </row>
    <row r="13507" spans="12:12">
      <c r="L13507"/>
    </row>
    <row r="13508" spans="12:12">
      <c r="L13508"/>
    </row>
    <row r="13509" spans="12:12">
      <c r="L13509"/>
    </row>
    <row r="13510" spans="12:12">
      <c r="L13510"/>
    </row>
    <row r="13511" spans="12:12">
      <c r="L13511"/>
    </row>
    <row r="13512" spans="12:12">
      <c r="L13512"/>
    </row>
    <row r="13513" spans="12:12">
      <c r="L13513"/>
    </row>
    <row r="13514" spans="12:12">
      <c r="L13514"/>
    </row>
    <row r="13515" spans="12:12">
      <c r="L13515"/>
    </row>
    <row r="13516" spans="12:12">
      <c r="L13516"/>
    </row>
    <row r="13517" spans="12:12">
      <c r="L13517"/>
    </row>
    <row r="13518" spans="12:12">
      <c r="L13518"/>
    </row>
    <row r="13519" spans="12:12">
      <c r="L13519"/>
    </row>
    <row r="13520" spans="12:12">
      <c r="L13520"/>
    </row>
    <row r="13521" spans="12:12">
      <c r="L13521"/>
    </row>
    <row r="13522" spans="12:12">
      <c r="L13522"/>
    </row>
    <row r="13523" spans="12:12">
      <c r="L13523"/>
    </row>
    <row r="13524" spans="12:12">
      <c r="L13524"/>
    </row>
    <row r="13525" spans="12:12">
      <c r="L13525"/>
    </row>
    <row r="13526" spans="12:12">
      <c r="L13526"/>
    </row>
    <row r="13527" spans="12:12">
      <c r="L13527"/>
    </row>
    <row r="13528" spans="12:12">
      <c r="L13528"/>
    </row>
    <row r="13529" spans="12:12">
      <c r="L13529"/>
    </row>
    <row r="13530" spans="12:12">
      <c r="L13530"/>
    </row>
    <row r="13531" spans="12:12">
      <c r="L13531"/>
    </row>
    <row r="13532" spans="12:12">
      <c r="L13532"/>
    </row>
    <row r="13533" spans="12:12">
      <c r="L13533"/>
    </row>
    <row r="13534" spans="12:12">
      <c r="L13534"/>
    </row>
    <row r="13535" spans="12:12">
      <c r="L13535"/>
    </row>
    <row r="13536" spans="12:12">
      <c r="L13536"/>
    </row>
    <row r="13537" spans="12:12">
      <c r="L13537"/>
    </row>
    <row r="13538" spans="12:12">
      <c r="L13538"/>
    </row>
    <row r="13539" spans="12:12">
      <c r="L13539"/>
    </row>
    <row r="13540" spans="12:12">
      <c r="L13540"/>
    </row>
    <row r="13541" spans="12:12">
      <c r="L13541"/>
    </row>
    <row r="13542" spans="12:12">
      <c r="L13542"/>
    </row>
    <row r="13543" spans="12:12">
      <c r="L13543"/>
    </row>
    <row r="13544" spans="12:12">
      <c r="L13544"/>
    </row>
    <row r="13545" spans="12:12">
      <c r="L13545"/>
    </row>
    <row r="13546" spans="12:12">
      <c r="L13546"/>
    </row>
    <row r="13547" spans="12:12">
      <c r="L13547"/>
    </row>
    <row r="13548" spans="12:12">
      <c r="L13548"/>
    </row>
    <row r="13549" spans="12:12">
      <c r="L13549"/>
    </row>
    <row r="13550" spans="12:12">
      <c r="L13550"/>
    </row>
    <row r="13551" spans="12:12">
      <c r="L13551"/>
    </row>
    <row r="13552" spans="12:12">
      <c r="L13552"/>
    </row>
    <row r="13553" spans="12:12">
      <c r="L13553"/>
    </row>
    <row r="13554" spans="12:12">
      <c r="L13554"/>
    </row>
    <row r="13555" spans="12:12">
      <c r="L13555"/>
    </row>
    <row r="13556" spans="12:12">
      <c r="L13556"/>
    </row>
    <row r="13557" spans="12:12">
      <c r="L13557"/>
    </row>
    <row r="13558" spans="12:12">
      <c r="L13558"/>
    </row>
    <row r="13559" spans="12:12">
      <c r="L13559"/>
    </row>
    <row r="13560" spans="12:12">
      <c r="L13560"/>
    </row>
    <row r="13561" spans="12:12">
      <c r="L13561"/>
    </row>
    <row r="13562" spans="12:12">
      <c r="L13562"/>
    </row>
    <row r="13563" spans="12:12">
      <c r="L13563"/>
    </row>
    <row r="13564" spans="12:12">
      <c r="L13564"/>
    </row>
    <row r="13565" spans="12:12">
      <c r="L13565"/>
    </row>
    <row r="13566" spans="12:12">
      <c r="L13566"/>
    </row>
    <row r="13567" spans="12:12">
      <c r="L13567"/>
    </row>
    <row r="13568" spans="12:12">
      <c r="L13568"/>
    </row>
    <row r="13569" spans="1:17">
      <c r="L13569"/>
    </row>
    <row r="13570" spans="1:17">
      <c r="L13570"/>
    </row>
    <row r="13571" spans="1:17">
      <c r="A13571" s="237">
        <v>1</v>
      </c>
      <c r="B13571" s="238">
        <v>45775</v>
      </c>
      <c r="C13571" s="225" t="s">
        <v>302</v>
      </c>
      <c r="D13571" s="225" t="s">
        <v>310</v>
      </c>
      <c r="E13571" s="225" t="s">
        <v>291</v>
      </c>
      <c r="F13571" s="225">
        <v>2025</v>
      </c>
      <c r="G13571" s="225">
        <v>2</v>
      </c>
      <c r="H13571" s="225" t="s">
        <v>16</v>
      </c>
      <c r="I13571" s="256" t="s">
        <v>17</v>
      </c>
      <c r="J13571" s="225" t="s">
        <v>311</v>
      </c>
      <c r="K13571" s="225" t="s">
        <v>18</v>
      </c>
      <c r="L13571" s="225" t="s">
        <v>312</v>
      </c>
      <c r="M13571" s="225">
        <v>2</v>
      </c>
      <c r="N13571" s="225"/>
      <c r="O13571" s="225" t="s">
        <v>19</v>
      </c>
      <c r="P13571" s="225"/>
      <c r="Q13571" s="239"/>
    </row>
    <row r="13572" spans="1:17">
      <c r="A13572" s="221">
        <v>2</v>
      </c>
      <c r="B13572" s="222">
        <v>45775</v>
      </c>
      <c r="C13572" s="223" t="s">
        <v>302</v>
      </c>
      <c r="D13572" s="223" t="s">
        <v>313</v>
      </c>
      <c r="E13572" s="223" t="s">
        <v>291</v>
      </c>
      <c r="F13572" s="223">
        <v>2025</v>
      </c>
      <c r="G13572" s="223">
        <v>2</v>
      </c>
      <c r="H13572" s="223" t="s">
        <v>16</v>
      </c>
      <c r="I13572" s="226" t="s">
        <v>21</v>
      </c>
      <c r="J13572" s="223" t="s">
        <v>311</v>
      </c>
      <c r="K13572" s="223" t="s">
        <v>18</v>
      </c>
      <c r="L13572" s="223" t="s">
        <v>314</v>
      </c>
      <c r="M13572" s="223">
        <v>2</v>
      </c>
      <c r="N13572" s="223"/>
      <c r="O13572" s="223" t="s">
        <v>22</v>
      </c>
      <c r="P13572" s="223"/>
      <c r="Q13572" s="224"/>
    </row>
    <row r="13573" spans="1:17">
      <c r="A13573" s="221">
        <v>3</v>
      </c>
      <c r="B13573" s="222">
        <v>45776</v>
      </c>
      <c r="C13573" s="223" t="s">
        <v>289</v>
      </c>
      <c r="D13573" s="223" t="s">
        <v>310</v>
      </c>
      <c r="E13573" s="223" t="s">
        <v>291</v>
      </c>
      <c r="F13573" s="223">
        <v>2025</v>
      </c>
      <c r="G13573" s="223">
        <v>2</v>
      </c>
      <c r="H13573" s="223" t="s">
        <v>16</v>
      </c>
      <c r="I13573" s="226" t="s">
        <v>17</v>
      </c>
      <c r="J13573" s="223" t="s">
        <v>311</v>
      </c>
      <c r="K13573" s="223" t="s">
        <v>18</v>
      </c>
      <c r="L13573" s="223" t="s">
        <v>315</v>
      </c>
      <c r="M13573" s="223">
        <v>2</v>
      </c>
      <c r="N13573" s="223"/>
      <c r="O13573" s="223" t="s">
        <v>19</v>
      </c>
      <c r="P13573" s="223"/>
      <c r="Q13573" s="224"/>
    </row>
    <row r="13574" spans="1:17">
      <c r="A13574" s="221">
        <v>4</v>
      </c>
      <c r="B13574" s="222">
        <v>45776</v>
      </c>
      <c r="C13574" s="223" t="s">
        <v>289</v>
      </c>
      <c r="D13574" s="223" t="s">
        <v>313</v>
      </c>
      <c r="E13574" s="223" t="s">
        <v>291</v>
      </c>
      <c r="F13574" s="223">
        <v>2025</v>
      </c>
      <c r="G13574" s="223">
        <v>2</v>
      </c>
      <c r="H13574" s="223" t="s">
        <v>16</v>
      </c>
      <c r="I13574" s="226" t="s">
        <v>21</v>
      </c>
      <c r="J13574" s="223" t="s">
        <v>311</v>
      </c>
      <c r="K13574" s="223" t="s">
        <v>18</v>
      </c>
      <c r="L13574" s="223" t="s">
        <v>316</v>
      </c>
      <c r="M13574" s="223">
        <v>2</v>
      </c>
      <c r="N13574" s="223"/>
      <c r="O13574" s="223" t="s">
        <v>22</v>
      </c>
      <c r="P13574" s="223"/>
      <c r="Q13574" s="224"/>
    </row>
    <row r="13575" spans="1:17">
      <c r="A13575" s="221">
        <v>5</v>
      </c>
      <c r="B13575" s="222">
        <v>45796</v>
      </c>
      <c r="C13575" s="223" t="s">
        <v>302</v>
      </c>
      <c r="D13575" s="223" t="s">
        <v>310</v>
      </c>
      <c r="E13575" s="223" t="s">
        <v>318</v>
      </c>
      <c r="F13575" s="223">
        <v>2025</v>
      </c>
      <c r="G13575" s="223">
        <v>2</v>
      </c>
      <c r="H13575" s="223" t="s">
        <v>16</v>
      </c>
      <c r="I13575" s="226" t="s">
        <v>17</v>
      </c>
      <c r="J13575" s="223" t="s">
        <v>311</v>
      </c>
      <c r="K13575" s="223" t="s">
        <v>27</v>
      </c>
      <c r="L13575" s="223" t="s">
        <v>312</v>
      </c>
      <c r="M13575" s="223">
        <v>2</v>
      </c>
      <c r="N13575" s="223"/>
      <c r="O13575" s="223" t="s">
        <v>19</v>
      </c>
      <c r="P13575" s="223"/>
      <c r="Q13575" s="224"/>
    </row>
    <row r="13576" spans="1:17">
      <c r="A13576" s="221">
        <v>6</v>
      </c>
      <c r="B13576" s="222">
        <v>45796</v>
      </c>
      <c r="C13576" s="223" t="s">
        <v>302</v>
      </c>
      <c r="D13576" s="223" t="s">
        <v>313</v>
      </c>
      <c r="E13576" s="223" t="s">
        <v>318</v>
      </c>
      <c r="F13576" s="223">
        <v>2025</v>
      </c>
      <c r="G13576" s="223">
        <v>2</v>
      </c>
      <c r="H13576" s="223" t="s">
        <v>16</v>
      </c>
      <c r="I13576" s="226" t="s">
        <v>17</v>
      </c>
      <c r="J13576" s="223" t="s">
        <v>311</v>
      </c>
      <c r="K13576" s="223" t="s">
        <v>27</v>
      </c>
      <c r="L13576" s="223" t="s">
        <v>328</v>
      </c>
      <c r="M13576" s="223">
        <v>2</v>
      </c>
      <c r="N13576" s="223"/>
      <c r="O13576" s="223" t="s">
        <v>29</v>
      </c>
      <c r="P13576" s="223"/>
      <c r="Q13576" s="224"/>
    </row>
    <row r="13577" spans="1:17">
      <c r="A13577" s="221">
        <v>7</v>
      </c>
      <c r="B13577" s="222">
        <v>45797</v>
      </c>
      <c r="C13577" s="223" t="s">
        <v>289</v>
      </c>
      <c r="D13577" s="223" t="s">
        <v>310</v>
      </c>
      <c r="E13577" s="223" t="s">
        <v>318</v>
      </c>
      <c r="F13577" s="223">
        <v>2025</v>
      </c>
      <c r="G13577" s="223">
        <v>2</v>
      </c>
      <c r="H13577" s="223" t="s">
        <v>16</v>
      </c>
      <c r="I13577" s="226" t="s">
        <v>17</v>
      </c>
      <c r="J13577" s="223" t="s">
        <v>311</v>
      </c>
      <c r="K13577" s="223" t="s">
        <v>27</v>
      </c>
      <c r="L13577" s="223" t="s">
        <v>315</v>
      </c>
      <c r="M13577" s="223">
        <v>2</v>
      </c>
      <c r="N13577" s="223"/>
      <c r="O13577" s="223" t="s">
        <v>19</v>
      </c>
      <c r="P13577" s="223"/>
      <c r="Q13577" s="224"/>
    </row>
    <row r="13578" spans="1:17">
      <c r="A13578" s="221">
        <v>8</v>
      </c>
      <c r="B13578" s="222">
        <v>45797</v>
      </c>
      <c r="C13578" s="223" t="s">
        <v>289</v>
      </c>
      <c r="D13578" s="223" t="s">
        <v>313</v>
      </c>
      <c r="E13578" s="223" t="s">
        <v>318</v>
      </c>
      <c r="F13578" s="223">
        <v>2025</v>
      </c>
      <c r="G13578" s="223">
        <v>2</v>
      </c>
      <c r="H13578" s="223" t="s">
        <v>16</v>
      </c>
      <c r="I13578" s="226" t="s">
        <v>17</v>
      </c>
      <c r="J13578" s="223" t="s">
        <v>311</v>
      </c>
      <c r="K13578" s="223" t="s">
        <v>27</v>
      </c>
      <c r="L13578" s="223" t="s">
        <v>316</v>
      </c>
      <c r="M13578" s="223">
        <v>2</v>
      </c>
      <c r="N13578" s="223"/>
      <c r="O13578" s="223" t="s">
        <v>29</v>
      </c>
      <c r="P13578" s="223"/>
      <c r="Q13578" s="224"/>
    </row>
    <row r="13579" spans="1:17">
      <c r="A13579" s="221">
        <v>9</v>
      </c>
      <c r="B13579" s="222">
        <v>45804</v>
      </c>
      <c r="C13579" s="223" t="s">
        <v>289</v>
      </c>
      <c r="D13579" s="223" t="s">
        <v>331</v>
      </c>
      <c r="E13579" s="223" t="s">
        <v>318</v>
      </c>
      <c r="F13579" s="223">
        <v>2025</v>
      </c>
      <c r="G13579" s="223">
        <v>4</v>
      </c>
      <c r="H13579" s="223" t="s">
        <v>16</v>
      </c>
      <c r="I13579" s="226" t="s">
        <v>17</v>
      </c>
      <c r="J13579" s="223" t="s">
        <v>311</v>
      </c>
      <c r="K13579" s="223" t="s">
        <v>30</v>
      </c>
      <c r="L13579" s="223" t="s">
        <v>332</v>
      </c>
      <c r="M13579" s="223">
        <v>4</v>
      </c>
      <c r="N13579" s="223"/>
      <c r="O13579" s="223" t="s">
        <v>29</v>
      </c>
      <c r="P13579" s="223"/>
      <c r="Q13579" s="224"/>
    </row>
    <row r="13580" spans="1:17">
      <c r="A13580" s="221">
        <v>10</v>
      </c>
      <c r="B13580" s="222">
        <v>45805</v>
      </c>
      <c r="C13580" s="223" t="s">
        <v>294</v>
      </c>
      <c r="D13580" s="223" t="s">
        <v>331</v>
      </c>
      <c r="E13580" s="223" t="s">
        <v>318</v>
      </c>
      <c r="F13580" s="223">
        <v>2025</v>
      </c>
      <c r="G13580" s="223">
        <v>4</v>
      </c>
      <c r="H13580" s="223" t="s">
        <v>16</v>
      </c>
      <c r="I13580" s="226" t="s">
        <v>17</v>
      </c>
      <c r="J13580" s="223" t="s">
        <v>311</v>
      </c>
      <c r="K13580" s="223" t="s">
        <v>30</v>
      </c>
      <c r="L13580" s="223" t="s">
        <v>334</v>
      </c>
      <c r="M13580" s="223">
        <v>4</v>
      </c>
      <c r="N13580" s="223"/>
      <c r="O13580" s="223" t="s">
        <v>19</v>
      </c>
      <c r="P13580" s="223"/>
      <c r="Q13580" s="224"/>
    </row>
    <row r="13581" spans="1:17">
      <c r="A13581" s="221">
        <v>11</v>
      </c>
      <c r="B13581" s="222">
        <v>45820</v>
      </c>
      <c r="C13581" s="223" t="s">
        <v>298</v>
      </c>
      <c r="D13581" s="223" t="s">
        <v>336</v>
      </c>
      <c r="E13581" s="223" t="s">
        <v>337</v>
      </c>
      <c r="F13581" s="223">
        <v>2025</v>
      </c>
      <c r="G13581" s="223">
        <v>4</v>
      </c>
      <c r="H13581" s="223" t="s">
        <v>16</v>
      </c>
      <c r="I13581" s="226" t="s">
        <v>17</v>
      </c>
      <c r="J13581" s="223" t="s">
        <v>311</v>
      </c>
      <c r="K13581" s="223" t="s">
        <v>31</v>
      </c>
      <c r="L13581" s="223" t="s">
        <v>334</v>
      </c>
      <c r="M13581" s="223">
        <v>4</v>
      </c>
      <c r="N13581" s="223"/>
      <c r="O13581" s="223" t="s">
        <v>19</v>
      </c>
      <c r="P13581" s="223"/>
      <c r="Q13581" s="224"/>
    </row>
    <row r="13582" spans="1:17">
      <c r="A13582" s="221">
        <v>12</v>
      </c>
      <c r="B13582" s="222">
        <v>45821</v>
      </c>
      <c r="C13582" s="223" t="s">
        <v>301</v>
      </c>
      <c r="D13582" s="223" t="s">
        <v>336</v>
      </c>
      <c r="E13582" s="223" t="s">
        <v>337</v>
      </c>
      <c r="F13582" s="223">
        <v>2025</v>
      </c>
      <c r="G13582" s="223">
        <v>4</v>
      </c>
      <c r="H13582" s="223" t="s">
        <v>16</v>
      </c>
      <c r="I13582" s="226" t="s">
        <v>17</v>
      </c>
      <c r="J13582" s="223" t="s">
        <v>311</v>
      </c>
      <c r="K13582" s="223" t="s">
        <v>31</v>
      </c>
      <c r="L13582" s="223" t="s">
        <v>332</v>
      </c>
      <c r="M13582" s="223">
        <v>4</v>
      </c>
      <c r="N13582" s="223"/>
      <c r="O13582" s="223" t="s">
        <v>29</v>
      </c>
      <c r="P13582" s="223"/>
      <c r="Q13582" s="224"/>
    </row>
    <row r="13583" spans="1:17">
      <c r="A13583" s="221">
        <v>13</v>
      </c>
      <c r="B13583" s="222">
        <v>45828</v>
      </c>
      <c r="C13583" s="223" t="s">
        <v>301</v>
      </c>
      <c r="D13583" s="223" t="s">
        <v>310</v>
      </c>
      <c r="E13583" s="223" t="s">
        <v>337</v>
      </c>
      <c r="F13583" s="223">
        <v>2025</v>
      </c>
      <c r="G13583" s="223">
        <v>2</v>
      </c>
      <c r="H13583" s="223" t="s">
        <v>16</v>
      </c>
      <c r="I13583" s="226" t="s">
        <v>17</v>
      </c>
      <c r="J13583" s="223" t="s">
        <v>311</v>
      </c>
      <c r="K13583" s="223" t="s">
        <v>32</v>
      </c>
      <c r="L13583" s="223" t="s">
        <v>312</v>
      </c>
      <c r="M13583" s="223">
        <v>2</v>
      </c>
      <c r="N13583" s="223"/>
      <c r="O13583" s="223" t="s">
        <v>19</v>
      </c>
      <c r="P13583" s="223"/>
      <c r="Q13583" s="224"/>
    </row>
    <row r="13584" spans="1:17">
      <c r="A13584" s="221">
        <v>14</v>
      </c>
      <c r="B13584" s="222">
        <v>45828</v>
      </c>
      <c r="C13584" s="223" t="s">
        <v>301</v>
      </c>
      <c r="D13584" s="223" t="s">
        <v>313</v>
      </c>
      <c r="E13584" s="223" t="s">
        <v>337</v>
      </c>
      <c r="F13584" s="223">
        <v>2025</v>
      </c>
      <c r="G13584" s="223">
        <v>2</v>
      </c>
      <c r="H13584" s="223" t="s">
        <v>16</v>
      </c>
      <c r="I13584" s="226" t="s">
        <v>17</v>
      </c>
      <c r="J13584" s="223" t="s">
        <v>311</v>
      </c>
      <c r="K13584" s="223" t="s">
        <v>32</v>
      </c>
      <c r="L13584" s="223" t="s">
        <v>328</v>
      </c>
      <c r="M13584" s="223">
        <v>2</v>
      </c>
      <c r="N13584" s="223"/>
      <c r="O13584" s="223" t="s">
        <v>29</v>
      </c>
      <c r="P13584" s="223"/>
      <c r="Q13584" s="224"/>
    </row>
    <row r="13585" spans="1:17">
      <c r="A13585" s="221">
        <v>15</v>
      </c>
      <c r="B13585" s="222">
        <v>45831</v>
      </c>
      <c r="C13585" s="223" t="s">
        <v>302</v>
      </c>
      <c r="D13585" s="223" t="s">
        <v>310</v>
      </c>
      <c r="E13585" s="223" t="s">
        <v>337</v>
      </c>
      <c r="F13585" s="223">
        <v>2025</v>
      </c>
      <c r="G13585" s="223">
        <v>2</v>
      </c>
      <c r="H13585" s="223" t="s">
        <v>16</v>
      </c>
      <c r="I13585" s="226" t="s">
        <v>17</v>
      </c>
      <c r="J13585" s="223" t="s">
        <v>311</v>
      </c>
      <c r="K13585" s="223" t="s">
        <v>32</v>
      </c>
      <c r="L13585" s="223" t="s">
        <v>315</v>
      </c>
      <c r="M13585" s="223">
        <v>2</v>
      </c>
      <c r="N13585" s="223"/>
      <c r="O13585" s="223" t="s">
        <v>19</v>
      </c>
      <c r="P13585" s="223"/>
      <c r="Q13585" s="224"/>
    </row>
    <row r="13586" spans="1:17">
      <c r="A13586" s="221">
        <v>16</v>
      </c>
      <c r="B13586" s="222">
        <v>45831</v>
      </c>
      <c r="C13586" s="223" t="s">
        <v>302</v>
      </c>
      <c r="D13586" s="223" t="s">
        <v>313</v>
      </c>
      <c r="E13586" s="223" t="s">
        <v>337</v>
      </c>
      <c r="F13586" s="223">
        <v>2025</v>
      </c>
      <c r="G13586" s="223">
        <v>2</v>
      </c>
      <c r="H13586" s="223" t="s">
        <v>16</v>
      </c>
      <c r="I13586" s="226" t="s">
        <v>17</v>
      </c>
      <c r="J13586" s="223" t="s">
        <v>311</v>
      </c>
      <c r="K13586" s="223" t="s">
        <v>32</v>
      </c>
      <c r="L13586" s="223" t="s">
        <v>316</v>
      </c>
      <c r="M13586" s="223">
        <v>2</v>
      </c>
      <c r="N13586" s="223"/>
      <c r="O13586" s="223" t="s">
        <v>29</v>
      </c>
      <c r="P13586" s="223"/>
      <c r="Q13586" s="224"/>
    </row>
    <row r="13587" spans="1:17">
      <c r="A13587" s="221">
        <v>17</v>
      </c>
      <c r="B13587" s="222">
        <v>45853</v>
      </c>
      <c r="C13587" s="223" t="s">
        <v>289</v>
      </c>
      <c r="D13587" s="223" t="s">
        <v>331</v>
      </c>
      <c r="E13587" s="223" t="s">
        <v>338</v>
      </c>
      <c r="F13587" s="223">
        <v>2025</v>
      </c>
      <c r="G13587" s="223">
        <v>4</v>
      </c>
      <c r="H13587" s="223" t="s">
        <v>16</v>
      </c>
      <c r="I13587" s="226" t="s">
        <v>17</v>
      </c>
      <c r="J13587" s="223" t="s">
        <v>311</v>
      </c>
      <c r="K13587" s="223" t="s">
        <v>34</v>
      </c>
      <c r="L13587" s="223" t="s">
        <v>334</v>
      </c>
      <c r="M13587" s="223">
        <v>4</v>
      </c>
      <c r="N13587" s="223"/>
      <c r="O13587" s="223" t="s">
        <v>19</v>
      </c>
      <c r="P13587" s="223"/>
      <c r="Q13587" s="224"/>
    </row>
    <row r="13588" spans="1:17">
      <c r="A13588" s="221">
        <v>18</v>
      </c>
      <c r="B13588" s="222">
        <v>45854</v>
      </c>
      <c r="C13588" s="223" t="s">
        <v>294</v>
      </c>
      <c r="D13588" s="223" t="s">
        <v>331</v>
      </c>
      <c r="E13588" s="223" t="s">
        <v>338</v>
      </c>
      <c r="F13588" s="223">
        <v>2025</v>
      </c>
      <c r="G13588" s="223">
        <v>4</v>
      </c>
      <c r="H13588" s="223" t="s">
        <v>16</v>
      </c>
      <c r="I13588" s="226" t="s">
        <v>17</v>
      </c>
      <c r="J13588" s="223" t="s">
        <v>311</v>
      </c>
      <c r="K13588" s="223" t="s">
        <v>34</v>
      </c>
      <c r="L13588" s="223" t="s">
        <v>339</v>
      </c>
      <c r="M13588" s="223">
        <v>4</v>
      </c>
      <c r="N13588" s="223"/>
      <c r="O13588" s="223" t="s">
        <v>29</v>
      </c>
      <c r="P13588" s="223"/>
      <c r="Q13588" s="224"/>
    </row>
    <row r="13589" spans="1:17">
      <c r="A13589" s="221">
        <v>19</v>
      </c>
      <c r="B13589" s="222">
        <v>45860</v>
      </c>
      <c r="C13589" s="223" t="s">
        <v>289</v>
      </c>
      <c r="D13589" s="223" t="s">
        <v>310</v>
      </c>
      <c r="E13589" s="223" t="s">
        <v>338</v>
      </c>
      <c r="F13589" s="223">
        <v>2025</v>
      </c>
      <c r="G13589" s="223">
        <v>2</v>
      </c>
      <c r="H13589" s="223" t="s">
        <v>16</v>
      </c>
      <c r="I13589" s="226" t="s">
        <v>17</v>
      </c>
      <c r="J13589" s="223" t="s">
        <v>311</v>
      </c>
      <c r="K13589" s="223" t="s">
        <v>35</v>
      </c>
      <c r="L13589" s="223" t="s">
        <v>340</v>
      </c>
      <c r="M13589" s="223">
        <v>2</v>
      </c>
      <c r="N13589" s="223"/>
      <c r="O13589" s="223" t="s">
        <v>19</v>
      </c>
      <c r="P13589" s="223"/>
      <c r="Q13589" s="224"/>
    </row>
    <row r="13590" spans="1:17">
      <c r="A13590" s="221">
        <v>20</v>
      </c>
      <c r="B13590" s="222">
        <v>45860</v>
      </c>
      <c r="C13590" s="223" t="s">
        <v>289</v>
      </c>
      <c r="D13590" s="223" t="s">
        <v>313</v>
      </c>
      <c r="E13590" s="223" t="s">
        <v>338</v>
      </c>
      <c r="F13590" s="223">
        <v>2025</v>
      </c>
      <c r="G13590" s="223">
        <v>2</v>
      </c>
      <c r="H13590" s="223" t="s">
        <v>16</v>
      </c>
      <c r="I13590" s="226" t="s">
        <v>17</v>
      </c>
      <c r="J13590" s="223" t="s">
        <v>311</v>
      </c>
      <c r="K13590" s="223" t="s">
        <v>35</v>
      </c>
      <c r="L13590" s="223" t="s">
        <v>328</v>
      </c>
      <c r="M13590" s="223">
        <v>2</v>
      </c>
      <c r="N13590" s="223"/>
      <c r="O13590" s="223" t="s">
        <v>29</v>
      </c>
      <c r="P13590" s="223"/>
      <c r="Q13590" s="224"/>
    </row>
    <row r="13591" spans="1:17">
      <c r="A13591" s="221">
        <v>21</v>
      </c>
      <c r="B13591" s="222">
        <v>45861</v>
      </c>
      <c r="C13591" s="223" t="s">
        <v>294</v>
      </c>
      <c r="D13591" s="223" t="s">
        <v>310</v>
      </c>
      <c r="E13591" s="223" t="s">
        <v>338</v>
      </c>
      <c r="F13591" s="223">
        <v>2025</v>
      </c>
      <c r="G13591" s="223">
        <v>2</v>
      </c>
      <c r="H13591" s="223" t="s">
        <v>16</v>
      </c>
      <c r="I13591" s="226" t="s">
        <v>17</v>
      </c>
      <c r="J13591" s="223" t="s">
        <v>311</v>
      </c>
      <c r="K13591" s="223" t="s">
        <v>35</v>
      </c>
      <c r="L13591" s="223" t="s">
        <v>315</v>
      </c>
      <c r="M13591" s="223">
        <v>2</v>
      </c>
      <c r="N13591" s="223"/>
      <c r="O13591" s="223" t="s">
        <v>19</v>
      </c>
      <c r="P13591" s="223"/>
      <c r="Q13591" s="224"/>
    </row>
    <row r="13592" spans="1:17">
      <c r="A13592" s="221">
        <v>22</v>
      </c>
      <c r="B13592" s="222">
        <v>45861</v>
      </c>
      <c r="C13592" s="223" t="s">
        <v>294</v>
      </c>
      <c r="D13592" s="223" t="s">
        <v>313</v>
      </c>
      <c r="E13592" s="223" t="s">
        <v>338</v>
      </c>
      <c r="F13592" s="223">
        <v>2025</v>
      </c>
      <c r="G13592" s="223">
        <v>2</v>
      </c>
      <c r="H13592" s="223" t="s">
        <v>16</v>
      </c>
      <c r="I13592" s="226" t="s">
        <v>17</v>
      </c>
      <c r="J13592" s="223" t="s">
        <v>311</v>
      </c>
      <c r="K13592" s="223" t="s">
        <v>35</v>
      </c>
      <c r="L13592" s="223" t="s">
        <v>341</v>
      </c>
      <c r="M13592" s="223">
        <v>2</v>
      </c>
      <c r="N13592" s="223"/>
      <c r="O13592" s="223" t="s">
        <v>29</v>
      </c>
      <c r="P13592" s="223"/>
      <c r="Q13592" s="224"/>
    </row>
    <row r="13593" spans="1:17" ht="30.75">
      <c r="A13593" s="221">
        <v>23</v>
      </c>
      <c r="B13593" s="222">
        <v>45875</v>
      </c>
      <c r="C13593" s="223" t="s">
        <v>294</v>
      </c>
      <c r="D13593" s="223" t="s">
        <v>313</v>
      </c>
      <c r="E13593" s="223" t="s">
        <v>342</v>
      </c>
      <c r="F13593" s="223">
        <v>2025</v>
      </c>
      <c r="G13593" s="223">
        <v>2</v>
      </c>
      <c r="H13593" s="223" t="s">
        <v>16</v>
      </c>
      <c r="I13593" s="226" t="s">
        <v>17</v>
      </c>
      <c r="J13593" s="223" t="s">
        <v>311</v>
      </c>
      <c r="K13593" s="223" t="s">
        <v>37</v>
      </c>
      <c r="L13593" s="226" t="s">
        <v>343</v>
      </c>
      <c r="M13593" s="223">
        <v>2</v>
      </c>
      <c r="N13593" s="223"/>
      <c r="O13593" s="223" t="s">
        <v>19</v>
      </c>
      <c r="P13593" s="223"/>
      <c r="Q13593" s="224"/>
    </row>
    <row r="13594" spans="1:17">
      <c r="A13594" s="221">
        <v>24</v>
      </c>
      <c r="B13594" s="222">
        <v>45876</v>
      </c>
      <c r="C13594" s="223" t="s">
        <v>298</v>
      </c>
      <c r="D13594" s="223" t="s">
        <v>313</v>
      </c>
      <c r="E13594" s="223" t="s">
        <v>342</v>
      </c>
      <c r="F13594" s="223">
        <v>2025</v>
      </c>
      <c r="G13594" s="223">
        <v>2</v>
      </c>
      <c r="H13594" s="223" t="s">
        <v>16</v>
      </c>
      <c r="I13594" s="226" t="s">
        <v>17</v>
      </c>
      <c r="J13594" s="223" t="s">
        <v>311</v>
      </c>
      <c r="K13594" s="223" t="s">
        <v>39</v>
      </c>
      <c r="L13594" s="223" t="s">
        <v>315</v>
      </c>
      <c r="M13594" s="223">
        <v>4</v>
      </c>
      <c r="N13594" s="223"/>
      <c r="O13594" s="223" t="s">
        <v>29</v>
      </c>
      <c r="P13594" s="223"/>
      <c r="Q13594" s="224"/>
    </row>
    <row r="13595" spans="1:17">
      <c r="A13595" s="221">
        <v>25</v>
      </c>
      <c r="B13595" s="222">
        <v>45887</v>
      </c>
      <c r="C13595" s="223" t="s">
        <v>302</v>
      </c>
      <c r="D13595" s="223" t="s">
        <v>336</v>
      </c>
      <c r="E13595" s="223" t="s">
        <v>342</v>
      </c>
      <c r="F13595" s="223">
        <v>2025</v>
      </c>
      <c r="G13595" s="223">
        <v>4</v>
      </c>
      <c r="H13595" s="223" t="s">
        <v>16</v>
      </c>
      <c r="I13595" s="226" t="s">
        <v>17</v>
      </c>
      <c r="J13595" s="223" t="s">
        <v>311</v>
      </c>
      <c r="K13595" s="223" t="s">
        <v>38</v>
      </c>
      <c r="L13595" s="223" t="s">
        <v>339</v>
      </c>
      <c r="M13595" s="223">
        <v>4</v>
      </c>
      <c r="N13595" s="223"/>
      <c r="O13595" s="223" t="s">
        <v>29</v>
      </c>
      <c r="P13595" s="223"/>
      <c r="Q13595" s="224"/>
    </row>
    <row r="13596" spans="1:17">
      <c r="A13596" s="221">
        <v>26</v>
      </c>
      <c r="B13596" s="222">
        <v>45888</v>
      </c>
      <c r="C13596" s="223" t="s">
        <v>289</v>
      </c>
      <c r="D13596" s="223" t="s">
        <v>336</v>
      </c>
      <c r="E13596" s="223" t="s">
        <v>342</v>
      </c>
      <c r="F13596" s="223">
        <v>2025</v>
      </c>
      <c r="G13596" s="223">
        <v>4</v>
      </c>
      <c r="H13596" s="223" t="s">
        <v>16</v>
      </c>
      <c r="I13596" s="226" t="s">
        <v>17</v>
      </c>
      <c r="J13596" s="223" t="s">
        <v>311</v>
      </c>
      <c r="K13596" s="223" t="s">
        <v>38</v>
      </c>
      <c r="L13596" s="223" t="s">
        <v>334</v>
      </c>
      <c r="M13596" s="223">
        <v>4</v>
      </c>
      <c r="N13596" s="223"/>
      <c r="O13596" s="223" t="s">
        <v>19</v>
      </c>
      <c r="P13596" s="223"/>
      <c r="Q13596" s="224"/>
    </row>
    <row r="13597" spans="1:17">
      <c r="A13597" s="221">
        <v>27</v>
      </c>
      <c r="B13597" s="222">
        <v>45894</v>
      </c>
      <c r="C13597" s="223" t="s">
        <v>302</v>
      </c>
      <c r="D13597" s="223" t="s">
        <v>310</v>
      </c>
      <c r="E13597" s="223" t="s">
        <v>342</v>
      </c>
      <c r="F13597" s="223">
        <v>2025</v>
      </c>
      <c r="G13597" s="223">
        <v>2</v>
      </c>
      <c r="H13597" s="223" t="s">
        <v>16</v>
      </c>
      <c r="I13597" s="226" t="s">
        <v>17</v>
      </c>
      <c r="J13597" s="223" t="s">
        <v>311</v>
      </c>
      <c r="K13597" s="223" t="s">
        <v>39</v>
      </c>
      <c r="L13597" s="223" t="s">
        <v>340</v>
      </c>
      <c r="M13597" s="223">
        <v>2</v>
      </c>
      <c r="N13597" s="223"/>
      <c r="O13597" s="223" t="s">
        <v>19</v>
      </c>
      <c r="P13597" s="223"/>
      <c r="Q13597" s="224"/>
    </row>
    <row r="13598" spans="1:17">
      <c r="A13598" s="221">
        <v>28</v>
      </c>
      <c r="B13598" s="222">
        <v>45894</v>
      </c>
      <c r="C13598" s="223" t="s">
        <v>302</v>
      </c>
      <c r="D13598" s="223" t="s">
        <v>313</v>
      </c>
      <c r="E13598" s="223" t="s">
        <v>342</v>
      </c>
      <c r="F13598" s="223">
        <v>2025</v>
      </c>
      <c r="G13598" s="223">
        <v>2</v>
      </c>
      <c r="H13598" s="223" t="s">
        <v>16</v>
      </c>
      <c r="I13598" s="226" t="s">
        <v>17</v>
      </c>
      <c r="J13598" s="223" t="s">
        <v>311</v>
      </c>
      <c r="K13598" s="223" t="s">
        <v>39</v>
      </c>
      <c r="L13598" s="223" t="s">
        <v>328</v>
      </c>
      <c r="M13598" s="223">
        <v>2</v>
      </c>
      <c r="N13598" s="223"/>
      <c r="O13598" s="223" t="s">
        <v>29</v>
      </c>
      <c r="P13598" s="223"/>
      <c r="Q13598" s="224"/>
    </row>
    <row r="13599" spans="1:17">
      <c r="A13599" s="221">
        <v>29</v>
      </c>
      <c r="B13599" s="222">
        <v>45895</v>
      </c>
      <c r="C13599" s="223" t="s">
        <v>289</v>
      </c>
      <c r="D13599" s="223" t="s">
        <v>310</v>
      </c>
      <c r="E13599" s="223" t="s">
        <v>342</v>
      </c>
      <c r="F13599" s="223">
        <v>2025</v>
      </c>
      <c r="G13599" s="223">
        <v>2</v>
      </c>
      <c r="H13599" s="223" t="s">
        <v>16</v>
      </c>
      <c r="I13599" s="226" t="s">
        <v>17</v>
      </c>
      <c r="J13599" s="223" t="s">
        <v>311</v>
      </c>
      <c r="K13599" s="223" t="s">
        <v>39</v>
      </c>
      <c r="L13599" s="223" t="s">
        <v>315</v>
      </c>
      <c r="M13599" s="223">
        <v>2</v>
      </c>
      <c r="N13599" s="223"/>
      <c r="O13599" s="223" t="s">
        <v>19</v>
      </c>
      <c r="P13599" s="223"/>
      <c r="Q13599" s="224"/>
    </row>
    <row r="13600" spans="1:17">
      <c r="A13600" s="221">
        <v>30</v>
      </c>
      <c r="B13600" s="222">
        <v>45895</v>
      </c>
      <c r="C13600" s="223" t="s">
        <v>289</v>
      </c>
      <c r="D13600" s="223" t="s">
        <v>313</v>
      </c>
      <c r="E13600" s="223" t="s">
        <v>342</v>
      </c>
      <c r="F13600" s="223">
        <v>2025</v>
      </c>
      <c r="G13600" s="223">
        <v>2</v>
      </c>
      <c r="H13600" s="223" t="s">
        <v>16</v>
      </c>
      <c r="I13600" s="226" t="s">
        <v>17</v>
      </c>
      <c r="J13600" s="223" t="s">
        <v>311</v>
      </c>
      <c r="K13600" s="223" t="s">
        <v>39</v>
      </c>
      <c r="L13600" s="223" t="s">
        <v>341</v>
      </c>
      <c r="M13600" s="223">
        <v>2</v>
      </c>
      <c r="N13600" s="223"/>
      <c r="O13600" s="223" t="s">
        <v>29</v>
      </c>
      <c r="P13600" s="223"/>
      <c r="Q13600" s="224"/>
    </row>
    <row r="13601" spans="1:17">
      <c r="A13601" s="221">
        <v>31</v>
      </c>
      <c r="B13601" s="222">
        <v>45903</v>
      </c>
      <c r="C13601" s="223" t="s">
        <v>294</v>
      </c>
      <c r="D13601" s="223" t="s">
        <v>344</v>
      </c>
      <c r="E13601" s="223" t="s">
        <v>345</v>
      </c>
      <c r="F13601" s="223">
        <v>2025</v>
      </c>
      <c r="G13601" s="223">
        <v>2</v>
      </c>
      <c r="H13601" s="223" t="s">
        <v>16</v>
      </c>
      <c r="I13601" s="226" t="s">
        <v>17</v>
      </c>
      <c r="J13601" s="223" t="s">
        <v>311</v>
      </c>
      <c r="K13601" s="223" t="s">
        <v>37</v>
      </c>
      <c r="L13601" s="223" t="s">
        <v>314</v>
      </c>
      <c r="M13601" s="223">
        <v>2</v>
      </c>
      <c r="N13601" s="223"/>
      <c r="O13601" s="223" t="s">
        <v>29</v>
      </c>
      <c r="P13601" s="223"/>
      <c r="Q13601" s="224"/>
    </row>
    <row r="13602" spans="1:17">
      <c r="A13602" s="221">
        <v>32</v>
      </c>
      <c r="B13602" s="222">
        <v>45904</v>
      </c>
      <c r="C13602" s="223" t="s">
        <v>298</v>
      </c>
      <c r="D13602" s="223" t="s">
        <v>344</v>
      </c>
      <c r="E13602" s="223" t="s">
        <v>345</v>
      </c>
      <c r="F13602" s="223">
        <v>2025</v>
      </c>
      <c r="G13602" s="223">
        <v>2</v>
      </c>
      <c r="H13602" s="223" t="s">
        <v>16</v>
      </c>
      <c r="I13602" s="226" t="s">
        <v>17</v>
      </c>
      <c r="J13602" s="223" t="s">
        <v>311</v>
      </c>
      <c r="K13602" s="223" t="s">
        <v>37</v>
      </c>
      <c r="L13602" s="223" t="s">
        <v>346</v>
      </c>
      <c r="M13602" s="223">
        <v>2</v>
      </c>
      <c r="N13602" s="223"/>
      <c r="O13602" s="223" t="s">
        <v>29</v>
      </c>
      <c r="P13602" s="223"/>
      <c r="Q13602" s="224"/>
    </row>
    <row r="13603" spans="1:17">
      <c r="A13603" s="221">
        <v>33</v>
      </c>
      <c r="B13603" s="222">
        <v>45909</v>
      </c>
      <c r="C13603" s="223" t="s">
        <v>289</v>
      </c>
      <c r="D13603" s="223" t="s">
        <v>344</v>
      </c>
      <c r="E13603" s="223" t="s">
        <v>345</v>
      </c>
      <c r="F13603" s="223">
        <v>2025</v>
      </c>
      <c r="G13603" s="223">
        <v>2</v>
      </c>
      <c r="H13603" s="223" t="s">
        <v>16</v>
      </c>
      <c r="I13603" s="226" t="s">
        <v>17</v>
      </c>
      <c r="J13603" s="223" t="s">
        <v>311</v>
      </c>
      <c r="K13603" s="223" t="s">
        <v>43</v>
      </c>
      <c r="L13603" s="223" t="s">
        <v>314</v>
      </c>
      <c r="M13603" s="223">
        <v>2</v>
      </c>
      <c r="N13603" s="223"/>
      <c r="O13603" s="223" t="s">
        <v>29</v>
      </c>
      <c r="P13603" s="223"/>
      <c r="Q13603" s="224"/>
    </row>
    <row r="13604" spans="1:17">
      <c r="A13604" s="221">
        <v>34</v>
      </c>
      <c r="B13604" s="222">
        <v>45910</v>
      </c>
      <c r="C13604" s="223" t="s">
        <v>294</v>
      </c>
      <c r="D13604" s="223" t="s">
        <v>344</v>
      </c>
      <c r="E13604" s="223" t="s">
        <v>345</v>
      </c>
      <c r="F13604" s="223">
        <v>2025</v>
      </c>
      <c r="G13604" s="223">
        <v>2</v>
      </c>
      <c r="H13604" s="223" t="s">
        <v>16</v>
      </c>
      <c r="I13604" s="226" t="s">
        <v>17</v>
      </c>
      <c r="J13604" s="223" t="s">
        <v>311</v>
      </c>
      <c r="K13604" s="223" t="s">
        <v>43</v>
      </c>
      <c r="L13604" s="223" t="s">
        <v>346</v>
      </c>
      <c r="M13604" s="223">
        <v>2</v>
      </c>
      <c r="N13604" s="223"/>
      <c r="O13604" s="223" t="s">
        <v>29</v>
      </c>
      <c r="P13604" s="223"/>
      <c r="Q13604" s="224"/>
    </row>
    <row r="13605" spans="1:17">
      <c r="A13605" s="221">
        <v>35</v>
      </c>
      <c r="B13605" s="222">
        <v>45911</v>
      </c>
      <c r="C13605" s="223" t="s">
        <v>298</v>
      </c>
      <c r="D13605" s="223" t="s">
        <v>344</v>
      </c>
      <c r="E13605" s="223" t="s">
        <v>345</v>
      </c>
      <c r="F13605" s="223">
        <v>2025</v>
      </c>
      <c r="G13605" s="223">
        <v>2</v>
      </c>
      <c r="H13605" s="223" t="s">
        <v>16</v>
      </c>
      <c r="I13605" s="226" t="s">
        <v>17</v>
      </c>
      <c r="J13605" s="223" t="s">
        <v>311</v>
      </c>
      <c r="K13605" s="223" t="s">
        <v>43</v>
      </c>
      <c r="L13605" s="223" t="s">
        <v>340</v>
      </c>
      <c r="M13605" s="223">
        <v>2</v>
      </c>
      <c r="N13605" s="223"/>
      <c r="O13605" s="223" t="s">
        <v>29</v>
      </c>
      <c r="P13605" s="223"/>
      <c r="Q13605" s="224"/>
    </row>
    <row r="13606" spans="1:17">
      <c r="A13606" s="221"/>
      <c r="B13606" s="222">
        <v>45919</v>
      </c>
      <c r="C13606" s="223" t="s">
        <v>301</v>
      </c>
      <c r="D13606" s="223" t="s">
        <v>347</v>
      </c>
      <c r="E13606" s="223" t="s">
        <v>345</v>
      </c>
      <c r="F13606" s="223">
        <v>2025</v>
      </c>
      <c r="G13606" s="223">
        <v>2</v>
      </c>
      <c r="H13606" s="223" t="s">
        <v>16</v>
      </c>
      <c r="I13606" s="226" t="s">
        <v>17</v>
      </c>
      <c r="J13606" s="223" t="s">
        <v>311</v>
      </c>
      <c r="K13606" s="223" t="s">
        <v>43</v>
      </c>
      <c r="L13606" s="223" t="s">
        <v>315</v>
      </c>
      <c r="M13606" s="223">
        <v>2</v>
      </c>
      <c r="N13606" s="223"/>
      <c r="O13606" s="223"/>
      <c r="P13606" s="223"/>
      <c r="Q13606" s="224"/>
    </row>
    <row r="13607" spans="1:17">
      <c r="A13607" s="221">
        <v>36</v>
      </c>
      <c r="B13607" s="222">
        <v>45922</v>
      </c>
      <c r="C13607" s="223" t="s">
        <v>302</v>
      </c>
      <c r="D13607" s="223" t="s">
        <v>344</v>
      </c>
      <c r="E13607" s="223" t="s">
        <v>345</v>
      </c>
      <c r="F13607" s="223">
        <v>2025</v>
      </c>
      <c r="G13607" s="223">
        <v>2</v>
      </c>
      <c r="H13607" s="223" t="s">
        <v>16</v>
      </c>
      <c r="I13607" s="226" t="s">
        <v>17</v>
      </c>
      <c r="J13607" s="223" t="s">
        <v>311</v>
      </c>
      <c r="K13607" s="223" t="s">
        <v>45</v>
      </c>
      <c r="L13607" s="223" t="s">
        <v>340</v>
      </c>
      <c r="M13607" s="223">
        <v>2</v>
      </c>
      <c r="N13607" s="223"/>
      <c r="O13607" s="223" t="s">
        <v>19</v>
      </c>
      <c r="P13607" s="223"/>
      <c r="Q13607" s="224"/>
    </row>
    <row r="13608" spans="1:17">
      <c r="A13608" s="221">
        <v>37</v>
      </c>
      <c r="B13608" s="222">
        <v>45924</v>
      </c>
      <c r="C13608" s="223" t="s">
        <v>294</v>
      </c>
      <c r="D13608" s="223" t="s">
        <v>344</v>
      </c>
      <c r="E13608" s="223" t="s">
        <v>345</v>
      </c>
      <c r="F13608" s="223">
        <v>2025</v>
      </c>
      <c r="G13608" s="223">
        <v>2</v>
      </c>
      <c r="H13608" s="223" t="s">
        <v>16</v>
      </c>
      <c r="I13608" s="226" t="s">
        <v>17</v>
      </c>
      <c r="J13608" s="223" t="s">
        <v>311</v>
      </c>
      <c r="K13608" s="223" t="s">
        <v>45</v>
      </c>
      <c r="L13608" s="223" t="s">
        <v>315</v>
      </c>
      <c r="M13608" s="223">
        <v>2</v>
      </c>
      <c r="N13608" s="223"/>
      <c r="O13608" s="223" t="s">
        <v>19</v>
      </c>
      <c r="P13608" s="223"/>
      <c r="Q13608" s="224"/>
    </row>
    <row r="13609" spans="1:17">
      <c r="A13609" s="221">
        <v>38</v>
      </c>
      <c r="B13609" s="222">
        <v>45925</v>
      </c>
      <c r="C13609" s="223" t="s">
        <v>298</v>
      </c>
      <c r="D13609" s="223" t="s">
        <v>348</v>
      </c>
      <c r="E13609" s="223" t="s">
        <v>345</v>
      </c>
      <c r="F13609" s="223">
        <v>2025</v>
      </c>
      <c r="G13609" s="223">
        <v>2</v>
      </c>
      <c r="H13609" s="223" t="s">
        <v>16</v>
      </c>
      <c r="I13609" s="226" t="s">
        <v>17</v>
      </c>
      <c r="J13609" s="223" t="s">
        <v>311</v>
      </c>
      <c r="K13609" s="223" t="s">
        <v>45</v>
      </c>
      <c r="L13609" s="223" t="s">
        <v>314</v>
      </c>
      <c r="M13609" s="223">
        <v>2</v>
      </c>
      <c r="N13609" s="223"/>
      <c r="O13609" s="223" t="s">
        <v>29</v>
      </c>
      <c r="P13609" s="223"/>
      <c r="Q13609" s="224"/>
    </row>
    <row r="13610" spans="1:17">
      <c r="A13610" s="221">
        <v>39</v>
      </c>
      <c r="B13610" s="222">
        <v>45926</v>
      </c>
      <c r="C13610" s="223" t="s">
        <v>301</v>
      </c>
      <c r="D13610" s="223" t="s">
        <v>348</v>
      </c>
      <c r="E13610" s="223" t="s">
        <v>345</v>
      </c>
      <c r="F13610" s="223">
        <v>2025</v>
      </c>
      <c r="G13610" s="223">
        <v>2</v>
      </c>
      <c r="H13610" s="223" t="s">
        <v>16</v>
      </c>
      <c r="I13610" s="226" t="s">
        <v>17</v>
      </c>
      <c r="J13610" s="223" t="s">
        <v>311</v>
      </c>
      <c r="K13610" s="223" t="s">
        <v>45</v>
      </c>
      <c r="L13610" s="223" t="s">
        <v>346</v>
      </c>
      <c r="M13610" s="223">
        <v>2</v>
      </c>
      <c r="N13610" s="223"/>
      <c r="O13610" s="223" t="s">
        <v>29</v>
      </c>
      <c r="P13610" s="223"/>
      <c r="Q13610" s="224"/>
    </row>
    <row r="13611" spans="1:17">
      <c r="A13611" s="221">
        <v>40</v>
      </c>
      <c r="B13611" s="222">
        <v>45943</v>
      </c>
      <c r="C13611" s="223" t="s">
        <v>302</v>
      </c>
      <c r="D13611" s="223" t="s">
        <v>349</v>
      </c>
      <c r="E13611" s="223" t="s">
        <v>350</v>
      </c>
      <c r="F13611" s="223">
        <v>2025</v>
      </c>
      <c r="G13611" s="223">
        <v>2</v>
      </c>
      <c r="H13611" s="223" t="s">
        <v>16</v>
      </c>
      <c r="I13611" s="226" t="s">
        <v>17</v>
      </c>
      <c r="J13611" s="223" t="s">
        <v>311</v>
      </c>
      <c r="K13611" s="223" t="s">
        <v>48</v>
      </c>
      <c r="L13611" s="223" t="s">
        <v>314</v>
      </c>
      <c r="M13611" s="223">
        <v>2</v>
      </c>
      <c r="N13611" s="223"/>
      <c r="O13611" s="223" t="s">
        <v>29</v>
      </c>
      <c r="P13611" s="223"/>
      <c r="Q13611" s="224"/>
    </row>
    <row r="13612" spans="1:17">
      <c r="A13612" s="221">
        <v>41</v>
      </c>
      <c r="B13612" s="222">
        <v>45944</v>
      </c>
      <c r="C13612" s="223" t="s">
        <v>289</v>
      </c>
      <c r="D13612" s="223" t="s">
        <v>349</v>
      </c>
      <c r="E13612" s="223" t="s">
        <v>350</v>
      </c>
      <c r="F13612" s="223">
        <v>2025</v>
      </c>
      <c r="G13612" s="223">
        <v>2</v>
      </c>
      <c r="H13612" s="223" t="s">
        <v>16</v>
      </c>
      <c r="I13612" s="226" t="s">
        <v>17</v>
      </c>
      <c r="J13612" s="223" t="s">
        <v>311</v>
      </c>
      <c r="K13612" s="223" t="s">
        <v>48</v>
      </c>
      <c r="L13612" s="223" t="s">
        <v>351</v>
      </c>
      <c r="M13612" s="223">
        <v>2</v>
      </c>
      <c r="N13612" s="223"/>
      <c r="O13612" s="223" t="s">
        <v>29</v>
      </c>
      <c r="P13612" s="223"/>
      <c r="Q13612" s="224"/>
    </row>
    <row r="13613" spans="1:17">
      <c r="A13613" s="221">
        <v>42</v>
      </c>
      <c r="B13613" s="222">
        <v>45953</v>
      </c>
      <c r="C13613" s="223" t="s">
        <v>298</v>
      </c>
      <c r="D13613" s="223" t="s">
        <v>349</v>
      </c>
      <c r="E13613" s="223" t="s">
        <v>350</v>
      </c>
      <c r="F13613" s="223">
        <v>2025</v>
      </c>
      <c r="G13613" s="223">
        <v>2</v>
      </c>
      <c r="H13613" s="223" t="s">
        <v>16</v>
      </c>
      <c r="I13613" s="226" t="s">
        <v>17</v>
      </c>
      <c r="J13613" s="223" t="s">
        <v>311</v>
      </c>
      <c r="K13613" s="223" t="s">
        <v>48</v>
      </c>
      <c r="L13613" s="223" t="s">
        <v>352</v>
      </c>
      <c r="M13613" s="223">
        <v>2</v>
      </c>
      <c r="N13613" s="223"/>
      <c r="O13613" s="223" t="s">
        <v>29</v>
      </c>
      <c r="P13613" s="223"/>
      <c r="Q13613" s="224"/>
    </row>
    <row r="13614" spans="1:17">
      <c r="A13614" s="221">
        <v>43</v>
      </c>
      <c r="B13614" s="222">
        <v>45954</v>
      </c>
      <c r="C13614" s="223" t="s">
        <v>301</v>
      </c>
      <c r="D13614" s="223" t="s">
        <v>349</v>
      </c>
      <c r="E13614" s="223" t="s">
        <v>350</v>
      </c>
      <c r="F13614" s="223">
        <v>2025</v>
      </c>
      <c r="G13614" s="223">
        <v>2</v>
      </c>
      <c r="H13614" s="223" t="s">
        <v>16</v>
      </c>
      <c r="I13614" s="226" t="s">
        <v>17</v>
      </c>
      <c r="J13614" s="223" t="s">
        <v>311</v>
      </c>
      <c r="K13614" s="223" t="s">
        <v>48</v>
      </c>
      <c r="L13614" s="223" t="s">
        <v>312</v>
      </c>
      <c r="M13614" s="223">
        <v>2</v>
      </c>
      <c r="N13614" s="223"/>
      <c r="O13614" s="223" t="s">
        <v>29</v>
      </c>
      <c r="P13614" s="223"/>
      <c r="Q13614" s="224"/>
    </row>
    <row r="13615" spans="1:17">
      <c r="A13615" s="221">
        <v>44</v>
      </c>
      <c r="B13615" s="222">
        <v>45957</v>
      </c>
      <c r="C13615" s="223" t="s">
        <v>302</v>
      </c>
      <c r="D13615" s="223" t="s">
        <v>353</v>
      </c>
      <c r="E13615" s="223" t="s">
        <v>350</v>
      </c>
      <c r="F13615" s="223">
        <v>2025</v>
      </c>
      <c r="G13615" s="223">
        <v>2</v>
      </c>
      <c r="H13615" s="223" t="s">
        <v>16</v>
      </c>
      <c r="I13615" s="226" t="s">
        <v>17</v>
      </c>
      <c r="J13615" s="223" t="s">
        <v>311</v>
      </c>
      <c r="K13615" s="223" t="s">
        <v>50</v>
      </c>
      <c r="L13615" s="223" t="s">
        <v>352</v>
      </c>
      <c r="M13615" s="223">
        <v>2</v>
      </c>
      <c r="N13615" s="223"/>
      <c r="O13615" s="223" t="s">
        <v>29</v>
      </c>
      <c r="P13615" s="223"/>
      <c r="Q13615" s="224"/>
    </row>
    <row r="13616" spans="1:17">
      <c r="A13616" s="221">
        <v>45</v>
      </c>
      <c r="B13616" s="222">
        <v>45958</v>
      </c>
      <c r="C13616" s="223" t="s">
        <v>289</v>
      </c>
      <c r="D13616" s="223" t="s">
        <v>353</v>
      </c>
      <c r="E13616" s="223" t="s">
        <v>350</v>
      </c>
      <c r="F13616" s="223">
        <v>2025</v>
      </c>
      <c r="G13616" s="223">
        <v>2</v>
      </c>
      <c r="H13616" s="223" t="s">
        <v>16</v>
      </c>
      <c r="I13616" s="226" t="s">
        <v>17</v>
      </c>
      <c r="J13616" s="223" t="s">
        <v>311</v>
      </c>
      <c r="K13616" s="223" t="s">
        <v>50</v>
      </c>
      <c r="L13616" s="223" t="s">
        <v>312</v>
      </c>
      <c r="M13616" s="223">
        <v>2</v>
      </c>
      <c r="N13616" s="223"/>
      <c r="O13616" s="223" t="s">
        <v>29</v>
      </c>
      <c r="P13616" s="223"/>
      <c r="Q13616" s="224"/>
    </row>
    <row r="13617" spans="1:17">
      <c r="A13617" s="221">
        <v>46</v>
      </c>
      <c r="B13617" s="222">
        <v>45959</v>
      </c>
      <c r="C13617" s="223" t="s">
        <v>294</v>
      </c>
      <c r="D13617" s="223" t="s">
        <v>353</v>
      </c>
      <c r="E13617" s="223" t="s">
        <v>350</v>
      </c>
      <c r="F13617" s="223">
        <v>2025</v>
      </c>
      <c r="G13617" s="223">
        <v>2</v>
      </c>
      <c r="H13617" s="223" t="s">
        <v>16</v>
      </c>
      <c r="I13617" s="226" t="s">
        <v>17</v>
      </c>
      <c r="J13617" s="223" t="s">
        <v>311</v>
      </c>
      <c r="K13617" s="223" t="s">
        <v>50</v>
      </c>
      <c r="L13617" s="223" t="s">
        <v>314</v>
      </c>
      <c r="M13617" s="223">
        <v>2</v>
      </c>
      <c r="N13617" s="223"/>
      <c r="O13617" s="223" t="s">
        <v>29</v>
      </c>
      <c r="P13617" s="223"/>
      <c r="Q13617" s="224"/>
    </row>
    <row r="13618" spans="1:17">
      <c r="A13618" s="221">
        <v>47</v>
      </c>
      <c r="B13618" s="222">
        <v>45960</v>
      </c>
      <c r="C13618" s="223" t="s">
        <v>298</v>
      </c>
      <c r="D13618" s="223" t="s">
        <v>353</v>
      </c>
      <c r="E13618" s="223" t="s">
        <v>350</v>
      </c>
      <c r="F13618" s="223">
        <v>2025</v>
      </c>
      <c r="G13618" s="223">
        <v>2</v>
      </c>
      <c r="H13618" s="223" t="s">
        <v>16</v>
      </c>
      <c r="I13618" s="226" t="s">
        <v>17</v>
      </c>
      <c r="J13618" s="223" t="s">
        <v>311</v>
      </c>
      <c r="K13618" s="223" t="s">
        <v>50</v>
      </c>
      <c r="L13618" s="223" t="s">
        <v>351</v>
      </c>
      <c r="M13618" s="223">
        <v>2</v>
      </c>
      <c r="N13618" s="223"/>
      <c r="O13618" s="223" t="s">
        <v>29</v>
      </c>
      <c r="P13618" s="223"/>
      <c r="Q13618" s="224"/>
    </row>
    <row r="13619" spans="1:17">
      <c r="A13619" s="221">
        <v>48</v>
      </c>
      <c r="B13619" s="222">
        <v>45985</v>
      </c>
      <c r="C13619" s="223" t="s">
        <v>302</v>
      </c>
      <c r="D13619" s="223" t="s">
        <v>354</v>
      </c>
      <c r="E13619" s="223" t="s">
        <v>355</v>
      </c>
      <c r="F13619" s="223">
        <v>2025</v>
      </c>
      <c r="G13619" s="223">
        <v>2</v>
      </c>
      <c r="H13619" s="223" t="s">
        <v>16</v>
      </c>
      <c r="I13619" s="226" t="s">
        <v>17</v>
      </c>
      <c r="J13619" s="223" t="s">
        <v>311</v>
      </c>
      <c r="K13619" s="223" t="s">
        <v>50</v>
      </c>
      <c r="L13619" s="223" t="s">
        <v>312</v>
      </c>
      <c r="M13619" s="223">
        <v>2</v>
      </c>
      <c r="N13619" s="223"/>
      <c r="O13619" s="223" t="s">
        <v>29</v>
      </c>
      <c r="P13619" s="223"/>
      <c r="Q13619" s="224"/>
    </row>
    <row r="13620" spans="1:17">
      <c r="A13620" s="221">
        <v>49</v>
      </c>
      <c r="B13620" s="222">
        <v>45988</v>
      </c>
      <c r="C13620" s="223" t="s">
        <v>298</v>
      </c>
      <c r="D13620" s="223" t="s">
        <v>354</v>
      </c>
      <c r="E13620" s="223" t="s">
        <v>355</v>
      </c>
      <c r="F13620" s="223">
        <v>2025</v>
      </c>
      <c r="G13620" s="223">
        <v>2</v>
      </c>
      <c r="H13620" s="223" t="s">
        <v>16</v>
      </c>
      <c r="I13620" s="226" t="s">
        <v>17</v>
      </c>
      <c r="J13620" s="223" t="s">
        <v>311</v>
      </c>
      <c r="K13620" s="223" t="s">
        <v>43</v>
      </c>
      <c r="L13620" s="223" t="s">
        <v>315</v>
      </c>
      <c r="M13620" s="223">
        <v>2</v>
      </c>
      <c r="N13620" s="223"/>
      <c r="O13620" s="223" t="s">
        <v>29</v>
      </c>
      <c r="P13620" s="223"/>
      <c r="Q13620" s="224"/>
    </row>
    <row r="13621" spans="1:17">
      <c r="A13621" s="221">
        <v>50</v>
      </c>
      <c r="B13621" s="222">
        <v>45989</v>
      </c>
      <c r="C13621" s="223" t="s">
        <v>301</v>
      </c>
      <c r="D13621" s="223" t="s">
        <v>354</v>
      </c>
      <c r="E13621" s="223" t="s">
        <v>355</v>
      </c>
      <c r="F13621" s="223">
        <v>2025</v>
      </c>
      <c r="G13621" s="223">
        <v>2</v>
      </c>
      <c r="H13621" s="223" t="s">
        <v>16</v>
      </c>
      <c r="I13621" s="226" t="s">
        <v>17</v>
      </c>
      <c r="J13621" s="223" t="s">
        <v>311</v>
      </c>
      <c r="K13621" s="223" t="s">
        <v>50</v>
      </c>
      <c r="L13621" s="223" t="s">
        <v>314</v>
      </c>
      <c r="M13621" s="223">
        <v>2</v>
      </c>
      <c r="N13621" s="223"/>
      <c r="O13621" s="223" t="s">
        <v>29</v>
      </c>
      <c r="P13621" s="223"/>
      <c r="Q13621" s="224"/>
    </row>
    <row r="13622" spans="1:17">
      <c r="A13622" s="221">
        <v>51</v>
      </c>
      <c r="B13622" s="222">
        <v>46000</v>
      </c>
      <c r="C13622" s="223" t="s">
        <v>289</v>
      </c>
      <c r="D13622" s="223" t="s">
        <v>356</v>
      </c>
      <c r="E13622" s="223" t="s">
        <v>357</v>
      </c>
      <c r="F13622" s="223">
        <v>2025</v>
      </c>
      <c r="G13622" s="223">
        <v>2</v>
      </c>
      <c r="H13622" s="223" t="s">
        <v>16</v>
      </c>
      <c r="I13622" s="226" t="s">
        <v>17</v>
      </c>
      <c r="J13622" s="223" t="s">
        <v>311</v>
      </c>
      <c r="K13622" s="223" t="s">
        <v>53</v>
      </c>
      <c r="L13622" s="223" t="s">
        <v>340</v>
      </c>
      <c r="M13622" s="223">
        <v>2</v>
      </c>
      <c r="N13622" s="223"/>
      <c r="O13622" s="223" t="s">
        <v>29</v>
      </c>
      <c r="P13622" s="223"/>
      <c r="Q13622" s="224"/>
    </row>
    <row r="13623" spans="1:17">
      <c r="A13623" s="221">
        <v>52</v>
      </c>
      <c r="B13623" s="222">
        <v>46001</v>
      </c>
      <c r="C13623" s="223" t="s">
        <v>294</v>
      </c>
      <c r="D13623" s="223" t="s">
        <v>356</v>
      </c>
      <c r="E13623" s="223" t="s">
        <v>357</v>
      </c>
      <c r="F13623" s="223">
        <v>2025</v>
      </c>
      <c r="G13623" s="223">
        <v>2</v>
      </c>
      <c r="H13623" s="223" t="s">
        <v>16</v>
      </c>
      <c r="I13623" s="226" t="s">
        <v>17</v>
      </c>
      <c r="J13623" s="223" t="s">
        <v>311</v>
      </c>
      <c r="K13623" s="223" t="s">
        <v>53</v>
      </c>
      <c r="L13623" s="223" t="s">
        <v>315</v>
      </c>
      <c r="M13623" s="223">
        <v>2</v>
      </c>
      <c r="N13623" s="223"/>
      <c r="O13623" s="223" t="s">
        <v>29</v>
      </c>
      <c r="P13623" s="223"/>
      <c r="Q13623" s="224"/>
    </row>
    <row r="13624" spans="1:17">
      <c r="A13624" s="221">
        <v>53</v>
      </c>
      <c r="B13624" s="222">
        <v>46002</v>
      </c>
      <c r="C13624" s="223" t="s">
        <v>298</v>
      </c>
      <c r="D13624" s="223" t="s">
        <v>356</v>
      </c>
      <c r="E13624" s="223" t="s">
        <v>357</v>
      </c>
      <c r="F13624" s="223">
        <v>2025</v>
      </c>
      <c r="G13624" s="223">
        <v>2</v>
      </c>
      <c r="H13624" s="223" t="s">
        <v>16</v>
      </c>
      <c r="I13624" s="226" t="s">
        <v>17</v>
      </c>
      <c r="J13624" s="223" t="s">
        <v>311</v>
      </c>
      <c r="K13624" s="223" t="s">
        <v>53</v>
      </c>
      <c r="L13624" s="223" t="s">
        <v>314</v>
      </c>
      <c r="M13624" s="223">
        <v>2</v>
      </c>
      <c r="N13624" s="223"/>
      <c r="O13624" s="223" t="s">
        <v>29</v>
      </c>
      <c r="P13624" s="223"/>
      <c r="Q13624" s="224"/>
    </row>
    <row r="13625" spans="1:17">
      <c r="A13625" s="221">
        <v>54</v>
      </c>
      <c r="B13625" s="222">
        <v>46003</v>
      </c>
      <c r="C13625" s="223" t="s">
        <v>301</v>
      </c>
      <c r="D13625" s="223" t="s">
        <v>356</v>
      </c>
      <c r="E13625" s="223" t="s">
        <v>357</v>
      </c>
      <c r="F13625" s="223">
        <v>2025</v>
      </c>
      <c r="G13625" s="223">
        <v>2</v>
      </c>
      <c r="H13625" s="223" t="s">
        <v>16</v>
      </c>
      <c r="I13625" s="226" t="s">
        <v>17</v>
      </c>
      <c r="J13625" s="223" t="s">
        <v>311</v>
      </c>
      <c r="K13625" s="223" t="s">
        <v>53</v>
      </c>
      <c r="L13625" s="223" t="s">
        <v>351</v>
      </c>
      <c r="M13625" s="223">
        <v>2</v>
      </c>
      <c r="N13625" s="223"/>
      <c r="O13625" s="223" t="s">
        <v>29</v>
      </c>
      <c r="P13625" s="223"/>
      <c r="Q13625" s="224"/>
    </row>
    <row r="13626" spans="1:17">
      <c r="A13626" s="221">
        <v>55</v>
      </c>
      <c r="B13626" s="222">
        <v>46006</v>
      </c>
      <c r="C13626" s="223" t="s">
        <v>302</v>
      </c>
      <c r="D13626" s="223" t="s">
        <v>347</v>
      </c>
      <c r="E13626" s="223" t="s">
        <v>357</v>
      </c>
      <c r="F13626" s="223">
        <v>2025</v>
      </c>
      <c r="G13626" s="223">
        <v>2</v>
      </c>
      <c r="H13626" s="223" t="s">
        <v>16</v>
      </c>
      <c r="I13626" s="226" t="s">
        <v>17</v>
      </c>
      <c r="J13626" s="223" t="s">
        <v>311</v>
      </c>
      <c r="K13626" s="223" t="s">
        <v>55</v>
      </c>
      <c r="L13626" s="223" t="s">
        <v>340</v>
      </c>
      <c r="M13626" s="223">
        <v>2</v>
      </c>
      <c r="N13626" s="223"/>
      <c r="O13626" s="223" t="s">
        <v>29</v>
      </c>
      <c r="P13626" s="223"/>
      <c r="Q13626" s="224"/>
    </row>
    <row r="13627" spans="1:17">
      <c r="A13627" s="221">
        <v>56</v>
      </c>
      <c r="B13627" s="222">
        <v>46007</v>
      </c>
      <c r="C13627" s="223" t="s">
        <v>289</v>
      </c>
      <c r="D13627" s="223" t="s">
        <v>347</v>
      </c>
      <c r="E13627" s="223" t="s">
        <v>357</v>
      </c>
      <c r="F13627" s="223">
        <v>2025</v>
      </c>
      <c r="G13627" s="223">
        <v>2</v>
      </c>
      <c r="H13627" s="223" t="s">
        <v>16</v>
      </c>
      <c r="I13627" s="226" t="s">
        <v>17</v>
      </c>
      <c r="J13627" s="223" t="s">
        <v>311</v>
      </c>
      <c r="K13627" s="223" t="s">
        <v>55</v>
      </c>
      <c r="L13627" s="223" t="s">
        <v>315</v>
      </c>
      <c r="M13627" s="223">
        <v>2</v>
      </c>
      <c r="N13627" s="223"/>
      <c r="O13627" s="223" t="s">
        <v>29</v>
      </c>
      <c r="P13627" s="223"/>
      <c r="Q13627" s="224"/>
    </row>
    <row r="13628" spans="1:17">
      <c r="A13628" s="221">
        <v>57</v>
      </c>
      <c r="B13628" s="222">
        <v>46008</v>
      </c>
      <c r="C13628" s="223" t="s">
        <v>294</v>
      </c>
      <c r="D13628" s="223" t="s">
        <v>347</v>
      </c>
      <c r="E13628" s="223" t="s">
        <v>357</v>
      </c>
      <c r="F13628" s="223">
        <v>2025</v>
      </c>
      <c r="G13628" s="223">
        <v>2</v>
      </c>
      <c r="H13628" s="223" t="s">
        <v>16</v>
      </c>
      <c r="I13628" s="226" t="s">
        <v>17</v>
      </c>
      <c r="J13628" s="223" t="s">
        <v>311</v>
      </c>
      <c r="K13628" s="223" t="s">
        <v>55</v>
      </c>
      <c r="L13628" s="223" t="s">
        <v>314</v>
      </c>
      <c r="M13628" s="223">
        <v>2</v>
      </c>
      <c r="N13628" s="223"/>
      <c r="O13628" s="223" t="s">
        <v>29</v>
      </c>
      <c r="P13628" s="223"/>
      <c r="Q13628" s="224"/>
    </row>
    <row r="13629" spans="1:17">
      <c r="A13629" s="221">
        <v>58</v>
      </c>
      <c r="B13629" s="222">
        <v>46009</v>
      </c>
      <c r="C13629" s="223" t="s">
        <v>298</v>
      </c>
      <c r="D13629" s="223" t="s">
        <v>347</v>
      </c>
      <c r="E13629" s="223" t="s">
        <v>357</v>
      </c>
      <c r="F13629" s="223">
        <v>2025</v>
      </c>
      <c r="G13629" s="223">
        <v>2</v>
      </c>
      <c r="H13629" s="223" t="s">
        <v>16</v>
      </c>
      <c r="I13629" s="226" t="s">
        <v>17</v>
      </c>
      <c r="J13629" s="223" t="s">
        <v>311</v>
      </c>
      <c r="K13629" s="223" t="s">
        <v>55</v>
      </c>
      <c r="L13629" s="223" t="s">
        <v>351</v>
      </c>
      <c r="M13629" s="223">
        <v>2</v>
      </c>
      <c r="N13629" s="223"/>
      <c r="O13629" s="223" t="s">
        <v>29</v>
      </c>
      <c r="P13629" s="223"/>
      <c r="Q13629" s="224"/>
    </row>
    <row r="13630" spans="1:17">
      <c r="A13630" s="221">
        <v>59</v>
      </c>
      <c r="B13630" s="222">
        <v>46041</v>
      </c>
      <c r="C13630" s="223" t="s">
        <v>302</v>
      </c>
      <c r="D13630" s="223" t="s">
        <v>358</v>
      </c>
      <c r="E13630" s="223" t="s">
        <v>359</v>
      </c>
      <c r="F13630" s="223">
        <v>2026</v>
      </c>
      <c r="G13630" s="223">
        <v>1</v>
      </c>
      <c r="H13630" s="223" t="s">
        <v>61</v>
      </c>
      <c r="I13630" s="226" t="s">
        <v>62</v>
      </c>
      <c r="J13630" s="223" t="s">
        <v>360</v>
      </c>
      <c r="K13630" s="223" t="s">
        <v>34</v>
      </c>
      <c r="L13630" s="223" t="s">
        <v>361</v>
      </c>
      <c r="M13630" s="223">
        <v>1</v>
      </c>
      <c r="N13630" s="223"/>
      <c r="O13630" s="223" t="s">
        <v>65</v>
      </c>
      <c r="P13630" s="223"/>
      <c r="Q13630" s="224"/>
    </row>
    <row r="13631" spans="1:17">
      <c r="A13631" s="221">
        <v>60</v>
      </c>
      <c r="B13631" s="222">
        <v>46041</v>
      </c>
      <c r="C13631" s="223" t="s">
        <v>302</v>
      </c>
      <c r="D13631" s="223" t="s">
        <v>358</v>
      </c>
      <c r="E13631" s="223" t="s">
        <v>359</v>
      </c>
      <c r="F13631" s="223">
        <v>2026</v>
      </c>
      <c r="G13631" s="223">
        <v>1</v>
      </c>
      <c r="H13631" s="223" t="s">
        <v>61</v>
      </c>
      <c r="I13631" s="226" t="s">
        <v>62</v>
      </c>
      <c r="J13631" s="223" t="s">
        <v>360</v>
      </c>
      <c r="K13631" s="223" t="s">
        <v>35</v>
      </c>
      <c r="L13631" s="223" t="s">
        <v>361</v>
      </c>
      <c r="M13631" s="223">
        <v>1</v>
      </c>
      <c r="N13631" s="223"/>
      <c r="O13631" s="223" t="s">
        <v>65</v>
      </c>
      <c r="P13631" s="223"/>
      <c r="Q13631" s="224"/>
    </row>
    <row r="13632" spans="1:17">
      <c r="A13632" s="221">
        <v>61</v>
      </c>
      <c r="B13632" s="222">
        <v>46041</v>
      </c>
      <c r="C13632" s="223" t="s">
        <v>302</v>
      </c>
      <c r="D13632" s="223" t="s">
        <v>347</v>
      </c>
      <c r="E13632" s="223" t="s">
        <v>359</v>
      </c>
      <c r="F13632" s="223">
        <v>2026</v>
      </c>
      <c r="G13632" s="223">
        <v>2</v>
      </c>
      <c r="H13632" s="223" t="s">
        <v>16</v>
      </c>
      <c r="I13632" s="226" t="s">
        <v>17</v>
      </c>
      <c r="J13632" s="223" t="s">
        <v>311</v>
      </c>
      <c r="K13632" s="223" t="s">
        <v>55</v>
      </c>
      <c r="L13632" s="223" t="s">
        <v>340</v>
      </c>
      <c r="M13632" s="223">
        <v>2</v>
      </c>
      <c r="N13632" s="223"/>
      <c r="O13632" s="223" t="s">
        <v>29</v>
      </c>
      <c r="P13632" s="223"/>
      <c r="Q13632" s="224"/>
    </row>
    <row r="13633" spans="1:17">
      <c r="A13633" s="221">
        <v>62</v>
      </c>
      <c r="B13633" s="222">
        <v>46044</v>
      </c>
      <c r="C13633" s="223" t="s">
        <v>298</v>
      </c>
      <c r="D13633" s="223" t="s">
        <v>347</v>
      </c>
      <c r="E13633" s="223" t="s">
        <v>359</v>
      </c>
      <c r="F13633" s="223">
        <v>2026</v>
      </c>
      <c r="G13633" s="223">
        <v>2</v>
      </c>
      <c r="H13633" s="223" t="s">
        <v>16</v>
      </c>
      <c r="I13633" s="226" t="s">
        <v>17</v>
      </c>
      <c r="J13633" s="223" t="s">
        <v>311</v>
      </c>
      <c r="K13633" s="223" t="s">
        <v>55</v>
      </c>
      <c r="L13633" s="223" t="s">
        <v>315</v>
      </c>
      <c r="M13633" s="223">
        <v>2</v>
      </c>
      <c r="N13633" s="223"/>
      <c r="O13633" s="223" t="s">
        <v>29</v>
      </c>
      <c r="P13633" s="223"/>
      <c r="Q13633" s="224"/>
    </row>
    <row r="13634" spans="1:17">
      <c r="A13634" s="221">
        <v>63</v>
      </c>
      <c r="B13634" s="222">
        <v>46045</v>
      </c>
      <c r="C13634" s="223" t="s">
        <v>301</v>
      </c>
      <c r="D13634" s="223" t="s">
        <v>347</v>
      </c>
      <c r="E13634" s="223" t="s">
        <v>359</v>
      </c>
      <c r="F13634" s="223">
        <v>2026</v>
      </c>
      <c r="G13634" s="223">
        <v>2</v>
      </c>
      <c r="H13634" s="223" t="s">
        <v>16</v>
      </c>
      <c r="I13634" s="226" t="s">
        <v>17</v>
      </c>
      <c r="J13634" s="223" t="s">
        <v>311</v>
      </c>
      <c r="K13634" s="223" t="s">
        <v>55</v>
      </c>
      <c r="L13634" s="223" t="s">
        <v>314</v>
      </c>
      <c r="M13634" s="223">
        <v>2</v>
      </c>
      <c r="N13634" s="223"/>
      <c r="O13634" s="223" t="s">
        <v>29</v>
      </c>
      <c r="P13634" s="223"/>
      <c r="Q13634" s="224"/>
    </row>
    <row r="13635" spans="1:17">
      <c r="A13635" s="221"/>
      <c r="B13635" s="222">
        <v>46049</v>
      </c>
      <c r="C13635" s="223" t="s">
        <v>289</v>
      </c>
      <c r="D13635" s="223"/>
      <c r="E13635" s="223" t="s">
        <v>362</v>
      </c>
      <c r="F13635" s="223">
        <v>2026</v>
      </c>
      <c r="G13635" s="223"/>
      <c r="H13635" s="223" t="s">
        <v>363</v>
      </c>
      <c r="I13635" s="226"/>
      <c r="J13635" s="223" t="s">
        <v>311</v>
      </c>
      <c r="K13635" s="223" t="s">
        <v>101</v>
      </c>
      <c r="L13635" s="223" t="s">
        <v>364</v>
      </c>
      <c r="M13635" s="223"/>
      <c r="N13635" s="223"/>
      <c r="O13635" s="223"/>
      <c r="P13635" s="223"/>
      <c r="Q13635" s="224"/>
    </row>
    <row r="13636" spans="1:17" ht="30.75">
      <c r="A13636" s="221"/>
      <c r="B13636" s="222">
        <v>46050</v>
      </c>
      <c r="C13636" s="223" t="s">
        <v>294</v>
      </c>
      <c r="D13636" s="223" t="s">
        <v>365</v>
      </c>
      <c r="E13636" s="223" t="s">
        <v>359</v>
      </c>
      <c r="F13636" s="223">
        <v>2026</v>
      </c>
      <c r="G13636" s="223">
        <v>1</v>
      </c>
      <c r="H13636" s="223" t="s">
        <v>80</v>
      </c>
      <c r="I13636" s="226" t="s">
        <v>81</v>
      </c>
      <c r="J13636" s="223" t="s">
        <v>366</v>
      </c>
      <c r="K13636" s="223"/>
      <c r="L13636" s="226" t="s">
        <v>367</v>
      </c>
      <c r="M13636" s="223">
        <v>1</v>
      </c>
      <c r="N13636" s="223"/>
      <c r="O13636" s="223"/>
      <c r="P13636" s="223"/>
      <c r="Q13636" s="224"/>
    </row>
    <row r="13637" spans="1:17">
      <c r="A13637" s="221">
        <v>64</v>
      </c>
      <c r="B13637" s="222">
        <v>46050</v>
      </c>
      <c r="C13637" s="223" t="s">
        <v>294</v>
      </c>
      <c r="D13637" s="223" t="s">
        <v>368</v>
      </c>
      <c r="E13637" s="223" t="s">
        <v>359</v>
      </c>
      <c r="F13637" s="223">
        <v>2026</v>
      </c>
      <c r="G13637" s="223">
        <v>3</v>
      </c>
      <c r="H13637" s="223" t="s">
        <v>61</v>
      </c>
      <c r="I13637" s="226" t="s">
        <v>62</v>
      </c>
      <c r="J13637" s="223" t="s">
        <v>360</v>
      </c>
      <c r="K13637" s="223" t="s">
        <v>34</v>
      </c>
      <c r="L13637" s="223" t="s">
        <v>369</v>
      </c>
      <c r="M13637" s="223">
        <v>3</v>
      </c>
      <c r="N13637" s="223"/>
      <c r="O13637" s="223" t="s">
        <v>63</v>
      </c>
      <c r="P13637" s="223"/>
      <c r="Q13637" s="224"/>
    </row>
    <row r="13638" spans="1:17">
      <c r="A13638" s="221">
        <v>65</v>
      </c>
      <c r="B13638" s="222">
        <v>46050</v>
      </c>
      <c r="C13638" s="223" t="s">
        <v>294</v>
      </c>
      <c r="D13638" s="223" t="s">
        <v>370</v>
      </c>
      <c r="E13638" s="223" t="s">
        <v>359</v>
      </c>
      <c r="F13638" s="223">
        <v>2026</v>
      </c>
      <c r="G13638" s="223">
        <v>3</v>
      </c>
      <c r="H13638" s="223" t="s">
        <v>61</v>
      </c>
      <c r="I13638" s="226" t="s">
        <v>62</v>
      </c>
      <c r="J13638" s="223" t="s">
        <v>360</v>
      </c>
      <c r="K13638" s="223" t="s">
        <v>35</v>
      </c>
      <c r="L13638" s="223" t="s">
        <v>369</v>
      </c>
      <c r="M13638" s="223">
        <v>3</v>
      </c>
      <c r="N13638" s="223"/>
      <c r="O13638" s="223" t="s">
        <v>66</v>
      </c>
      <c r="P13638" s="223"/>
      <c r="Q13638" s="224"/>
    </row>
    <row r="13639" spans="1:17">
      <c r="A13639" s="221">
        <v>66</v>
      </c>
      <c r="B13639" s="222">
        <v>46050</v>
      </c>
      <c r="C13639" s="223" t="s">
        <v>294</v>
      </c>
      <c r="D13639" s="223" t="s">
        <v>371</v>
      </c>
      <c r="E13639" s="223" t="s">
        <v>359</v>
      </c>
      <c r="F13639" s="223">
        <v>2026</v>
      </c>
      <c r="G13639" s="223">
        <v>2</v>
      </c>
      <c r="H13639" s="223" t="s">
        <v>61</v>
      </c>
      <c r="I13639" s="226" t="s">
        <v>62</v>
      </c>
      <c r="J13639" s="223" t="s">
        <v>360</v>
      </c>
      <c r="K13639" s="223" t="s">
        <v>35</v>
      </c>
      <c r="L13639" s="223" t="s">
        <v>369</v>
      </c>
      <c r="M13639" s="223">
        <v>2</v>
      </c>
      <c r="N13639" s="223"/>
      <c r="O13639" s="223" t="s">
        <v>66</v>
      </c>
      <c r="P13639" s="223"/>
      <c r="Q13639" s="224"/>
    </row>
    <row r="13640" spans="1:17">
      <c r="A13640" s="221">
        <v>67</v>
      </c>
      <c r="B13640" s="222">
        <v>46051</v>
      </c>
      <c r="C13640" s="223" t="s">
        <v>298</v>
      </c>
      <c r="D13640" s="223" t="s">
        <v>368</v>
      </c>
      <c r="E13640" s="223" t="s">
        <v>359</v>
      </c>
      <c r="F13640" s="223">
        <v>2026</v>
      </c>
      <c r="G13640" s="223">
        <v>3</v>
      </c>
      <c r="H13640" s="223" t="s">
        <v>61</v>
      </c>
      <c r="I13640" s="226" t="s">
        <v>62</v>
      </c>
      <c r="J13640" s="223" t="s">
        <v>360</v>
      </c>
      <c r="K13640" s="223" t="s">
        <v>34</v>
      </c>
      <c r="L13640" s="223" t="s">
        <v>369</v>
      </c>
      <c r="M13640" s="223">
        <v>3</v>
      </c>
      <c r="N13640" s="223"/>
      <c r="O13640" s="223" t="s">
        <v>63</v>
      </c>
      <c r="P13640" s="223"/>
      <c r="Q13640" s="224"/>
    </row>
    <row r="13641" spans="1:17">
      <c r="A13641" s="221">
        <v>68</v>
      </c>
      <c r="B13641" s="222">
        <v>46051</v>
      </c>
      <c r="C13641" s="223" t="s">
        <v>298</v>
      </c>
      <c r="D13641" s="223" t="s">
        <v>371</v>
      </c>
      <c r="E13641" s="223" t="s">
        <v>359</v>
      </c>
      <c r="F13641" s="223">
        <v>2026</v>
      </c>
      <c r="G13641" s="223">
        <v>2</v>
      </c>
      <c r="H13641" s="223" t="s">
        <v>61</v>
      </c>
      <c r="I13641" s="226" t="s">
        <v>62</v>
      </c>
      <c r="J13641" s="223" t="s">
        <v>360</v>
      </c>
      <c r="K13641" s="223" t="s">
        <v>35</v>
      </c>
      <c r="L13641" s="223" t="s">
        <v>369</v>
      </c>
      <c r="M13641" s="223">
        <v>2</v>
      </c>
      <c r="N13641" s="223"/>
      <c r="O13641" s="223" t="s">
        <v>66</v>
      </c>
      <c r="P13641" s="223"/>
      <c r="Q13641" s="224"/>
    </row>
    <row r="13642" spans="1:17">
      <c r="A13642" s="221">
        <v>69</v>
      </c>
      <c r="B13642" s="222">
        <v>46052</v>
      </c>
      <c r="C13642" s="223" t="s">
        <v>301</v>
      </c>
      <c r="D13642" s="223" t="s">
        <v>372</v>
      </c>
      <c r="E13642" s="223" t="s">
        <v>359</v>
      </c>
      <c r="F13642" s="223">
        <v>2026</v>
      </c>
      <c r="G13642" s="223">
        <v>2.5</v>
      </c>
      <c r="H13642" s="223" t="s">
        <v>57</v>
      </c>
      <c r="I13642" s="226" t="s">
        <v>58</v>
      </c>
      <c r="J13642" s="223" t="s">
        <v>373</v>
      </c>
      <c r="K13642" s="223"/>
      <c r="L13642" s="223" t="s">
        <v>374</v>
      </c>
      <c r="M13642" s="223">
        <v>2.5</v>
      </c>
      <c r="N13642" s="223"/>
      <c r="O13642" s="223" t="s">
        <v>60</v>
      </c>
      <c r="P13642" s="223"/>
      <c r="Q13642" s="224"/>
    </row>
    <row r="13643" spans="1:17">
      <c r="A13643" s="221">
        <v>70</v>
      </c>
      <c r="B13643" s="222">
        <v>46055</v>
      </c>
      <c r="C13643" s="223" t="s">
        <v>302</v>
      </c>
      <c r="D13643" s="223" t="s">
        <v>375</v>
      </c>
      <c r="E13643" s="223" t="s">
        <v>362</v>
      </c>
      <c r="F13643" s="223">
        <v>2026</v>
      </c>
      <c r="G13643" s="223">
        <v>8</v>
      </c>
      <c r="H13643" s="223" t="s">
        <v>76</v>
      </c>
      <c r="I13643" s="226" t="s">
        <v>77</v>
      </c>
      <c r="J13643" s="223"/>
      <c r="K13643" s="223"/>
      <c r="L13643" s="223" t="s">
        <v>376</v>
      </c>
      <c r="M13643" s="223">
        <v>8</v>
      </c>
      <c r="N13643" s="223"/>
      <c r="O13643" s="223" t="s">
        <v>78</v>
      </c>
      <c r="P13643" s="223"/>
      <c r="Q13643" s="224"/>
    </row>
    <row r="13644" spans="1:17">
      <c r="A13644" s="221">
        <v>71</v>
      </c>
      <c r="B13644" s="222">
        <v>46055</v>
      </c>
      <c r="C13644" s="223" t="s">
        <v>302</v>
      </c>
      <c r="D13644" s="223" t="s">
        <v>377</v>
      </c>
      <c r="E13644" s="223" t="s">
        <v>362</v>
      </c>
      <c r="F13644" s="223">
        <v>2026</v>
      </c>
      <c r="G13644" s="223">
        <v>3</v>
      </c>
      <c r="H13644" s="223" t="s">
        <v>61</v>
      </c>
      <c r="I13644" s="226" t="s">
        <v>62</v>
      </c>
      <c r="J13644" s="223" t="s">
        <v>360</v>
      </c>
      <c r="K13644" s="223" t="s">
        <v>34</v>
      </c>
      <c r="L13644" s="223" t="s">
        <v>378</v>
      </c>
      <c r="M13644" s="223">
        <v>3</v>
      </c>
      <c r="N13644" s="223"/>
      <c r="O13644" s="223" t="s">
        <v>63</v>
      </c>
      <c r="P13644" s="223"/>
      <c r="Q13644" s="224"/>
    </row>
    <row r="13645" spans="1:17">
      <c r="A13645" s="221">
        <v>72</v>
      </c>
      <c r="B13645" s="222">
        <v>46055</v>
      </c>
      <c r="C13645" s="223" t="s">
        <v>302</v>
      </c>
      <c r="D13645" s="223" t="s">
        <v>377</v>
      </c>
      <c r="E13645" s="223" t="s">
        <v>362</v>
      </c>
      <c r="F13645" s="223">
        <v>2026</v>
      </c>
      <c r="G13645" s="223">
        <v>3</v>
      </c>
      <c r="H13645" s="223" t="s">
        <v>61</v>
      </c>
      <c r="I13645" s="226" t="s">
        <v>62</v>
      </c>
      <c r="J13645" s="223" t="s">
        <v>360</v>
      </c>
      <c r="K13645" s="223" t="s">
        <v>35</v>
      </c>
      <c r="L13645" s="223" t="s">
        <v>378</v>
      </c>
      <c r="M13645" s="223">
        <v>3</v>
      </c>
      <c r="N13645" s="223"/>
      <c r="O13645" s="223" t="s">
        <v>87</v>
      </c>
      <c r="P13645" s="223"/>
      <c r="Q13645" s="224"/>
    </row>
    <row r="13646" spans="1:17">
      <c r="A13646" s="221">
        <v>73</v>
      </c>
      <c r="B13646" s="222">
        <v>46056</v>
      </c>
      <c r="C13646" s="223" t="s">
        <v>289</v>
      </c>
      <c r="D13646" s="223" t="s">
        <v>375</v>
      </c>
      <c r="E13646" s="223" t="s">
        <v>362</v>
      </c>
      <c r="F13646" s="223">
        <v>2026</v>
      </c>
      <c r="G13646" s="223">
        <v>8</v>
      </c>
      <c r="H13646" s="223" t="s">
        <v>76</v>
      </c>
      <c r="I13646" s="226" t="s">
        <v>77</v>
      </c>
      <c r="J13646" s="223"/>
      <c r="K13646" s="223"/>
      <c r="L13646" s="223" t="s">
        <v>379</v>
      </c>
      <c r="M13646" s="223">
        <v>8</v>
      </c>
      <c r="N13646" s="223"/>
      <c r="O13646" s="223" t="s">
        <v>380</v>
      </c>
      <c r="P13646" s="223"/>
      <c r="Q13646" s="224"/>
    </row>
    <row r="13647" spans="1:17">
      <c r="A13647" s="221">
        <v>74</v>
      </c>
      <c r="B13647" s="222">
        <v>46056</v>
      </c>
      <c r="C13647" s="223" t="s">
        <v>289</v>
      </c>
      <c r="D13647" s="223" t="s">
        <v>372</v>
      </c>
      <c r="E13647" s="223" t="s">
        <v>362</v>
      </c>
      <c r="F13647" s="223">
        <v>2026</v>
      </c>
      <c r="G13647" s="223">
        <v>2.5</v>
      </c>
      <c r="H13647" s="223" t="s">
        <v>57</v>
      </c>
      <c r="I13647" s="226" t="s">
        <v>58</v>
      </c>
      <c r="J13647" s="223" t="s">
        <v>373</v>
      </c>
      <c r="K13647" s="223"/>
      <c r="L13647" s="223" t="s">
        <v>381</v>
      </c>
      <c r="M13647" s="223">
        <v>2.5</v>
      </c>
      <c r="N13647" s="223"/>
      <c r="O13647" s="223" t="s">
        <v>382</v>
      </c>
      <c r="P13647" s="223" t="s">
        <v>70</v>
      </c>
      <c r="Q13647" s="224"/>
    </row>
    <row r="13648" spans="1:17">
      <c r="A13648" s="221">
        <v>75</v>
      </c>
      <c r="B13648" s="222">
        <v>46056</v>
      </c>
      <c r="C13648" s="223" t="s">
        <v>289</v>
      </c>
      <c r="D13648" s="223" t="s">
        <v>377</v>
      </c>
      <c r="E13648" s="223" t="s">
        <v>362</v>
      </c>
      <c r="F13648" s="223">
        <v>2026</v>
      </c>
      <c r="G13648" s="223">
        <v>3</v>
      </c>
      <c r="H13648" s="223" t="s">
        <v>61</v>
      </c>
      <c r="I13648" s="226" t="s">
        <v>62</v>
      </c>
      <c r="J13648" s="223" t="s">
        <v>360</v>
      </c>
      <c r="K13648" s="223" t="s">
        <v>34</v>
      </c>
      <c r="L13648" s="223" t="s">
        <v>383</v>
      </c>
      <c r="M13648" s="223">
        <v>3</v>
      </c>
      <c r="N13648" s="223"/>
      <c r="O13648" s="223" t="s">
        <v>63</v>
      </c>
      <c r="P13648" s="223"/>
      <c r="Q13648" s="224"/>
    </row>
    <row r="13649" spans="1:17">
      <c r="A13649" s="221">
        <v>76</v>
      </c>
      <c r="B13649" s="222">
        <v>46056</v>
      </c>
      <c r="C13649" s="223" t="s">
        <v>289</v>
      </c>
      <c r="D13649" s="223" t="s">
        <v>377</v>
      </c>
      <c r="E13649" s="223" t="s">
        <v>362</v>
      </c>
      <c r="F13649" s="223">
        <v>2026</v>
      </c>
      <c r="G13649" s="223">
        <v>3</v>
      </c>
      <c r="H13649" s="223" t="s">
        <v>61</v>
      </c>
      <c r="I13649" s="226" t="s">
        <v>62</v>
      </c>
      <c r="J13649" s="223" t="s">
        <v>360</v>
      </c>
      <c r="K13649" s="223" t="s">
        <v>35</v>
      </c>
      <c r="L13649" s="223" t="s">
        <v>383</v>
      </c>
      <c r="M13649" s="223">
        <v>3</v>
      </c>
      <c r="N13649" s="223"/>
      <c r="O13649" s="223" t="s">
        <v>87</v>
      </c>
      <c r="P13649" s="223"/>
      <c r="Q13649" s="224"/>
    </row>
    <row r="13650" spans="1:17">
      <c r="A13650" s="221">
        <v>77</v>
      </c>
      <c r="B13650" s="222">
        <v>46057</v>
      </c>
      <c r="C13650" s="223" t="s">
        <v>294</v>
      </c>
      <c r="D13650" s="223" t="s">
        <v>377</v>
      </c>
      <c r="E13650" s="223" t="s">
        <v>362</v>
      </c>
      <c r="F13650" s="223">
        <v>2026</v>
      </c>
      <c r="G13650" s="223">
        <v>3</v>
      </c>
      <c r="H13650" s="223" t="s">
        <v>61</v>
      </c>
      <c r="I13650" s="226" t="s">
        <v>62</v>
      </c>
      <c r="J13650" s="223" t="s">
        <v>360</v>
      </c>
      <c r="K13650" s="223" t="s">
        <v>34</v>
      </c>
      <c r="L13650" s="223" t="s">
        <v>384</v>
      </c>
      <c r="M13650" s="223">
        <v>3</v>
      </c>
      <c r="N13650" s="223"/>
      <c r="O13650" s="223" t="s">
        <v>63</v>
      </c>
      <c r="P13650" s="223"/>
      <c r="Q13650" s="224"/>
    </row>
    <row r="13651" spans="1:17">
      <c r="A13651" s="221">
        <v>78</v>
      </c>
      <c r="B13651" s="222">
        <v>46057</v>
      </c>
      <c r="C13651" s="223" t="s">
        <v>294</v>
      </c>
      <c r="D13651" s="223" t="s">
        <v>377</v>
      </c>
      <c r="E13651" s="223" t="s">
        <v>362</v>
      </c>
      <c r="F13651" s="223">
        <v>2026</v>
      </c>
      <c r="G13651" s="223">
        <v>3</v>
      </c>
      <c r="H13651" s="223" t="s">
        <v>61</v>
      </c>
      <c r="I13651" s="226" t="s">
        <v>62</v>
      </c>
      <c r="J13651" s="223" t="s">
        <v>360</v>
      </c>
      <c r="K13651" s="223" t="s">
        <v>35</v>
      </c>
      <c r="L13651" s="223" t="s">
        <v>384</v>
      </c>
      <c r="M13651" s="223">
        <v>3</v>
      </c>
      <c r="N13651" s="223"/>
      <c r="O13651" s="223" t="s">
        <v>87</v>
      </c>
      <c r="P13651" s="223"/>
      <c r="Q13651" s="224"/>
    </row>
    <row r="13652" spans="1:17" ht="60.75">
      <c r="A13652" s="221">
        <v>79</v>
      </c>
      <c r="B13652" s="222">
        <v>46058</v>
      </c>
      <c r="C13652" s="223" t="s">
        <v>298</v>
      </c>
      <c r="D13652" s="223" t="s">
        <v>385</v>
      </c>
      <c r="E13652" s="223" t="s">
        <v>362</v>
      </c>
      <c r="F13652" s="223">
        <v>2026</v>
      </c>
      <c r="G13652" s="223">
        <v>4</v>
      </c>
      <c r="H13652" s="223" t="s">
        <v>80</v>
      </c>
      <c r="I13652" s="226" t="s">
        <v>81</v>
      </c>
      <c r="J13652" s="223" t="s">
        <v>366</v>
      </c>
      <c r="K13652" s="223"/>
      <c r="L13652" s="226" t="s">
        <v>386</v>
      </c>
      <c r="M13652" s="223">
        <v>4</v>
      </c>
      <c r="N13652" s="223"/>
      <c r="O13652" s="223" t="s">
        <v>12</v>
      </c>
      <c r="P13652" s="223"/>
      <c r="Q13652" s="224"/>
    </row>
    <row r="13653" spans="1:17">
      <c r="A13653" s="221">
        <v>80</v>
      </c>
      <c r="B13653" s="222">
        <v>46058</v>
      </c>
      <c r="C13653" s="223" t="s">
        <v>298</v>
      </c>
      <c r="D13653" s="223" t="s">
        <v>377</v>
      </c>
      <c r="E13653" s="223" t="s">
        <v>362</v>
      </c>
      <c r="F13653" s="223">
        <v>2026</v>
      </c>
      <c r="G13653" s="223">
        <v>3</v>
      </c>
      <c r="H13653" s="223" t="s">
        <v>61</v>
      </c>
      <c r="I13653" s="226" t="s">
        <v>62</v>
      </c>
      <c r="J13653" s="223" t="s">
        <v>360</v>
      </c>
      <c r="K13653" s="223" t="s">
        <v>34</v>
      </c>
      <c r="L13653" s="223" t="s">
        <v>387</v>
      </c>
      <c r="M13653" s="223">
        <v>3</v>
      </c>
      <c r="N13653" s="223"/>
      <c r="O13653" s="223" t="s">
        <v>63</v>
      </c>
      <c r="P13653" s="223"/>
      <c r="Q13653" s="224"/>
    </row>
    <row r="13654" spans="1:17">
      <c r="A13654" s="221">
        <v>81</v>
      </c>
      <c r="B13654" s="222">
        <v>46058</v>
      </c>
      <c r="C13654" s="223" t="s">
        <v>298</v>
      </c>
      <c r="D13654" s="223" t="s">
        <v>377</v>
      </c>
      <c r="E13654" s="223" t="s">
        <v>362</v>
      </c>
      <c r="F13654" s="223">
        <v>2026</v>
      </c>
      <c r="G13654" s="223">
        <v>3</v>
      </c>
      <c r="H13654" s="223" t="s">
        <v>61</v>
      </c>
      <c r="I13654" s="226" t="s">
        <v>62</v>
      </c>
      <c r="J13654" s="223" t="s">
        <v>360</v>
      </c>
      <c r="K13654" s="223" t="s">
        <v>35</v>
      </c>
      <c r="L13654" s="223" t="s">
        <v>387</v>
      </c>
      <c r="M13654" s="223">
        <v>3</v>
      </c>
      <c r="N13654" s="223"/>
      <c r="O13654" s="223" t="s">
        <v>87</v>
      </c>
      <c r="P13654" s="223"/>
      <c r="Q13654" s="224"/>
    </row>
    <row r="13655" spans="1:17">
      <c r="A13655" s="221">
        <v>82</v>
      </c>
      <c r="B13655" s="222">
        <v>46059</v>
      </c>
      <c r="C13655" s="223" t="s">
        <v>301</v>
      </c>
      <c r="D13655" s="223" t="s">
        <v>385</v>
      </c>
      <c r="E13655" s="223" t="s">
        <v>362</v>
      </c>
      <c r="F13655" s="223">
        <v>2026</v>
      </c>
      <c r="G13655" s="223">
        <v>4</v>
      </c>
      <c r="H13655" s="223" t="s">
        <v>80</v>
      </c>
      <c r="I13655" s="226" t="s">
        <v>81</v>
      </c>
      <c r="J13655" s="223" t="s">
        <v>366</v>
      </c>
      <c r="K13655" s="223"/>
      <c r="L13655" s="223" t="s">
        <v>388</v>
      </c>
      <c r="M13655" s="223">
        <v>4</v>
      </c>
      <c r="N13655" s="223"/>
      <c r="O13655" s="223" t="s">
        <v>12</v>
      </c>
      <c r="P13655" s="223"/>
      <c r="Q13655" s="224"/>
    </row>
    <row r="13656" spans="1:17">
      <c r="A13656" s="221">
        <v>83</v>
      </c>
      <c r="B13656" s="222">
        <v>46059</v>
      </c>
      <c r="C13656" s="223" t="s">
        <v>301</v>
      </c>
      <c r="D13656" s="223" t="s">
        <v>372</v>
      </c>
      <c r="E13656" s="223" t="s">
        <v>362</v>
      </c>
      <c r="F13656" s="223">
        <v>2026</v>
      </c>
      <c r="G13656" s="223">
        <v>2.5</v>
      </c>
      <c r="H13656" s="223" t="s">
        <v>57</v>
      </c>
      <c r="I13656" s="226" t="s">
        <v>58</v>
      </c>
      <c r="J13656" s="223" t="s">
        <v>373</v>
      </c>
      <c r="K13656" s="223"/>
      <c r="L13656" s="223" t="s">
        <v>389</v>
      </c>
      <c r="M13656" s="223">
        <v>2.5</v>
      </c>
      <c r="N13656" s="223"/>
      <c r="O13656" s="223" t="s">
        <v>72</v>
      </c>
      <c r="P13656" s="223"/>
      <c r="Q13656" s="224"/>
    </row>
    <row r="13657" spans="1:17">
      <c r="A13657" s="221">
        <v>84</v>
      </c>
      <c r="B13657" s="222">
        <v>46059</v>
      </c>
      <c r="C13657" s="223" t="s">
        <v>301</v>
      </c>
      <c r="D13657" s="223" t="s">
        <v>377</v>
      </c>
      <c r="E13657" s="223" t="s">
        <v>362</v>
      </c>
      <c r="F13657" s="223">
        <v>2026</v>
      </c>
      <c r="G13657" s="223">
        <v>3</v>
      </c>
      <c r="H13657" s="223" t="s">
        <v>61</v>
      </c>
      <c r="I13657" s="226" t="s">
        <v>62</v>
      </c>
      <c r="J13657" s="223" t="s">
        <v>360</v>
      </c>
      <c r="K13657" s="223" t="s">
        <v>34</v>
      </c>
      <c r="L13657" s="223" t="s">
        <v>390</v>
      </c>
      <c r="M13657" s="223">
        <v>3</v>
      </c>
      <c r="N13657" s="223"/>
      <c r="O13657" s="223" t="s">
        <v>63</v>
      </c>
      <c r="P13657" s="223"/>
      <c r="Q13657" s="224"/>
    </row>
    <row r="13658" spans="1:17">
      <c r="A13658" s="221">
        <v>85</v>
      </c>
      <c r="B13658" s="222">
        <v>46059</v>
      </c>
      <c r="C13658" s="223" t="s">
        <v>301</v>
      </c>
      <c r="D13658" s="223" t="s">
        <v>377</v>
      </c>
      <c r="E13658" s="223" t="s">
        <v>362</v>
      </c>
      <c r="F13658" s="223">
        <v>2026</v>
      </c>
      <c r="G13658" s="223">
        <v>3</v>
      </c>
      <c r="H13658" s="223" t="s">
        <v>61</v>
      </c>
      <c r="I13658" s="226" t="s">
        <v>62</v>
      </c>
      <c r="J13658" s="223" t="s">
        <v>360</v>
      </c>
      <c r="K13658" s="223" t="s">
        <v>35</v>
      </c>
      <c r="L13658" s="223" t="s">
        <v>390</v>
      </c>
      <c r="M13658" s="223">
        <v>3</v>
      </c>
      <c r="N13658" s="223"/>
      <c r="O13658" s="223" t="s">
        <v>87</v>
      </c>
      <c r="P13658" s="223"/>
      <c r="Q13658" s="224"/>
    </row>
    <row r="13659" spans="1:17">
      <c r="A13659" s="221"/>
      <c r="B13659" s="222">
        <v>46062</v>
      </c>
      <c r="C13659" s="223" t="s">
        <v>302</v>
      </c>
      <c r="D13659" s="223"/>
      <c r="E13659" s="223" t="s">
        <v>362</v>
      </c>
      <c r="F13659" s="223">
        <v>2026</v>
      </c>
      <c r="G13659" s="223"/>
      <c r="H13659" s="223" t="s">
        <v>80</v>
      </c>
      <c r="I13659" s="226" t="s">
        <v>81</v>
      </c>
      <c r="J13659" s="223" t="s">
        <v>366</v>
      </c>
      <c r="K13659" s="223"/>
      <c r="L13659" s="223" t="s">
        <v>391</v>
      </c>
      <c r="M13659" s="223"/>
      <c r="N13659" s="223"/>
      <c r="O13659" s="223"/>
      <c r="P13659" s="223"/>
      <c r="Q13659" s="224"/>
    </row>
    <row r="13660" spans="1:17">
      <c r="A13660" s="221"/>
      <c r="B13660" s="222">
        <v>46062</v>
      </c>
      <c r="C13660" s="223" t="s">
        <v>302</v>
      </c>
      <c r="D13660" s="223"/>
      <c r="E13660" s="223" t="s">
        <v>362</v>
      </c>
      <c r="F13660" s="223">
        <v>2026</v>
      </c>
      <c r="G13660" s="223"/>
      <c r="H13660" s="223" t="s">
        <v>61</v>
      </c>
      <c r="I13660" s="226" t="s">
        <v>62</v>
      </c>
      <c r="J13660" s="223" t="s">
        <v>360</v>
      </c>
      <c r="K13660" s="223" t="s">
        <v>34</v>
      </c>
      <c r="L13660" s="223" t="s">
        <v>391</v>
      </c>
      <c r="M13660" s="223">
        <v>0</v>
      </c>
      <c r="N13660" s="223"/>
      <c r="O13660" s="223"/>
      <c r="P13660" s="223"/>
      <c r="Q13660" s="224"/>
    </row>
    <row r="13661" spans="1:17">
      <c r="A13661" s="221"/>
      <c r="B13661" s="222">
        <v>46062</v>
      </c>
      <c r="C13661" s="223" t="s">
        <v>302</v>
      </c>
      <c r="D13661" s="223"/>
      <c r="E13661" s="223" t="s">
        <v>362</v>
      </c>
      <c r="F13661" s="223">
        <v>2026</v>
      </c>
      <c r="G13661" s="223"/>
      <c r="H13661" s="223" t="s">
        <v>61</v>
      </c>
      <c r="I13661" s="226" t="s">
        <v>62</v>
      </c>
      <c r="J13661" s="223" t="s">
        <v>360</v>
      </c>
      <c r="K13661" s="223" t="s">
        <v>35</v>
      </c>
      <c r="L13661" s="223" t="s">
        <v>391</v>
      </c>
      <c r="M13661" s="223">
        <v>0</v>
      </c>
      <c r="N13661" s="223"/>
      <c r="O13661" s="223"/>
      <c r="P13661" s="223"/>
      <c r="Q13661" s="224"/>
    </row>
    <row r="13662" spans="1:17">
      <c r="A13662" s="221">
        <v>86</v>
      </c>
      <c r="B13662" s="222">
        <v>46063</v>
      </c>
      <c r="C13662" s="223" t="s">
        <v>289</v>
      </c>
      <c r="D13662" s="223" t="s">
        <v>372</v>
      </c>
      <c r="E13662" s="223" t="s">
        <v>362</v>
      </c>
      <c r="F13662" s="223">
        <v>2026</v>
      </c>
      <c r="G13662" s="223">
        <v>2.5</v>
      </c>
      <c r="H13662" s="223" t="s">
        <v>57</v>
      </c>
      <c r="I13662" s="226" t="s">
        <v>58</v>
      </c>
      <c r="J13662" s="223" t="s">
        <v>373</v>
      </c>
      <c r="K13662" s="223"/>
      <c r="L13662" s="223" t="s">
        <v>392</v>
      </c>
      <c r="M13662" s="223">
        <v>2.5</v>
      </c>
      <c r="N13662" s="223"/>
      <c r="O13662" s="223" t="s">
        <v>72</v>
      </c>
      <c r="P13662" s="223"/>
      <c r="Q13662" s="224"/>
    </row>
    <row r="13663" spans="1:17">
      <c r="A13663" s="221">
        <v>87</v>
      </c>
      <c r="B13663" s="222">
        <v>46063</v>
      </c>
      <c r="C13663" s="223" t="s">
        <v>289</v>
      </c>
      <c r="D13663" s="223" t="s">
        <v>377</v>
      </c>
      <c r="E13663" s="223" t="s">
        <v>362</v>
      </c>
      <c r="F13663" s="223">
        <v>2026</v>
      </c>
      <c r="G13663" s="223">
        <v>3</v>
      </c>
      <c r="H13663" s="223" t="s">
        <v>61</v>
      </c>
      <c r="I13663" s="226" t="s">
        <v>62</v>
      </c>
      <c r="J13663" s="223" t="s">
        <v>360</v>
      </c>
      <c r="K13663" s="223" t="s">
        <v>34</v>
      </c>
      <c r="L13663" s="223" t="s">
        <v>393</v>
      </c>
      <c r="M13663" s="223">
        <v>3</v>
      </c>
      <c r="N13663" s="223"/>
      <c r="O13663" s="223" t="s">
        <v>63</v>
      </c>
      <c r="P13663" s="223"/>
      <c r="Q13663" s="224"/>
    </row>
    <row r="13664" spans="1:17">
      <c r="A13664" s="221">
        <v>88</v>
      </c>
      <c r="B13664" s="222">
        <v>46063</v>
      </c>
      <c r="C13664" s="223" t="s">
        <v>289</v>
      </c>
      <c r="D13664" s="223" t="s">
        <v>377</v>
      </c>
      <c r="E13664" s="223" t="s">
        <v>362</v>
      </c>
      <c r="F13664" s="223">
        <v>2026</v>
      </c>
      <c r="G13664" s="223">
        <v>3</v>
      </c>
      <c r="H13664" s="223" t="s">
        <v>61</v>
      </c>
      <c r="I13664" s="226" t="s">
        <v>62</v>
      </c>
      <c r="J13664" s="223" t="s">
        <v>360</v>
      </c>
      <c r="K13664" s="223" t="s">
        <v>35</v>
      </c>
      <c r="L13664" s="223" t="s">
        <v>393</v>
      </c>
      <c r="M13664" s="223">
        <v>3</v>
      </c>
      <c r="N13664" s="223"/>
      <c r="O13664" s="223" t="s">
        <v>87</v>
      </c>
      <c r="P13664" s="223"/>
      <c r="Q13664" s="224"/>
    </row>
    <row r="13665" spans="1:17">
      <c r="A13665" s="221">
        <v>89</v>
      </c>
      <c r="B13665" s="222">
        <v>46064</v>
      </c>
      <c r="C13665" s="223" t="s">
        <v>294</v>
      </c>
      <c r="D13665" s="223" t="s">
        <v>377</v>
      </c>
      <c r="E13665" s="223" t="s">
        <v>362</v>
      </c>
      <c r="F13665" s="223">
        <v>2026</v>
      </c>
      <c r="G13665" s="223">
        <v>3</v>
      </c>
      <c r="H13665" s="223" t="s">
        <v>61</v>
      </c>
      <c r="I13665" s="226" t="s">
        <v>62</v>
      </c>
      <c r="J13665" s="223" t="s">
        <v>360</v>
      </c>
      <c r="K13665" s="223" t="s">
        <v>34</v>
      </c>
      <c r="L13665" s="223" t="s">
        <v>394</v>
      </c>
      <c r="M13665" s="223">
        <v>3</v>
      </c>
      <c r="N13665" s="223"/>
      <c r="O13665" s="223" t="s">
        <v>63</v>
      </c>
      <c r="P13665" s="223"/>
      <c r="Q13665" s="224"/>
    </row>
    <row r="13666" spans="1:17">
      <c r="A13666" s="221">
        <v>90</v>
      </c>
      <c r="B13666" s="222">
        <v>46064</v>
      </c>
      <c r="C13666" s="223" t="s">
        <v>294</v>
      </c>
      <c r="D13666" s="223" t="s">
        <v>377</v>
      </c>
      <c r="E13666" s="223" t="s">
        <v>362</v>
      </c>
      <c r="F13666" s="223">
        <v>2026</v>
      </c>
      <c r="G13666" s="223">
        <v>3</v>
      </c>
      <c r="H13666" s="223" t="s">
        <v>61</v>
      </c>
      <c r="I13666" s="226" t="s">
        <v>62</v>
      </c>
      <c r="J13666" s="223" t="s">
        <v>360</v>
      </c>
      <c r="K13666" s="223" t="s">
        <v>35</v>
      </c>
      <c r="L13666" s="223" t="s">
        <v>394</v>
      </c>
      <c r="M13666" s="223">
        <v>3</v>
      </c>
      <c r="N13666" s="223"/>
      <c r="O13666" s="223" t="s">
        <v>87</v>
      </c>
      <c r="P13666" s="223"/>
      <c r="Q13666" s="224"/>
    </row>
    <row r="13667" spans="1:17">
      <c r="A13667" s="221">
        <v>91</v>
      </c>
      <c r="B13667" s="222">
        <v>46065</v>
      </c>
      <c r="C13667" s="223" t="s">
        <v>298</v>
      </c>
      <c r="D13667" s="223" t="s">
        <v>395</v>
      </c>
      <c r="E13667" s="223" t="s">
        <v>362</v>
      </c>
      <c r="F13667" s="223">
        <v>2026</v>
      </c>
      <c r="G13667" s="223">
        <v>4</v>
      </c>
      <c r="H13667" s="223" t="s">
        <v>80</v>
      </c>
      <c r="I13667" s="226" t="s">
        <v>81</v>
      </c>
      <c r="J13667" s="223" t="s">
        <v>366</v>
      </c>
      <c r="K13667" s="223"/>
      <c r="L13667" s="223" t="s">
        <v>396</v>
      </c>
      <c r="M13667" s="223">
        <v>4</v>
      </c>
      <c r="N13667" s="223"/>
      <c r="O13667" s="223" t="s">
        <v>82</v>
      </c>
      <c r="P13667" s="223"/>
      <c r="Q13667" s="224"/>
    </row>
    <row r="13668" spans="1:17">
      <c r="A13668" s="221">
        <v>92</v>
      </c>
      <c r="B13668" s="222">
        <v>46065</v>
      </c>
      <c r="C13668" s="223" t="s">
        <v>298</v>
      </c>
      <c r="D13668" s="223" t="s">
        <v>377</v>
      </c>
      <c r="E13668" s="223" t="s">
        <v>362</v>
      </c>
      <c r="F13668" s="223">
        <v>2026</v>
      </c>
      <c r="G13668" s="223">
        <v>3</v>
      </c>
      <c r="H13668" s="223" t="s">
        <v>61</v>
      </c>
      <c r="I13668" s="226" t="s">
        <v>62</v>
      </c>
      <c r="J13668" s="223" t="s">
        <v>360</v>
      </c>
      <c r="K13668" s="223" t="s">
        <v>34</v>
      </c>
      <c r="L13668" s="223" t="s">
        <v>397</v>
      </c>
      <c r="M13668" s="223">
        <v>3</v>
      </c>
      <c r="N13668" s="223"/>
      <c r="O13668" s="223" t="s">
        <v>63</v>
      </c>
      <c r="P13668" s="223"/>
      <c r="Q13668" s="224"/>
    </row>
    <row r="13669" spans="1:17">
      <c r="A13669" s="221">
        <v>93</v>
      </c>
      <c r="B13669" s="222">
        <v>46065</v>
      </c>
      <c r="C13669" s="223" t="s">
        <v>298</v>
      </c>
      <c r="D13669" s="223" t="s">
        <v>377</v>
      </c>
      <c r="E13669" s="223" t="s">
        <v>362</v>
      </c>
      <c r="F13669" s="223">
        <v>2026</v>
      </c>
      <c r="G13669" s="223">
        <v>3</v>
      </c>
      <c r="H13669" s="223" t="s">
        <v>61</v>
      </c>
      <c r="I13669" s="226" t="s">
        <v>62</v>
      </c>
      <c r="J13669" s="223" t="s">
        <v>360</v>
      </c>
      <c r="K13669" s="223" t="s">
        <v>35</v>
      </c>
      <c r="L13669" s="223" t="s">
        <v>397</v>
      </c>
      <c r="M13669" s="223">
        <v>3</v>
      </c>
      <c r="N13669" s="223"/>
      <c r="O13669" s="223" t="s">
        <v>87</v>
      </c>
      <c r="P13669" s="223"/>
      <c r="Q13669" s="224"/>
    </row>
    <row r="13670" spans="1:17">
      <c r="A13670" s="221">
        <v>94</v>
      </c>
      <c r="B13670" s="222">
        <v>46066</v>
      </c>
      <c r="C13670" s="223" t="s">
        <v>301</v>
      </c>
      <c r="D13670" s="223" t="s">
        <v>398</v>
      </c>
      <c r="E13670" s="223" t="s">
        <v>362</v>
      </c>
      <c r="F13670" s="223">
        <v>2026</v>
      </c>
      <c r="G13670" s="223">
        <v>2</v>
      </c>
      <c r="H13670" s="223" t="s">
        <v>57</v>
      </c>
      <c r="I13670" s="226" t="s">
        <v>74</v>
      </c>
      <c r="J13670" s="223" t="s">
        <v>373</v>
      </c>
      <c r="K13670" s="223"/>
      <c r="L13670" s="223" t="s">
        <v>399</v>
      </c>
      <c r="M13670" s="223">
        <v>2</v>
      </c>
      <c r="N13670" s="223"/>
      <c r="O13670" s="223" t="s">
        <v>66</v>
      </c>
      <c r="P13670" s="223"/>
      <c r="Q13670" s="224"/>
    </row>
    <row r="13671" spans="1:17">
      <c r="A13671" s="221">
        <v>95</v>
      </c>
      <c r="B13671" s="222">
        <v>46066</v>
      </c>
      <c r="C13671" s="223" t="s">
        <v>301</v>
      </c>
      <c r="D13671" s="223"/>
      <c r="E13671" s="223" t="s">
        <v>362</v>
      </c>
      <c r="F13671" s="223">
        <v>2026</v>
      </c>
      <c r="G13671" s="223">
        <v>2.5</v>
      </c>
      <c r="H13671" s="223" t="s">
        <v>363</v>
      </c>
      <c r="I13671" s="226"/>
      <c r="J13671" s="223" t="s">
        <v>311</v>
      </c>
      <c r="K13671" s="223" t="s">
        <v>101</v>
      </c>
      <c r="L13671" s="223" t="s">
        <v>400</v>
      </c>
      <c r="M13671" s="223"/>
      <c r="N13671" s="223"/>
      <c r="O13671" s="223" t="s">
        <v>401</v>
      </c>
      <c r="P13671" s="223"/>
      <c r="Q13671" s="224"/>
    </row>
    <row r="13672" spans="1:17">
      <c r="A13672" s="221">
        <v>96</v>
      </c>
      <c r="B13672" s="222">
        <v>46066</v>
      </c>
      <c r="C13672" s="223" t="s">
        <v>301</v>
      </c>
      <c r="D13672" s="223"/>
      <c r="E13672" s="223" t="s">
        <v>402</v>
      </c>
      <c r="F13672" s="223">
        <v>2026</v>
      </c>
      <c r="G13672" s="223">
        <v>2.5</v>
      </c>
      <c r="H13672" s="223" t="s">
        <v>363</v>
      </c>
      <c r="I13672" s="226"/>
      <c r="J13672" s="223" t="s">
        <v>311</v>
      </c>
      <c r="K13672" s="223" t="s">
        <v>101</v>
      </c>
      <c r="L13672" s="223" t="s">
        <v>403</v>
      </c>
      <c r="M13672" s="223"/>
      <c r="N13672" s="223"/>
      <c r="O13672" s="223" t="s">
        <v>401</v>
      </c>
      <c r="P13672" s="223"/>
      <c r="Q13672" s="224"/>
    </row>
    <row r="13673" spans="1:17">
      <c r="A13673" s="221">
        <v>97</v>
      </c>
      <c r="B13673" s="222">
        <v>46066</v>
      </c>
      <c r="C13673" s="223" t="s">
        <v>301</v>
      </c>
      <c r="D13673" s="223" t="s">
        <v>372</v>
      </c>
      <c r="E13673" s="223" t="s">
        <v>362</v>
      </c>
      <c r="F13673" s="223">
        <v>2026</v>
      </c>
      <c r="G13673" s="223">
        <v>2.5</v>
      </c>
      <c r="H13673" s="223" t="s">
        <v>57</v>
      </c>
      <c r="I13673" s="226" t="s">
        <v>58</v>
      </c>
      <c r="J13673" s="223" t="s">
        <v>373</v>
      </c>
      <c r="K13673" s="223"/>
      <c r="L13673" s="223" t="s">
        <v>404</v>
      </c>
      <c r="M13673" s="223">
        <v>2.5</v>
      </c>
      <c r="N13673" s="223"/>
      <c r="O13673" s="223" t="s">
        <v>70</v>
      </c>
      <c r="P13673" s="223"/>
      <c r="Q13673" s="224"/>
    </row>
    <row r="13674" spans="1:17">
      <c r="A13674" s="221">
        <v>98</v>
      </c>
      <c r="B13674" s="222">
        <v>46066</v>
      </c>
      <c r="C13674" s="223" t="s">
        <v>301</v>
      </c>
      <c r="D13674" s="223" t="s">
        <v>377</v>
      </c>
      <c r="E13674" s="223" t="s">
        <v>362</v>
      </c>
      <c r="F13674" s="223">
        <v>2026</v>
      </c>
      <c r="G13674" s="223">
        <v>3</v>
      </c>
      <c r="H13674" s="223" t="s">
        <v>61</v>
      </c>
      <c r="I13674" s="226" t="s">
        <v>62</v>
      </c>
      <c r="J13674" s="223" t="s">
        <v>360</v>
      </c>
      <c r="K13674" s="223" t="s">
        <v>34</v>
      </c>
      <c r="L13674" s="223" t="s">
        <v>405</v>
      </c>
      <c r="M13674" s="223">
        <v>3</v>
      </c>
      <c r="N13674" s="223"/>
      <c r="O13674" s="223" t="s">
        <v>63</v>
      </c>
      <c r="P13674" s="223"/>
      <c r="Q13674" s="224"/>
    </row>
    <row r="13675" spans="1:17">
      <c r="A13675" s="221">
        <v>99</v>
      </c>
      <c r="B13675" s="222">
        <v>46066</v>
      </c>
      <c r="C13675" s="223" t="s">
        <v>301</v>
      </c>
      <c r="D13675" s="223" t="s">
        <v>377</v>
      </c>
      <c r="E13675" s="223" t="s">
        <v>362</v>
      </c>
      <c r="F13675" s="223">
        <v>2026</v>
      </c>
      <c r="G13675" s="223">
        <v>3</v>
      </c>
      <c r="H13675" s="223" t="s">
        <v>61</v>
      </c>
      <c r="I13675" s="226" t="s">
        <v>62</v>
      </c>
      <c r="J13675" s="223" t="s">
        <v>360</v>
      </c>
      <c r="K13675" s="223" t="s">
        <v>35</v>
      </c>
      <c r="L13675" s="223" t="s">
        <v>405</v>
      </c>
      <c r="M13675" s="223">
        <v>3</v>
      </c>
      <c r="N13675" s="223"/>
      <c r="O13675" s="223" t="s">
        <v>87</v>
      </c>
      <c r="P13675" s="223"/>
      <c r="Q13675" s="224"/>
    </row>
    <row r="13676" spans="1:17">
      <c r="A13676" s="221">
        <v>100</v>
      </c>
      <c r="B13676" s="222">
        <v>46069</v>
      </c>
      <c r="C13676" s="223" t="s">
        <v>302</v>
      </c>
      <c r="D13676" s="223" t="s">
        <v>398</v>
      </c>
      <c r="E13676" s="223" t="s">
        <v>362</v>
      </c>
      <c r="F13676" s="223">
        <v>2026</v>
      </c>
      <c r="G13676" s="223">
        <v>2</v>
      </c>
      <c r="H13676" s="223" t="s">
        <v>57</v>
      </c>
      <c r="I13676" s="226" t="s">
        <v>74</v>
      </c>
      <c r="J13676" s="223" t="s">
        <v>373</v>
      </c>
      <c r="K13676" s="223"/>
      <c r="L13676" s="223" t="s">
        <v>406</v>
      </c>
      <c r="M13676" s="223">
        <v>2</v>
      </c>
      <c r="N13676" s="223"/>
      <c r="O13676" s="223" t="s">
        <v>66</v>
      </c>
      <c r="P13676" s="223"/>
      <c r="Q13676" s="224"/>
    </row>
    <row r="13677" spans="1:17">
      <c r="A13677" s="221">
        <v>101</v>
      </c>
      <c r="B13677" s="222">
        <v>46069</v>
      </c>
      <c r="C13677" s="223" t="s">
        <v>302</v>
      </c>
      <c r="D13677" s="223" t="s">
        <v>377</v>
      </c>
      <c r="E13677" s="223" t="s">
        <v>362</v>
      </c>
      <c r="F13677" s="223">
        <v>2026</v>
      </c>
      <c r="G13677" s="223">
        <v>3</v>
      </c>
      <c r="H13677" s="223" t="s">
        <v>61</v>
      </c>
      <c r="I13677" s="226" t="s">
        <v>62</v>
      </c>
      <c r="J13677" s="223" t="s">
        <v>360</v>
      </c>
      <c r="K13677" s="223" t="s">
        <v>34</v>
      </c>
      <c r="L13677" s="223" t="s">
        <v>407</v>
      </c>
      <c r="M13677" s="223">
        <v>3</v>
      </c>
      <c r="N13677" s="223"/>
      <c r="O13677" s="223" t="s">
        <v>63</v>
      </c>
      <c r="P13677" s="223"/>
      <c r="Q13677" s="224"/>
    </row>
    <row r="13678" spans="1:17">
      <c r="A13678" s="221">
        <v>102</v>
      </c>
      <c r="B13678" s="222">
        <v>46069</v>
      </c>
      <c r="C13678" s="223" t="s">
        <v>302</v>
      </c>
      <c r="D13678" s="223" t="s">
        <v>377</v>
      </c>
      <c r="E13678" s="223" t="s">
        <v>362</v>
      </c>
      <c r="F13678" s="223">
        <v>2026</v>
      </c>
      <c r="G13678" s="223">
        <v>3</v>
      </c>
      <c r="H13678" s="223" t="s">
        <v>61</v>
      </c>
      <c r="I13678" s="226" t="s">
        <v>62</v>
      </c>
      <c r="J13678" s="223" t="s">
        <v>360</v>
      </c>
      <c r="K13678" s="223" t="s">
        <v>35</v>
      </c>
      <c r="L13678" s="223" t="s">
        <v>407</v>
      </c>
      <c r="M13678" s="223">
        <v>3</v>
      </c>
      <c r="N13678" s="223"/>
      <c r="O13678" s="223" t="s">
        <v>87</v>
      </c>
      <c r="P13678" s="223"/>
      <c r="Q13678" s="224"/>
    </row>
    <row r="13679" spans="1:17">
      <c r="A13679" s="221"/>
      <c r="B13679" s="222">
        <v>46070</v>
      </c>
      <c r="C13679" s="223" t="s">
        <v>289</v>
      </c>
      <c r="D13679" s="223"/>
      <c r="E13679" s="223" t="s">
        <v>362</v>
      </c>
      <c r="F13679" s="223">
        <v>2026</v>
      </c>
      <c r="G13679" s="223"/>
      <c r="H13679" s="223" t="s">
        <v>61</v>
      </c>
      <c r="I13679" s="226" t="s">
        <v>62</v>
      </c>
      <c r="J13679" s="223" t="s">
        <v>360</v>
      </c>
      <c r="K13679" s="223" t="s">
        <v>34</v>
      </c>
      <c r="L13679" s="223" t="s">
        <v>391</v>
      </c>
      <c r="M13679" s="223">
        <v>0</v>
      </c>
      <c r="N13679" s="223"/>
      <c r="O13679" s="223"/>
      <c r="P13679" s="223"/>
      <c r="Q13679" s="224"/>
    </row>
    <row r="13680" spans="1:17">
      <c r="A13680" s="221"/>
      <c r="B13680" s="222">
        <v>46070</v>
      </c>
      <c r="C13680" s="223" t="s">
        <v>289</v>
      </c>
      <c r="D13680" s="223"/>
      <c r="E13680" s="223" t="s">
        <v>362</v>
      </c>
      <c r="F13680" s="223">
        <v>2026</v>
      </c>
      <c r="G13680" s="223"/>
      <c r="H13680" s="223" t="s">
        <v>61</v>
      </c>
      <c r="I13680" s="226" t="s">
        <v>62</v>
      </c>
      <c r="J13680" s="223" t="s">
        <v>360</v>
      </c>
      <c r="K13680" s="223" t="s">
        <v>35</v>
      </c>
      <c r="L13680" s="223" t="s">
        <v>391</v>
      </c>
      <c r="M13680" s="223">
        <v>0</v>
      </c>
      <c r="N13680" s="223"/>
      <c r="O13680" s="223"/>
      <c r="P13680" s="223"/>
      <c r="Q13680" s="224"/>
    </row>
    <row r="13681" spans="1:17">
      <c r="A13681" s="221">
        <v>103</v>
      </c>
      <c r="B13681" s="222">
        <v>46071</v>
      </c>
      <c r="C13681" s="223" t="s">
        <v>294</v>
      </c>
      <c r="D13681" s="223" t="s">
        <v>398</v>
      </c>
      <c r="E13681" s="223" t="s">
        <v>362</v>
      </c>
      <c r="F13681" s="223">
        <v>2026</v>
      </c>
      <c r="G13681" s="223">
        <v>2</v>
      </c>
      <c r="H13681" s="223" t="s">
        <v>57</v>
      </c>
      <c r="I13681" s="226" t="s">
        <v>74</v>
      </c>
      <c r="J13681" s="223" t="s">
        <v>373</v>
      </c>
      <c r="K13681" s="223"/>
      <c r="L13681" s="223" t="s">
        <v>408</v>
      </c>
      <c r="M13681" s="223">
        <v>2</v>
      </c>
      <c r="N13681" s="223"/>
      <c r="O13681" s="223" t="s">
        <v>66</v>
      </c>
      <c r="P13681" s="223"/>
      <c r="Q13681" s="224"/>
    </row>
    <row r="13682" spans="1:17">
      <c r="A13682" s="221">
        <v>104</v>
      </c>
      <c r="B13682" s="222">
        <v>46071</v>
      </c>
      <c r="C13682" s="223" t="s">
        <v>294</v>
      </c>
      <c r="D13682" s="223" t="s">
        <v>372</v>
      </c>
      <c r="E13682" s="223" t="s">
        <v>362</v>
      </c>
      <c r="F13682" s="223">
        <v>2026</v>
      </c>
      <c r="G13682" s="223">
        <v>2.5</v>
      </c>
      <c r="H13682" s="223" t="s">
        <v>57</v>
      </c>
      <c r="I13682" s="226" t="s">
        <v>58</v>
      </c>
      <c r="J13682" s="223" t="s">
        <v>373</v>
      </c>
      <c r="K13682" s="223"/>
      <c r="L13682" s="223" t="s">
        <v>409</v>
      </c>
      <c r="M13682" s="223">
        <v>2.5</v>
      </c>
      <c r="N13682" s="223"/>
      <c r="O13682" s="223" t="s">
        <v>70</v>
      </c>
      <c r="P13682" s="223"/>
      <c r="Q13682" s="224"/>
    </row>
    <row r="13683" spans="1:17">
      <c r="A13683" s="221">
        <v>105</v>
      </c>
      <c r="B13683" s="222">
        <v>46071</v>
      </c>
      <c r="C13683" s="223" t="s">
        <v>294</v>
      </c>
      <c r="D13683" s="223" t="s">
        <v>377</v>
      </c>
      <c r="E13683" s="223" t="s">
        <v>362</v>
      </c>
      <c r="F13683" s="223">
        <v>2026</v>
      </c>
      <c r="G13683" s="223">
        <v>3</v>
      </c>
      <c r="H13683" s="223" t="s">
        <v>61</v>
      </c>
      <c r="I13683" s="226" t="s">
        <v>62</v>
      </c>
      <c r="J13683" s="223" t="s">
        <v>360</v>
      </c>
      <c r="K13683" s="223" t="s">
        <v>34</v>
      </c>
      <c r="L13683" s="223" t="s">
        <v>410</v>
      </c>
      <c r="M13683" s="223">
        <v>3</v>
      </c>
      <c r="N13683" s="223"/>
      <c r="O13683" s="223" t="s">
        <v>63</v>
      </c>
      <c r="P13683" s="223"/>
      <c r="Q13683" s="224"/>
    </row>
    <row r="13684" spans="1:17">
      <c r="A13684" s="221">
        <v>106</v>
      </c>
      <c r="B13684" s="222">
        <v>46071</v>
      </c>
      <c r="C13684" s="223" t="s">
        <v>294</v>
      </c>
      <c r="D13684" s="223" t="s">
        <v>377</v>
      </c>
      <c r="E13684" s="223" t="s">
        <v>362</v>
      </c>
      <c r="F13684" s="223">
        <v>2026</v>
      </c>
      <c r="G13684" s="223">
        <v>3</v>
      </c>
      <c r="H13684" s="223" t="s">
        <v>61</v>
      </c>
      <c r="I13684" s="226" t="s">
        <v>62</v>
      </c>
      <c r="J13684" s="223" t="s">
        <v>360</v>
      </c>
      <c r="K13684" s="223" t="s">
        <v>35</v>
      </c>
      <c r="L13684" s="223" t="s">
        <v>410</v>
      </c>
      <c r="M13684" s="223">
        <v>3</v>
      </c>
      <c r="N13684" s="223"/>
      <c r="O13684" s="223" t="s">
        <v>87</v>
      </c>
      <c r="P13684" s="223"/>
      <c r="Q13684" s="224"/>
    </row>
    <row r="13685" spans="1:17">
      <c r="A13685" s="221">
        <v>107</v>
      </c>
      <c r="B13685" s="222">
        <v>46072</v>
      </c>
      <c r="C13685" s="223" t="s">
        <v>298</v>
      </c>
      <c r="D13685" s="223" t="s">
        <v>377</v>
      </c>
      <c r="E13685" s="223" t="s">
        <v>362</v>
      </c>
      <c r="F13685" s="223">
        <v>2026</v>
      </c>
      <c r="G13685" s="223">
        <v>3</v>
      </c>
      <c r="H13685" s="223" t="s">
        <v>61</v>
      </c>
      <c r="I13685" s="226" t="s">
        <v>62</v>
      </c>
      <c r="J13685" s="223" t="s">
        <v>360</v>
      </c>
      <c r="K13685" s="223" t="s">
        <v>34</v>
      </c>
      <c r="L13685" s="223" t="s">
        <v>411</v>
      </c>
      <c r="M13685" s="223">
        <v>3</v>
      </c>
      <c r="N13685" s="223"/>
      <c r="O13685" s="223" t="s">
        <v>63</v>
      </c>
      <c r="P13685" s="223"/>
      <c r="Q13685" s="224"/>
    </row>
    <row r="13686" spans="1:17">
      <c r="A13686" s="221">
        <v>108</v>
      </c>
      <c r="B13686" s="222">
        <v>46072</v>
      </c>
      <c r="C13686" s="223" t="s">
        <v>298</v>
      </c>
      <c r="D13686" s="223" t="s">
        <v>377</v>
      </c>
      <c r="E13686" s="223" t="s">
        <v>362</v>
      </c>
      <c r="F13686" s="223">
        <v>2026</v>
      </c>
      <c r="G13686" s="223">
        <v>3</v>
      </c>
      <c r="H13686" s="223" t="s">
        <v>61</v>
      </c>
      <c r="I13686" s="226" t="s">
        <v>62</v>
      </c>
      <c r="J13686" s="223" t="s">
        <v>360</v>
      </c>
      <c r="K13686" s="223" t="s">
        <v>35</v>
      </c>
      <c r="L13686" s="223" t="s">
        <v>411</v>
      </c>
      <c r="M13686" s="223">
        <v>3</v>
      </c>
      <c r="N13686" s="223"/>
      <c r="O13686" s="223" t="s">
        <v>85</v>
      </c>
      <c r="P13686" s="223"/>
      <c r="Q13686" s="224"/>
    </row>
    <row r="13687" spans="1:17">
      <c r="A13687" s="221">
        <v>109</v>
      </c>
      <c r="B13687" s="222">
        <v>46073</v>
      </c>
      <c r="C13687" s="223" t="s">
        <v>301</v>
      </c>
      <c r="D13687" s="223" t="s">
        <v>398</v>
      </c>
      <c r="E13687" s="223" t="s">
        <v>362</v>
      </c>
      <c r="F13687" s="223">
        <v>2026</v>
      </c>
      <c r="G13687" s="223">
        <v>2</v>
      </c>
      <c r="H13687" s="223" t="s">
        <v>57</v>
      </c>
      <c r="I13687" s="226" t="s">
        <v>74</v>
      </c>
      <c r="J13687" s="223" t="s">
        <v>373</v>
      </c>
      <c r="K13687" s="223"/>
      <c r="L13687" s="223" t="s">
        <v>412</v>
      </c>
      <c r="M13687" s="223">
        <v>2</v>
      </c>
      <c r="N13687" s="223"/>
      <c r="O13687" s="223" t="s">
        <v>66</v>
      </c>
      <c r="P13687" s="223"/>
      <c r="Q13687" s="224"/>
    </row>
    <row r="13688" spans="1:17">
      <c r="A13688" s="221">
        <v>110</v>
      </c>
      <c r="B13688" s="222">
        <v>46073</v>
      </c>
      <c r="C13688" s="223" t="s">
        <v>301</v>
      </c>
      <c r="D13688" s="223" t="s">
        <v>372</v>
      </c>
      <c r="E13688" s="223" t="s">
        <v>362</v>
      </c>
      <c r="F13688" s="223">
        <v>2026</v>
      </c>
      <c r="G13688" s="223">
        <v>2.5</v>
      </c>
      <c r="H13688" s="223" t="s">
        <v>57</v>
      </c>
      <c r="I13688" s="226" t="s">
        <v>58</v>
      </c>
      <c r="J13688" s="223" t="s">
        <v>373</v>
      </c>
      <c r="K13688" s="223"/>
      <c r="L13688" s="223" t="s">
        <v>413</v>
      </c>
      <c r="M13688" s="223">
        <v>2.5</v>
      </c>
      <c r="N13688" s="223"/>
      <c r="O13688" s="223" t="s">
        <v>414</v>
      </c>
      <c r="P13688" s="223"/>
      <c r="Q13688" s="224"/>
    </row>
    <row r="13689" spans="1:17">
      <c r="A13689" s="221">
        <v>111</v>
      </c>
      <c r="B13689" s="222">
        <v>46073</v>
      </c>
      <c r="C13689" s="223" t="s">
        <v>301</v>
      </c>
      <c r="D13689" s="223" t="s">
        <v>377</v>
      </c>
      <c r="E13689" s="223" t="s">
        <v>362</v>
      </c>
      <c r="F13689" s="223">
        <v>2026</v>
      </c>
      <c r="G13689" s="223">
        <v>3</v>
      </c>
      <c r="H13689" s="223" t="s">
        <v>61</v>
      </c>
      <c r="I13689" s="226" t="s">
        <v>62</v>
      </c>
      <c r="J13689" s="223" t="s">
        <v>360</v>
      </c>
      <c r="K13689" s="223" t="s">
        <v>34</v>
      </c>
      <c r="L13689" s="223" t="s">
        <v>415</v>
      </c>
      <c r="M13689" s="223">
        <v>3</v>
      </c>
      <c r="N13689" s="223"/>
      <c r="O13689" s="223" t="s">
        <v>63</v>
      </c>
      <c r="P13689" s="223"/>
      <c r="Q13689" s="224"/>
    </row>
    <row r="13690" spans="1:17">
      <c r="A13690" s="221">
        <v>112</v>
      </c>
      <c r="B13690" s="222">
        <v>46073</v>
      </c>
      <c r="C13690" s="223" t="s">
        <v>301</v>
      </c>
      <c r="D13690" s="223" t="s">
        <v>377</v>
      </c>
      <c r="E13690" s="223" t="s">
        <v>362</v>
      </c>
      <c r="F13690" s="223">
        <v>2026</v>
      </c>
      <c r="G13690" s="223">
        <v>3</v>
      </c>
      <c r="H13690" s="223" t="s">
        <v>61</v>
      </c>
      <c r="I13690" s="226" t="s">
        <v>62</v>
      </c>
      <c r="J13690" s="223" t="s">
        <v>360</v>
      </c>
      <c r="K13690" s="223" t="s">
        <v>35</v>
      </c>
      <c r="L13690" s="223" t="s">
        <v>415</v>
      </c>
      <c r="M13690" s="223">
        <v>3</v>
      </c>
      <c r="N13690" s="223"/>
      <c r="O13690" s="223" t="s">
        <v>85</v>
      </c>
      <c r="P13690" s="223"/>
      <c r="Q13690" s="224"/>
    </row>
    <row r="13691" spans="1:17">
      <c r="A13691" s="221">
        <v>113</v>
      </c>
      <c r="B13691" s="222">
        <v>46076</v>
      </c>
      <c r="C13691" s="223" t="s">
        <v>302</v>
      </c>
      <c r="D13691" s="223" t="s">
        <v>398</v>
      </c>
      <c r="E13691" s="223" t="s">
        <v>362</v>
      </c>
      <c r="F13691" s="223">
        <v>2026</v>
      </c>
      <c r="G13691" s="223">
        <v>2</v>
      </c>
      <c r="H13691" s="223" t="s">
        <v>57</v>
      </c>
      <c r="I13691" s="226" t="s">
        <v>74</v>
      </c>
      <c r="J13691" s="223" t="s">
        <v>373</v>
      </c>
      <c r="K13691" s="223"/>
      <c r="L13691" s="223" t="s">
        <v>416</v>
      </c>
      <c r="M13691" s="223">
        <v>2</v>
      </c>
      <c r="N13691" s="223"/>
      <c r="O13691" s="223" t="s">
        <v>66</v>
      </c>
      <c r="P13691" s="223"/>
      <c r="Q13691" s="224"/>
    </row>
    <row r="13692" spans="1:17">
      <c r="A13692" s="221">
        <v>114</v>
      </c>
      <c r="B13692" s="222">
        <v>46076</v>
      </c>
      <c r="C13692" s="223" t="s">
        <v>302</v>
      </c>
      <c r="D13692" s="223" t="s">
        <v>377</v>
      </c>
      <c r="E13692" s="223" t="s">
        <v>362</v>
      </c>
      <c r="F13692" s="223">
        <v>2026</v>
      </c>
      <c r="G13692" s="223">
        <v>3</v>
      </c>
      <c r="H13692" s="223" t="s">
        <v>61</v>
      </c>
      <c r="I13692" s="226" t="s">
        <v>62</v>
      </c>
      <c r="J13692" s="223" t="s">
        <v>360</v>
      </c>
      <c r="K13692" s="223" t="s">
        <v>34</v>
      </c>
      <c r="L13692" s="223" t="s">
        <v>417</v>
      </c>
      <c r="M13692" s="223">
        <v>3</v>
      </c>
      <c r="N13692" s="223"/>
      <c r="O13692" s="223" t="s">
        <v>63</v>
      </c>
      <c r="P13692" s="223"/>
      <c r="Q13692" s="224"/>
    </row>
    <row r="13693" spans="1:17">
      <c r="A13693" s="221">
        <v>115</v>
      </c>
      <c r="B13693" s="222">
        <v>46076</v>
      </c>
      <c r="C13693" s="223" t="s">
        <v>302</v>
      </c>
      <c r="D13693" s="223" t="s">
        <v>377</v>
      </c>
      <c r="E13693" s="223" t="s">
        <v>362</v>
      </c>
      <c r="F13693" s="223">
        <v>2026</v>
      </c>
      <c r="G13693" s="223">
        <v>3</v>
      </c>
      <c r="H13693" s="223" t="s">
        <v>61</v>
      </c>
      <c r="I13693" s="226" t="s">
        <v>62</v>
      </c>
      <c r="J13693" s="223" t="s">
        <v>360</v>
      </c>
      <c r="K13693" s="223" t="s">
        <v>35</v>
      </c>
      <c r="L13693" s="223" t="s">
        <v>417</v>
      </c>
      <c r="M13693" s="223">
        <v>3</v>
      </c>
      <c r="N13693" s="223"/>
      <c r="O13693" s="223" t="s">
        <v>87</v>
      </c>
      <c r="P13693" s="223"/>
      <c r="Q13693" s="224"/>
    </row>
    <row r="13694" spans="1:17">
      <c r="A13694" s="221">
        <v>116</v>
      </c>
      <c r="B13694" s="222">
        <v>46077</v>
      </c>
      <c r="C13694" s="223" t="s">
        <v>289</v>
      </c>
      <c r="D13694" s="223"/>
      <c r="E13694" s="223" t="s">
        <v>362</v>
      </c>
      <c r="F13694" s="223">
        <v>2026</v>
      </c>
      <c r="G13694" s="223"/>
      <c r="H13694" s="223" t="s">
        <v>99</v>
      </c>
      <c r="I13694" s="226" t="s">
        <v>100</v>
      </c>
      <c r="J13694" s="223" t="s">
        <v>373</v>
      </c>
      <c r="K13694" s="223" t="s">
        <v>10</v>
      </c>
      <c r="L13694" s="223" t="s">
        <v>418</v>
      </c>
      <c r="M13694" s="223">
        <v>2.5</v>
      </c>
      <c r="N13694" s="223"/>
      <c r="O13694" s="223" t="s">
        <v>29</v>
      </c>
      <c r="P13694" s="223"/>
      <c r="Q13694" s="224"/>
    </row>
    <row r="13695" spans="1:17">
      <c r="A13695" s="221">
        <v>117</v>
      </c>
      <c r="B13695" s="222">
        <v>46077</v>
      </c>
      <c r="C13695" s="223" t="s">
        <v>289</v>
      </c>
      <c r="D13695" s="223" t="s">
        <v>377</v>
      </c>
      <c r="E13695" s="223" t="s">
        <v>362</v>
      </c>
      <c r="F13695" s="223">
        <v>2026</v>
      </c>
      <c r="G13695" s="223">
        <v>3</v>
      </c>
      <c r="H13695" s="223" t="s">
        <v>61</v>
      </c>
      <c r="I13695" s="226" t="s">
        <v>62</v>
      </c>
      <c r="J13695" s="223" t="s">
        <v>360</v>
      </c>
      <c r="K13695" s="223" t="s">
        <v>34</v>
      </c>
      <c r="L13695" s="223" t="s">
        <v>419</v>
      </c>
      <c r="M13695" s="223">
        <v>3</v>
      </c>
      <c r="N13695" s="223"/>
      <c r="O13695" s="223" t="s">
        <v>63</v>
      </c>
      <c r="P13695" s="223"/>
      <c r="Q13695" s="224"/>
    </row>
    <row r="13696" spans="1:17">
      <c r="A13696" s="221">
        <v>118</v>
      </c>
      <c r="B13696" s="222">
        <v>46077</v>
      </c>
      <c r="C13696" s="223" t="s">
        <v>289</v>
      </c>
      <c r="D13696" s="223" t="s">
        <v>377</v>
      </c>
      <c r="E13696" s="223" t="s">
        <v>362</v>
      </c>
      <c r="F13696" s="223">
        <v>2026</v>
      </c>
      <c r="G13696" s="223">
        <v>3</v>
      </c>
      <c r="H13696" s="223" t="s">
        <v>61</v>
      </c>
      <c r="I13696" s="226" t="s">
        <v>62</v>
      </c>
      <c r="J13696" s="223" t="s">
        <v>360</v>
      </c>
      <c r="K13696" s="223" t="s">
        <v>35</v>
      </c>
      <c r="L13696" s="223" t="s">
        <v>419</v>
      </c>
      <c r="M13696" s="223">
        <v>3</v>
      </c>
      <c r="N13696" s="223"/>
      <c r="O13696" s="223" t="s">
        <v>87</v>
      </c>
      <c r="P13696" s="223"/>
      <c r="Q13696" s="224"/>
    </row>
    <row r="13697" spans="1:17">
      <c r="A13697" s="221">
        <v>119</v>
      </c>
      <c r="B13697" s="222">
        <v>46077</v>
      </c>
      <c r="C13697" s="223" t="s">
        <v>289</v>
      </c>
      <c r="D13697" s="223" t="s">
        <v>420</v>
      </c>
      <c r="E13697" s="223" t="s">
        <v>362</v>
      </c>
      <c r="F13697" s="223">
        <v>2026</v>
      </c>
      <c r="G13697" s="223">
        <v>1</v>
      </c>
      <c r="H13697" s="223" t="s">
        <v>61</v>
      </c>
      <c r="I13697" s="226" t="s">
        <v>62</v>
      </c>
      <c r="J13697" s="223" t="s">
        <v>360</v>
      </c>
      <c r="K13697" s="223" t="s">
        <v>37</v>
      </c>
      <c r="L13697" s="223" t="s">
        <v>361</v>
      </c>
      <c r="M13697" s="223">
        <v>1</v>
      </c>
      <c r="N13697" s="223"/>
      <c r="O13697" s="223" t="s">
        <v>65</v>
      </c>
      <c r="P13697" s="223"/>
      <c r="Q13697" s="224"/>
    </row>
    <row r="13698" spans="1:17">
      <c r="A13698" s="221">
        <v>120</v>
      </c>
      <c r="B13698" s="222">
        <v>46077</v>
      </c>
      <c r="C13698" s="223" t="s">
        <v>289</v>
      </c>
      <c r="D13698" s="223" t="s">
        <v>420</v>
      </c>
      <c r="E13698" s="223" t="s">
        <v>362</v>
      </c>
      <c r="F13698" s="223">
        <v>2026</v>
      </c>
      <c r="G13698" s="223">
        <v>1</v>
      </c>
      <c r="H13698" s="223" t="s">
        <v>61</v>
      </c>
      <c r="I13698" s="226" t="s">
        <v>62</v>
      </c>
      <c r="J13698" s="223" t="s">
        <v>360</v>
      </c>
      <c r="K13698" s="223" t="s">
        <v>38</v>
      </c>
      <c r="L13698" s="223" t="s">
        <v>361</v>
      </c>
      <c r="M13698" s="223">
        <v>1</v>
      </c>
      <c r="N13698" s="223"/>
      <c r="O13698" s="223" t="s">
        <v>65</v>
      </c>
      <c r="P13698" s="223"/>
      <c r="Q13698" s="224"/>
    </row>
    <row r="13699" spans="1:17">
      <c r="A13699" s="221">
        <v>121</v>
      </c>
      <c r="B13699" s="222">
        <v>46078</v>
      </c>
      <c r="C13699" s="223" t="s">
        <v>294</v>
      </c>
      <c r="D13699" s="223" t="s">
        <v>398</v>
      </c>
      <c r="E13699" s="223" t="s">
        <v>362</v>
      </c>
      <c r="F13699" s="223">
        <v>2026</v>
      </c>
      <c r="G13699" s="223">
        <v>2</v>
      </c>
      <c r="H13699" s="223" t="s">
        <v>57</v>
      </c>
      <c r="I13699" s="226" t="s">
        <v>74</v>
      </c>
      <c r="J13699" s="223" t="s">
        <v>373</v>
      </c>
      <c r="K13699" s="223"/>
      <c r="L13699" s="223" t="s">
        <v>421</v>
      </c>
      <c r="M13699" s="223">
        <v>2</v>
      </c>
      <c r="N13699" s="223"/>
      <c r="O13699" s="223" t="s">
        <v>66</v>
      </c>
      <c r="P13699" s="223"/>
      <c r="Q13699" s="224"/>
    </row>
    <row r="13700" spans="1:17">
      <c r="A13700" s="221">
        <v>122</v>
      </c>
      <c r="B13700" s="222">
        <v>46078</v>
      </c>
      <c r="C13700" s="223" t="s">
        <v>294</v>
      </c>
      <c r="D13700" s="223" t="s">
        <v>372</v>
      </c>
      <c r="E13700" s="223" t="s">
        <v>362</v>
      </c>
      <c r="F13700" s="223">
        <v>2026</v>
      </c>
      <c r="G13700" s="223">
        <v>2.5</v>
      </c>
      <c r="H13700" s="223" t="s">
        <v>57</v>
      </c>
      <c r="I13700" s="226" t="s">
        <v>58</v>
      </c>
      <c r="J13700" s="223" t="s">
        <v>373</v>
      </c>
      <c r="K13700" s="223"/>
      <c r="L13700" s="223" t="s">
        <v>413</v>
      </c>
      <c r="M13700" s="223">
        <v>2.5</v>
      </c>
      <c r="N13700" s="223"/>
      <c r="O13700" s="223" t="s">
        <v>414</v>
      </c>
      <c r="P13700" s="223"/>
      <c r="Q13700" s="224"/>
    </row>
    <row r="13701" spans="1:17">
      <c r="A13701" s="221">
        <v>123</v>
      </c>
      <c r="B13701" s="222">
        <v>46078</v>
      </c>
      <c r="C13701" s="223" t="s">
        <v>294</v>
      </c>
      <c r="D13701" s="223" t="s">
        <v>377</v>
      </c>
      <c r="E13701" s="223" t="s">
        <v>362</v>
      </c>
      <c r="F13701" s="223">
        <v>2026</v>
      </c>
      <c r="G13701" s="223">
        <v>3</v>
      </c>
      <c r="H13701" s="223" t="s">
        <v>61</v>
      </c>
      <c r="I13701" s="226" t="s">
        <v>62</v>
      </c>
      <c r="J13701" s="223" t="s">
        <v>360</v>
      </c>
      <c r="K13701" s="223" t="s">
        <v>34</v>
      </c>
      <c r="L13701" s="223" t="s">
        <v>422</v>
      </c>
      <c r="M13701" s="223">
        <v>3</v>
      </c>
      <c r="N13701" s="223"/>
      <c r="O13701" s="223" t="s">
        <v>63</v>
      </c>
      <c r="P13701" s="223"/>
      <c r="Q13701" s="224"/>
    </row>
    <row r="13702" spans="1:17">
      <c r="A13702" s="221">
        <v>124</v>
      </c>
      <c r="B13702" s="222">
        <v>46078</v>
      </c>
      <c r="C13702" s="223" t="s">
        <v>294</v>
      </c>
      <c r="D13702" s="223" t="s">
        <v>377</v>
      </c>
      <c r="E13702" s="223" t="s">
        <v>362</v>
      </c>
      <c r="F13702" s="223">
        <v>2026</v>
      </c>
      <c r="G13702" s="223">
        <v>3</v>
      </c>
      <c r="H13702" s="223" t="s">
        <v>61</v>
      </c>
      <c r="I13702" s="226" t="s">
        <v>62</v>
      </c>
      <c r="J13702" s="223" t="s">
        <v>360</v>
      </c>
      <c r="K13702" s="223" t="s">
        <v>35</v>
      </c>
      <c r="L13702" s="223" t="s">
        <v>422</v>
      </c>
      <c r="M13702" s="223">
        <v>3</v>
      </c>
      <c r="N13702" s="223"/>
      <c r="O13702" s="223" t="s">
        <v>87</v>
      </c>
      <c r="P13702" s="223"/>
      <c r="Q13702" s="224"/>
    </row>
    <row r="13703" spans="1:17">
      <c r="A13703" s="221">
        <v>125</v>
      </c>
      <c r="B13703" s="222">
        <v>46079</v>
      </c>
      <c r="C13703" s="223" t="s">
        <v>298</v>
      </c>
      <c r="D13703" s="223" t="s">
        <v>395</v>
      </c>
      <c r="E13703" s="223" t="s">
        <v>362</v>
      </c>
      <c r="F13703" s="223">
        <v>2026</v>
      </c>
      <c r="G13703" s="223">
        <v>4</v>
      </c>
      <c r="H13703" s="223" t="s">
        <v>80</v>
      </c>
      <c r="I13703" s="226" t="s">
        <v>81</v>
      </c>
      <c r="J13703" s="223" t="s">
        <v>366</v>
      </c>
      <c r="K13703" s="223"/>
      <c r="L13703" s="223" t="s">
        <v>423</v>
      </c>
      <c r="M13703" s="223">
        <v>4</v>
      </c>
      <c r="N13703" s="223"/>
      <c r="O13703" s="223" t="s">
        <v>12</v>
      </c>
      <c r="P13703" s="223"/>
      <c r="Q13703" s="224"/>
    </row>
    <row r="13704" spans="1:17">
      <c r="A13704" s="221">
        <v>126</v>
      </c>
      <c r="B13704" s="222">
        <v>46079</v>
      </c>
      <c r="C13704" s="223" t="s">
        <v>298</v>
      </c>
      <c r="D13704" s="223" t="s">
        <v>377</v>
      </c>
      <c r="E13704" s="223" t="s">
        <v>362</v>
      </c>
      <c r="F13704" s="223">
        <v>2026</v>
      </c>
      <c r="G13704" s="223">
        <v>3</v>
      </c>
      <c r="H13704" s="223" t="s">
        <v>61</v>
      </c>
      <c r="I13704" s="226" t="s">
        <v>62</v>
      </c>
      <c r="J13704" s="223" t="s">
        <v>360</v>
      </c>
      <c r="K13704" s="223" t="s">
        <v>34</v>
      </c>
      <c r="L13704" s="223" t="s">
        <v>424</v>
      </c>
      <c r="M13704" s="223">
        <v>3</v>
      </c>
      <c r="N13704" s="223"/>
      <c r="O13704" s="223" t="s">
        <v>63</v>
      </c>
      <c r="P13704" s="223"/>
      <c r="Q13704" s="224"/>
    </row>
    <row r="13705" spans="1:17">
      <c r="A13705" s="221">
        <v>127</v>
      </c>
      <c r="B13705" s="222">
        <v>46079</v>
      </c>
      <c r="C13705" s="223" t="s">
        <v>298</v>
      </c>
      <c r="D13705" s="223" t="s">
        <v>377</v>
      </c>
      <c r="E13705" s="223" t="s">
        <v>362</v>
      </c>
      <c r="F13705" s="223">
        <v>2026</v>
      </c>
      <c r="G13705" s="223">
        <v>3</v>
      </c>
      <c r="H13705" s="223" t="s">
        <v>61</v>
      </c>
      <c r="I13705" s="226" t="s">
        <v>62</v>
      </c>
      <c r="J13705" s="223" t="s">
        <v>360</v>
      </c>
      <c r="K13705" s="223" t="s">
        <v>35</v>
      </c>
      <c r="L13705" s="223" t="s">
        <v>424</v>
      </c>
      <c r="M13705" s="223">
        <v>3</v>
      </c>
      <c r="N13705" s="223"/>
      <c r="O13705" s="223" t="s">
        <v>87</v>
      </c>
      <c r="P13705" s="223"/>
      <c r="Q13705" s="224"/>
    </row>
    <row r="13706" spans="1:17">
      <c r="A13706" s="221">
        <v>128</v>
      </c>
      <c r="B13706" s="222">
        <v>46080</v>
      </c>
      <c r="C13706" s="223" t="s">
        <v>301</v>
      </c>
      <c r="D13706" s="223" t="s">
        <v>398</v>
      </c>
      <c r="E13706" s="223" t="s">
        <v>362</v>
      </c>
      <c r="F13706" s="223">
        <v>2026</v>
      </c>
      <c r="G13706" s="223">
        <v>2</v>
      </c>
      <c r="H13706" s="223" t="s">
        <v>57</v>
      </c>
      <c r="I13706" s="226" t="s">
        <v>74</v>
      </c>
      <c r="J13706" s="223" t="s">
        <v>373</v>
      </c>
      <c r="K13706" s="223"/>
      <c r="L13706" s="223" t="s">
        <v>425</v>
      </c>
      <c r="M13706" s="223">
        <v>2</v>
      </c>
      <c r="N13706" s="223"/>
      <c r="O13706" s="223" t="s">
        <v>66</v>
      </c>
      <c r="P13706" s="223"/>
      <c r="Q13706" s="224"/>
    </row>
    <row r="13707" spans="1:17">
      <c r="A13707" s="221">
        <v>129</v>
      </c>
      <c r="B13707" s="222">
        <v>46080</v>
      </c>
      <c r="C13707" s="223" t="s">
        <v>301</v>
      </c>
      <c r="D13707" s="223" t="s">
        <v>395</v>
      </c>
      <c r="E13707" s="223" t="s">
        <v>362</v>
      </c>
      <c r="F13707" s="223">
        <v>2026</v>
      </c>
      <c r="G13707" s="223">
        <v>4</v>
      </c>
      <c r="H13707" s="223" t="s">
        <v>80</v>
      </c>
      <c r="I13707" s="226" t="s">
        <v>81</v>
      </c>
      <c r="J13707" s="223" t="s">
        <v>366</v>
      </c>
      <c r="K13707" s="223"/>
      <c r="L13707" s="223" t="s">
        <v>426</v>
      </c>
      <c r="M13707" s="223">
        <v>4</v>
      </c>
      <c r="N13707" s="223"/>
      <c r="O13707" s="223" t="s">
        <v>12</v>
      </c>
      <c r="P13707" s="223"/>
      <c r="Q13707" s="224"/>
    </row>
    <row r="13708" spans="1:17">
      <c r="A13708" s="221"/>
      <c r="B13708" s="222">
        <v>46080</v>
      </c>
      <c r="C13708" s="223" t="s">
        <v>301</v>
      </c>
      <c r="D13708" s="223"/>
      <c r="E13708" s="223" t="s">
        <v>362</v>
      </c>
      <c r="F13708" s="223">
        <v>2026</v>
      </c>
      <c r="G13708" s="223"/>
      <c r="H13708" s="223" t="s">
        <v>57</v>
      </c>
      <c r="I13708" s="226" t="s">
        <v>58</v>
      </c>
      <c r="J13708" s="223" t="s">
        <v>373</v>
      </c>
      <c r="K13708" s="223"/>
      <c r="L13708" s="223" t="s">
        <v>427</v>
      </c>
      <c r="M13708" s="223"/>
      <c r="N13708" s="223"/>
      <c r="O13708" s="223"/>
      <c r="P13708" s="223"/>
      <c r="Q13708" s="224"/>
    </row>
    <row r="13709" spans="1:17">
      <c r="A13709" s="221">
        <v>130</v>
      </c>
      <c r="B13709" s="222">
        <v>46080</v>
      </c>
      <c r="C13709" s="223" t="s">
        <v>301</v>
      </c>
      <c r="D13709" s="223" t="s">
        <v>377</v>
      </c>
      <c r="E13709" s="223" t="s">
        <v>362</v>
      </c>
      <c r="F13709" s="223">
        <v>2026</v>
      </c>
      <c r="G13709" s="223">
        <v>3</v>
      </c>
      <c r="H13709" s="223" t="s">
        <v>61</v>
      </c>
      <c r="I13709" s="226" t="s">
        <v>62</v>
      </c>
      <c r="J13709" s="223" t="s">
        <v>360</v>
      </c>
      <c r="K13709" s="223" t="s">
        <v>34</v>
      </c>
      <c r="L13709" s="223" t="s">
        <v>428</v>
      </c>
      <c r="M13709" s="223">
        <v>3</v>
      </c>
      <c r="N13709" s="223"/>
      <c r="O13709" s="223" t="s">
        <v>63</v>
      </c>
      <c r="P13709" s="223"/>
      <c r="Q13709" s="224"/>
    </row>
    <row r="13710" spans="1:17">
      <c r="A13710" s="221">
        <v>131</v>
      </c>
      <c r="B13710" s="222">
        <v>46083</v>
      </c>
      <c r="C13710" s="223" t="s">
        <v>302</v>
      </c>
      <c r="D13710" s="223"/>
      <c r="E13710" s="223" t="s">
        <v>402</v>
      </c>
      <c r="F13710" s="223">
        <v>2026</v>
      </c>
      <c r="G13710" s="223"/>
      <c r="H13710" s="223" t="s">
        <v>57</v>
      </c>
      <c r="I13710" s="226" t="s">
        <v>74</v>
      </c>
      <c r="J13710" s="223" t="s">
        <v>373</v>
      </c>
      <c r="K13710" s="223"/>
      <c r="L13710" s="223" t="s">
        <v>391</v>
      </c>
      <c r="M13710" s="223"/>
      <c r="N13710" s="223"/>
      <c r="O13710" s="223" t="s">
        <v>66</v>
      </c>
      <c r="P13710" s="223"/>
      <c r="Q13710" s="224"/>
    </row>
    <row r="13711" spans="1:17">
      <c r="A13711" s="221">
        <v>132</v>
      </c>
      <c r="B13711" s="222">
        <v>46083</v>
      </c>
      <c r="C13711" s="223" t="s">
        <v>302</v>
      </c>
      <c r="D13711" s="223" t="s">
        <v>377</v>
      </c>
      <c r="E13711" s="223" t="s">
        <v>402</v>
      </c>
      <c r="F13711" s="223">
        <v>2026</v>
      </c>
      <c r="G13711" s="223">
        <v>3</v>
      </c>
      <c r="H13711" s="223" t="s">
        <v>61</v>
      </c>
      <c r="I13711" s="226" t="s">
        <v>62</v>
      </c>
      <c r="J13711" s="223" t="s">
        <v>360</v>
      </c>
      <c r="K13711" s="223" t="s">
        <v>34</v>
      </c>
      <c r="L13711" s="223" t="s">
        <v>429</v>
      </c>
      <c r="M13711" s="223">
        <v>3</v>
      </c>
      <c r="N13711" s="223"/>
      <c r="O13711" s="223" t="s">
        <v>63</v>
      </c>
      <c r="P13711" s="223"/>
      <c r="Q13711" s="224"/>
    </row>
    <row r="13712" spans="1:17">
      <c r="A13712" s="221">
        <v>133</v>
      </c>
      <c r="B13712" s="222">
        <v>46083</v>
      </c>
      <c r="C13712" s="223" t="s">
        <v>302</v>
      </c>
      <c r="D13712" s="223" t="s">
        <v>377</v>
      </c>
      <c r="E13712" s="223" t="s">
        <v>402</v>
      </c>
      <c r="F13712" s="223">
        <v>2026</v>
      </c>
      <c r="G13712" s="223">
        <v>3</v>
      </c>
      <c r="H13712" s="223" t="s">
        <v>61</v>
      </c>
      <c r="I13712" s="226" t="s">
        <v>62</v>
      </c>
      <c r="J13712" s="223" t="s">
        <v>360</v>
      </c>
      <c r="K13712" s="223" t="s">
        <v>35</v>
      </c>
      <c r="L13712" s="223" t="s">
        <v>428</v>
      </c>
      <c r="M13712" s="223">
        <v>3</v>
      </c>
      <c r="N13712" s="223"/>
      <c r="O13712" s="223" t="s">
        <v>87</v>
      </c>
      <c r="P13712" s="223"/>
      <c r="Q13712" s="224"/>
    </row>
    <row r="13713" spans="1:17">
      <c r="A13713" s="221">
        <v>134</v>
      </c>
      <c r="B13713" s="222">
        <v>46084</v>
      </c>
      <c r="C13713" s="223" t="s">
        <v>289</v>
      </c>
      <c r="D13713" s="223" t="s">
        <v>430</v>
      </c>
      <c r="E13713" s="223" t="s">
        <v>402</v>
      </c>
      <c r="F13713" s="223">
        <v>2026</v>
      </c>
      <c r="G13713" s="223">
        <v>2.5</v>
      </c>
      <c r="H13713" s="223" t="s">
        <v>99</v>
      </c>
      <c r="I13713" s="226" t="s">
        <v>100</v>
      </c>
      <c r="J13713" s="223" t="s">
        <v>373</v>
      </c>
      <c r="K13713" s="223" t="s">
        <v>106</v>
      </c>
      <c r="L13713" s="223" t="s">
        <v>431</v>
      </c>
      <c r="M13713" s="223">
        <v>2.5</v>
      </c>
      <c r="N13713" s="223"/>
      <c r="O13713" s="223" t="s">
        <v>432</v>
      </c>
      <c r="P13713" s="223"/>
      <c r="Q13713" s="224"/>
    </row>
    <row r="13714" spans="1:17">
      <c r="A13714" s="221"/>
      <c r="B13714" s="222">
        <v>46086</v>
      </c>
      <c r="C13714" s="223" t="s">
        <v>298</v>
      </c>
      <c r="D13714" s="223" t="s">
        <v>433</v>
      </c>
      <c r="E13714" s="223" t="s">
        <v>402</v>
      </c>
      <c r="F13714" s="223">
        <v>2026</v>
      </c>
      <c r="G13714" s="223">
        <v>1</v>
      </c>
      <c r="H13714" s="223" t="s">
        <v>99</v>
      </c>
      <c r="I13714" s="226" t="s">
        <v>108</v>
      </c>
      <c r="J13714" s="223" t="s">
        <v>366</v>
      </c>
      <c r="K13714" s="223" t="s">
        <v>101</v>
      </c>
      <c r="L13714" s="223" t="s">
        <v>434</v>
      </c>
      <c r="M13714" s="223">
        <v>1</v>
      </c>
      <c r="N13714" s="223"/>
      <c r="O13714" s="223"/>
      <c r="P13714" s="223"/>
      <c r="Q13714" s="224"/>
    </row>
    <row r="13715" spans="1:17">
      <c r="A13715" s="221"/>
      <c r="B13715" s="222">
        <v>46086</v>
      </c>
      <c r="C13715" s="223" t="s">
        <v>298</v>
      </c>
      <c r="D13715" s="223" t="s">
        <v>433</v>
      </c>
      <c r="E13715" s="223" t="s">
        <v>402</v>
      </c>
      <c r="F13715" s="223">
        <v>2026</v>
      </c>
      <c r="G13715" s="223">
        <v>1</v>
      </c>
      <c r="H13715" s="223" t="s">
        <v>99</v>
      </c>
      <c r="I13715" s="226" t="s">
        <v>108</v>
      </c>
      <c r="J13715" s="223" t="s">
        <v>366</v>
      </c>
      <c r="K13715" s="223" t="s">
        <v>10</v>
      </c>
      <c r="L13715" s="223" t="s">
        <v>434</v>
      </c>
      <c r="M13715" s="223">
        <v>1</v>
      </c>
      <c r="N13715" s="223"/>
      <c r="O13715" s="223"/>
      <c r="P13715" s="223"/>
      <c r="Q13715" s="224"/>
    </row>
    <row r="13716" spans="1:17">
      <c r="A13716" s="221"/>
      <c r="B13716" s="222">
        <v>46086</v>
      </c>
      <c r="C13716" s="223" t="s">
        <v>298</v>
      </c>
      <c r="D13716" s="223" t="s">
        <v>433</v>
      </c>
      <c r="E13716" s="223" t="s">
        <v>402</v>
      </c>
      <c r="F13716" s="223">
        <v>2026</v>
      </c>
      <c r="G13716" s="223">
        <v>1</v>
      </c>
      <c r="H13716" s="223" t="s">
        <v>99</v>
      </c>
      <c r="I13716" s="226" t="s">
        <v>108</v>
      </c>
      <c r="J13716" s="223" t="s">
        <v>366</v>
      </c>
      <c r="K13716" s="223" t="s">
        <v>104</v>
      </c>
      <c r="L13716" s="223" t="s">
        <v>434</v>
      </c>
      <c r="M13716" s="223">
        <v>1</v>
      </c>
      <c r="N13716" s="223"/>
      <c r="O13716" s="223"/>
      <c r="P13716" s="223"/>
      <c r="Q13716" s="224"/>
    </row>
    <row r="13717" spans="1:17">
      <c r="A13717" s="221"/>
      <c r="B13717" s="222">
        <v>46086</v>
      </c>
      <c r="C13717" s="223" t="s">
        <v>298</v>
      </c>
      <c r="D13717" s="223" t="s">
        <v>433</v>
      </c>
      <c r="E13717" s="223" t="s">
        <v>402</v>
      </c>
      <c r="F13717" s="223">
        <v>2026</v>
      </c>
      <c r="G13717" s="223">
        <v>1</v>
      </c>
      <c r="H13717" s="223" t="s">
        <v>99</v>
      </c>
      <c r="I13717" s="226" t="s">
        <v>108</v>
      </c>
      <c r="J13717" s="223" t="s">
        <v>366</v>
      </c>
      <c r="K13717" s="223" t="s">
        <v>106</v>
      </c>
      <c r="L13717" s="223" t="s">
        <v>434</v>
      </c>
      <c r="M13717" s="223">
        <v>1</v>
      </c>
      <c r="N13717" s="223"/>
      <c r="O13717" s="223"/>
      <c r="P13717" s="223"/>
      <c r="Q13717" s="224"/>
    </row>
    <row r="13718" spans="1:17">
      <c r="A13718" s="221">
        <v>135</v>
      </c>
      <c r="B13718" s="222">
        <v>46086</v>
      </c>
      <c r="C13718" s="223" t="s">
        <v>298</v>
      </c>
      <c r="D13718" s="223" t="s">
        <v>395</v>
      </c>
      <c r="E13718" s="223" t="s">
        <v>402</v>
      </c>
      <c r="F13718" s="223">
        <v>2026</v>
      </c>
      <c r="G13718" s="223">
        <v>4</v>
      </c>
      <c r="H13718" s="223" t="s">
        <v>80</v>
      </c>
      <c r="I13718" s="226" t="s">
        <v>81</v>
      </c>
      <c r="J13718" s="223" t="s">
        <v>366</v>
      </c>
      <c r="K13718" s="223"/>
      <c r="L13718" s="223" t="s">
        <v>435</v>
      </c>
      <c r="M13718" s="223">
        <v>4</v>
      </c>
      <c r="N13718" s="223"/>
      <c r="O13718" s="223" t="s">
        <v>12</v>
      </c>
      <c r="P13718" s="223"/>
      <c r="Q13718" s="224"/>
    </row>
    <row r="13719" spans="1:17">
      <c r="A13719" s="221">
        <v>136</v>
      </c>
      <c r="B13719" s="222">
        <v>46086</v>
      </c>
      <c r="C13719" s="223" t="s">
        <v>298</v>
      </c>
      <c r="D13719" s="223" t="s">
        <v>377</v>
      </c>
      <c r="E13719" s="223" t="s">
        <v>402</v>
      </c>
      <c r="F13719" s="223">
        <v>2026</v>
      </c>
      <c r="G13719" s="223">
        <v>3</v>
      </c>
      <c r="H13719" s="223" t="s">
        <v>61</v>
      </c>
      <c r="I13719" s="226" t="s">
        <v>62</v>
      </c>
      <c r="J13719" s="223" t="s">
        <v>360</v>
      </c>
      <c r="K13719" s="223" t="s">
        <v>34</v>
      </c>
      <c r="L13719" s="223" t="s">
        <v>436</v>
      </c>
      <c r="M13719" s="223">
        <v>3</v>
      </c>
      <c r="N13719" s="223"/>
      <c r="O13719" s="223" t="s">
        <v>63</v>
      </c>
      <c r="P13719" s="223"/>
      <c r="Q13719" s="224"/>
    </row>
    <row r="13720" spans="1:17">
      <c r="A13720" s="221">
        <v>137</v>
      </c>
      <c r="B13720" s="222">
        <v>46086</v>
      </c>
      <c r="C13720" s="223" t="s">
        <v>298</v>
      </c>
      <c r="D13720" s="223" t="s">
        <v>377</v>
      </c>
      <c r="E13720" s="223" t="s">
        <v>402</v>
      </c>
      <c r="F13720" s="223">
        <v>2026</v>
      </c>
      <c r="G13720" s="223">
        <v>3</v>
      </c>
      <c r="H13720" s="223" t="s">
        <v>61</v>
      </c>
      <c r="I13720" s="226" t="s">
        <v>62</v>
      </c>
      <c r="J13720" s="223" t="s">
        <v>360</v>
      </c>
      <c r="K13720" s="223" t="s">
        <v>35</v>
      </c>
      <c r="L13720" s="223" t="s">
        <v>429</v>
      </c>
      <c r="M13720" s="223">
        <v>3</v>
      </c>
      <c r="N13720" s="223"/>
      <c r="O13720" s="223" t="s">
        <v>87</v>
      </c>
      <c r="P13720" s="223"/>
      <c r="Q13720" s="224"/>
    </row>
    <row r="13721" spans="1:17" ht="30.75">
      <c r="A13721" s="221"/>
      <c r="B13721" s="222">
        <v>46087</v>
      </c>
      <c r="C13721" s="223" t="s">
        <v>301</v>
      </c>
      <c r="D13721" s="223"/>
      <c r="E13721" s="223" t="s">
        <v>402</v>
      </c>
      <c r="F13721" s="223">
        <v>2026</v>
      </c>
      <c r="G13721" s="223"/>
      <c r="H13721" s="223" t="s">
        <v>115</v>
      </c>
      <c r="I13721" s="226" t="s">
        <v>437</v>
      </c>
      <c r="J13721" s="223" t="s">
        <v>438</v>
      </c>
      <c r="K13721" s="223" t="s">
        <v>101</v>
      </c>
      <c r="L13721" s="223" t="s">
        <v>439</v>
      </c>
      <c r="M13721" s="223"/>
      <c r="N13721" s="223"/>
      <c r="O13721" s="223"/>
      <c r="P13721" s="223"/>
      <c r="Q13721" s="224"/>
    </row>
    <row r="13722" spans="1:17">
      <c r="A13722" s="221">
        <v>138</v>
      </c>
      <c r="B13722" s="222">
        <v>46087</v>
      </c>
      <c r="C13722" s="223" t="s">
        <v>301</v>
      </c>
      <c r="D13722" s="223" t="s">
        <v>398</v>
      </c>
      <c r="E13722" s="223" t="s">
        <v>402</v>
      </c>
      <c r="F13722" s="223">
        <v>2026</v>
      </c>
      <c r="G13722" s="223">
        <v>2</v>
      </c>
      <c r="H13722" s="223" t="s">
        <v>57</v>
      </c>
      <c r="I13722" s="226" t="s">
        <v>74</v>
      </c>
      <c r="J13722" s="223" t="s">
        <v>373</v>
      </c>
      <c r="K13722" s="223"/>
      <c r="L13722" s="223" t="s">
        <v>440</v>
      </c>
      <c r="M13722" s="223">
        <v>2</v>
      </c>
      <c r="N13722" s="223"/>
      <c r="O13722" s="223" t="s">
        <v>66</v>
      </c>
      <c r="P13722" s="223"/>
      <c r="Q13722" s="224"/>
    </row>
    <row r="13723" spans="1:17">
      <c r="A13723" s="221">
        <v>139</v>
      </c>
      <c r="B13723" s="222">
        <v>46087</v>
      </c>
      <c r="C13723" s="223" t="s">
        <v>301</v>
      </c>
      <c r="D13723" s="223" t="s">
        <v>395</v>
      </c>
      <c r="E13723" s="223" t="s">
        <v>402</v>
      </c>
      <c r="F13723" s="223">
        <v>2026</v>
      </c>
      <c r="G13723" s="223">
        <v>4</v>
      </c>
      <c r="H13723" s="223" t="s">
        <v>80</v>
      </c>
      <c r="I13723" s="226" t="s">
        <v>81</v>
      </c>
      <c r="J13723" s="223" t="s">
        <v>366</v>
      </c>
      <c r="K13723" s="223"/>
      <c r="L13723" s="223" t="s">
        <v>441</v>
      </c>
      <c r="M13723" s="223">
        <v>4</v>
      </c>
      <c r="N13723" s="223"/>
      <c r="O13723" s="223" t="s">
        <v>12</v>
      </c>
      <c r="P13723" s="223"/>
      <c r="Q13723" s="224"/>
    </row>
    <row r="13724" spans="1:17">
      <c r="A13724" s="221">
        <v>140</v>
      </c>
      <c r="B13724" s="222">
        <v>46087</v>
      </c>
      <c r="C13724" s="223" t="s">
        <v>301</v>
      </c>
      <c r="D13724" s="223" t="s">
        <v>372</v>
      </c>
      <c r="E13724" s="223" t="s">
        <v>402</v>
      </c>
      <c r="F13724" s="223">
        <v>2026</v>
      </c>
      <c r="G13724" s="223">
        <v>2.5</v>
      </c>
      <c r="H13724" s="223" t="s">
        <v>57</v>
      </c>
      <c r="I13724" s="226" t="s">
        <v>58</v>
      </c>
      <c r="J13724" s="223" t="s">
        <v>373</v>
      </c>
      <c r="K13724" s="223"/>
      <c r="L13724" s="223" t="s">
        <v>442</v>
      </c>
      <c r="M13724" s="223">
        <v>2.5</v>
      </c>
      <c r="N13724" s="223"/>
      <c r="O13724" s="223" t="s">
        <v>414</v>
      </c>
      <c r="P13724" s="223"/>
      <c r="Q13724" s="224"/>
    </row>
    <row r="13725" spans="1:17">
      <c r="A13725" s="221">
        <v>141</v>
      </c>
      <c r="B13725" s="222">
        <v>46087</v>
      </c>
      <c r="C13725" s="223" t="s">
        <v>301</v>
      </c>
      <c r="D13725" s="223" t="s">
        <v>377</v>
      </c>
      <c r="E13725" s="223" t="s">
        <v>402</v>
      </c>
      <c r="F13725" s="223">
        <v>2026</v>
      </c>
      <c r="G13725" s="223">
        <v>3</v>
      </c>
      <c r="H13725" s="223" t="s">
        <v>61</v>
      </c>
      <c r="I13725" s="226" t="s">
        <v>62</v>
      </c>
      <c r="J13725" s="223" t="s">
        <v>360</v>
      </c>
      <c r="K13725" s="223" t="s">
        <v>34</v>
      </c>
      <c r="L13725" s="223" t="s">
        <v>443</v>
      </c>
      <c r="M13725" s="223">
        <v>3</v>
      </c>
      <c r="N13725" s="223"/>
      <c r="O13725" s="223" t="s">
        <v>63</v>
      </c>
      <c r="P13725" s="223"/>
      <c r="Q13725" s="224"/>
    </row>
    <row r="13726" spans="1:17">
      <c r="A13726" s="221">
        <v>142</v>
      </c>
      <c r="B13726" s="222">
        <v>46087</v>
      </c>
      <c r="C13726" s="223" t="s">
        <v>301</v>
      </c>
      <c r="D13726" s="223" t="s">
        <v>377</v>
      </c>
      <c r="E13726" s="223" t="s">
        <v>402</v>
      </c>
      <c r="F13726" s="223">
        <v>2026</v>
      </c>
      <c r="G13726" s="223">
        <v>3</v>
      </c>
      <c r="H13726" s="223" t="s">
        <v>61</v>
      </c>
      <c r="I13726" s="226" t="s">
        <v>62</v>
      </c>
      <c r="J13726" s="223" t="s">
        <v>360</v>
      </c>
      <c r="K13726" s="223" t="s">
        <v>35</v>
      </c>
      <c r="L13726" s="223" t="s">
        <v>436</v>
      </c>
      <c r="M13726" s="223">
        <v>3</v>
      </c>
      <c r="N13726" s="223"/>
      <c r="O13726" s="223" t="s">
        <v>87</v>
      </c>
      <c r="P13726" s="223"/>
      <c r="Q13726" s="224"/>
    </row>
    <row r="13727" spans="1:17">
      <c r="A13727" s="221"/>
      <c r="B13727" s="222">
        <v>46090</v>
      </c>
      <c r="C13727" s="223" t="s">
        <v>302</v>
      </c>
      <c r="D13727" s="223" t="s">
        <v>444</v>
      </c>
      <c r="E13727" s="223" t="s">
        <v>402</v>
      </c>
      <c r="F13727" s="223">
        <v>2026</v>
      </c>
      <c r="G13727" s="223">
        <v>0.5</v>
      </c>
      <c r="H13727" s="223" t="s">
        <v>99</v>
      </c>
      <c r="I13727" s="226" t="s">
        <v>108</v>
      </c>
      <c r="J13727" s="223" t="s">
        <v>366</v>
      </c>
      <c r="K13727" s="223" t="s">
        <v>101</v>
      </c>
      <c r="L13727" s="223" t="s">
        <v>445</v>
      </c>
      <c r="M13727" s="223">
        <v>0.5</v>
      </c>
      <c r="N13727" s="223"/>
      <c r="O13727" s="223"/>
      <c r="P13727" s="223"/>
      <c r="Q13727" s="224"/>
    </row>
    <row r="13728" spans="1:17">
      <c r="A13728" s="221"/>
      <c r="B13728" s="222">
        <v>46090</v>
      </c>
      <c r="C13728" s="223" t="s">
        <v>302</v>
      </c>
      <c r="D13728" s="223" t="s">
        <v>446</v>
      </c>
      <c r="E13728" s="223" t="s">
        <v>402</v>
      </c>
      <c r="F13728" s="223">
        <v>2026</v>
      </c>
      <c r="G13728" s="223">
        <v>0.5</v>
      </c>
      <c r="H13728" s="223" t="s">
        <v>99</v>
      </c>
      <c r="I13728" s="226" t="s">
        <v>108</v>
      </c>
      <c r="J13728" s="223" t="s">
        <v>366</v>
      </c>
      <c r="K13728" s="223" t="s">
        <v>10</v>
      </c>
      <c r="L13728" s="223" t="s">
        <v>445</v>
      </c>
      <c r="M13728" s="223">
        <v>0.5</v>
      </c>
      <c r="N13728" s="223"/>
      <c r="O13728" s="223"/>
      <c r="P13728" s="223"/>
      <c r="Q13728" s="224"/>
    </row>
    <row r="13729" spans="1:17">
      <c r="A13729" s="221"/>
      <c r="B13729" s="222">
        <v>46090</v>
      </c>
      <c r="C13729" s="223" t="s">
        <v>302</v>
      </c>
      <c r="D13729" s="223" t="s">
        <v>447</v>
      </c>
      <c r="E13729" s="223" t="s">
        <v>402</v>
      </c>
      <c r="F13729" s="223">
        <v>2026</v>
      </c>
      <c r="G13729" s="223">
        <v>0.5</v>
      </c>
      <c r="H13729" s="223" t="s">
        <v>99</v>
      </c>
      <c r="I13729" s="226" t="s">
        <v>108</v>
      </c>
      <c r="J13729" s="223" t="s">
        <v>366</v>
      </c>
      <c r="K13729" s="223" t="s">
        <v>104</v>
      </c>
      <c r="L13729" s="223" t="s">
        <v>445</v>
      </c>
      <c r="M13729" s="223">
        <v>0.5</v>
      </c>
      <c r="N13729" s="223"/>
      <c r="O13729" s="223"/>
      <c r="P13729" s="223"/>
      <c r="Q13729" s="224"/>
    </row>
    <row r="13730" spans="1:17">
      <c r="A13730" s="221"/>
      <c r="B13730" s="222">
        <v>46090</v>
      </c>
      <c r="C13730" s="223" t="s">
        <v>302</v>
      </c>
      <c r="D13730" s="223" t="s">
        <v>448</v>
      </c>
      <c r="E13730" s="223" t="s">
        <v>402</v>
      </c>
      <c r="F13730" s="223">
        <v>2026</v>
      </c>
      <c r="G13730" s="223">
        <v>0.5</v>
      </c>
      <c r="H13730" s="223" t="s">
        <v>99</v>
      </c>
      <c r="I13730" s="226" t="s">
        <v>108</v>
      </c>
      <c r="J13730" s="223" t="s">
        <v>366</v>
      </c>
      <c r="K13730" s="223" t="s">
        <v>106</v>
      </c>
      <c r="L13730" s="223" t="s">
        <v>445</v>
      </c>
      <c r="M13730" s="223">
        <v>0.5</v>
      </c>
      <c r="N13730" s="223"/>
      <c r="O13730" s="223"/>
      <c r="P13730" s="223"/>
      <c r="Q13730" s="224"/>
    </row>
    <row r="13731" spans="1:17">
      <c r="A13731" s="221">
        <v>143</v>
      </c>
      <c r="B13731" s="222">
        <v>46090</v>
      </c>
      <c r="C13731" s="223" t="s">
        <v>302</v>
      </c>
      <c r="D13731" s="223" t="s">
        <v>398</v>
      </c>
      <c r="E13731" s="223" t="s">
        <v>402</v>
      </c>
      <c r="F13731" s="223">
        <v>2026</v>
      </c>
      <c r="G13731" s="223">
        <v>2</v>
      </c>
      <c r="H13731" s="223" t="s">
        <v>57</v>
      </c>
      <c r="I13731" s="226" t="s">
        <v>74</v>
      </c>
      <c r="J13731" s="223" t="s">
        <v>373</v>
      </c>
      <c r="K13731" s="223"/>
      <c r="L13731" s="223" t="s">
        <v>449</v>
      </c>
      <c r="M13731" s="223">
        <v>2</v>
      </c>
      <c r="N13731" s="223"/>
      <c r="O13731" s="223" t="s">
        <v>66</v>
      </c>
      <c r="P13731" s="223"/>
      <c r="Q13731" s="224"/>
    </row>
    <row r="13732" spans="1:17">
      <c r="A13732" s="221"/>
      <c r="B13732" s="222">
        <v>46090</v>
      </c>
      <c r="C13732" s="223" t="s">
        <v>302</v>
      </c>
      <c r="D13732" s="223"/>
      <c r="E13732" s="223" t="s">
        <v>402</v>
      </c>
      <c r="F13732" s="223">
        <v>2026</v>
      </c>
      <c r="G13732" s="223"/>
      <c r="H13732" s="223" t="s">
        <v>80</v>
      </c>
      <c r="I13732" s="226" t="s">
        <v>81</v>
      </c>
      <c r="J13732" s="223" t="s">
        <v>366</v>
      </c>
      <c r="K13732" s="223"/>
      <c r="L13732" s="223" t="s">
        <v>391</v>
      </c>
      <c r="M13732" s="223"/>
      <c r="N13732" s="223"/>
      <c r="O13732" s="223"/>
      <c r="P13732" s="223"/>
      <c r="Q13732" s="224"/>
    </row>
    <row r="13733" spans="1:17">
      <c r="A13733" s="221">
        <v>144</v>
      </c>
      <c r="B13733" s="222">
        <v>46090</v>
      </c>
      <c r="C13733" s="223" t="s">
        <v>302</v>
      </c>
      <c r="D13733" s="223" t="s">
        <v>377</v>
      </c>
      <c r="E13733" s="223" t="s">
        <v>402</v>
      </c>
      <c r="F13733" s="223">
        <v>2026</v>
      </c>
      <c r="G13733" s="223">
        <v>3</v>
      </c>
      <c r="H13733" s="223" t="s">
        <v>61</v>
      </c>
      <c r="I13733" s="226" t="s">
        <v>62</v>
      </c>
      <c r="J13733" s="223" t="s">
        <v>360</v>
      </c>
      <c r="K13733" s="223" t="s">
        <v>34</v>
      </c>
      <c r="L13733" s="223" t="s">
        <v>450</v>
      </c>
      <c r="M13733" s="223">
        <v>3</v>
      </c>
      <c r="N13733" s="223"/>
      <c r="O13733" s="223" t="s">
        <v>63</v>
      </c>
      <c r="P13733" s="223"/>
      <c r="Q13733" s="224"/>
    </row>
    <row r="13734" spans="1:17">
      <c r="A13734" s="221">
        <v>145</v>
      </c>
      <c r="B13734" s="222">
        <v>46090</v>
      </c>
      <c r="C13734" s="223" t="s">
        <v>302</v>
      </c>
      <c r="D13734" s="223" t="s">
        <v>377</v>
      </c>
      <c r="E13734" s="223" t="s">
        <v>402</v>
      </c>
      <c r="F13734" s="223">
        <v>2026</v>
      </c>
      <c r="G13734" s="223">
        <v>3</v>
      </c>
      <c r="H13734" s="223" t="s">
        <v>61</v>
      </c>
      <c r="I13734" s="226" t="s">
        <v>62</v>
      </c>
      <c r="J13734" s="223" t="s">
        <v>360</v>
      </c>
      <c r="K13734" s="223" t="s">
        <v>35</v>
      </c>
      <c r="L13734" s="223" t="s">
        <v>443</v>
      </c>
      <c r="M13734" s="223">
        <v>3</v>
      </c>
      <c r="N13734" s="223"/>
      <c r="O13734" s="223" t="s">
        <v>87</v>
      </c>
      <c r="P13734" s="223"/>
      <c r="Q13734" s="224"/>
    </row>
    <row r="13735" spans="1:17">
      <c r="A13735" s="221">
        <v>146</v>
      </c>
      <c r="B13735" s="222">
        <v>46090</v>
      </c>
      <c r="C13735" s="223" t="s">
        <v>302</v>
      </c>
      <c r="D13735" s="223" t="s">
        <v>451</v>
      </c>
      <c r="E13735" s="223" t="s">
        <v>402</v>
      </c>
      <c r="F13735" s="223">
        <v>2026</v>
      </c>
      <c r="G13735" s="223">
        <v>3</v>
      </c>
      <c r="H13735" s="223" t="s">
        <v>61</v>
      </c>
      <c r="I13735" s="226" t="s">
        <v>62</v>
      </c>
      <c r="J13735" s="223" t="s">
        <v>360</v>
      </c>
      <c r="K13735" s="223" t="s">
        <v>37</v>
      </c>
      <c r="L13735" s="223" t="s">
        <v>378</v>
      </c>
      <c r="M13735" s="223">
        <v>3</v>
      </c>
      <c r="N13735" s="223"/>
      <c r="O13735" s="223" t="s">
        <v>63</v>
      </c>
      <c r="P13735" s="223"/>
      <c r="Q13735" s="224"/>
    </row>
    <row r="13736" spans="1:17">
      <c r="A13736" s="221">
        <v>147</v>
      </c>
      <c r="B13736" s="222">
        <v>46090</v>
      </c>
      <c r="C13736" s="223" t="s">
        <v>302</v>
      </c>
      <c r="D13736" s="223" t="s">
        <v>452</v>
      </c>
      <c r="E13736" s="223" t="s">
        <v>402</v>
      </c>
      <c r="F13736" s="223">
        <v>2026</v>
      </c>
      <c r="G13736" s="223">
        <v>3</v>
      </c>
      <c r="H13736" s="223" t="s">
        <v>61</v>
      </c>
      <c r="I13736" s="226" t="s">
        <v>62</v>
      </c>
      <c r="J13736" s="223" t="s">
        <v>360</v>
      </c>
      <c r="K13736" s="223" t="s">
        <v>38</v>
      </c>
      <c r="L13736" s="223" t="s">
        <v>378</v>
      </c>
      <c r="M13736" s="223">
        <v>3</v>
      </c>
      <c r="N13736" s="223"/>
      <c r="O13736" s="223" t="s">
        <v>112</v>
      </c>
      <c r="P13736" s="223"/>
      <c r="Q13736" s="224"/>
    </row>
    <row r="13737" spans="1:17">
      <c r="A13737" s="221"/>
      <c r="B13737" s="222">
        <v>46091</v>
      </c>
      <c r="C13737" s="223" t="s">
        <v>289</v>
      </c>
      <c r="D13737" s="223" t="s">
        <v>453</v>
      </c>
      <c r="E13737" s="223" t="s">
        <v>402</v>
      </c>
      <c r="F13737" s="223">
        <v>2026</v>
      </c>
      <c r="G13737" s="223">
        <v>1</v>
      </c>
      <c r="H13737" s="223" t="s">
        <v>57</v>
      </c>
      <c r="I13737" s="226" t="s">
        <v>454</v>
      </c>
      <c r="J13737" s="223" t="s">
        <v>311</v>
      </c>
      <c r="K13737" s="223"/>
      <c r="L13737" s="223" t="s">
        <v>455</v>
      </c>
      <c r="M13737" s="223">
        <v>1</v>
      </c>
      <c r="N13737" s="223"/>
      <c r="O13737" s="223"/>
      <c r="P13737" s="223"/>
      <c r="Q13737" s="224"/>
    </row>
    <row r="13738" spans="1:17">
      <c r="A13738" s="221">
        <v>148</v>
      </c>
      <c r="B13738" s="222">
        <v>46091</v>
      </c>
      <c r="C13738" s="223" t="s">
        <v>289</v>
      </c>
      <c r="D13738" s="223" t="s">
        <v>456</v>
      </c>
      <c r="E13738" s="223" t="s">
        <v>402</v>
      </c>
      <c r="F13738" s="223">
        <v>2026</v>
      </c>
      <c r="G13738" s="223">
        <v>2.5</v>
      </c>
      <c r="H13738" s="223" t="s">
        <v>99</v>
      </c>
      <c r="I13738" s="226" t="s">
        <v>100</v>
      </c>
      <c r="J13738" s="223" t="s">
        <v>373</v>
      </c>
      <c r="K13738" s="223" t="s">
        <v>101</v>
      </c>
      <c r="L13738" s="223" t="s">
        <v>431</v>
      </c>
      <c r="M13738" s="223">
        <v>2.5</v>
      </c>
      <c r="N13738" s="223"/>
      <c r="O13738" s="223" t="s">
        <v>102</v>
      </c>
      <c r="P13738" s="223"/>
      <c r="Q13738" s="224"/>
    </row>
    <row r="13739" spans="1:17">
      <c r="A13739" s="221">
        <v>149</v>
      </c>
      <c r="B13739" s="222">
        <v>46091</v>
      </c>
      <c r="C13739" s="223" t="s">
        <v>289</v>
      </c>
      <c r="D13739" s="223" t="s">
        <v>430</v>
      </c>
      <c r="E13739" s="223" t="s">
        <v>402</v>
      </c>
      <c r="F13739" s="223">
        <v>2026</v>
      </c>
      <c r="G13739" s="223">
        <v>2.5</v>
      </c>
      <c r="H13739" s="223" t="s">
        <v>99</v>
      </c>
      <c r="I13739" s="226" t="s">
        <v>100</v>
      </c>
      <c r="J13739" s="223" t="s">
        <v>373</v>
      </c>
      <c r="K13739" s="223" t="s">
        <v>106</v>
      </c>
      <c r="L13739" s="223" t="s">
        <v>457</v>
      </c>
      <c r="M13739" s="223">
        <v>2.5</v>
      </c>
      <c r="N13739" s="223"/>
      <c r="O13739" s="223" t="s">
        <v>432</v>
      </c>
      <c r="P13739" s="223"/>
      <c r="Q13739" s="224"/>
    </row>
    <row r="13740" spans="1:17">
      <c r="A13740" s="221">
        <v>150</v>
      </c>
      <c r="B13740" s="222">
        <v>46091</v>
      </c>
      <c r="C13740" s="223" t="s">
        <v>289</v>
      </c>
      <c r="D13740" s="223" t="s">
        <v>395</v>
      </c>
      <c r="E13740" s="223" t="s">
        <v>402</v>
      </c>
      <c r="F13740" s="223">
        <v>2026</v>
      </c>
      <c r="G13740" s="223">
        <v>4</v>
      </c>
      <c r="H13740" s="223" t="s">
        <v>80</v>
      </c>
      <c r="I13740" s="226" t="s">
        <v>81</v>
      </c>
      <c r="J13740" s="223" t="s">
        <v>366</v>
      </c>
      <c r="K13740" s="223"/>
      <c r="L13740" s="223" t="s">
        <v>458</v>
      </c>
      <c r="M13740" s="223">
        <v>4</v>
      </c>
      <c r="N13740" s="223"/>
      <c r="O13740" s="223" t="s">
        <v>119</v>
      </c>
      <c r="P13740" s="223"/>
      <c r="Q13740" s="224"/>
    </row>
    <row r="13741" spans="1:17">
      <c r="A13741" s="221">
        <v>151</v>
      </c>
      <c r="B13741" s="222">
        <v>46091</v>
      </c>
      <c r="C13741" s="223" t="s">
        <v>289</v>
      </c>
      <c r="D13741" s="223" t="s">
        <v>377</v>
      </c>
      <c r="E13741" s="223" t="s">
        <v>402</v>
      </c>
      <c r="F13741" s="223">
        <v>2026</v>
      </c>
      <c r="G13741" s="223">
        <v>3</v>
      </c>
      <c r="H13741" s="223" t="s">
        <v>61</v>
      </c>
      <c r="I13741" s="226" t="s">
        <v>62</v>
      </c>
      <c r="J13741" s="223" t="s">
        <v>360</v>
      </c>
      <c r="K13741" s="223" t="s">
        <v>34</v>
      </c>
      <c r="L13741" s="223" t="s">
        <v>459</v>
      </c>
      <c r="M13741" s="223">
        <v>3</v>
      </c>
      <c r="N13741" s="223"/>
      <c r="O13741" s="223" t="s">
        <v>63</v>
      </c>
      <c r="P13741" s="223"/>
      <c r="Q13741" s="224"/>
    </row>
    <row r="13742" spans="1:17">
      <c r="A13742" s="221">
        <v>152</v>
      </c>
      <c r="B13742" s="222">
        <v>46091</v>
      </c>
      <c r="C13742" s="223" t="s">
        <v>289</v>
      </c>
      <c r="D13742" s="223" t="s">
        <v>377</v>
      </c>
      <c r="E13742" s="223" t="s">
        <v>402</v>
      </c>
      <c r="F13742" s="223">
        <v>2026</v>
      </c>
      <c r="G13742" s="223">
        <v>3</v>
      </c>
      <c r="H13742" s="223" t="s">
        <v>61</v>
      </c>
      <c r="I13742" s="226" t="s">
        <v>62</v>
      </c>
      <c r="J13742" s="223" t="s">
        <v>360</v>
      </c>
      <c r="K13742" s="223" t="s">
        <v>35</v>
      </c>
      <c r="L13742" s="223" t="s">
        <v>450</v>
      </c>
      <c r="M13742" s="223">
        <v>3</v>
      </c>
      <c r="N13742" s="223"/>
      <c r="O13742" s="223" t="s">
        <v>87</v>
      </c>
      <c r="P13742" s="223"/>
      <c r="Q13742" s="224"/>
    </row>
    <row r="13743" spans="1:17">
      <c r="A13743" s="221">
        <v>153</v>
      </c>
      <c r="B13743" s="222">
        <v>46091</v>
      </c>
      <c r="C13743" s="223" t="s">
        <v>289</v>
      </c>
      <c r="D13743" s="223" t="s">
        <v>451</v>
      </c>
      <c r="E13743" s="223" t="s">
        <v>402</v>
      </c>
      <c r="F13743" s="223">
        <v>2026</v>
      </c>
      <c r="G13743" s="223">
        <v>3</v>
      </c>
      <c r="H13743" s="223" t="s">
        <v>61</v>
      </c>
      <c r="I13743" s="226" t="s">
        <v>62</v>
      </c>
      <c r="J13743" s="223" t="s">
        <v>360</v>
      </c>
      <c r="K13743" s="223" t="s">
        <v>37</v>
      </c>
      <c r="L13743" s="223" t="s">
        <v>383</v>
      </c>
      <c r="M13743" s="223">
        <v>3</v>
      </c>
      <c r="N13743" s="223"/>
      <c r="O13743" s="223" t="s">
        <v>63</v>
      </c>
      <c r="P13743" s="223"/>
      <c r="Q13743" s="224"/>
    </row>
    <row r="13744" spans="1:17">
      <c r="A13744" s="221">
        <v>154</v>
      </c>
      <c r="B13744" s="222">
        <v>46091</v>
      </c>
      <c r="C13744" s="223" t="s">
        <v>289</v>
      </c>
      <c r="D13744" s="223" t="s">
        <v>452</v>
      </c>
      <c r="E13744" s="223" t="s">
        <v>402</v>
      </c>
      <c r="F13744" s="223">
        <v>2026</v>
      </c>
      <c r="G13744" s="223">
        <v>3</v>
      </c>
      <c r="H13744" s="223" t="s">
        <v>61</v>
      </c>
      <c r="I13744" s="226" t="s">
        <v>62</v>
      </c>
      <c r="J13744" s="223" t="s">
        <v>360</v>
      </c>
      <c r="K13744" s="223" t="s">
        <v>38</v>
      </c>
      <c r="L13744" s="223" t="s">
        <v>383</v>
      </c>
      <c r="M13744" s="223">
        <v>3</v>
      </c>
      <c r="N13744" s="223"/>
      <c r="O13744" s="223" t="s">
        <v>112</v>
      </c>
      <c r="P13744" s="223"/>
      <c r="Q13744" s="224"/>
    </row>
    <row r="13745" spans="1:17">
      <c r="A13745" s="221">
        <v>155</v>
      </c>
      <c r="B13745" s="222">
        <v>46092</v>
      </c>
      <c r="C13745" s="223" t="s">
        <v>294</v>
      </c>
      <c r="D13745" s="223" t="s">
        <v>460</v>
      </c>
      <c r="E13745" s="223" t="s">
        <v>402</v>
      </c>
      <c r="F13745" s="223">
        <v>2026</v>
      </c>
      <c r="G13745" s="223">
        <v>1</v>
      </c>
      <c r="H13745" s="223" t="s">
        <v>461</v>
      </c>
      <c r="I13745" s="226" t="s">
        <v>136</v>
      </c>
      <c r="J13745" s="223" t="s">
        <v>462</v>
      </c>
      <c r="K13745" s="223" t="s">
        <v>101</v>
      </c>
      <c r="L13745" s="223" t="s">
        <v>463</v>
      </c>
      <c r="M13745" s="223">
        <v>1</v>
      </c>
      <c r="N13745" s="223"/>
      <c r="O13745" s="223" t="s">
        <v>93</v>
      </c>
      <c r="P13745" s="223"/>
      <c r="Q13745" s="224"/>
    </row>
    <row r="13746" spans="1:17">
      <c r="A13746" s="221">
        <v>156</v>
      </c>
      <c r="B13746" s="222">
        <v>46092</v>
      </c>
      <c r="C13746" s="223" t="s">
        <v>294</v>
      </c>
      <c r="D13746" s="223" t="s">
        <v>460</v>
      </c>
      <c r="E13746" s="223" t="s">
        <v>402</v>
      </c>
      <c r="F13746" s="223">
        <v>2026</v>
      </c>
      <c r="G13746" s="223">
        <v>0.5</v>
      </c>
      <c r="H13746" s="223" t="s">
        <v>461</v>
      </c>
      <c r="I13746" s="226" t="s">
        <v>136</v>
      </c>
      <c r="J13746" s="223" t="s">
        <v>462</v>
      </c>
      <c r="K13746" s="223" t="s">
        <v>10</v>
      </c>
      <c r="L13746" s="223" t="s">
        <v>463</v>
      </c>
      <c r="M13746" s="223">
        <v>1</v>
      </c>
      <c r="N13746" s="223"/>
      <c r="O13746" s="223" t="s">
        <v>93</v>
      </c>
      <c r="P13746" s="223"/>
      <c r="Q13746" s="224"/>
    </row>
    <row r="13747" spans="1:17">
      <c r="A13747" s="221">
        <v>157</v>
      </c>
      <c r="B13747" s="222">
        <v>46092</v>
      </c>
      <c r="C13747" s="223" t="s">
        <v>294</v>
      </c>
      <c r="D13747" s="223" t="s">
        <v>398</v>
      </c>
      <c r="E13747" s="223" t="s">
        <v>402</v>
      </c>
      <c r="F13747" s="223">
        <v>2026</v>
      </c>
      <c r="G13747" s="223">
        <v>2</v>
      </c>
      <c r="H13747" s="223" t="s">
        <v>57</v>
      </c>
      <c r="I13747" s="226" t="s">
        <v>74</v>
      </c>
      <c r="J13747" s="223" t="s">
        <v>373</v>
      </c>
      <c r="K13747" s="223"/>
      <c r="L13747" s="223" t="s">
        <v>464</v>
      </c>
      <c r="M13747" s="223">
        <v>2</v>
      </c>
      <c r="N13747" s="223"/>
      <c r="O13747" s="223" t="s">
        <v>66</v>
      </c>
      <c r="P13747" s="223"/>
      <c r="Q13747" s="224"/>
    </row>
    <row r="13748" spans="1:17">
      <c r="A13748" s="221">
        <v>158</v>
      </c>
      <c r="B13748" s="222">
        <v>46092</v>
      </c>
      <c r="C13748" s="223" t="s">
        <v>294</v>
      </c>
      <c r="D13748" s="223" t="s">
        <v>395</v>
      </c>
      <c r="E13748" s="223" t="s">
        <v>402</v>
      </c>
      <c r="F13748" s="223">
        <v>2026</v>
      </c>
      <c r="G13748" s="223">
        <v>4</v>
      </c>
      <c r="H13748" s="223" t="s">
        <v>80</v>
      </c>
      <c r="I13748" s="226" t="s">
        <v>81</v>
      </c>
      <c r="J13748" s="223" t="s">
        <v>366</v>
      </c>
      <c r="K13748" s="223"/>
      <c r="L13748" s="223" t="s">
        <v>465</v>
      </c>
      <c r="M13748" s="223">
        <v>4</v>
      </c>
      <c r="N13748" s="223"/>
      <c r="O13748" s="223" t="s">
        <v>119</v>
      </c>
      <c r="P13748" s="223"/>
      <c r="Q13748" s="224"/>
    </row>
    <row r="13749" spans="1:17">
      <c r="A13749" s="221">
        <v>159</v>
      </c>
      <c r="B13749" s="222">
        <v>46092</v>
      </c>
      <c r="C13749" s="223" t="s">
        <v>294</v>
      </c>
      <c r="D13749" s="223" t="s">
        <v>372</v>
      </c>
      <c r="E13749" s="223" t="s">
        <v>402</v>
      </c>
      <c r="F13749" s="223">
        <v>2026</v>
      </c>
      <c r="G13749" s="223">
        <v>2.5</v>
      </c>
      <c r="H13749" s="223" t="s">
        <v>57</v>
      </c>
      <c r="I13749" s="226" t="s">
        <v>58</v>
      </c>
      <c r="J13749" s="223" t="s">
        <v>373</v>
      </c>
      <c r="K13749" s="223"/>
      <c r="L13749" s="223" t="s">
        <v>442</v>
      </c>
      <c r="M13749" s="223">
        <v>2.5</v>
      </c>
      <c r="N13749" s="223"/>
      <c r="O13749" s="223" t="s">
        <v>414</v>
      </c>
      <c r="P13749" s="223"/>
      <c r="Q13749" s="224"/>
    </row>
    <row r="13750" spans="1:17">
      <c r="A13750" s="221">
        <v>160</v>
      </c>
      <c r="B13750" s="222">
        <v>46092</v>
      </c>
      <c r="C13750" s="223" t="s">
        <v>294</v>
      </c>
      <c r="D13750" s="223" t="s">
        <v>377</v>
      </c>
      <c r="E13750" s="223" t="s">
        <v>402</v>
      </c>
      <c r="F13750" s="223">
        <v>2026</v>
      </c>
      <c r="G13750" s="223">
        <v>3</v>
      </c>
      <c r="H13750" s="223" t="s">
        <v>61</v>
      </c>
      <c r="I13750" s="226" t="s">
        <v>62</v>
      </c>
      <c r="J13750" s="223" t="s">
        <v>360</v>
      </c>
      <c r="K13750" s="223" t="s">
        <v>34</v>
      </c>
      <c r="L13750" s="223" t="s">
        <v>466</v>
      </c>
      <c r="M13750" s="223">
        <v>3</v>
      </c>
      <c r="N13750" s="223"/>
      <c r="O13750" s="223" t="s">
        <v>63</v>
      </c>
      <c r="P13750" s="223"/>
      <c r="Q13750" s="224"/>
    </row>
    <row r="13751" spans="1:17">
      <c r="A13751" s="221">
        <v>161</v>
      </c>
      <c r="B13751" s="222">
        <v>46092</v>
      </c>
      <c r="C13751" s="223" t="s">
        <v>294</v>
      </c>
      <c r="D13751" s="223" t="s">
        <v>377</v>
      </c>
      <c r="E13751" s="223" t="s">
        <v>402</v>
      </c>
      <c r="F13751" s="223">
        <v>2026</v>
      </c>
      <c r="G13751" s="223">
        <v>3</v>
      </c>
      <c r="H13751" s="223" t="s">
        <v>61</v>
      </c>
      <c r="I13751" s="226" t="s">
        <v>62</v>
      </c>
      <c r="J13751" s="223" t="s">
        <v>360</v>
      </c>
      <c r="K13751" s="223" t="s">
        <v>35</v>
      </c>
      <c r="L13751" s="223" t="s">
        <v>459</v>
      </c>
      <c r="M13751" s="223">
        <v>3</v>
      </c>
      <c r="N13751" s="223"/>
      <c r="O13751" s="223" t="s">
        <v>112</v>
      </c>
      <c r="P13751" s="223"/>
      <c r="Q13751" s="224"/>
    </row>
    <row r="13752" spans="1:17">
      <c r="A13752" s="221">
        <v>162</v>
      </c>
      <c r="B13752" s="222">
        <v>46092</v>
      </c>
      <c r="C13752" s="223" t="s">
        <v>294</v>
      </c>
      <c r="D13752" s="223" t="s">
        <v>451</v>
      </c>
      <c r="E13752" s="223" t="s">
        <v>402</v>
      </c>
      <c r="F13752" s="223">
        <v>2026</v>
      </c>
      <c r="G13752" s="223">
        <v>3</v>
      </c>
      <c r="H13752" s="223" t="s">
        <v>61</v>
      </c>
      <c r="I13752" s="226" t="s">
        <v>62</v>
      </c>
      <c r="J13752" s="223" t="s">
        <v>360</v>
      </c>
      <c r="K13752" s="223" t="s">
        <v>37</v>
      </c>
      <c r="L13752" s="223" t="s">
        <v>384</v>
      </c>
      <c r="M13752" s="223">
        <v>3</v>
      </c>
      <c r="N13752" s="223"/>
      <c r="O13752" s="223" t="s">
        <v>63</v>
      </c>
      <c r="P13752" s="223"/>
      <c r="Q13752" s="224"/>
    </row>
    <row r="13753" spans="1:17">
      <c r="A13753" s="221">
        <v>163</v>
      </c>
      <c r="B13753" s="222">
        <v>46092</v>
      </c>
      <c r="C13753" s="223" t="s">
        <v>294</v>
      </c>
      <c r="D13753" s="223" t="s">
        <v>452</v>
      </c>
      <c r="E13753" s="223" t="s">
        <v>402</v>
      </c>
      <c r="F13753" s="223">
        <v>2026</v>
      </c>
      <c r="G13753" s="223">
        <v>3</v>
      </c>
      <c r="H13753" s="223" t="s">
        <v>61</v>
      </c>
      <c r="I13753" s="226" t="s">
        <v>62</v>
      </c>
      <c r="J13753" s="223" t="s">
        <v>360</v>
      </c>
      <c r="K13753" s="223" t="s">
        <v>38</v>
      </c>
      <c r="L13753" s="223" t="s">
        <v>384</v>
      </c>
      <c r="M13753" s="223">
        <v>3</v>
      </c>
      <c r="N13753" s="223"/>
      <c r="O13753" s="223" t="s">
        <v>112</v>
      </c>
      <c r="P13753" s="223"/>
      <c r="Q13753" s="224"/>
    </row>
    <row r="13754" spans="1:17">
      <c r="A13754" s="221">
        <v>164</v>
      </c>
      <c r="B13754" s="222">
        <v>46093</v>
      </c>
      <c r="C13754" s="223" t="s">
        <v>298</v>
      </c>
      <c r="D13754" s="223" t="s">
        <v>456</v>
      </c>
      <c r="E13754" s="223" t="s">
        <v>402</v>
      </c>
      <c r="F13754" s="223">
        <v>2026</v>
      </c>
      <c r="G13754" s="223">
        <v>2.5</v>
      </c>
      <c r="H13754" s="223" t="s">
        <v>99</v>
      </c>
      <c r="I13754" s="226" t="s">
        <v>100</v>
      </c>
      <c r="J13754" s="223" t="s">
        <v>373</v>
      </c>
      <c r="K13754" s="223" t="s">
        <v>101</v>
      </c>
      <c r="L13754" s="223" t="s">
        <v>457</v>
      </c>
      <c r="M13754" s="223">
        <v>2.5</v>
      </c>
      <c r="N13754" s="223"/>
      <c r="O13754" s="223" t="s">
        <v>102</v>
      </c>
      <c r="P13754" s="223"/>
      <c r="Q13754" s="224"/>
    </row>
    <row r="13755" spans="1:17">
      <c r="A13755" s="221">
        <v>165</v>
      </c>
      <c r="B13755" s="222">
        <v>46093</v>
      </c>
      <c r="C13755" s="223" t="s">
        <v>298</v>
      </c>
      <c r="D13755" s="223" t="s">
        <v>467</v>
      </c>
      <c r="E13755" s="223" t="s">
        <v>402</v>
      </c>
      <c r="F13755" s="223">
        <v>2026</v>
      </c>
      <c r="G13755" s="223">
        <v>2.5</v>
      </c>
      <c r="H13755" s="223" t="s">
        <v>99</v>
      </c>
      <c r="I13755" s="226" t="s">
        <v>100</v>
      </c>
      <c r="J13755" s="223" t="s">
        <v>373</v>
      </c>
      <c r="K13755" s="223" t="s">
        <v>104</v>
      </c>
      <c r="L13755" s="223" t="s">
        <v>431</v>
      </c>
      <c r="M13755" s="223">
        <v>2.5</v>
      </c>
      <c r="N13755" s="223"/>
      <c r="O13755" s="223" t="s">
        <v>432</v>
      </c>
      <c r="P13755" s="223"/>
      <c r="Q13755" s="224"/>
    </row>
    <row r="13756" spans="1:17" ht="45.75">
      <c r="A13756" s="221">
        <v>166</v>
      </c>
      <c r="B13756" s="222">
        <v>46093</v>
      </c>
      <c r="C13756" s="223" t="s">
        <v>298</v>
      </c>
      <c r="D13756" s="223" t="s">
        <v>430</v>
      </c>
      <c r="E13756" s="223" t="s">
        <v>402</v>
      </c>
      <c r="F13756" s="223">
        <v>2026</v>
      </c>
      <c r="G13756" s="223">
        <v>2.5</v>
      </c>
      <c r="H13756" s="223" t="s">
        <v>99</v>
      </c>
      <c r="I13756" s="226" t="s">
        <v>100</v>
      </c>
      <c r="J13756" s="223" t="s">
        <v>373</v>
      </c>
      <c r="K13756" s="223" t="s">
        <v>106</v>
      </c>
      <c r="L13756" s="226" t="s">
        <v>468</v>
      </c>
      <c r="M13756" s="223">
        <v>2.5</v>
      </c>
      <c r="N13756" s="223"/>
      <c r="O13756" s="223" t="s">
        <v>432</v>
      </c>
      <c r="P13756" s="223"/>
      <c r="Q13756" s="224"/>
    </row>
    <row r="13757" spans="1:17">
      <c r="A13757" s="221">
        <v>167</v>
      </c>
      <c r="B13757" s="222">
        <v>46093</v>
      </c>
      <c r="C13757" s="223" t="s">
        <v>298</v>
      </c>
      <c r="D13757" s="223" t="s">
        <v>377</v>
      </c>
      <c r="E13757" s="223" t="s">
        <v>402</v>
      </c>
      <c r="F13757" s="223">
        <v>2026</v>
      </c>
      <c r="G13757" s="223">
        <v>3</v>
      </c>
      <c r="H13757" s="223" t="s">
        <v>61</v>
      </c>
      <c r="I13757" s="226" t="s">
        <v>62</v>
      </c>
      <c r="J13757" s="223" t="s">
        <v>360</v>
      </c>
      <c r="K13757" s="223" t="s">
        <v>34</v>
      </c>
      <c r="L13757" s="223" t="s">
        <v>469</v>
      </c>
      <c r="M13757" s="223">
        <v>3</v>
      </c>
      <c r="N13757" s="223"/>
      <c r="O13757" s="223" t="s">
        <v>63</v>
      </c>
      <c r="P13757" s="223"/>
      <c r="Q13757" s="224"/>
    </row>
    <row r="13758" spans="1:17">
      <c r="A13758" s="221">
        <v>168</v>
      </c>
      <c r="B13758" s="222">
        <v>46093</v>
      </c>
      <c r="C13758" s="223" t="s">
        <v>298</v>
      </c>
      <c r="D13758" s="223" t="s">
        <v>377</v>
      </c>
      <c r="E13758" s="223" t="s">
        <v>402</v>
      </c>
      <c r="F13758" s="223">
        <v>2026</v>
      </c>
      <c r="G13758" s="223">
        <v>3</v>
      </c>
      <c r="H13758" s="223" t="s">
        <v>61</v>
      </c>
      <c r="I13758" s="226" t="s">
        <v>62</v>
      </c>
      <c r="J13758" s="223" t="s">
        <v>360</v>
      </c>
      <c r="K13758" s="223" t="s">
        <v>35</v>
      </c>
      <c r="L13758" s="223" t="s">
        <v>466</v>
      </c>
      <c r="M13758" s="223">
        <v>3</v>
      </c>
      <c r="N13758" s="223"/>
      <c r="O13758" s="223" t="s">
        <v>112</v>
      </c>
      <c r="P13758" s="223"/>
      <c r="Q13758" s="224"/>
    </row>
    <row r="13759" spans="1:17">
      <c r="A13759" s="221">
        <v>169</v>
      </c>
      <c r="B13759" s="222">
        <v>46093</v>
      </c>
      <c r="C13759" s="223" t="s">
        <v>298</v>
      </c>
      <c r="D13759" s="223" t="s">
        <v>451</v>
      </c>
      <c r="E13759" s="223" t="s">
        <v>402</v>
      </c>
      <c r="F13759" s="223">
        <v>2026</v>
      </c>
      <c r="G13759" s="223">
        <v>3</v>
      </c>
      <c r="H13759" s="223" t="s">
        <v>61</v>
      </c>
      <c r="I13759" s="226" t="s">
        <v>62</v>
      </c>
      <c r="J13759" s="223" t="s">
        <v>360</v>
      </c>
      <c r="K13759" s="223" t="s">
        <v>37</v>
      </c>
      <c r="L13759" s="223" t="s">
        <v>387</v>
      </c>
      <c r="M13759" s="223">
        <v>3</v>
      </c>
      <c r="N13759" s="223"/>
      <c r="O13759" s="223" t="s">
        <v>63</v>
      </c>
      <c r="P13759" s="223"/>
      <c r="Q13759" s="224"/>
    </row>
    <row r="13760" spans="1:17">
      <c r="A13760" s="221">
        <v>170</v>
      </c>
      <c r="B13760" s="222">
        <v>46093</v>
      </c>
      <c r="C13760" s="223" t="s">
        <v>298</v>
      </c>
      <c r="D13760" s="223" t="s">
        <v>452</v>
      </c>
      <c r="E13760" s="223" t="s">
        <v>402</v>
      </c>
      <c r="F13760" s="223">
        <v>2026</v>
      </c>
      <c r="G13760" s="223">
        <v>3</v>
      </c>
      <c r="H13760" s="223" t="s">
        <v>61</v>
      </c>
      <c r="I13760" s="226" t="s">
        <v>62</v>
      </c>
      <c r="J13760" s="223" t="s">
        <v>360</v>
      </c>
      <c r="K13760" s="223" t="s">
        <v>38</v>
      </c>
      <c r="L13760" s="223" t="s">
        <v>387</v>
      </c>
      <c r="M13760" s="223">
        <v>3</v>
      </c>
      <c r="N13760" s="223"/>
      <c r="O13760" s="223" t="s">
        <v>112</v>
      </c>
      <c r="P13760" s="223"/>
      <c r="Q13760" s="224"/>
    </row>
    <row r="13761" spans="1:17">
      <c r="A13761" s="221">
        <v>171</v>
      </c>
      <c r="B13761" s="222">
        <v>46094</v>
      </c>
      <c r="C13761" s="223" t="s">
        <v>301</v>
      </c>
      <c r="D13761" s="223" t="s">
        <v>470</v>
      </c>
      <c r="E13761" s="223" t="s">
        <v>402</v>
      </c>
      <c r="F13761" s="223">
        <v>2026</v>
      </c>
      <c r="G13761" s="223">
        <v>1.5</v>
      </c>
      <c r="H13761" s="223" t="s">
        <v>57</v>
      </c>
      <c r="I13761" s="226" t="s">
        <v>454</v>
      </c>
      <c r="J13761" s="223" t="s">
        <v>311</v>
      </c>
      <c r="K13761" s="223"/>
      <c r="L13761" s="223" t="s">
        <v>471</v>
      </c>
      <c r="M13761" s="223">
        <v>1.5</v>
      </c>
      <c r="N13761" s="223"/>
      <c r="O13761" s="223" t="s">
        <v>60</v>
      </c>
      <c r="P13761" s="223"/>
      <c r="Q13761" s="224"/>
    </row>
    <row r="13762" spans="1:17">
      <c r="A13762" s="221">
        <v>172</v>
      </c>
      <c r="B13762" s="222">
        <v>46094</v>
      </c>
      <c r="C13762" s="223" t="s">
        <v>301</v>
      </c>
      <c r="D13762" s="223" t="s">
        <v>398</v>
      </c>
      <c r="E13762" s="223" t="s">
        <v>402</v>
      </c>
      <c r="F13762" s="223">
        <v>2026</v>
      </c>
      <c r="G13762" s="223">
        <v>2</v>
      </c>
      <c r="H13762" s="223" t="s">
        <v>57</v>
      </c>
      <c r="I13762" s="226" t="s">
        <v>74</v>
      </c>
      <c r="J13762" s="223" t="s">
        <v>373</v>
      </c>
      <c r="K13762" s="223"/>
      <c r="L13762" s="223" t="s">
        <v>472</v>
      </c>
      <c r="M13762" s="223">
        <v>2</v>
      </c>
      <c r="N13762" s="223"/>
      <c r="O13762" s="223" t="s">
        <v>66</v>
      </c>
      <c r="P13762" s="223"/>
      <c r="Q13762" s="224"/>
    </row>
    <row r="13763" spans="1:17">
      <c r="A13763" s="221">
        <v>173</v>
      </c>
      <c r="B13763" s="222">
        <v>46094</v>
      </c>
      <c r="C13763" s="223" t="s">
        <v>301</v>
      </c>
      <c r="D13763" s="223"/>
      <c r="E13763" s="223" t="s">
        <v>402</v>
      </c>
      <c r="F13763" s="223">
        <v>2026</v>
      </c>
      <c r="G13763" s="223">
        <v>2.5</v>
      </c>
      <c r="H13763" s="223" t="s">
        <v>363</v>
      </c>
      <c r="I13763" s="226"/>
      <c r="J13763" s="223" t="s">
        <v>311</v>
      </c>
      <c r="K13763" s="223" t="s">
        <v>101</v>
      </c>
      <c r="L13763" s="223" t="s">
        <v>435</v>
      </c>
      <c r="M13763" s="223"/>
      <c r="N13763" s="223"/>
      <c r="O13763" s="223" t="s">
        <v>401</v>
      </c>
      <c r="P13763" s="223"/>
      <c r="Q13763" s="224"/>
    </row>
    <row r="13764" spans="1:17">
      <c r="A13764" s="221">
        <v>174</v>
      </c>
      <c r="B13764" s="222">
        <v>46094</v>
      </c>
      <c r="C13764" s="223" t="s">
        <v>301</v>
      </c>
      <c r="D13764" s="223"/>
      <c r="E13764" s="223" t="s">
        <v>291</v>
      </c>
      <c r="F13764" s="223">
        <v>2026</v>
      </c>
      <c r="G13764" s="223">
        <v>2.5</v>
      </c>
      <c r="H13764" s="223" t="s">
        <v>363</v>
      </c>
      <c r="I13764" s="226"/>
      <c r="J13764" s="223" t="s">
        <v>311</v>
      </c>
      <c r="K13764" s="223" t="s">
        <v>101</v>
      </c>
      <c r="L13764" s="223" t="s">
        <v>473</v>
      </c>
      <c r="M13764" s="223"/>
      <c r="N13764" s="223"/>
      <c r="O13764" s="223" t="s">
        <v>401</v>
      </c>
      <c r="P13764" s="223"/>
      <c r="Q13764" s="224"/>
    </row>
    <row r="13765" spans="1:17">
      <c r="A13765" s="221">
        <v>175</v>
      </c>
      <c r="B13765" s="222">
        <v>46094</v>
      </c>
      <c r="C13765" s="223" t="s">
        <v>301</v>
      </c>
      <c r="D13765" s="223" t="s">
        <v>372</v>
      </c>
      <c r="E13765" s="223" t="s">
        <v>402</v>
      </c>
      <c r="F13765" s="223">
        <v>2026</v>
      </c>
      <c r="G13765" s="223">
        <v>2.5</v>
      </c>
      <c r="H13765" s="223" t="s">
        <v>57</v>
      </c>
      <c r="I13765" s="226" t="s">
        <v>58</v>
      </c>
      <c r="J13765" s="223" t="s">
        <v>373</v>
      </c>
      <c r="K13765" s="223"/>
      <c r="L13765" s="223" t="s">
        <v>474</v>
      </c>
      <c r="M13765" s="223">
        <v>2.5</v>
      </c>
      <c r="N13765" s="223"/>
      <c r="O13765" s="223" t="s">
        <v>414</v>
      </c>
      <c r="P13765" s="223"/>
      <c r="Q13765" s="224"/>
    </row>
    <row r="13766" spans="1:17">
      <c r="A13766" s="221">
        <v>176</v>
      </c>
      <c r="B13766" s="222">
        <v>46094</v>
      </c>
      <c r="C13766" s="223" t="s">
        <v>301</v>
      </c>
      <c r="D13766" s="223" t="s">
        <v>475</v>
      </c>
      <c r="E13766" s="223" t="s">
        <v>402</v>
      </c>
      <c r="F13766" s="223">
        <v>2026</v>
      </c>
      <c r="G13766" s="223">
        <v>4.5</v>
      </c>
      <c r="H13766" s="223" t="s">
        <v>61</v>
      </c>
      <c r="I13766" s="226" t="s">
        <v>62</v>
      </c>
      <c r="J13766" s="223" t="s">
        <v>360</v>
      </c>
      <c r="K13766" s="223" t="s">
        <v>34</v>
      </c>
      <c r="L13766" s="223" t="s">
        <v>476</v>
      </c>
      <c r="M13766" s="223">
        <v>4.5</v>
      </c>
      <c r="N13766" s="223"/>
      <c r="O13766" s="223" t="s">
        <v>63</v>
      </c>
      <c r="P13766" s="223"/>
      <c r="Q13766" s="224"/>
    </row>
    <row r="13767" spans="1:17">
      <c r="A13767" s="221">
        <v>177</v>
      </c>
      <c r="B13767" s="222">
        <v>46094</v>
      </c>
      <c r="C13767" s="223" t="s">
        <v>301</v>
      </c>
      <c r="D13767" s="223" t="s">
        <v>377</v>
      </c>
      <c r="E13767" s="223" t="s">
        <v>402</v>
      </c>
      <c r="F13767" s="223">
        <v>2026</v>
      </c>
      <c r="G13767" s="223">
        <v>3</v>
      </c>
      <c r="H13767" s="223" t="s">
        <v>61</v>
      </c>
      <c r="I13767" s="226" t="s">
        <v>62</v>
      </c>
      <c r="J13767" s="223" t="s">
        <v>360</v>
      </c>
      <c r="K13767" s="223" t="s">
        <v>35</v>
      </c>
      <c r="L13767" s="223" t="s">
        <v>469</v>
      </c>
      <c r="M13767" s="223">
        <v>3</v>
      </c>
      <c r="N13767" s="223"/>
      <c r="O13767" s="223" t="s">
        <v>112</v>
      </c>
      <c r="P13767" s="223"/>
      <c r="Q13767" s="224"/>
    </row>
    <row r="13768" spans="1:17">
      <c r="A13768" s="221">
        <v>178</v>
      </c>
      <c r="B13768" s="222">
        <v>46094</v>
      </c>
      <c r="C13768" s="223" t="s">
        <v>301</v>
      </c>
      <c r="D13768" s="223" t="s">
        <v>451</v>
      </c>
      <c r="E13768" s="223" t="s">
        <v>402</v>
      </c>
      <c r="F13768" s="223">
        <v>2026</v>
      </c>
      <c r="G13768" s="223">
        <v>3</v>
      </c>
      <c r="H13768" s="223" t="s">
        <v>61</v>
      </c>
      <c r="I13768" s="226" t="s">
        <v>62</v>
      </c>
      <c r="J13768" s="223" t="s">
        <v>360</v>
      </c>
      <c r="K13768" s="223" t="s">
        <v>37</v>
      </c>
      <c r="L13768" s="223" t="s">
        <v>390</v>
      </c>
      <c r="M13768" s="223">
        <v>3</v>
      </c>
      <c r="N13768" s="223"/>
      <c r="O13768" s="223" t="s">
        <v>63</v>
      </c>
      <c r="P13768" s="223"/>
      <c r="Q13768" s="224"/>
    </row>
    <row r="13769" spans="1:17">
      <c r="A13769" s="221">
        <v>179</v>
      </c>
      <c r="B13769" s="222">
        <v>46094</v>
      </c>
      <c r="C13769" s="223" t="s">
        <v>301</v>
      </c>
      <c r="D13769" s="223" t="s">
        <v>452</v>
      </c>
      <c r="E13769" s="223" t="s">
        <v>402</v>
      </c>
      <c r="F13769" s="223">
        <v>2026</v>
      </c>
      <c r="G13769" s="223">
        <v>3</v>
      </c>
      <c r="H13769" s="223" t="s">
        <v>61</v>
      </c>
      <c r="I13769" s="226" t="s">
        <v>62</v>
      </c>
      <c r="J13769" s="223" t="s">
        <v>360</v>
      </c>
      <c r="K13769" s="223" t="s">
        <v>38</v>
      </c>
      <c r="L13769" s="223" t="s">
        <v>390</v>
      </c>
      <c r="M13769" s="223">
        <v>3</v>
      </c>
      <c r="N13769" s="223"/>
      <c r="O13769" s="223" t="s">
        <v>112</v>
      </c>
      <c r="P13769" s="223"/>
      <c r="Q13769" s="224"/>
    </row>
    <row r="13770" spans="1:17">
      <c r="A13770" s="221">
        <v>180</v>
      </c>
      <c r="B13770" s="222">
        <v>46097</v>
      </c>
      <c r="C13770" s="223" t="s">
        <v>302</v>
      </c>
      <c r="D13770" s="223" t="s">
        <v>477</v>
      </c>
      <c r="E13770" s="223" t="s">
        <v>402</v>
      </c>
      <c r="F13770" s="223">
        <v>2026</v>
      </c>
      <c r="G13770" s="223">
        <v>3</v>
      </c>
      <c r="H13770" s="223" t="s">
        <v>461</v>
      </c>
      <c r="I13770" s="226" t="s">
        <v>136</v>
      </c>
      <c r="J13770" s="223" t="s">
        <v>462</v>
      </c>
      <c r="K13770" s="223" t="s">
        <v>101</v>
      </c>
      <c r="L13770" s="223" t="s">
        <v>478</v>
      </c>
      <c r="M13770" s="223">
        <v>3</v>
      </c>
      <c r="N13770" s="223"/>
      <c r="O13770" s="223" t="s">
        <v>82</v>
      </c>
      <c r="P13770" s="223"/>
      <c r="Q13770" s="224"/>
    </row>
    <row r="13771" spans="1:17">
      <c r="A13771" s="221">
        <v>181</v>
      </c>
      <c r="B13771" s="222">
        <v>46097</v>
      </c>
      <c r="C13771" s="223" t="s">
        <v>302</v>
      </c>
      <c r="D13771" s="223" t="s">
        <v>479</v>
      </c>
      <c r="E13771" s="223" t="s">
        <v>402</v>
      </c>
      <c r="F13771" s="223">
        <v>2026</v>
      </c>
      <c r="G13771" s="223">
        <v>3</v>
      </c>
      <c r="H13771" s="223" t="s">
        <v>461</v>
      </c>
      <c r="I13771" s="226" t="s">
        <v>136</v>
      </c>
      <c r="J13771" s="223" t="s">
        <v>462</v>
      </c>
      <c r="K13771" s="223" t="s">
        <v>10</v>
      </c>
      <c r="L13771" s="223" t="s">
        <v>478</v>
      </c>
      <c r="M13771" s="223">
        <v>3</v>
      </c>
      <c r="N13771" s="223"/>
      <c r="O13771" s="223" t="s">
        <v>138</v>
      </c>
      <c r="P13771" s="223"/>
      <c r="Q13771" s="224"/>
    </row>
    <row r="13772" spans="1:17">
      <c r="A13772" s="221">
        <v>182</v>
      </c>
      <c r="B13772" s="222">
        <v>46097</v>
      </c>
      <c r="C13772" s="223" t="s">
        <v>302</v>
      </c>
      <c r="D13772" s="223" t="s">
        <v>480</v>
      </c>
      <c r="E13772" s="223" t="s">
        <v>402</v>
      </c>
      <c r="F13772" s="223">
        <v>2026</v>
      </c>
      <c r="G13772" s="223">
        <v>3</v>
      </c>
      <c r="H13772" s="223" t="s">
        <v>132</v>
      </c>
      <c r="I13772" s="226" t="s">
        <v>133</v>
      </c>
      <c r="J13772" s="223" t="s">
        <v>360</v>
      </c>
      <c r="K13772" s="223" t="s">
        <v>106</v>
      </c>
      <c r="L13772" s="223" t="s">
        <v>481</v>
      </c>
      <c r="M13772" s="223">
        <v>3</v>
      </c>
      <c r="N13772" s="223"/>
      <c r="O13772" s="223" t="s">
        <v>127</v>
      </c>
      <c r="P13772" s="223"/>
      <c r="Q13772" s="224"/>
    </row>
    <row r="13773" spans="1:17">
      <c r="A13773" s="221">
        <v>183</v>
      </c>
      <c r="B13773" s="222">
        <v>46097</v>
      </c>
      <c r="C13773" s="223" t="s">
        <v>302</v>
      </c>
      <c r="D13773" s="223" t="s">
        <v>482</v>
      </c>
      <c r="E13773" s="223" t="s">
        <v>402</v>
      </c>
      <c r="F13773" s="223">
        <v>2026</v>
      </c>
      <c r="G13773" s="223">
        <v>2</v>
      </c>
      <c r="H13773" s="223" t="s">
        <v>132</v>
      </c>
      <c r="I13773" s="226" t="s">
        <v>133</v>
      </c>
      <c r="J13773" s="223" t="s">
        <v>360</v>
      </c>
      <c r="K13773" s="223" t="s">
        <v>135</v>
      </c>
      <c r="L13773" s="223" t="s">
        <v>481</v>
      </c>
      <c r="M13773" s="223">
        <v>2</v>
      </c>
      <c r="N13773" s="223"/>
      <c r="O13773" s="223" t="s">
        <v>127</v>
      </c>
      <c r="P13773" s="223"/>
      <c r="Q13773" s="224"/>
    </row>
    <row r="13774" spans="1:17">
      <c r="A13774" s="221">
        <v>184</v>
      </c>
      <c r="B13774" s="222">
        <v>46097</v>
      </c>
      <c r="C13774" s="223" t="s">
        <v>302</v>
      </c>
      <c r="D13774" s="223" t="s">
        <v>483</v>
      </c>
      <c r="E13774" s="223" t="s">
        <v>402</v>
      </c>
      <c r="F13774" s="223">
        <v>2026</v>
      </c>
      <c r="G13774" s="223">
        <v>2</v>
      </c>
      <c r="H13774" s="223" t="s">
        <v>99</v>
      </c>
      <c r="I13774" s="226" t="s">
        <v>108</v>
      </c>
      <c r="J13774" s="223" t="s">
        <v>366</v>
      </c>
      <c r="K13774" s="223" t="s">
        <v>10</v>
      </c>
      <c r="L13774" s="223" t="s">
        <v>484</v>
      </c>
      <c r="M13774" s="223">
        <v>2</v>
      </c>
      <c r="N13774" s="223"/>
      <c r="O13774" s="223" t="s">
        <v>485</v>
      </c>
      <c r="P13774" s="223"/>
      <c r="Q13774" s="224"/>
    </row>
    <row r="13775" spans="1:17">
      <c r="A13775" s="221">
        <v>185</v>
      </c>
      <c r="B13775" s="222">
        <v>46097</v>
      </c>
      <c r="C13775" s="223" t="s">
        <v>302</v>
      </c>
      <c r="D13775" s="223" t="s">
        <v>398</v>
      </c>
      <c r="E13775" s="223" t="s">
        <v>402</v>
      </c>
      <c r="F13775" s="223">
        <v>2026</v>
      </c>
      <c r="G13775" s="223">
        <v>2</v>
      </c>
      <c r="H13775" s="223" t="s">
        <v>57</v>
      </c>
      <c r="I13775" s="226" t="s">
        <v>74</v>
      </c>
      <c r="J13775" s="223" t="s">
        <v>373</v>
      </c>
      <c r="K13775" s="223"/>
      <c r="L13775" s="223" t="s">
        <v>486</v>
      </c>
      <c r="M13775" s="223">
        <v>2</v>
      </c>
      <c r="N13775" s="223"/>
      <c r="O13775" s="223" t="s">
        <v>66</v>
      </c>
      <c r="P13775" s="223"/>
      <c r="Q13775" s="224"/>
    </row>
    <row r="13776" spans="1:17">
      <c r="A13776" s="221">
        <v>186</v>
      </c>
      <c r="B13776" s="222">
        <v>46097</v>
      </c>
      <c r="C13776" s="223" t="s">
        <v>302</v>
      </c>
      <c r="D13776" s="223" t="s">
        <v>475</v>
      </c>
      <c r="E13776" s="223" t="s">
        <v>402</v>
      </c>
      <c r="F13776" s="223">
        <v>2026</v>
      </c>
      <c r="G13776" s="223">
        <v>4.5</v>
      </c>
      <c r="H13776" s="223" t="s">
        <v>61</v>
      </c>
      <c r="I13776" s="226" t="s">
        <v>62</v>
      </c>
      <c r="J13776" s="223" t="s">
        <v>360</v>
      </c>
      <c r="K13776" s="223" t="s">
        <v>34</v>
      </c>
      <c r="L13776" s="223" t="s">
        <v>487</v>
      </c>
      <c r="M13776" s="223">
        <v>4.5</v>
      </c>
      <c r="N13776" s="223"/>
      <c r="O13776" s="223" t="s">
        <v>63</v>
      </c>
      <c r="P13776" s="223"/>
      <c r="Q13776" s="224"/>
    </row>
    <row r="13777" spans="1:17">
      <c r="A13777" s="221">
        <v>187</v>
      </c>
      <c r="B13777" s="222">
        <v>46097</v>
      </c>
      <c r="C13777" s="223" t="s">
        <v>302</v>
      </c>
      <c r="D13777" s="223" t="s">
        <v>488</v>
      </c>
      <c r="E13777" s="223" t="s">
        <v>402</v>
      </c>
      <c r="F13777" s="223">
        <v>2026</v>
      </c>
      <c r="G13777" s="223">
        <v>4</v>
      </c>
      <c r="H13777" s="223" t="s">
        <v>61</v>
      </c>
      <c r="I13777" s="226" t="s">
        <v>62</v>
      </c>
      <c r="J13777" s="223" t="s">
        <v>360</v>
      </c>
      <c r="K13777" s="223" t="s">
        <v>35</v>
      </c>
      <c r="L13777" s="223" t="s">
        <v>476</v>
      </c>
      <c r="M13777" s="223">
        <v>4</v>
      </c>
      <c r="N13777" s="223"/>
      <c r="O13777" s="223" t="s">
        <v>87</v>
      </c>
      <c r="P13777" s="223"/>
      <c r="Q13777" s="224"/>
    </row>
    <row r="13778" spans="1:17">
      <c r="A13778" s="221">
        <v>188</v>
      </c>
      <c r="B13778" s="222">
        <v>46097</v>
      </c>
      <c r="C13778" s="223" t="s">
        <v>302</v>
      </c>
      <c r="D13778" s="223" t="s">
        <v>451</v>
      </c>
      <c r="E13778" s="223" t="s">
        <v>402</v>
      </c>
      <c r="F13778" s="223">
        <v>2026</v>
      </c>
      <c r="G13778" s="223">
        <v>3</v>
      </c>
      <c r="H13778" s="223" t="s">
        <v>61</v>
      </c>
      <c r="I13778" s="226" t="s">
        <v>62</v>
      </c>
      <c r="J13778" s="223" t="s">
        <v>360</v>
      </c>
      <c r="K13778" s="223" t="s">
        <v>37</v>
      </c>
      <c r="L13778" s="223" t="s">
        <v>489</v>
      </c>
      <c r="M13778" s="223">
        <v>3</v>
      </c>
      <c r="N13778" s="223"/>
      <c r="O13778" s="223" t="s">
        <v>63</v>
      </c>
      <c r="P13778" s="223"/>
      <c r="Q13778" s="224"/>
    </row>
    <row r="13779" spans="1:17">
      <c r="A13779" s="221"/>
      <c r="B13779" s="222">
        <v>46097</v>
      </c>
      <c r="C13779" s="223" t="s">
        <v>302</v>
      </c>
      <c r="D13779" s="223"/>
      <c r="E13779" s="223" t="s">
        <v>402</v>
      </c>
      <c r="F13779" s="223">
        <v>2026</v>
      </c>
      <c r="G13779" s="223"/>
      <c r="H13779" s="223" t="s">
        <v>61</v>
      </c>
      <c r="I13779" s="226" t="s">
        <v>62</v>
      </c>
      <c r="J13779" s="223" t="s">
        <v>360</v>
      </c>
      <c r="K13779" s="223" t="s">
        <v>38</v>
      </c>
      <c r="L13779" s="223" t="s">
        <v>391</v>
      </c>
      <c r="M13779" s="223"/>
      <c r="N13779" s="223"/>
      <c r="O13779" s="223"/>
      <c r="P13779" s="223"/>
      <c r="Q13779" s="224"/>
    </row>
    <row r="13780" spans="1:17">
      <c r="A13780" s="221">
        <v>189</v>
      </c>
      <c r="B13780" s="222">
        <v>46098</v>
      </c>
      <c r="C13780" s="223" t="s">
        <v>289</v>
      </c>
      <c r="D13780" s="223" t="s">
        <v>490</v>
      </c>
      <c r="E13780" s="223" t="s">
        <v>402</v>
      </c>
      <c r="F13780" s="223">
        <v>2026</v>
      </c>
      <c r="G13780" s="223">
        <v>2</v>
      </c>
      <c r="H13780" s="223" t="s">
        <v>99</v>
      </c>
      <c r="I13780" s="226" t="s">
        <v>108</v>
      </c>
      <c r="J13780" s="223" t="s">
        <v>366</v>
      </c>
      <c r="K13780" s="223" t="s">
        <v>101</v>
      </c>
      <c r="L13780" s="223" t="s">
        <v>484</v>
      </c>
      <c r="M13780" s="223">
        <v>2</v>
      </c>
      <c r="N13780" s="223"/>
      <c r="O13780" s="223" t="s">
        <v>66</v>
      </c>
      <c r="P13780" s="223"/>
      <c r="Q13780" s="224"/>
    </row>
    <row r="13781" spans="1:17">
      <c r="A13781" s="221">
        <v>190</v>
      </c>
      <c r="B13781" s="222">
        <v>46098</v>
      </c>
      <c r="C13781" s="223" t="s">
        <v>289</v>
      </c>
      <c r="D13781" s="223" t="s">
        <v>491</v>
      </c>
      <c r="E13781" s="223" t="s">
        <v>402</v>
      </c>
      <c r="F13781" s="223">
        <v>2026</v>
      </c>
      <c r="G13781" s="223">
        <v>2</v>
      </c>
      <c r="H13781" s="223" t="s">
        <v>99</v>
      </c>
      <c r="I13781" s="226" t="s">
        <v>108</v>
      </c>
      <c r="J13781" s="223" t="s">
        <v>366</v>
      </c>
      <c r="K13781" s="223" t="s">
        <v>104</v>
      </c>
      <c r="L13781" s="223" t="s">
        <v>484</v>
      </c>
      <c r="M13781" s="223">
        <v>2</v>
      </c>
      <c r="N13781" s="223"/>
      <c r="O13781" s="223" t="s">
        <v>63</v>
      </c>
      <c r="P13781" s="223"/>
      <c r="Q13781" s="224"/>
    </row>
    <row r="13782" spans="1:17" ht="45.75">
      <c r="A13782" s="221">
        <v>191</v>
      </c>
      <c r="B13782" s="222">
        <v>46098</v>
      </c>
      <c r="C13782" s="223" t="s">
        <v>289</v>
      </c>
      <c r="D13782" s="223" t="s">
        <v>456</v>
      </c>
      <c r="E13782" s="223" t="s">
        <v>402</v>
      </c>
      <c r="F13782" s="223">
        <v>2026</v>
      </c>
      <c r="G13782" s="223">
        <v>2.5</v>
      </c>
      <c r="H13782" s="223" t="s">
        <v>99</v>
      </c>
      <c r="I13782" s="226" t="s">
        <v>100</v>
      </c>
      <c r="J13782" s="223" t="s">
        <v>373</v>
      </c>
      <c r="K13782" s="223" t="s">
        <v>101</v>
      </c>
      <c r="L13782" s="226" t="s">
        <v>468</v>
      </c>
      <c r="M13782" s="223">
        <v>2.5</v>
      </c>
      <c r="N13782" s="223"/>
      <c r="O13782" s="223" t="s">
        <v>102</v>
      </c>
      <c r="P13782" s="223"/>
      <c r="Q13782" s="224"/>
    </row>
    <row r="13783" spans="1:17">
      <c r="A13783" s="221">
        <v>192</v>
      </c>
      <c r="B13783" s="222">
        <v>46098</v>
      </c>
      <c r="C13783" s="223" t="s">
        <v>289</v>
      </c>
      <c r="D13783" s="223" t="s">
        <v>467</v>
      </c>
      <c r="E13783" s="223" t="s">
        <v>402</v>
      </c>
      <c r="F13783" s="223">
        <v>2026</v>
      </c>
      <c r="G13783" s="223">
        <v>2.5</v>
      </c>
      <c r="H13783" s="223" t="s">
        <v>99</v>
      </c>
      <c r="I13783" s="226" t="s">
        <v>100</v>
      </c>
      <c r="J13783" s="223" t="s">
        <v>373</v>
      </c>
      <c r="K13783" s="223" t="s">
        <v>104</v>
      </c>
      <c r="L13783" s="223" t="s">
        <v>457</v>
      </c>
      <c r="M13783" s="223">
        <v>2.5</v>
      </c>
      <c r="N13783" s="223"/>
      <c r="O13783" s="223" t="s">
        <v>432</v>
      </c>
      <c r="P13783" s="223"/>
      <c r="Q13783" s="224"/>
    </row>
    <row r="13784" spans="1:17" ht="45.75">
      <c r="A13784" s="221">
        <v>193</v>
      </c>
      <c r="B13784" s="222">
        <v>46098</v>
      </c>
      <c r="C13784" s="223" t="s">
        <v>289</v>
      </c>
      <c r="D13784" s="223" t="s">
        <v>430</v>
      </c>
      <c r="E13784" s="223" t="s">
        <v>402</v>
      </c>
      <c r="F13784" s="223">
        <v>2026</v>
      </c>
      <c r="G13784" s="223">
        <v>2.5</v>
      </c>
      <c r="H13784" s="223" t="s">
        <v>99</v>
      </c>
      <c r="I13784" s="226" t="s">
        <v>100</v>
      </c>
      <c r="J13784" s="223" t="s">
        <v>373</v>
      </c>
      <c r="K13784" s="223" t="s">
        <v>106</v>
      </c>
      <c r="L13784" s="226" t="s">
        <v>492</v>
      </c>
      <c r="M13784" s="223">
        <v>2.5</v>
      </c>
      <c r="N13784" s="223"/>
      <c r="O13784" s="223" t="s">
        <v>432</v>
      </c>
      <c r="P13784" s="223"/>
      <c r="Q13784" s="224"/>
    </row>
    <row r="13785" spans="1:17">
      <c r="A13785" s="221">
        <v>194</v>
      </c>
      <c r="B13785" s="222">
        <v>46098</v>
      </c>
      <c r="C13785" s="223" t="s">
        <v>289</v>
      </c>
      <c r="D13785" s="223" t="s">
        <v>475</v>
      </c>
      <c r="E13785" s="223" t="s">
        <v>402</v>
      </c>
      <c r="F13785" s="223">
        <v>2026</v>
      </c>
      <c r="G13785" s="223">
        <v>4.5</v>
      </c>
      <c r="H13785" s="223" t="s">
        <v>61</v>
      </c>
      <c r="I13785" s="226" t="s">
        <v>62</v>
      </c>
      <c r="J13785" s="223" t="s">
        <v>360</v>
      </c>
      <c r="K13785" s="223" t="s">
        <v>34</v>
      </c>
      <c r="L13785" s="223" t="s">
        <v>487</v>
      </c>
      <c r="M13785" s="223">
        <v>4.5</v>
      </c>
      <c r="N13785" s="223"/>
      <c r="O13785" s="223" t="s">
        <v>63</v>
      </c>
      <c r="P13785" s="223"/>
      <c r="Q13785" s="224"/>
    </row>
    <row r="13786" spans="1:17">
      <c r="A13786" s="221">
        <v>195</v>
      </c>
      <c r="B13786" s="222">
        <v>46098</v>
      </c>
      <c r="C13786" s="223" t="s">
        <v>289</v>
      </c>
      <c r="D13786" s="223" t="s">
        <v>488</v>
      </c>
      <c r="E13786" s="223" t="s">
        <v>402</v>
      </c>
      <c r="F13786" s="223">
        <v>2026</v>
      </c>
      <c r="G13786" s="223">
        <v>4</v>
      </c>
      <c r="H13786" s="223" t="s">
        <v>61</v>
      </c>
      <c r="I13786" s="226" t="s">
        <v>62</v>
      </c>
      <c r="J13786" s="223" t="s">
        <v>360</v>
      </c>
      <c r="K13786" s="223" t="s">
        <v>35</v>
      </c>
      <c r="L13786" s="223" t="s">
        <v>487</v>
      </c>
      <c r="M13786" s="223">
        <v>4</v>
      </c>
      <c r="N13786" s="223"/>
      <c r="O13786" s="223" t="s">
        <v>87</v>
      </c>
      <c r="P13786" s="223"/>
      <c r="Q13786" s="224"/>
    </row>
    <row r="13787" spans="1:17">
      <c r="A13787" s="221">
        <v>196</v>
      </c>
      <c r="B13787" s="222">
        <v>46098</v>
      </c>
      <c r="C13787" s="223" t="s">
        <v>289</v>
      </c>
      <c r="D13787" s="223" t="s">
        <v>451</v>
      </c>
      <c r="E13787" s="223" t="s">
        <v>402</v>
      </c>
      <c r="F13787" s="223">
        <v>2026</v>
      </c>
      <c r="G13787" s="223">
        <v>3</v>
      </c>
      <c r="H13787" s="223" t="s">
        <v>61</v>
      </c>
      <c r="I13787" s="226" t="s">
        <v>62</v>
      </c>
      <c r="J13787" s="223" t="s">
        <v>360</v>
      </c>
      <c r="K13787" s="223" t="s">
        <v>37</v>
      </c>
      <c r="L13787" s="223" t="s">
        <v>393</v>
      </c>
      <c r="M13787" s="223">
        <v>3</v>
      </c>
      <c r="N13787" s="223"/>
      <c r="O13787" s="223" t="s">
        <v>112</v>
      </c>
      <c r="P13787" s="223"/>
      <c r="Q13787" s="224"/>
    </row>
    <row r="13788" spans="1:17">
      <c r="A13788" s="221">
        <v>197</v>
      </c>
      <c r="B13788" s="222">
        <v>46098</v>
      </c>
      <c r="C13788" s="223" t="s">
        <v>289</v>
      </c>
      <c r="D13788" s="223" t="s">
        <v>452</v>
      </c>
      <c r="E13788" s="223" t="s">
        <v>402</v>
      </c>
      <c r="F13788" s="223">
        <v>2026</v>
      </c>
      <c r="G13788" s="223">
        <v>3</v>
      </c>
      <c r="H13788" s="223" t="s">
        <v>61</v>
      </c>
      <c r="I13788" s="226" t="s">
        <v>62</v>
      </c>
      <c r="J13788" s="223" t="s">
        <v>360</v>
      </c>
      <c r="K13788" s="223" t="s">
        <v>38</v>
      </c>
      <c r="L13788" s="223" t="s">
        <v>393</v>
      </c>
      <c r="M13788" s="223">
        <v>3</v>
      </c>
      <c r="N13788" s="223"/>
      <c r="O13788" s="223" t="s">
        <v>87</v>
      </c>
      <c r="P13788" s="223"/>
      <c r="Q13788" s="224"/>
    </row>
    <row r="13789" spans="1:17">
      <c r="A13789" s="221">
        <v>198</v>
      </c>
      <c r="B13789" s="222">
        <v>46099</v>
      </c>
      <c r="C13789" s="223" t="s">
        <v>294</v>
      </c>
      <c r="D13789" s="223" t="s">
        <v>493</v>
      </c>
      <c r="E13789" s="223" t="s">
        <v>402</v>
      </c>
      <c r="F13789" s="223">
        <v>2026</v>
      </c>
      <c r="G13789" s="223">
        <v>1</v>
      </c>
      <c r="H13789" s="223" t="s">
        <v>57</v>
      </c>
      <c r="I13789" s="226" t="s">
        <v>89</v>
      </c>
      <c r="J13789" s="223" t="s">
        <v>311</v>
      </c>
      <c r="K13789" s="223" t="s">
        <v>90</v>
      </c>
      <c r="L13789" s="223" t="s">
        <v>494</v>
      </c>
      <c r="M13789" s="223">
        <v>1</v>
      </c>
      <c r="N13789" s="223"/>
      <c r="O13789" s="223" t="s">
        <v>93</v>
      </c>
      <c r="P13789" s="223"/>
      <c r="Q13789" s="224"/>
    </row>
    <row r="13790" spans="1:17">
      <c r="A13790" s="221">
        <v>199</v>
      </c>
      <c r="B13790" s="222">
        <v>46099</v>
      </c>
      <c r="C13790" s="223" t="s">
        <v>294</v>
      </c>
      <c r="D13790" s="223" t="s">
        <v>477</v>
      </c>
      <c r="E13790" s="223" t="s">
        <v>402</v>
      </c>
      <c r="F13790" s="223">
        <v>2026</v>
      </c>
      <c r="G13790" s="223">
        <v>3</v>
      </c>
      <c r="H13790" s="223" t="s">
        <v>461</v>
      </c>
      <c r="I13790" s="226" t="s">
        <v>136</v>
      </c>
      <c r="J13790" s="223" t="s">
        <v>462</v>
      </c>
      <c r="K13790" s="223" t="s">
        <v>101</v>
      </c>
      <c r="L13790" s="223" t="s">
        <v>495</v>
      </c>
      <c r="M13790" s="223">
        <v>3</v>
      </c>
      <c r="N13790" s="223"/>
      <c r="O13790" s="223" t="s">
        <v>138</v>
      </c>
      <c r="P13790" s="223"/>
      <c r="Q13790" s="224"/>
    </row>
    <row r="13791" spans="1:17">
      <c r="A13791" s="221">
        <v>200</v>
      </c>
      <c r="B13791" s="222">
        <v>46099</v>
      </c>
      <c r="C13791" s="223" t="s">
        <v>294</v>
      </c>
      <c r="D13791" s="223" t="s">
        <v>479</v>
      </c>
      <c r="E13791" s="223" t="s">
        <v>402</v>
      </c>
      <c r="F13791" s="223">
        <v>2026</v>
      </c>
      <c r="G13791" s="223">
        <v>3</v>
      </c>
      <c r="H13791" s="223" t="s">
        <v>461</v>
      </c>
      <c r="I13791" s="226" t="s">
        <v>136</v>
      </c>
      <c r="J13791" s="223" t="s">
        <v>462</v>
      </c>
      <c r="K13791" s="223" t="s">
        <v>10</v>
      </c>
      <c r="L13791" s="223" t="s">
        <v>495</v>
      </c>
      <c r="M13791" s="223">
        <v>3</v>
      </c>
      <c r="N13791" s="223"/>
      <c r="O13791" s="223" t="s">
        <v>138</v>
      </c>
      <c r="P13791" s="223"/>
      <c r="Q13791" s="224"/>
    </row>
    <row r="13792" spans="1:17">
      <c r="A13792" s="221">
        <v>201</v>
      </c>
      <c r="B13792" s="222">
        <v>46099</v>
      </c>
      <c r="C13792" s="223" t="s">
        <v>294</v>
      </c>
      <c r="D13792" s="223" t="s">
        <v>480</v>
      </c>
      <c r="E13792" s="223" t="s">
        <v>402</v>
      </c>
      <c r="F13792" s="223">
        <v>2026</v>
      </c>
      <c r="G13792" s="223">
        <v>3</v>
      </c>
      <c r="H13792" s="223" t="s">
        <v>132</v>
      </c>
      <c r="I13792" s="226" t="s">
        <v>133</v>
      </c>
      <c r="J13792" s="223" t="s">
        <v>360</v>
      </c>
      <c r="K13792" s="223" t="s">
        <v>106</v>
      </c>
      <c r="L13792" s="223" t="s">
        <v>496</v>
      </c>
      <c r="M13792" s="223">
        <v>3</v>
      </c>
      <c r="N13792" s="223"/>
      <c r="O13792" s="223" t="s">
        <v>127</v>
      </c>
      <c r="P13792" s="223"/>
      <c r="Q13792" s="224"/>
    </row>
    <row r="13793" spans="1:17">
      <c r="A13793" s="221">
        <v>202</v>
      </c>
      <c r="B13793" s="222">
        <v>46099</v>
      </c>
      <c r="C13793" s="223" t="s">
        <v>294</v>
      </c>
      <c r="D13793" s="223" t="s">
        <v>482</v>
      </c>
      <c r="E13793" s="223" t="s">
        <v>402</v>
      </c>
      <c r="F13793" s="223">
        <v>2026</v>
      </c>
      <c r="G13793" s="223">
        <v>2</v>
      </c>
      <c r="H13793" s="223" t="s">
        <v>132</v>
      </c>
      <c r="I13793" s="226" t="s">
        <v>133</v>
      </c>
      <c r="J13793" s="223" t="s">
        <v>360</v>
      </c>
      <c r="K13793" s="223" t="s">
        <v>135</v>
      </c>
      <c r="L13793" s="223" t="s">
        <v>496</v>
      </c>
      <c r="M13793" s="223">
        <v>2</v>
      </c>
      <c r="N13793" s="223"/>
      <c r="O13793" s="223" t="s">
        <v>127</v>
      </c>
      <c r="P13793" s="223"/>
      <c r="Q13793" s="224"/>
    </row>
    <row r="13794" spans="1:17">
      <c r="A13794" s="221">
        <v>203</v>
      </c>
      <c r="B13794" s="222">
        <v>46099</v>
      </c>
      <c r="C13794" s="223" t="s">
        <v>294</v>
      </c>
      <c r="D13794" s="223" t="s">
        <v>497</v>
      </c>
      <c r="E13794" s="223" t="s">
        <v>402</v>
      </c>
      <c r="F13794" s="223">
        <v>2026</v>
      </c>
      <c r="G13794" s="223" t="s">
        <v>498</v>
      </c>
      <c r="H13794" s="223" t="s">
        <v>57</v>
      </c>
      <c r="I13794" s="226" t="s">
        <v>454</v>
      </c>
      <c r="J13794" s="223" t="s">
        <v>311</v>
      </c>
      <c r="K13794" s="223"/>
      <c r="L13794" s="223" t="s">
        <v>499</v>
      </c>
      <c r="M13794" s="223" t="s">
        <v>498</v>
      </c>
      <c r="N13794" s="223"/>
      <c r="O13794" s="223" t="s">
        <v>72</v>
      </c>
      <c r="P13794" s="223"/>
      <c r="Q13794" s="224"/>
    </row>
    <row r="13795" spans="1:17">
      <c r="A13795" s="221">
        <v>204</v>
      </c>
      <c r="B13795" s="222">
        <v>46099</v>
      </c>
      <c r="C13795" s="223" t="s">
        <v>294</v>
      </c>
      <c r="D13795" s="223" t="s">
        <v>483</v>
      </c>
      <c r="E13795" s="223" t="s">
        <v>402</v>
      </c>
      <c r="F13795" s="223">
        <v>2026</v>
      </c>
      <c r="G13795" s="223">
        <v>2</v>
      </c>
      <c r="H13795" s="223" t="s">
        <v>99</v>
      </c>
      <c r="I13795" s="226" t="s">
        <v>108</v>
      </c>
      <c r="J13795" s="223" t="s">
        <v>366</v>
      </c>
      <c r="K13795" s="223" t="s">
        <v>10</v>
      </c>
      <c r="L13795" s="223" t="s">
        <v>500</v>
      </c>
      <c r="M13795" s="223">
        <v>2</v>
      </c>
      <c r="N13795" s="223"/>
      <c r="O13795" s="223" t="s">
        <v>485</v>
      </c>
      <c r="P13795" s="223"/>
      <c r="Q13795" s="224"/>
    </row>
    <row r="13796" spans="1:17">
      <c r="A13796" s="221">
        <v>205</v>
      </c>
      <c r="B13796" s="222">
        <v>46099</v>
      </c>
      <c r="C13796" s="223" t="s">
        <v>294</v>
      </c>
      <c r="D13796" s="223" t="s">
        <v>491</v>
      </c>
      <c r="E13796" s="223" t="s">
        <v>402</v>
      </c>
      <c r="F13796" s="223">
        <v>2026</v>
      </c>
      <c r="G13796" s="223">
        <v>2.5</v>
      </c>
      <c r="H13796" s="223" t="s">
        <v>99</v>
      </c>
      <c r="I13796" s="226" t="s">
        <v>108</v>
      </c>
      <c r="J13796" s="223" t="s">
        <v>366</v>
      </c>
      <c r="K13796" s="223" t="s">
        <v>106</v>
      </c>
      <c r="L13796" s="223" t="s">
        <v>484</v>
      </c>
      <c r="M13796" s="223">
        <v>2.5</v>
      </c>
      <c r="N13796" s="223"/>
      <c r="O13796" s="223" t="s">
        <v>63</v>
      </c>
      <c r="P13796" s="223"/>
      <c r="Q13796" s="224"/>
    </row>
    <row r="13797" spans="1:17">
      <c r="A13797" s="221">
        <v>206</v>
      </c>
      <c r="B13797" s="222">
        <v>46099</v>
      </c>
      <c r="C13797" s="223" t="s">
        <v>294</v>
      </c>
      <c r="D13797" s="223" t="s">
        <v>398</v>
      </c>
      <c r="E13797" s="223" t="s">
        <v>402</v>
      </c>
      <c r="F13797" s="223">
        <v>2026</v>
      </c>
      <c r="G13797" s="223">
        <v>2</v>
      </c>
      <c r="H13797" s="223" t="s">
        <v>57</v>
      </c>
      <c r="I13797" s="226" t="s">
        <v>74</v>
      </c>
      <c r="J13797" s="223" t="s">
        <v>373</v>
      </c>
      <c r="K13797" s="223"/>
      <c r="L13797" s="223" t="s">
        <v>501</v>
      </c>
      <c r="M13797" s="223">
        <v>2</v>
      </c>
      <c r="N13797" s="223"/>
      <c r="O13797" s="223" t="s">
        <v>66</v>
      </c>
      <c r="P13797" s="223"/>
      <c r="Q13797" s="224"/>
    </row>
    <row r="13798" spans="1:17">
      <c r="A13798" s="221">
        <v>207</v>
      </c>
      <c r="B13798" s="222">
        <v>46099</v>
      </c>
      <c r="C13798" s="223" t="s">
        <v>294</v>
      </c>
      <c r="D13798" s="223" t="s">
        <v>372</v>
      </c>
      <c r="E13798" s="223" t="s">
        <v>402</v>
      </c>
      <c r="F13798" s="223">
        <v>2026</v>
      </c>
      <c r="G13798" s="223">
        <v>2.5</v>
      </c>
      <c r="H13798" s="223" t="s">
        <v>57</v>
      </c>
      <c r="I13798" s="226" t="s">
        <v>58</v>
      </c>
      <c r="J13798" s="223" t="s">
        <v>373</v>
      </c>
      <c r="K13798" s="223"/>
      <c r="L13798" s="223" t="s">
        <v>474</v>
      </c>
      <c r="M13798" s="223">
        <v>2.5</v>
      </c>
      <c r="N13798" s="223"/>
      <c r="O13798" s="223" t="s">
        <v>414</v>
      </c>
      <c r="P13798" s="223"/>
      <c r="Q13798" s="224"/>
    </row>
    <row r="13799" spans="1:17">
      <c r="A13799" s="221">
        <v>208</v>
      </c>
      <c r="B13799" s="222">
        <v>46099</v>
      </c>
      <c r="C13799" s="223" t="s">
        <v>294</v>
      </c>
      <c r="D13799" s="223" t="s">
        <v>377</v>
      </c>
      <c r="E13799" s="223" t="s">
        <v>402</v>
      </c>
      <c r="F13799" s="223">
        <v>2026</v>
      </c>
      <c r="G13799" s="223">
        <v>3</v>
      </c>
      <c r="H13799" s="223" t="s">
        <v>61</v>
      </c>
      <c r="I13799" s="226" t="s">
        <v>62</v>
      </c>
      <c r="J13799" s="223" t="s">
        <v>360</v>
      </c>
      <c r="K13799" s="223" t="s">
        <v>34</v>
      </c>
      <c r="L13799" s="223" t="s">
        <v>502</v>
      </c>
      <c r="M13799" s="223">
        <v>3</v>
      </c>
      <c r="N13799" s="223"/>
      <c r="O13799" s="223" t="s">
        <v>63</v>
      </c>
      <c r="P13799" s="223"/>
      <c r="Q13799" s="224"/>
    </row>
    <row r="13800" spans="1:17">
      <c r="A13800" s="221">
        <v>209</v>
      </c>
      <c r="B13800" s="222">
        <v>46099</v>
      </c>
      <c r="C13800" s="223" t="s">
        <v>294</v>
      </c>
      <c r="D13800" s="223" t="s">
        <v>503</v>
      </c>
      <c r="E13800" s="223" t="s">
        <v>402</v>
      </c>
      <c r="F13800" s="223">
        <v>2026</v>
      </c>
      <c r="G13800" s="223">
        <v>5</v>
      </c>
      <c r="H13800" s="223" t="s">
        <v>61</v>
      </c>
      <c r="I13800" s="226" t="s">
        <v>62</v>
      </c>
      <c r="J13800" s="223" t="s">
        <v>360</v>
      </c>
      <c r="K13800" s="223" t="s">
        <v>35</v>
      </c>
      <c r="L13800" s="223" t="s">
        <v>487</v>
      </c>
      <c r="M13800" s="223">
        <v>5</v>
      </c>
      <c r="N13800" s="223"/>
      <c r="O13800" s="223" t="s">
        <v>87</v>
      </c>
      <c r="P13800" s="223"/>
      <c r="Q13800" s="224"/>
    </row>
    <row r="13801" spans="1:17">
      <c r="A13801" s="221">
        <v>210</v>
      </c>
      <c r="B13801" s="222">
        <v>46099</v>
      </c>
      <c r="C13801" s="223" t="s">
        <v>294</v>
      </c>
      <c r="D13801" s="223" t="s">
        <v>451</v>
      </c>
      <c r="E13801" s="223" t="s">
        <v>402</v>
      </c>
      <c r="F13801" s="223">
        <v>2026</v>
      </c>
      <c r="G13801" s="223">
        <v>3</v>
      </c>
      <c r="H13801" s="223" t="s">
        <v>61</v>
      </c>
      <c r="I13801" s="226" t="s">
        <v>62</v>
      </c>
      <c r="J13801" s="223" t="s">
        <v>360</v>
      </c>
      <c r="K13801" s="223" t="s">
        <v>37</v>
      </c>
      <c r="L13801" s="223" t="s">
        <v>394</v>
      </c>
      <c r="M13801" s="223">
        <v>3</v>
      </c>
      <c r="N13801" s="223"/>
      <c r="O13801" s="223" t="s">
        <v>112</v>
      </c>
      <c r="P13801" s="223"/>
      <c r="Q13801" s="224"/>
    </row>
    <row r="13802" spans="1:17">
      <c r="A13802" s="221">
        <v>211</v>
      </c>
      <c r="B13802" s="222">
        <v>46099</v>
      </c>
      <c r="C13802" s="223" t="s">
        <v>294</v>
      </c>
      <c r="D13802" s="223" t="s">
        <v>452</v>
      </c>
      <c r="E13802" s="223" t="s">
        <v>402</v>
      </c>
      <c r="F13802" s="223">
        <v>2026</v>
      </c>
      <c r="G13802" s="223">
        <v>3</v>
      </c>
      <c r="H13802" s="223" t="s">
        <v>61</v>
      </c>
      <c r="I13802" s="226" t="s">
        <v>62</v>
      </c>
      <c r="J13802" s="223" t="s">
        <v>360</v>
      </c>
      <c r="K13802" s="223" t="s">
        <v>38</v>
      </c>
      <c r="L13802" s="223" t="s">
        <v>394</v>
      </c>
      <c r="M13802" s="223">
        <v>3</v>
      </c>
      <c r="N13802" s="223"/>
      <c r="O13802" s="223" t="s">
        <v>87</v>
      </c>
      <c r="P13802" s="223"/>
      <c r="Q13802" s="224"/>
    </row>
    <row r="13803" spans="1:17">
      <c r="A13803" s="221">
        <v>212</v>
      </c>
      <c r="B13803" s="222">
        <v>46100</v>
      </c>
      <c r="C13803" s="223" t="s">
        <v>298</v>
      </c>
      <c r="D13803" s="223" t="s">
        <v>504</v>
      </c>
      <c r="E13803" s="223" t="s">
        <v>402</v>
      </c>
      <c r="F13803" s="223">
        <v>2026</v>
      </c>
      <c r="G13803" s="223">
        <v>0.5</v>
      </c>
      <c r="H13803" s="223" t="s">
        <v>461</v>
      </c>
      <c r="I13803" s="226" t="s">
        <v>142</v>
      </c>
      <c r="J13803" s="223" t="s">
        <v>462</v>
      </c>
      <c r="K13803" s="223" t="s">
        <v>101</v>
      </c>
      <c r="L13803" s="223" t="s">
        <v>463</v>
      </c>
      <c r="M13803" s="223">
        <v>1</v>
      </c>
      <c r="N13803" s="223"/>
      <c r="O13803" s="223" t="s">
        <v>93</v>
      </c>
      <c r="P13803" s="223"/>
      <c r="Q13803" s="224"/>
    </row>
    <row r="13804" spans="1:17">
      <c r="A13804" s="221">
        <v>213</v>
      </c>
      <c r="B13804" s="222">
        <v>46100</v>
      </c>
      <c r="C13804" s="223" t="s">
        <v>298</v>
      </c>
      <c r="D13804" s="223" t="s">
        <v>504</v>
      </c>
      <c r="E13804" s="223" t="s">
        <v>402</v>
      </c>
      <c r="F13804" s="223">
        <v>2026</v>
      </c>
      <c r="G13804" s="223">
        <v>1</v>
      </c>
      <c r="H13804" s="223" t="s">
        <v>461</v>
      </c>
      <c r="I13804" s="226" t="s">
        <v>142</v>
      </c>
      <c r="J13804" s="223" t="s">
        <v>462</v>
      </c>
      <c r="K13804" s="223" t="s">
        <v>10</v>
      </c>
      <c r="L13804" s="223" t="s">
        <v>505</v>
      </c>
      <c r="M13804" s="223">
        <v>1</v>
      </c>
      <c r="N13804" s="223"/>
      <c r="O13804" s="223" t="s">
        <v>93</v>
      </c>
      <c r="P13804" s="223"/>
      <c r="Q13804" s="224"/>
    </row>
    <row r="13805" spans="1:17">
      <c r="A13805" s="221">
        <v>214</v>
      </c>
      <c r="B13805" s="222">
        <v>46100</v>
      </c>
      <c r="C13805" s="223" t="s">
        <v>298</v>
      </c>
      <c r="D13805" s="223" t="s">
        <v>377</v>
      </c>
      <c r="E13805" s="223" t="s">
        <v>402</v>
      </c>
      <c r="F13805" s="223">
        <v>2026</v>
      </c>
      <c r="G13805" s="223">
        <v>3</v>
      </c>
      <c r="H13805" s="223" t="s">
        <v>61</v>
      </c>
      <c r="I13805" s="226" t="s">
        <v>62</v>
      </c>
      <c r="J13805" s="223" t="s">
        <v>360</v>
      </c>
      <c r="K13805" s="223" t="s">
        <v>34</v>
      </c>
      <c r="L13805" s="223" t="s">
        <v>506</v>
      </c>
      <c r="M13805" s="223">
        <v>3</v>
      </c>
      <c r="N13805" s="223"/>
      <c r="O13805" s="223" t="s">
        <v>63</v>
      </c>
      <c r="P13805" s="223"/>
      <c r="Q13805" s="224"/>
    </row>
    <row r="13806" spans="1:17">
      <c r="A13806" s="221">
        <v>215</v>
      </c>
      <c r="B13806" s="222">
        <v>46100</v>
      </c>
      <c r="C13806" s="223" t="s">
        <v>298</v>
      </c>
      <c r="D13806" s="223" t="s">
        <v>377</v>
      </c>
      <c r="E13806" s="223" t="s">
        <v>402</v>
      </c>
      <c r="F13806" s="223">
        <v>2026</v>
      </c>
      <c r="G13806" s="223">
        <v>3</v>
      </c>
      <c r="H13806" s="223" t="s">
        <v>61</v>
      </c>
      <c r="I13806" s="226" t="s">
        <v>62</v>
      </c>
      <c r="J13806" s="223" t="s">
        <v>360</v>
      </c>
      <c r="K13806" s="223" t="s">
        <v>35</v>
      </c>
      <c r="L13806" s="223" t="s">
        <v>502</v>
      </c>
      <c r="M13806" s="223">
        <v>3</v>
      </c>
      <c r="N13806" s="223"/>
      <c r="O13806" s="223" t="s">
        <v>87</v>
      </c>
      <c r="P13806" s="223"/>
      <c r="Q13806" s="224"/>
    </row>
    <row r="13807" spans="1:17">
      <c r="A13807" s="221">
        <v>216</v>
      </c>
      <c r="B13807" s="222">
        <v>46100</v>
      </c>
      <c r="C13807" s="223" t="s">
        <v>298</v>
      </c>
      <c r="D13807" s="223" t="s">
        <v>451</v>
      </c>
      <c r="E13807" s="223" t="s">
        <v>402</v>
      </c>
      <c r="F13807" s="223">
        <v>2026</v>
      </c>
      <c r="G13807" s="223">
        <v>3</v>
      </c>
      <c r="H13807" s="223" t="s">
        <v>61</v>
      </c>
      <c r="I13807" s="226" t="s">
        <v>62</v>
      </c>
      <c r="J13807" s="223" t="s">
        <v>360</v>
      </c>
      <c r="K13807" s="223" t="s">
        <v>37</v>
      </c>
      <c r="L13807" s="223" t="s">
        <v>397</v>
      </c>
      <c r="M13807" s="223">
        <v>3</v>
      </c>
      <c r="N13807" s="223"/>
      <c r="O13807" s="223" t="s">
        <v>112</v>
      </c>
      <c r="P13807" s="223"/>
      <c r="Q13807" s="224"/>
    </row>
    <row r="13808" spans="1:17">
      <c r="A13808" s="221">
        <v>217</v>
      </c>
      <c r="B13808" s="222">
        <v>46100</v>
      </c>
      <c r="C13808" s="223" t="s">
        <v>298</v>
      </c>
      <c r="D13808" s="223" t="s">
        <v>452</v>
      </c>
      <c r="E13808" s="223" t="s">
        <v>402</v>
      </c>
      <c r="F13808" s="223">
        <v>2026</v>
      </c>
      <c r="G13808" s="223">
        <v>3</v>
      </c>
      <c r="H13808" s="223" t="s">
        <v>61</v>
      </c>
      <c r="I13808" s="226" t="s">
        <v>62</v>
      </c>
      <c r="J13808" s="223" t="s">
        <v>360</v>
      </c>
      <c r="K13808" s="223" t="s">
        <v>38</v>
      </c>
      <c r="L13808" s="223" t="s">
        <v>397</v>
      </c>
      <c r="M13808" s="223">
        <v>3</v>
      </c>
      <c r="N13808" s="223"/>
      <c r="O13808" s="223" t="s">
        <v>87</v>
      </c>
      <c r="P13808" s="223"/>
      <c r="Q13808" s="224"/>
    </row>
    <row r="13809" spans="1:17">
      <c r="A13809" s="221">
        <v>218</v>
      </c>
      <c r="B13809" s="222">
        <v>46101</v>
      </c>
      <c r="C13809" s="223" t="s">
        <v>301</v>
      </c>
      <c r="D13809" s="223" t="s">
        <v>490</v>
      </c>
      <c r="E13809" s="223" t="s">
        <v>402</v>
      </c>
      <c r="F13809" s="223">
        <v>2026</v>
      </c>
      <c r="G13809" s="223">
        <v>2</v>
      </c>
      <c r="H13809" s="223" t="s">
        <v>99</v>
      </c>
      <c r="I13809" s="226" t="s">
        <v>108</v>
      </c>
      <c r="J13809" s="223" t="s">
        <v>366</v>
      </c>
      <c r="K13809" s="223" t="s">
        <v>101</v>
      </c>
      <c r="L13809" s="223" t="s">
        <v>500</v>
      </c>
      <c r="M13809" s="223">
        <v>2</v>
      </c>
      <c r="N13809" s="223"/>
      <c r="O13809" s="223" t="s">
        <v>66</v>
      </c>
      <c r="P13809" s="223"/>
      <c r="Q13809" s="224"/>
    </row>
    <row r="13810" spans="1:17">
      <c r="A13810" s="221">
        <v>219</v>
      </c>
      <c r="B13810" s="222">
        <v>46101</v>
      </c>
      <c r="C13810" s="223" t="s">
        <v>301</v>
      </c>
      <c r="D13810" s="223" t="s">
        <v>491</v>
      </c>
      <c r="E13810" s="223" t="s">
        <v>402</v>
      </c>
      <c r="F13810" s="223">
        <v>2026</v>
      </c>
      <c r="G13810" s="223">
        <v>2</v>
      </c>
      <c r="H13810" s="223" t="s">
        <v>99</v>
      </c>
      <c r="I13810" s="226" t="s">
        <v>108</v>
      </c>
      <c r="J13810" s="223" t="s">
        <v>366</v>
      </c>
      <c r="K13810" s="223" t="s">
        <v>104</v>
      </c>
      <c r="L13810" s="223" t="s">
        <v>500</v>
      </c>
      <c r="M13810" s="223">
        <v>2</v>
      </c>
      <c r="N13810" s="223"/>
      <c r="O13810" s="223" t="s">
        <v>63</v>
      </c>
      <c r="P13810" s="223"/>
      <c r="Q13810" s="224"/>
    </row>
    <row r="13811" spans="1:17">
      <c r="A13811" s="221"/>
      <c r="B13811" s="222">
        <v>46101</v>
      </c>
      <c r="C13811" s="223" t="s">
        <v>301</v>
      </c>
      <c r="D13811" s="223" t="s">
        <v>372</v>
      </c>
      <c r="E13811" s="223" t="s">
        <v>402</v>
      </c>
      <c r="F13811" s="223">
        <v>2026</v>
      </c>
      <c r="G13811" s="223"/>
      <c r="H13811" s="223" t="s">
        <v>57</v>
      </c>
      <c r="I13811" s="226" t="s">
        <v>58</v>
      </c>
      <c r="J13811" s="223" t="s">
        <v>373</v>
      </c>
      <c r="K13811" s="223"/>
      <c r="L13811" s="223" t="s">
        <v>427</v>
      </c>
      <c r="M13811" s="223"/>
      <c r="N13811" s="223"/>
      <c r="O13811" s="223"/>
      <c r="P13811" s="223"/>
      <c r="Q13811" s="224"/>
    </row>
    <row r="13812" spans="1:17">
      <c r="A13812" s="221">
        <v>220</v>
      </c>
      <c r="B13812" s="222">
        <v>46101</v>
      </c>
      <c r="C13812" s="223" t="s">
        <v>301</v>
      </c>
      <c r="D13812" s="223" t="s">
        <v>377</v>
      </c>
      <c r="E13812" s="223" t="s">
        <v>402</v>
      </c>
      <c r="F13812" s="223">
        <v>2026</v>
      </c>
      <c r="G13812" s="223">
        <v>3</v>
      </c>
      <c r="H13812" s="223" t="s">
        <v>61</v>
      </c>
      <c r="I13812" s="226" t="s">
        <v>62</v>
      </c>
      <c r="J13812" s="223" t="s">
        <v>360</v>
      </c>
      <c r="K13812" s="223" t="s">
        <v>34</v>
      </c>
      <c r="L13812" s="223" t="s">
        <v>507</v>
      </c>
      <c r="M13812" s="223">
        <v>3</v>
      </c>
      <c r="N13812" s="223"/>
      <c r="O13812" s="223" t="s">
        <v>63</v>
      </c>
      <c r="P13812" s="223"/>
      <c r="Q13812" s="224"/>
    </row>
    <row r="13813" spans="1:17">
      <c r="A13813" s="221">
        <v>221</v>
      </c>
      <c r="B13813" s="222">
        <v>46101</v>
      </c>
      <c r="C13813" s="223" t="s">
        <v>301</v>
      </c>
      <c r="D13813" s="223" t="s">
        <v>377</v>
      </c>
      <c r="E13813" s="223" t="s">
        <v>402</v>
      </c>
      <c r="F13813" s="223">
        <v>2026</v>
      </c>
      <c r="G13813" s="223">
        <v>3</v>
      </c>
      <c r="H13813" s="223" t="s">
        <v>61</v>
      </c>
      <c r="I13813" s="226" t="s">
        <v>62</v>
      </c>
      <c r="J13813" s="223" t="s">
        <v>360</v>
      </c>
      <c r="K13813" s="223" t="s">
        <v>35</v>
      </c>
      <c r="L13813" s="223" t="s">
        <v>506</v>
      </c>
      <c r="M13813" s="223">
        <v>3</v>
      </c>
      <c r="N13813" s="223"/>
      <c r="O13813" s="223" t="s">
        <v>87</v>
      </c>
      <c r="P13813" s="223"/>
      <c r="Q13813" s="224"/>
    </row>
    <row r="13814" spans="1:17">
      <c r="A13814" s="221">
        <v>222</v>
      </c>
      <c r="B13814" s="222">
        <v>46101</v>
      </c>
      <c r="C13814" s="223" t="s">
        <v>301</v>
      </c>
      <c r="D13814" s="223" t="s">
        <v>451</v>
      </c>
      <c r="E13814" s="223" t="s">
        <v>402</v>
      </c>
      <c r="F13814" s="223">
        <v>2026</v>
      </c>
      <c r="G13814" s="223">
        <v>3</v>
      </c>
      <c r="H13814" s="223" t="s">
        <v>61</v>
      </c>
      <c r="I13814" s="226" t="s">
        <v>62</v>
      </c>
      <c r="J13814" s="223" t="s">
        <v>360</v>
      </c>
      <c r="K13814" s="223" t="s">
        <v>37</v>
      </c>
      <c r="L13814" s="223" t="s">
        <v>405</v>
      </c>
      <c r="M13814" s="223">
        <v>3</v>
      </c>
      <c r="N13814" s="223"/>
      <c r="O13814" s="223" t="s">
        <v>112</v>
      </c>
      <c r="P13814" s="223"/>
      <c r="Q13814" s="224"/>
    </row>
    <row r="13815" spans="1:17">
      <c r="A13815" s="221">
        <v>223</v>
      </c>
      <c r="B13815" s="222">
        <v>46104</v>
      </c>
      <c r="C13815" s="223" t="s">
        <v>302</v>
      </c>
      <c r="D13815" s="223"/>
      <c r="E13815" s="223" t="s">
        <v>402</v>
      </c>
      <c r="F13815" s="223">
        <v>2026</v>
      </c>
      <c r="G13815" s="223">
        <v>3</v>
      </c>
      <c r="H13815" s="223" t="s">
        <v>57</v>
      </c>
      <c r="I13815" s="226" t="s">
        <v>89</v>
      </c>
      <c r="J13815" s="223" t="s">
        <v>311</v>
      </c>
      <c r="K13815" s="223" t="s">
        <v>90</v>
      </c>
      <c r="L13815" s="223" t="s">
        <v>508</v>
      </c>
      <c r="M13815" s="223">
        <v>3</v>
      </c>
      <c r="N13815" s="223"/>
      <c r="O13815" s="223" t="s">
        <v>91</v>
      </c>
      <c r="P13815" s="223"/>
      <c r="Q13815" s="224"/>
    </row>
    <row r="13816" spans="1:17">
      <c r="A13816" s="221">
        <v>224</v>
      </c>
      <c r="B13816" s="222">
        <v>46104</v>
      </c>
      <c r="C13816" s="223" t="s">
        <v>302</v>
      </c>
      <c r="D13816" s="223" t="s">
        <v>477</v>
      </c>
      <c r="E13816" s="223" t="s">
        <v>402</v>
      </c>
      <c r="F13816" s="223">
        <v>2026</v>
      </c>
      <c r="G13816" s="223">
        <v>3</v>
      </c>
      <c r="H13816" s="223" t="s">
        <v>461</v>
      </c>
      <c r="I13816" s="226" t="s">
        <v>136</v>
      </c>
      <c r="J13816" s="223" t="s">
        <v>462</v>
      </c>
      <c r="K13816" s="223" t="s">
        <v>101</v>
      </c>
      <c r="L13816" s="223" t="s">
        <v>509</v>
      </c>
      <c r="M13816" s="223">
        <v>3</v>
      </c>
      <c r="N13816" s="223"/>
      <c r="O13816" s="223" t="s">
        <v>138</v>
      </c>
      <c r="P13816" s="223"/>
      <c r="Q13816" s="224"/>
    </row>
    <row r="13817" spans="1:17">
      <c r="A13817" s="221">
        <v>225</v>
      </c>
      <c r="B13817" s="222">
        <v>46104</v>
      </c>
      <c r="C13817" s="223" t="s">
        <v>302</v>
      </c>
      <c r="D13817" s="223" t="s">
        <v>479</v>
      </c>
      <c r="E13817" s="223" t="s">
        <v>402</v>
      </c>
      <c r="F13817" s="223">
        <v>2026</v>
      </c>
      <c r="G13817" s="223">
        <v>3</v>
      </c>
      <c r="H13817" s="223" t="s">
        <v>461</v>
      </c>
      <c r="I13817" s="226" t="s">
        <v>136</v>
      </c>
      <c r="J13817" s="223" t="s">
        <v>462</v>
      </c>
      <c r="K13817" s="223" t="s">
        <v>10</v>
      </c>
      <c r="L13817" s="223" t="s">
        <v>509</v>
      </c>
      <c r="M13817" s="223">
        <v>3</v>
      </c>
      <c r="N13817" s="223"/>
      <c r="O13817" s="223" t="s">
        <v>138</v>
      </c>
      <c r="P13817" s="223"/>
      <c r="Q13817" s="224"/>
    </row>
    <row r="13818" spans="1:17">
      <c r="A13818" s="221">
        <v>226</v>
      </c>
      <c r="B13818" s="222">
        <v>46104</v>
      </c>
      <c r="C13818" s="223" t="s">
        <v>302</v>
      </c>
      <c r="D13818" s="223" t="s">
        <v>480</v>
      </c>
      <c r="E13818" s="223" t="s">
        <v>402</v>
      </c>
      <c r="F13818" s="223">
        <v>2026</v>
      </c>
      <c r="G13818" s="223">
        <v>3</v>
      </c>
      <c r="H13818" s="223" t="s">
        <v>132</v>
      </c>
      <c r="I13818" s="226" t="s">
        <v>133</v>
      </c>
      <c r="J13818" s="223" t="s">
        <v>360</v>
      </c>
      <c r="K13818" s="223" t="s">
        <v>106</v>
      </c>
      <c r="L13818" s="223" t="s">
        <v>510</v>
      </c>
      <c r="M13818" s="223">
        <v>3</v>
      </c>
      <c r="N13818" s="223"/>
      <c r="O13818" s="223" t="s">
        <v>127</v>
      </c>
      <c r="P13818" s="223"/>
      <c r="Q13818" s="224"/>
    </row>
    <row r="13819" spans="1:17">
      <c r="A13819" s="221">
        <v>227</v>
      </c>
      <c r="B13819" s="222">
        <v>46104</v>
      </c>
      <c r="C13819" s="223" t="s">
        <v>302</v>
      </c>
      <c r="D13819" s="223" t="s">
        <v>482</v>
      </c>
      <c r="E13819" s="223" t="s">
        <v>402</v>
      </c>
      <c r="F13819" s="223">
        <v>2026</v>
      </c>
      <c r="G13819" s="223">
        <v>2</v>
      </c>
      <c r="H13819" s="223" t="s">
        <v>132</v>
      </c>
      <c r="I13819" s="226" t="s">
        <v>133</v>
      </c>
      <c r="J13819" s="223" t="s">
        <v>360</v>
      </c>
      <c r="K13819" s="223" t="s">
        <v>135</v>
      </c>
      <c r="L13819" s="223" t="s">
        <v>511</v>
      </c>
      <c r="M13819" s="223">
        <v>2</v>
      </c>
      <c r="N13819" s="223"/>
      <c r="O13819" s="223" t="s">
        <v>127</v>
      </c>
      <c r="P13819" s="223"/>
      <c r="Q13819" s="224"/>
    </row>
    <row r="13820" spans="1:17">
      <c r="A13820" s="221">
        <v>228</v>
      </c>
      <c r="B13820" s="222">
        <v>46104</v>
      </c>
      <c r="C13820" s="223" t="s">
        <v>302</v>
      </c>
      <c r="D13820" s="223" t="s">
        <v>483</v>
      </c>
      <c r="E13820" s="223" t="s">
        <v>402</v>
      </c>
      <c r="F13820" s="223">
        <v>2026</v>
      </c>
      <c r="G13820" s="223">
        <v>2</v>
      </c>
      <c r="H13820" s="223" t="s">
        <v>99</v>
      </c>
      <c r="I13820" s="226" t="s">
        <v>108</v>
      </c>
      <c r="J13820" s="223" t="s">
        <v>366</v>
      </c>
      <c r="K13820" s="223" t="s">
        <v>10</v>
      </c>
      <c r="L13820" s="223" t="s">
        <v>512</v>
      </c>
      <c r="M13820" s="223">
        <v>2</v>
      </c>
      <c r="N13820" s="223"/>
      <c r="O13820" s="223" t="s">
        <v>63</v>
      </c>
      <c r="P13820" s="223"/>
      <c r="Q13820" s="224"/>
    </row>
    <row r="13821" spans="1:17">
      <c r="A13821" s="221">
        <v>229</v>
      </c>
      <c r="B13821" s="222">
        <v>46104</v>
      </c>
      <c r="C13821" s="223" t="s">
        <v>302</v>
      </c>
      <c r="D13821" s="223" t="s">
        <v>491</v>
      </c>
      <c r="E13821" s="223" t="s">
        <v>402</v>
      </c>
      <c r="F13821" s="223">
        <v>2026</v>
      </c>
      <c r="G13821" s="223">
        <v>2.5</v>
      </c>
      <c r="H13821" s="223" t="s">
        <v>99</v>
      </c>
      <c r="I13821" s="226" t="s">
        <v>108</v>
      </c>
      <c r="J13821" s="223" t="s">
        <v>366</v>
      </c>
      <c r="K13821" s="223" t="s">
        <v>106</v>
      </c>
      <c r="L13821" s="223" t="s">
        <v>500</v>
      </c>
      <c r="M13821" s="223">
        <v>2.5</v>
      </c>
      <c r="N13821" s="223"/>
      <c r="O13821" s="223" t="s">
        <v>63</v>
      </c>
      <c r="P13821" s="223"/>
      <c r="Q13821" s="224"/>
    </row>
    <row r="13822" spans="1:17">
      <c r="A13822" s="221">
        <v>230</v>
      </c>
      <c r="B13822" s="222">
        <v>46104</v>
      </c>
      <c r="C13822" s="223" t="s">
        <v>302</v>
      </c>
      <c r="D13822" s="223" t="s">
        <v>377</v>
      </c>
      <c r="E13822" s="223" t="s">
        <v>402</v>
      </c>
      <c r="F13822" s="223">
        <v>2026</v>
      </c>
      <c r="G13822" s="223">
        <v>3</v>
      </c>
      <c r="H13822" s="223" t="s">
        <v>61</v>
      </c>
      <c r="I13822" s="226" t="s">
        <v>62</v>
      </c>
      <c r="J13822" s="223" t="s">
        <v>360</v>
      </c>
      <c r="K13822" s="223" t="s">
        <v>34</v>
      </c>
      <c r="L13822" s="223" t="s">
        <v>513</v>
      </c>
      <c r="M13822" s="223">
        <v>3</v>
      </c>
      <c r="N13822" s="223"/>
      <c r="O13822" s="223" t="s">
        <v>63</v>
      </c>
      <c r="P13822" s="223"/>
      <c r="Q13822" s="224"/>
    </row>
    <row r="13823" spans="1:17">
      <c r="A13823" s="221">
        <v>231</v>
      </c>
      <c r="B13823" s="222">
        <v>46104</v>
      </c>
      <c r="C13823" s="223" t="s">
        <v>302</v>
      </c>
      <c r="D13823" s="223" t="s">
        <v>377</v>
      </c>
      <c r="E13823" s="223" t="s">
        <v>402</v>
      </c>
      <c r="F13823" s="223">
        <v>2026</v>
      </c>
      <c r="G13823" s="223">
        <v>3</v>
      </c>
      <c r="H13823" s="223" t="s">
        <v>61</v>
      </c>
      <c r="I13823" s="226" t="s">
        <v>62</v>
      </c>
      <c r="J13823" s="223" t="s">
        <v>360</v>
      </c>
      <c r="K13823" s="223" t="s">
        <v>35</v>
      </c>
      <c r="L13823" s="223" t="s">
        <v>507</v>
      </c>
      <c r="M13823" s="223">
        <v>3</v>
      </c>
      <c r="N13823" s="223"/>
      <c r="O13823" s="223" t="s">
        <v>87</v>
      </c>
      <c r="P13823" s="223"/>
      <c r="Q13823" s="224"/>
    </row>
    <row r="13824" spans="1:17">
      <c r="A13824" s="221">
        <v>232</v>
      </c>
      <c r="B13824" s="222">
        <v>46104</v>
      </c>
      <c r="C13824" s="223" t="s">
        <v>302</v>
      </c>
      <c r="D13824" s="223" t="s">
        <v>451</v>
      </c>
      <c r="E13824" s="223" t="s">
        <v>402</v>
      </c>
      <c r="F13824" s="223">
        <v>2026</v>
      </c>
      <c r="G13824" s="223">
        <v>3</v>
      </c>
      <c r="H13824" s="223" t="s">
        <v>61</v>
      </c>
      <c r="I13824" s="226" t="s">
        <v>62</v>
      </c>
      <c r="J13824" s="223" t="s">
        <v>360</v>
      </c>
      <c r="K13824" s="223" t="s">
        <v>37</v>
      </c>
      <c r="L13824" s="223" t="s">
        <v>407</v>
      </c>
      <c r="M13824" s="223">
        <v>3</v>
      </c>
      <c r="N13824" s="223"/>
      <c r="O13824" s="223" t="s">
        <v>112</v>
      </c>
      <c r="P13824" s="223"/>
      <c r="Q13824" s="224"/>
    </row>
    <row r="13825" spans="1:17">
      <c r="A13825" s="221">
        <v>233</v>
      </c>
      <c r="B13825" s="222">
        <v>46105</v>
      </c>
      <c r="C13825" s="223" t="s">
        <v>289</v>
      </c>
      <c r="D13825" s="223" t="s">
        <v>477</v>
      </c>
      <c r="E13825" s="223" t="s">
        <v>402</v>
      </c>
      <c r="F13825" s="223">
        <v>2026</v>
      </c>
      <c r="G13825" s="223">
        <v>3</v>
      </c>
      <c r="H13825" s="223" t="s">
        <v>461</v>
      </c>
      <c r="I13825" s="226" t="s">
        <v>142</v>
      </c>
      <c r="J13825" s="223" t="s">
        <v>462</v>
      </c>
      <c r="K13825" s="223" t="s">
        <v>101</v>
      </c>
      <c r="L13825" s="223" t="s">
        <v>514</v>
      </c>
      <c r="M13825" s="223">
        <v>3</v>
      </c>
      <c r="N13825" s="223"/>
      <c r="O13825" s="223" t="s">
        <v>82</v>
      </c>
      <c r="P13825" s="223"/>
      <c r="Q13825" s="224"/>
    </row>
    <row r="13826" spans="1:17">
      <c r="A13826" s="221">
        <v>234</v>
      </c>
      <c r="B13826" s="222">
        <v>46105</v>
      </c>
      <c r="C13826" s="223" t="s">
        <v>289</v>
      </c>
      <c r="D13826" s="223" t="s">
        <v>479</v>
      </c>
      <c r="E13826" s="223" t="s">
        <v>402</v>
      </c>
      <c r="F13826" s="223">
        <v>2026</v>
      </c>
      <c r="G13826" s="223">
        <v>3</v>
      </c>
      <c r="H13826" s="223" t="s">
        <v>461</v>
      </c>
      <c r="I13826" s="226" t="s">
        <v>142</v>
      </c>
      <c r="J13826" s="223" t="s">
        <v>462</v>
      </c>
      <c r="K13826" s="223" t="s">
        <v>10</v>
      </c>
      <c r="L13826" s="223" t="s">
        <v>514</v>
      </c>
      <c r="M13826" s="223">
        <v>3</v>
      </c>
      <c r="N13826" s="223"/>
      <c r="O13826" s="223" t="s">
        <v>102</v>
      </c>
      <c r="P13826" s="223"/>
      <c r="Q13826" s="224"/>
    </row>
    <row r="13827" spans="1:17">
      <c r="A13827" s="221">
        <v>235</v>
      </c>
      <c r="B13827" s="222">
        <v>46105</v>
      </c>
      <c r="C13827" s="223" t="s">
        <v>289</v>
      </c>
      <c r="D13827" s="223" t="s">
        <v>497</v>
      </c>
      <c r="E13827" s="223" t="s">
        <v>402</v>
      </c>
      <c r="F13827" s="223">
        <v>2026</v>
      </c>
      <c r="G13827" s="223" t="s">
        <v>498</v>
      </c>
      <c r="H13827" s="223" t="s">
        <v>57</v>
      </c>
      <c r="I13827" s="226" t="s">
        <v>454</v>
      </c>
      <c r="J13827" s="223" t="s">
        <v>311</v>
      </c>
      <c r="K13827" s="223"/>
      <c r="L13827" s="223" t="s">
        <v>515</v>
      </c>
      <c r="M13827" s="223" t="s">
        <v>498</v>
      </c>
      <c r="N13827" s="223"/>
      <c r="O13827" s="223" t="s">
        <v>516</v>
      </c>
      <c r="P13827" s="223"/>
      <c r="Q13827" s="224"/>
    </row>
    <row r="13828" spans="1:17">
      <c r="A13828" s="221">
        <v>236</v>
      </c>
      <c r="B13828" s="222">
        <v>46105</v>
      </c>
      <c r="C13828" s="223" t="s">
        <v>289</v>
      </c>
      <c r="D13828" s="223" t="s">
        <v>490</v>
      </c>
      <c r="E13828" s="223" t="s">
        <v>402</v>
      </c>
      <c r="F13828" s="223">
        <v>2026</v>
      </c>
      <c r="G13828" s="223">
        <v>2</v>
      </c>
      <c r="H13828" s="223" t="s">
        <v>99</v>
      </c>
      <c r="I13828" s="226" t="s">
        <v>108</v>
      </c>
      <c r="J13828" s="223" t="s">
        <v>366</v>
      </c>
      <c r="K13828" s="223" t="s">
        <v>101</v>
      </c>
      <c r="L13828" s="223" t="s">
        <v>512</v>
      </c>
      <c r="M13828" s="223">
        <v>2</v>
      </c>
      <c r="N13828" s="223"/>
      <c r="O13828" s="223" t="s">
        <v>109</v>
      </c>
      <c r="P13828" s="223"/>
      <c r="Q13828" s="224"/>
    </row>
    <row r="13829" spans="1:17">
      <c r="A13829" s="221"/>
      <c r="B13829" s="222">
        <v>46105</v>
      </c>
      <c r="C13829" s="223" t="s">
        <v>289</v>
      </c>
      <c r="D13829" s="223"/>
      <c r="E13829" s="223" t="s">
        <v>402</v>
      </c>
      <c r="F13829" s="223">
        <v>2026</v>
      </c>
      <c r="G13829" s="223"/>
      <c r="H13829" s="223" t="s">
        <v>99</v>
      </c>
      <c r="I13829" s="226" t="s">
        <v>108</v>
      </c>
      <c r="J13829" s="223" t="s">
        <v>366</v>
      </c>
      <c r="K13829" s="223" t="s">
        <v>104</v>
      </c>
      <c r="L13829" s="223" t="s">
        <v>512</v>
      </c>
      <c r="M13829" s="223"/>
      <c r="N13829" s="223"/>
      <c r="O13829" s="223"/>
      <c r="P13829" s="223"/>
      <c r="Q13829" s="224"/>
    </row>
    <row r="13830" spans="1:17" ht="45.75">
      <c r="A13830" s="221">
        <v>237</v>
      </c>
      <c r="B13830" s="222">
        <v>46105</v>
      </c>
      <c r="C13830" s="223" t="s">
        <v>289</v>
      </c>
      <c r="D13830" s="223" t="s">
        <v>456</v>
      </c>
      <c r="E13830" s="223" t="s">
        <v>402</v>
      </c>
      <c r="F13830" s="223">
        <v>2026</v>
      </c>
      <c r="G13830" s="223">
        <v>2.5</v>
      </c>
      <c r="H13830" s="223" t="s">
        <v>99</v>
      </c>
      <c r="I13830" s="226" t="s">
        <v>100</v>
      </c>
      <c r="J13830" s="223" t="s">
        <v>373</v>
      </c>
      <c r="K13830" s="223" t="s">
        <v>101</v>
      </c>
      <c r="L13830" s="226" t="s">
        <v>517</v>
      </c>
      <c r="M13830" s="223">
        <v>2.5</v>
      </c>
      <c r="N13830" s="223"/>
      <c r="O13830" s="223" t="s">
        <v>102</v>
      </c>
      <c r="P13830" s="223"/>
      <c r="Q13830" s="224"/>
    </row>
    <row r="13831" spans="1:17" ht="45.75">
      <c r="A13831" s="221">
        <v>238</v>
      </c>
      <c r="B13831" s="222">
        <v>46105</v>
      </c>
      <c r="C13831" s="223" t="s">
        <v>289</v>
      </c>
      <c r="D13831" s="223" t="s">
        <v>467</v>
      </c>
      <c r="E13831" s="223" t="s">
        <v>402</v>
      </c>
      <c r="F13831" s="223">
        <v>2026</v>
      </c>
      <c r="G13831" s="223">
        <v>2.5</v>
      </c>
      <c r="H13831" s="223" t="s">
        <v>99</v>
      </c>
      <c r="I13831" s="226" t="s">
        <v>100</v>
      </c>
      <c r="J13831" s="223" t="s">
        <v>373</v>
      </c>
      <c r="K13831" s="223" t="s">
        <v>104</v>
      </c>
      <c r="L13831" s="226" t="s">
        <v>468</v>
      </c>
      <c r="M13831" s="223">
        <v>2.5</v>
      </c>
      <c r="N13831" s="223"/>
      <c r="O13831" s="223" t="s">
        <v>432</v>
      </c>
      <c r="P13831" s="223"/>
      <c r="Q13831" s="224"/>
    </row>
    <row r="13832" spans="1:17" ht="45.75">
      <c r="A13832" s="221">
        <v>239</v>
      </c>
      <c r="B13832" s="222">
        <v>46105</v>
      </c>
      <c r="C13832" s="223" t="s">
        <v>289</v>
      </c>
      <c r="D13832" s="223" t="s">
        <v>430</v>
      </c>
      <c r="E13832" s="223" t="s">
        <v>402</v>
      </c>
      <c r="F13832" s="223">
        <v>2026</v>
      </c>
      <c r="G13832" s="223">
        <v>2.5</v>
      </c>
      <c r="H13832" s="223" t="s">
        <v>99</v>
      </c>
      <c r="I13832" s="226" t="s">
        <v>100</v>
      </c>
      <c r="J13832" s="223" t="s">
        <v>373</v>
      </c>
      <c r="K13832" s="223" t="s">
        <v>106</v>
      </c>
      <c r="L13832" s="226" t="s">
        <v>518</v>
      </c>
      <c r="M13832" s="223">
        <v>2.5</v>
      </c>
      <c r="N13832" s="223"/>
      <c r="O13832" s="223" t="s">
        <v>432</v>
      </c>
      <c r="P13832" s="223"/>
      <c r="Q13832" s="224"/>
    </row>
    <row r="13833" spans="1:17">
      <c r="A13833" s="221">
        <v>240</v>
      </c>
      <c r="B13833" s="222">
        <v>46105</v>
      </c>
      <c r="C13833" s="223" t="s">
        <v>289</v>
      </c>
      <c r="D13833" s="223" t="s">
        <v>377</v>
      </c>
      <c r="E13833" s="223" t="s">
        <v>402</v>
      </c>
      <c r="F13833" s="223">
        <v>2026</v>
      </c>
      <c r="G13833" s="223">
        <v>3</v>
      </c>
      <c r="H13833" s="223" t="s">
        <v>61</v>
      </c>
      <c r="I13833" s="226" t="s">
        <v>62</v>
      </c>
      <c r="J13833" s="223" t="s">
        <v>360</v>
      </c>
      <c r="K13833" s="223" t="s">
        <v>34</v>
      </c>
      <c r="L13833" s="223" t="s">
        <v>519</v>
      </c>
      <c r="M13833" s="223">
        <v>3</v>
      </c>
      <c r="N13833" s="223"/>
      <c r="O13833" s="223" t="s">
        <v>63</v>
      </c>
      <c r="P13833" s="223"/>
      <c r="Q13833" s="224"/>
    </row>
    <row r="13834" spans="1:17">
      <c r="A13834" s="221">
        <v>241</v>
      </c>
      <c r="B13834" s="222">
        <v>46105</v>
      </c>
      <c r="C13834" s="223" t="s">
        <v>289</v>
      </c>
      <c r="D13834" s="223" t="s">
        <v>377</v>
      </c>
      <c r="E13834" s="223" t="s">
        <v>402</v>
      </c>
      <c r="F13834" s="223">
        <v>2026</v>
      </c>
      <c r="G13834" s="223">
        <v>3</v>
      </c>
      <c r="H13834" s="223" t="s">
        <v>61</v>
      </c>
      <c r="I13834" s="226" t="s">
        <v>62</v>
      </c>
      <c r="J13834" s="223" t="s">
        <v>360</v>
      </c>
      <c r="K13834" s="223" t="s">
        <v>35</v>
      </c>
      <c r="L13834" s="223" t="s">
        <v>513</v>
      </c>
      <c r="M13834" s="223">
        <v>3</v>
      </c>
      <c r="N13834" s="223"/>
      <c r="O13834" s="223" t="s">
        <v>87</v>
      </c>
      <c r="P13834" s="223"/>
      <c r="Q13834" s="224"/>
    </row>
    <row r="13835" spans="1:17">
      <c r="A13835" s="221">
        <v>242</v>
      </c>
      <c r="B13835" s="222">
        <v>46105</v>
      </c>
      <c r="C13835" s="223" t="s">
        <v>289</v>
      </c>
      <c r="D13835" s="223" t="s">
        <v>451</v>
      </c>
      <c r="E13835" s="223" t="s">
        <v>402</v>
      </c>
      <c r="F13835" s="223">
        <v>2026</v>
      </c>
      <c r="G13835" s="223">
        <v>3</v>
      </c>
      <c r="H13835" s="223" t="s">
        <v>61</v>
      </c>
      <c r="I13835" s="226" t="s">
        <v>62</v>
      </c>
      <c r="J13835" s="223" t="s">
        <v>360</v>
      </c>
      <c r="K13835" s="223" t="s">
        <v>37</v>
      </c>
      <c r="L13835" s="223" t="s">
        <v>410</v>
      </c>
      <c r="M13835" s="223">
        <v>3</v>
      </c>
      <c r="N13835" s="223"/>
      <c r="O13835" s="223" t="s">
        <v>112</v>
      </c>
      <c r="P13835" s="223"/>
      <c r="Q13835" s="224"/>
    </row>
    <row r="13836" spans="1:17">
      <c r="A13836" s="221">
        <v>243</v>
      </c>
      <c r="B13836" s="222">
        <v>46105</v>
      </c>
      <c r="C13836" s="223" t="s">
        <v>289</v>
      </c>
      <c r="D13836" s="223" t="s">
        <v>452</v>
      </c>
      <c r="E13836" s="223" t="s">
        <v>402</v>
      </c>
      <c r="F13836" s="223">
        <v>2026</v>
      </c>
      <c r="G13836" s="223">
        <v>3</v>
      </c>
      <c r="H13836" s="223" t="s">
        <v>61</v>
      </c>
      <c r="I13836" s="226" t="s">
        <v>62</v>
      </c>
      <c r="J13836" s="223" t="s">
        <v>360</v>
      </c>
      <c r="K13836" s="223" t="s">
        <v>38</v>
      </c>
      <c r="L13836" s="223" t="s">
        <v>411</v>
      </c>
      <c r="M13836" s="223">
        <v>3</v>
      </c>
      <c r="N13836" s="223"/>
      <c r="O13836" s="223" t="s">
        <v>85</v>
      </c>
      <c r="P13836" s="223"/>
      <c r="Q13836" s="224"/>
    </row>
    <row r="13837" spans="1:17" ht="30.75">
      <c r="A13837" s="221">
        <v>244</v>
      </c>
      <c r="B13837" s="222">
        <v>46106</v>
      </c>
      <c r="C13837" s="223" t="s">
        <v>294</v>
      </c>
      <c r="D13837" s="223" t="s">
        <v>524</v>
      </c>
      <c r="E13837" s="223" t="s">
        <v>402</v>
      </c>
      <c r="F13837" s="223">
        <v>2026</v>
      </c>
      <c r="G13837" s="223">
        <v>2.5</v>
      </c>
      <c r="H13837" s="223" t="s">
        <v>115</v>
      </c>
      <c r="I13837" s="226" t="s">
        <v>437</v>
      </c>
      <c r="J13837" s="223" t="s">
        <v>438</v>
      </c>
      <c r="K13837" s="223" t="s">
        <v>101</v>
      </c>
      <c r="L13837" s="223" t="s">
        <v>525</v>
      </c>
      <c r="M13837" s="223">
        <v>2.5</v>
      </c>
      <c r="N13837" s="223"/>
      <c r="O13837" s="223" t="s">
        <v>117</v>
      </c>
      <c r="P13837" s="223"/>
      <c r="Q13837" s="224"/>
    </row>
    <row r="13838" spans="1:17">
      <c r="A13838" s="221">
        <v>245</v>
      </c>
      <c r="B13838" s="222">
        <v>46106</v>
      </c>
      <c r="C13838" s="223" t="s">
        <v>294</v>
      </c>
      <c r="D13838" s="223" t="s">
        <v>520</v>
      </c>
      <c r="E13838" s="223" t="s">
        <v>402</v>
      </c>
      <c r="F13838" s="223">
        <v>2026</v>
      </c>
      <c r="G13838" s="223">
        <v>3</v>
      </c>
      <c r="H13838" s="223" t="s">
        <v>57</v>
      </c>
      <c r="I13838" s="226" t="s">
        <v>89</v>
      </c>
      <c r="J13838" s="223" t="s">
        <v>311</v>
      </c>
      <c r="K13838" s="223" t="s">
        <v>90</v>
      </c>
      <c r="L13838" s="223" t="s">
        <v>521</v>
      </c>
      <c r="M13838" s="223">
        <v>3</v>
      </c>
      <c r="N13838" s="223"/>
      <c r="O13838" s="223" t="s">
        <v>91</v>
      </c>
      <c r="P13838" s="223"/>
      <c r="Q13838" s="224"/>
    </row>
    <row r="13839" spans="1:17">
      <c r="A13839" s="221">
        <v>246</v>
      </c>
      <c r="B13839" s="222">
        <v>46106</v>
      </c>
      <c r="C13839" s="223" t="s">
        <v>294</v>
      </c>
      <c r="D13839" s="223" t="s">
        <v>477</v>
      </c>
      <c r="E13839" s="223" t="s">
        <v>402</v>
      </c>
      <c r="F13839" s="223">
        <v>2026</v>
      </c>
      <c r="G13839" s="223">
        <v>3</v>
      </c>
      <c r="H13839" s="223" t="s">
        <v>461</v>
      </c>
      <c r="I13839" s="226" t="s">
        <v>136</v>
      </c>
      <c r="J13839" s="223" t="s">
        <v>462</v>
      </c>
      <c r="K13839" s="223" t="s">
        <v>101</v>
      </c>
      <c r="L13839" s="223" t="s">
        <v>522</v>
      </c>
      <c r="M13839" s="223">
        <v>3</v>
      </c>
      <c r="N13839" s="223"/>
      <c r="O13839" s="223" t="s">
        <v>82</v>
      </c>
      <c r="P13839" s="223"/>
      <c r="Q13839" s="224"/>
    </row>
    <row r="13840" spans="1:17">
      <c r="A13840" s="221">
        <v>247</v>
      </c>
      <c r="B13840" s="222">
        <v>46106</v>
      </c>
      <c r="C13840" s="223" t="s">
        <v>294</v>
      </c>
      <c r="D13840" s="223" t="s">
        <v>479</v>
      </c>
      <c r="E13840" s="223" t="s">
        <v>402</v>
      </c>
      <c r="F13840" s="223">
        <v>2026</v>
      </c>
      <c r="G13840" s="223">
        <v>3</v>
      </c>
      <c r="H13840" s="223" t="s">
        <v>461</v>
      </c>
      <c r="I13840" s="226" t="s">
        <v>136</v>
      </c>
      <c r="J13840" s="223" t="s">
        <v>462</v>
      </c>
      <c r="K13840" s="223" t="s">
        <v>10</v>
      </c>
      <c r="L13840" s="223" t="s">
        <v>522</v>
      </c>
      <c r="M13840" s="223">
        <v>3</v>
      </c>
      <c r="N13840" s="223"/>
      <c r="O13840" s="223" t="s">
        <v>140</v>
      </c>
      <c r="P13840" s="223"/>
      <c r="Q13840" s="224"/>
    </row>
    <row r="13841" spans="1:17">
      <c r="A13841" s="221">
        <v>248</v>
      </c>
      <c r="B13841" s="222">
        <v>46106</v>
      </c>
      <c r="C13841" s="223" t="s">
        <v>294</v>
      </c>
      <c r="D13841" s="223" t="s">
        <v>480</v>
      </c>
      <c r="E13841" s="223" t="s">
        <v>402</v>
      </c>
      <c r="F13841" s="223">
        <v>2026</v>
      </c>
      <c r="G13841" s="223">
        <v>3</v>
      </c>
      <c r="H13841" s="223" t="s">
        <v>132</v>
      </c>
      <c r="I13841" s="226" t="s">
        <v>133</v>
      </c>
      <c r="J13841" s="223" t="s">
        <v>360</v>
      </c>
      <c r="K13841" s="223" t="s">
        <v>106</v>
      </c>
      <c r="L13841" s="223" t="s">
        <v>523</v>
      </c>
      <c r="M13841" s="223">
        <v>3</v>
      </c>
      <c r="N13841" s="223"/>
      <c r="O13841" s="223" t="s">
        <v>127</v>
      </c>
      <c r="P13841" s="223"/>
      <c r="Q13841" s="224"/>
    </row>
    <row r="13842" spans="1:17">
      <c r="A13842" s="221">
        <v>249</v>
      </c>
      <c r="B13842" s="222">
        <v>46106</v>
      </c>
      <c r="C13842" s="223" t="s">
        <v>294</v>
      </c>
      <c r="D13842" s="223" t="s">
        <v>482</v>
      </c>
      <c r="E13842" s="223" t="s">
        <v>402</v>
      </c>
      <c r="F13842" s="223">
        <v>2026</v>
      </c>
      <c r="G13842" s="223">
        <v>2</v>
      </c>
      <c r="H13842" s="223" t="s">
        <v>132</v>
      </c>
      <c r="I13842" s="226" t="s">
        <v>133</v>
      </c>
      <c r="J13842" s="223" t="s">
        <v>360</v>
      </c>
      <c r="K13842" s="223" t="s">
        <v>135</v>
      </c>
      <c r="L13842" s="223" t="s">
        <v>510</v>
      </c>
      <c r="M13842" s="223">
        <v>2</v>
      </c>
      <c r="N13842" s="223"/>
      <c r="O13842" s="223" t="s">
        <v>127</v>
      </c>
      <c r="P13842" s="223"/>
      <c r="Q13842" s="224"/>
    </row>
    <row r="13843" spans="1:17">
      <c r="A13843" s="221"/>
      <c r="B13843" s="222">
        <v>46106</v>
      </c>
      <c r="C13843" s="223" t="s">
        <v>294</v>
      </c>
      <c r="D13843" s="223"/>
      <c r="E13843" s="223" t="s">
        <v>402</v>
      </c>
      <c r="F13843" s="223">
        <v>2026</v>
      </c>
      <c r="G13843" s="223"/>
      <c r="H13843" s="223" t="s">
        <v>99</v>
      </c>
      <c r="I13843" s="226" t="s">
        <v>108</v>
      </c>
      <c r="J13843" s="223" t="s">
        <v>366</v>
      </c>
      <c r="K13843" s="223" t="s">
        <v>101</v>
      </c>
      <c r="L13843" s="223" t="s">
        <v>391</v>
      </c>
      <c r="M13843" s="223"/>
      <c r="N13843" s="223"/>
      <c r="O13843" s="223"/>
      <c r="P13843" s="223"/>
      <c r="Q13843" s="224"/>
    </row>
    <row r="13844" spans="1:17">
      <c r="A13844" s="221">
        <v>250</v>
      </c>
      <c r="B13844" s="222">
        <v>46106</v>
      </c>
      <c r="C13844" s="223" t="s">
        <v>294</v>
      </c>
      <c r="D13844" s="223" t="s">
        <v>483</v>
      </c>
      <c r="E13844" s="223" t="s">
        <v>402</v>
      </c>
      <c r="F13844" s="223">
        <v>2026</v>
      </c>
      <c r="G13844" s="223">
        <v>2</v>
      </c>
      <c r="H13844" s="223" t="s">
        <v>99</v>
      </c>
      <c r="I13844" s="226" t="s">
        <v>108</v>
      </c>
      <c r="J13844" s="223" t="s">
        <v>366</v>
      </c>
      <c r="K13844" s="223" t="s">
        <v>10</v>
      </c>
      <c r="L13844" s="223" t="s">
        <v>526</v>
      </c>
      <c r="M13844" s="223">
        <v>2</v>
      </c>
      <c r="N13844" s="223"/>
      <c r="O13844" s="223" t="s">
        <v>63</v>
      </c>
      <c r="P13844" s="223"/>
      <c r="Q13844" s="224"/>
    </row>
    <row r="13845" spans="1:17">
      <c r="A13845" s="221"/>
      <c r="B13845" s="222">
        <v>46106</v>
      </c>
      <c r="C13845" s="223" t="s">
        <v>294</v>
      </c>
      <c r="D13845" s="223"/>
      <c r="E13845" s="223" t="s">
        <v>402</v>
      </c>
      <c r="F13845" s="223">
        <v>2026</v>
      </c>
      <c r="G13845" s="223"/>
      <c r="H13845" s="223" t="s">
        <v>99</v>
      </c>
      <c r="I13845" s="226" t="s">
        <v>108</v>
      </c>
      <c r="J13845" s="223" t="s">
        <v>366</v>
      </c>
      <c r="K13845" s="223" t="s">
        <v>104</v>
      </c>
      <c r="L13845" s="223" t="s">
        <v>526</v>
      </c>
      <c r="M13845" s="223"/>
      <c r="N13845" s="223"/>
      <c r="O13845" s="223"/>
      <c r="P13845" s="223"/>
      <c r="Q13845" s="224"/>
    </row>
    <row r="13846" spans="1:17">
      <c r="A13846" s="221">
        <v>251</v>
      </c>
      <c r="B13846" s="222">
        <v>46106</v>
      </c>
      <c r="C13846" s="223" t="s">
        <v>294</v>
      </c>
      <c r="D13846" s="223" t="s">
        <v>491</v>
      </c>
      <c r="E13846" s="223" t="s">
        <v>402</v>
      </c>
      <c r="F13846" s="223">
        <v>2026</v>
      </c>
      <c r="G13846" s="223">
        <v>2.5</v>
      </c>
      <c r="H13846" s="223" t="s">
        <v>99</v>
      </c>
      <c r="I13846" s="226" t="s">
        <v>108</v>
      </c>
      <c r="J13846" s="223" t="s">
        <v>366</v>
      </c>
      <c r="K13846" s="223" t="s">
        <v>106</v>
      </c>
      <c r="L13846" s="223" t="s">
        <v>512</v>
      </c>
      <c r="M13846" s="223">
        <v>2.5</v>
      </c>
      <c r="N13846" s="223"/>
      <c r="O13846" s="223" t="s">
        <v>112</v>
      </c>
      <c r="P13846" s="223"/>
      <c r="Q13846" s="224"/>
    </row>
    <row r="13847" spans="1:17">
      <c r="A13847" s="221">
        <v>252</v>
      </c>
      <c r="B13847" s="222">
        <v>46106</v>
      </c>
      <c r="C13847" s="223" t="s">
        <v>294</v>
      </c>
      <c r="D13847" s="223" t="s">
        <v>398</v>
      </c>
      <c r="E13847" s="223" t="s">
        <v>402</v>
      </c>
      <c r="F13847" s="223">
        <v>2026</v>
      </c>
      <c r="G13847" s="223">
        <v>2</v>
      </c>
      <c r="H13847" s="223" t="s">
        <v>57</v>
      </c>
      <c r="I13847" s="226" t="s">
        <v>74</v>
      </c>
      <c r="J13847" s="223" t="s">
        <v>373</v>
      </c>
      <c r="K13847" s="223"/>
      <c r="L13847" s="223" t="s">
        <v>527</v>
      </c>
      <c r="M13847" s="223">
        <v>2</v>
      </c>
      <c r="N13847" s="223"/>
      <c r="O13847" s="223" t="s">
        <v>66</v>
      </c>
      <c r="P13847" s="223"/>
      <c r="Q13847" s="224"/>
    </row>
    <row r="13848" spans="1:17">
      <c r="A13848" s="221">
        <v>253</v>
      </c>
      <c r="B13848" s="222">
        <v>46106</v>
      </c>
      <c r="C13848" s="223" t="s">
        <v>294</v>
      </c>
      <c r="D13848" s="223" t="s">
        <v>372</v>
      </c>
      <c r="E13848" s="223" t="s">
        <v>402</v>
      </c>
      <c r="F13848" s="223">
        <v>2026</v>
      </c>
      <c r="G13848" s="223">
        <v>2.5</v>
      </c>
      <c r="H13848" s="223" t="s">
        <v>57</v>
      </c>
      <c r="I13848" s="226" t="s">
        <v>58</v>
      </c>
      <c r="J13848" s="223" t="s">
        <v>373</v>
      </c>
      <c r="K13848" s="223"/>
      <c r="L13848" s="223" t="s">
        <v>528</v>
      </c>
      <c r="M13848" s="223">
        <v>2.5</v>
      </c>
      <c r="N13848" s="223"/>
      <c r="O13848" s="223" t="s">
        <v>414</v>
      </c>
      <c r="P13848" s="223"/>
      <c r="Q13848" s="224"/>
    </row>
    <row r="13849" spans="1:17">
      <c r="A13849" s="221">
        <v>254</v>
      </c>
      <c r="B13849" s="222">
        <v>46106</v>
      </c>
      <c r="C13849" s="223" t="s">
        <v>294</v>
      </c>
      <c r="D13849" s="223" t="s">
        <v>377</v>
      </c>
      <c r="E13849" s="223" t="s">
        <v>402</v>
      </c>
      <c r="F13849" s="223">
        <v>2026</v>
      </c>
      <c r="G13849" s="223">
        <v>3</v>
      </c>
      <c r="H13849" s="223" t="s">
        <v>61</v>
      </c>
      <c r="I13849" s="226" t="s">
        <v>62</v>
      </c>
      <c r="J13849" s="223" t="s">
        <v>360</v>
      </c>
      <c r="K13849" s="223" t="s">
        <v>34</v>
      </c>
      <c r="L13849" s="223" t="s">
        <v>529</v>
      </c>
      <c r="M13849" s="223">
        <v>3</v>
      </c>
      <c r="N13849" s="223"/>
      <c r="O13849" s="223" t="s">
        <v>63</v>
      </c>
      <c r="P13849" s="223"/>
      <c r="Q13849" s="224"/>
    </row>
    <row r="13850" spans="1:17">
      <c r="A13850" s="221">
        <v>255</v>
      </c>
      <c r="B13850" s="222">
        <v>46106</v>
      </c>
      <c r="C13850" s="223" t="s">
        <v>294</v>
      </c>
      <c r="D13850" s="223" t="s">
        <v>377</v>
      </c>
      <c r="E13850" s="223" t="s">
        <v>402</v>
      </c>
      <c r="F13850" s="223">
        <v>2026</v>
      </c>
      <c r="G13850" s="223">
        <v>3</v>
      </c>
      <c r="H13850" s="223" t="s">
        <v>61</v>
      </c>
      <c r="I13850" s="226" t="s">
        <v>62</v>
      </c>
      <c r="J13850" s="223" t="s">
        <v>360</v>
      </c>
      <c r="K13850" s="223" t="s">
        <v>35</v>
      </c>
      <c r="L13850" s="223" t="s">
        <v>519</v>
      </c>
      <c r="M13850" s="223">
        <v>3</v>
      </c>
      <c r="N13850" s="223"/>
      <c r="O13850" s="223" t="s">
        <v>87</v>
      </c>
      <c r="P13850" s="223"/>
      <c r="Q13850" s="224"/>
    </row>
    <row r="13851" spans="1:17">
      <c r="A13851" s="221">
        <v>256</v>
      </c>
      <c r="B13851" s="222">
        <v>46106</v>
      </c>
      <c r="C13851" s="223" t="s">
        <v>294</v>
      </c>
      <c r="D13851" s="223" t="s">
        <v>451</v>
      </c>
      <c r="E13851" s="223" t="s">
        <v>402</v>
      </c>
      <c r="F13851" s="223">
        <v>2026</v>
      </c>
      <c r="G13851" s="223">
        <v>3</v>
      </c>
      <c r="H13851" s="223" t="s">
        <v>61</v>
      </c>
      <c r="I13851" s="226" t="s">
        <v>62</v>
      </c>
      <c r="J13851" s="223" t="s">
        <v>360</v>
      </c>
      <c r="K13851" s="223" t="s">
        <v>37</v>
      </c>
      <c r="L13851" s="223" t="s">
        <v>530</v>
      </c>
      <c r="M13851" s="223"/>
      <c r="N13851" s="223"/>
      <c r="O13851" s="223" t="s">
        <v>112</v>
      </c>
      <c r="P13851" s="223"/>
      <c r="Q13851" s="224"/>
    </row>
    <row r="13852" spans="1:17">
      <c r="A13852" s="221">
        <v>257</v>
      </c>
      <c r="B13852" s="222">
        <v>46106</v>
      </c>
      <c r="C13852" s="223" t="s">
        <v>294</v>
      </c>
      <c r="D13852" s="223" t="s">
        <v>452</v>
      </c>
      <c r="E13852" s="223" t="s">
        <v>402</v>
      </c>
      <c r="F13852" s="223">
        <v>2026</v>
      </c>
      <c r="G13852" s="223">
        <v>3</v>
      </c>
      <c r="H13852" s="223" t="s">
        <v>61</v>
      </c>
      <c r="I13852" s="226" t="s">
        <v>62</v>
      </c>
      <c r="J13852" s="223" t="s">
        <v>360</v>
      </c>
      <c r="K13852" s="223" t="s">
        <v>38</v>
      </c>
      <c r="L13852" s="223" t="s">
        <v>415</v>
      </c>
      <c r="M13852" s="223">
        <v>3</v>
      </c>
      <c r="N13852" s="223"/>
      <c r="O13852" s="223" t="s">
        <v>85</v>
      </c>
      <c r="P13852" s="223"/>
      <c r="Q13852" s="224"/>
    </row>
    <row r="13853" spans="1:17" ht="30.75">
      <c r="A13853" s="221">
        <v>258</v>
      </c>
      <c r="B13853" s="222">
        <v>46107</v>
      </c>
      <c r="C13853" s="223" t="s">
        <v>298</v>
      </c>
      <c r="D13853" s="223" t="s">
        <v>524</v>
      </c>
      <c r="E13853" s="223" t="s">
        <v>402</v>
      </c>
      <c r="F13853" s="223">
        <v>2026</v>
      </c>
      <c r="G13853" s="223">
        <v>2.5</v>
      </c>
      <c r="H13853" s="223" t="s">
        <v>115</v>
      </c>
      <c r="I13853" s="226" t="s">
        <v>437</v>
      </c>
      <c r="J13853" s="223" t="s">
        <v>438</v>
      </c>
      <c r="K13853" s="223" t="s">
        <v>101</v>
      </c>
      <c r="L13853" s="223" t="s">
        <v>531</v>
      </c>
      <c r="M13853" s="223">
        <v>2.5</v>
      </c>
      <c r="N13853" s="223"/>
      <c r="O13853" s="223" t="s">
        <v>117</v>
      </c>
      <c r="P13853" s="223"/>
      <c r="Q13853" s="224"/>
    </row>
    <row r="13854" spans="1:17">
      <c r="A13854" s="221">
        <v>259</v>
      </c>
      <c r="B13854" s="222">
        <v>46107</v>
      </c>
      <c r="C13854" s="223" t="s">
        <v>298</v>
      </c>
      <c r="D13854" s="223"/>
      <c r="E13854" s="223" t="s">
        <v>402</v>
      </c>
      <c r="F13854" s="223">
        <v>2026</v>
      </c>
      <c r="G13854" s="223"/>
      <c r="H13854" s="223" t="s">
        <v>99</v>
      </c>
      <c r="I13854" s="226" t="s">
        <v>100</v>
      </c>
      <c r="J13854" s="223" t="s">
        <v>373</v>
      </c>
      <c r="K13854" s="223" t="s">
        <v>101</v>
      </c>
      <c r="L13854" s="223" t="s">
        <v>427</v>
      </c>
      <c r="M13854" s="223"/>
      <c r="N13854" s="223"/>
      <c r="O13854" s="223" t="s">
        <v>102</v>
      </c>
      <c r="P13854" s="223"/>
      <c r="Q13854" s="224"/>
    </row>
    <row r="13855" spans="1:17">
      <c r="A13855" s="221">
        <v>260</v>
      </c>
      <c r="B13855" s="222">
        <v>46107</v>
      </c>
      <c r="C13855" s="223" t="s">
        <v>298</v>
      </c>
      <c r="D13855" s="223" t="s">
        <v>532</v>
      </c>
      <c r="E13855" s="223" t="s">
        <v>402</v>
      </c>
      <c r="F13855" s="223">
        <v>2026</v>
      </c>
      <c r="G13855" s="223">
        <v>2.5</v>
      </c>
      <c r="H13855" s="223" t="s">
        <v>99</v>
      </c>
      <c r="I13855" s="226" t="s">
        <v>100</v>
      </c>
      <c r="J13855" s="223" t="s">
        <v>373</v>
      </c>
      <c r="K13855" s="223" t="s">
        <v>10</v>
      </c>
      <c r="L13855" s="223" t="s">
        <v>431</v>
      </c>
      <c r="M13855" s="223">
        <v>2.5</v>
      </c>
      <c r="N13855" s="223"/>
      <c r="O13855" s="223" t="s">
        <v>29</v>
      </c>
      <c r="P13855" s="223"/>
      <c r="Q13855" s="224"/>
    </row>
    <row r="13856" spans="1:17">
      <c r="A13856" s="221"/>
      <c r="B13856" s="222">
        <v>46107</v>
      </c>
      <c r="C13856" s="223" t="s">
        <v>298</v>
      </c>
      <c r="D13856" s="223"/>
      <c r="E13856" s="223" t="s">
        <v>402</v>
      </c>
      <c r="F13856" s="223">
        <v>2026</v>
      </c>
      <c r="G13856" s="223"/>
      <c r="H13856" s="223" t="s">
        <v>99</v>
      </c>
      <c r="I13856" s="226" t="s">
        <v>100</v>
      </c>
      <c r="J13856" s="223" t="s">
        <v>373</v>
      </c>
      <c r="K13856" s="223" t="s">
        <v>104</v>
      </c>
      <c r="L13856" s="223" t="s">
        <v>427</v>
      </c>
      <c r="M13856" s="223">
        <v>2.5</v>
      </c>
      <c r="N13856" s="223"/>
      <c r="O13856" s="223"/>
      <c r="P13856" s="223"/>
      <c r="Q13856" s="224"/>
    </row>
    <row r="13857" spans="1:17">
      <c r="A13857" s="221"/>
      <c r="B13857" s="222">
        <v>46107</v>
      </c>
      <c r="C13857" s="223" t="s">
        <v>298</v>
      </c>
      <c r="D13857" s="223"/>
      <c r="E13857" s="223" t="s">
        <v>402</v>
      </c>
      <c r="F13857" s="223">
        <v>2026</v>
      </c>
      <c r="G13857" s="223"/>
      <c r="H13857" s="223" t="s">
        <v>99</v>
      </c>
      <c r="I13857" s="226" t="s">
        <v>100</v>
      </c>
      <c r="J13857" s="223" t="s">
        <v>373</v>
      </c>
      <c r="K13857" s="223" t="s">
        <v>106</v>
      </c>
      <c r="L13857" s="223" t="s">
        <v>427</v>
      </c>
      <c r="M13857" s="223"/>
      <c r="N13857" s="223"/>
      <c r="O13857" s="223"/>
      <c r="P13857" s="223"/>
      <c r="Q13857" s="224"/>
    </row>
    <row r="13858" spans="1:17">
      <c r="A13858" s="221">
        <v>261</v>
      </c>
      <c r="B13858" s="222">
        <v>46107</v>
      </c>
      <c r="C13858" s="223" t="s">
        <v>298</v>
      </c>
      <c r="D13858" s="223" t="s">
        <v>377</v>
      </c>
      <c r="E13858" s="223" t="s">
        <v>402</v>
      </c>
      <c r="F13858" s="223">
        <v>2026</v>
      </c>
      <c r="G13858" s="223">
        <v>3</v>
      </c>
      <c r="H13858" s="223" t="s">
        <v>61</v>
      </c>
      <c r="I13858" s="226" t="s">
        <v>62</v>
      </c>
      <c r="J13858" s="223" t="s">
        <v>360</v>
      </c>
      <c r="K13858" s="223" t="s">
        <v>35</v>
      </c>
      <c r="L13858" s="223" t="s">
        <v>529</v>
      </c>
      <c r="M13858" s="223">
        <v>3</v>
      </c>
      <c r="N13858" s="223"/>
      <c r="O13858" s="223" t="s">
        <v>87</v>
      </c>
      <c r="P13858" s="223"/>
      <c r="Q13858" s="224"/>
    </row>
    <row r="13859" spans="1:17">
      <c r="A13859" s="221">
        <v>262</v>
      </c>
      <c r="B13859" s="222">
        <v>46107</v>
      </c>
      <c r="C13859" s="223" t="s">
        <v>298</v>
      </c>
      <c r="D13859" s="223" t="s">
        <v>451</v>
      </c>
      <c r="E13859" s="223" t="s">
        <v>402</v>
      </c>
      <c r="F13859" s="223">
        <v>2026</v>
      </c>
      <c r="G13859" s="223">
        <v>3</v>
      </c>
      <c r="H13859" s="223" t="s">
        <v>61</v>
      </c>
      <c r="I13859" s="226" t="s">
        <v>62</v>
      </c>
      <c r="J13859" s="223" t="s">
        <v>360</v>
      </c>
      <c r="K13859" s="223" t="s">
        <v>37</v>
      </c>
      <c r="L13859" s="223" t="s">
        <v>533</v>
      </c>
      <c r="M13859" s="223"/>
      <c r="N13859" s="223"/>
      <c r="O13859" s="223" t="s">
        <v>112</v>
      </c>
      <c r="P13859" s="223"/>
      <c r="Q13859" s="224"/>
    </row>
    <row r="13860" spans="1:17">
      <c r="A13860" s="221">
        <v>263</v>
      </c>
      <c r="B13860" s="222">
        <v>46107</v>
      </c>
      <c r="C13860" s="223" t="s">
        <v>298</v>
      </c>
      <c r="D13860" s="223" t="s">
        <v>452</v>
      </c>
      <c r="E13860" s="223" t="s">
        <v>402</v>
      </c>
      <c r="F13860" s="223">
        <v>2026</v>
      </c>
      <c r="G13860" s="223">
        <v>3</v>
      </c>
      <c r="H13860" s="223" t="s">
        <v>61</v>
      </c>
      <c r="I13860" s="226" t="s">
        <v>62</v>
      </c>
      <c r="J13860" s="223" t="s">
        <v>360</v>
      </c>
      <c r="K13860" s="223" t="s">
        <v>38</v>
      </c>
      <c r="L13860" s="223" t="s">
        <v>405</v>
      </c>
      <c r="M13860" s="223">
        <v>3</v>
      </c>
      <c r="N13860" s="223"/>
      <c r="O13860" s="223" t="s">
        <v>127</v>
      </c>
      <c r="P13860" s="223"/>
      <c r="Q13860" s="224"/>
    </row>
    <row r="13861" spans="1:17" ht="30.75">
      <c r="A13861" s="221">
        <v>264</v>
      </c>
      <c r="B13861" s="222">
        <v>46108</v>
      </c>
      <c r="C13861" s="223" t="s">
        <v>301</v>
      </c>
      <c r="D13861" s="223" t="s">
        <v>524</v>
      </c>
      <c r="E13861" s="223" t="s">
        <v>402</v>
      </c>
      <c r="F13861" s="223">
        <v>2026</v>
      </c>
      <c r="G13861" s="223">
        <v>2.5</v>
      </c>
      <c r="H13861" s="223" t="s">
        <v>115</v>
      </c>
      <c r="I13861" s="226" t="s">
        <v>437</v>
      </c>
      <c r="J13861" s="223" t="s">
        <v>438</v>
      </c>
      <c r="K13861" s="223" t="s">
        <v>101</v>
      </c>
      <c r="L13861" s="223" t="s">
        <v>536</v>
      </c>
      <c r="M13861" s="223">
        <v>2.5</v>
      </c>
      <c r="N13861" s="223"/>
      <c r="O13861" s="223" t="s">
        <v>117</v>
      </c>
      <c r="P13861" s="223"/>
      <c r="Q13861" s="224"/>
    </row>
    <row r="13862" spans="1:17">
      <c r="A13862" s="221">
        <v>265</v>
      </c>
      <c r="B13862" s="222">
        <v>46108</v>
      </c>
      <c r="C13862" s="223" t="s">
        <v>301</v>
      </c>
      <c r="D13862" s="223" t="s">
        <v>480</v>
      </c>
      <c r="E13862" s="223" t="s">
        <v>402</v>
      </c>
      <c r="F13862" s="223">
        <v>2026</v>
      </c>
      <c r="G13862" s="223">
        <v>3</v>
      </c>
      <c r="H13862" s="223" t="s">
        <v>132</v>
      </c>
      <c r="I13862" s="226" t="s">
        <v>133</v>
      </c>
      <c r="J13862" s="223" t="s">
        <v>360</v>
      </c>
      <c r="K13862" s="223" t="s">
        <v>106</v>
      </c>
      <c r="L13862" s="223" t="s">
        <v>534</v>
      </c>
      <c r="M13862" s="223">
        <v>3</v>
      </c>
      <c r="N13862" s="223"/>
      <c r="O13862" s="223" t="s">
        <v>127</v>
      </c>
      <c r="P13862" s="223"/>
      <c r="Q13862" s="224"/>
    </row>
    <row r="13863" spans="1:17">
      <c r="A13863" s="221">
        <v>266</v>
      </c>
      <c r="B13863" s="222">
        <v>46108</v>
      </c>
      <c r="C13863" s="223" t="s">
        <v>301</v>
      </c>
      <c r="D13863" s="223" t="s">
        <v>482</v>
      </c>
      <c r="E13863" s="223" t="s">
        <v>402</v>
      </c>
      <c r="F13863" s="223">
        <v>2026</v>
      </c>
      <c r="G13863" s="223">
        <v>2</v>
      </c>
      <c r="H13863" s="223" t="s">
        <v>132</v>
      </c>
      <c r="I13863" s="226" t="s">
        <v>133</v>
      </c>
      <c r="J13863" s="223" t="s">
        <v>360</v>
      </c>
      <c r="K13863" s="223" t="s">
        <v>135</v>
      </c>
      <c r="L13863" s="223" t="s">
        <v>523</v>
      </c>
      <c r="M13863" s="223">
        <v>2</v>
      </c>
      <c r="N13863" s="223"/>
      <c r="O13863" s="223" t="s">
        <v>127</v>
      </c>
      <c r="P13863" s="223"/>
      <c r="Q13863" s="224"/>
    </row>
    <row r="13864" spans="1:17">
      <c r="A13864" s="221">
        <v>267</v>
      </c>
      <c r="B13864" s="222">
        <v>46108</v>
      </c>
      <c r="C13864" s="223" t="s">
        <v>301</v>
      </c>
      <c r="D13864" s="223" t="s">
        <v>497</v>
      </c>
      <c r="E13864" s="223" t="s">
        <v>402</v>
      </c>
      <c r="F13864" s="223">
        <v>2026</v>
      </c>
      <c r="G13864" s="223" t="s">
        <v>498</v>
      </c>
      <c r="H13864" s="223" t="s">
        <v>57</v>
      </c>
      <c r="I13864" s="226" t="s">
        <v>454</v>
      </c>
      <c r="J13864" s="223" t="s">
        <v>311</v>
      </c>
      <c r="K13864" s="223"/>
      <c r="L13864" s="223" t="s">
        <v>535</v>
      </c>
      <c r="M13864" s="223" t="s">
        <v>498</v>
      </c>
      <c r="N13864" s="223"/>
      <c r="O13864" s="223" t="s">
        <v>516</v>
      </c>
      <c r="P13864" s="223"/>
      <c r="Q13864" s="224"/>
    </row>
    <row r="13865" spans="1:17">
      <c r="A13865" s="221">
        <v>268</v>
      </c>
      <c r="B13865" s="222">
        <v>46108</v>
      </c>
      <c r="C13865" s="223" t="s">
        <v>301</v>
      </c>
      <c r="D13865" s="223" t="s">
        <v>490</v>
      </c>
      <c r="E13865" s="223" t="s">
        <v>402</v>
      </c>
      <c r="F13865" s="223">
        <v>2026</v>
      </c>
      <c r="G13865" s="223">
        <v>2</v>
      </c>
      <c r="H13865" s="223" t="s">
        <v>99</v>
      </c>
      <c r="I13865" s="226" t="s">
        <v>108</v>
      </c>
      <c r="J13865" s="223" t="s">
        <v>366</v>
      </c>
      <c r="K13865" s="223" t="s">
        <v>101</v>
      </c>
      <c r="L13865" s="223" t="s">
        <v>526</v>
      </c>
      <c r="M13865" s="223">
        <v>2</v>
      </c>
      <c r="N13865" s="223"/>
      <c r="O13865" s="223" t="s">
        <v>109</v>
      </c>
      <c r="P13865" s="223"/>
      <c r="Q13865" s="224"/>
    </row>
    <row r="13866" spans="1:17">
      <c r="A13866" s="221"/>
      <c r="B13866" s="222">
        <v>46108</v>
      </c>
      <c r="C13866" s="223" t="s">
        <v>301</v>
      </c>
      <c r="D13866" s="223"/>
      <c r="E13866" s="223" t="s">
        <v>402</v>
      </c>
      <c r="F13866" s="223">
        <v>2026</v>
      </c>
      <c r="G13866" s="223"/>
      <c r="H13866" s="223" t="s">
        <v>99</v>
      </c>
      <c r="I13866" s="226" t="s">
        <v>108</v>
      </c>
      <c r="J13866" s="223" t="s">
        <v>366</v>
      </c>
      <c r="K13866" s="223" t="s">
        <v>10</v>
      </c>
      <c r="L13866" s="223" t="s">
        <v>391</v>
      </c>
      <c r="M13866" s="223"/>
      <c r="N13866" s="223"/>
      <c r="O13866" s="223"/>
      <c r="P13866" s="223"/>
      <c r="Q13866" s="224"/>
    </row>
    <row r="13867" spans="1:17">
      <c r="A13867" s="221"/>
      <c r="B13867" s="222">
        <v>46108</v>
      </c>
      <c r="C13867" s="223" t="s">
        <v>301</v>
      </c>
      <c r="D13867" s="223"/>
      <c r="E13867" s="223" t="s">
        <v>402</v>
      </c>
      <c r="F13867" s="223">
        <v>2026</v>
      </c>
      <c r="G13867" s="223"/>
      <c r="H13867" s="223" t="s">
        <v>99</v>
      </c>
      <c r="I13867" s="226" t="s">
        <v>108</v>
      </c>
      <c r="J13867" s="223" t="s">
        <v>366</v>
      </c>
      <c r="K13867" s="223" t="s">
        <v>106</v>
      </c>
      <c r="L13867" s="223" t="s">
        <v>391</v>
      </c>
      <c r="M13867" s="223"/>
      <c r="N13867" s="223"/>
      <c r="O13867" s="223"/>
      <c r="P13867" s="223"/>
      <c r="Q13867" s="224"/>
    </row>
    <row r="13868" spans="1:17">
      <c r="A13868" s="221">
        <v>269</v>
      </c>
      <c r="B13868" s="222">
        <v>46108</v>
      </c>
      <c r="C13868" s="223" t="s">
        <v>301</v>
      </c>
      <c r="D13868" s="223" t="s">
        <v>372</v>
      </c>
      <c r="E13868" s="223" t="s">
        <v>402</v>
      </c>
      <c r="F13868" s="223">
        <v>2026</v>
      </c>
      <c r="G13868" s="223">
        <v>2.5</v>
      </c>
      <c r="H13868" s="223" t="s">
        <v>57</v>
      </c>
      <c r="I13868" s="226" t="s">
        <v>58</v>
      </c>
      <c r="J13868" s="223" t="s">
        <v>373</v>
      </c>
      <c r="K13868" s="223"/>
      <c r="L13868" s="223" t="s">
        <v>537</v>
      </c>
      <c r="M13868" s="223">
        <v>2.5</v>
      </c>
      <c r="N13868" s="223"/>
      <c r="O13868" s="223" t="s">
        <v>414</v>
      </c>
      <c r="P13868" s="223"/>
      <c r="Q13868" s="224"/>
    </row>
    <row r="13869" spans="1:17">
      <c r="A13869" s="221">
        <v>270</v>
      </c>
      <c r="B13869" s="222">
        <v>46108</v>
      </c>
      <c r="C13869" s="223" t="s">
        <v>301</v>
      </c>
      <c r="D13869" s="223" t="s">
        <v>451</v>
      </c>
      <c r="E13869" s="223" t="s">
        <v>402</v>
      </c>
      <c r="F13869" s="223">
        <v>2026</v>
      </c>
      <c r="G13869" s="223">
        <v>3</v>
      </c>
      <c r="H13869" s="223" t="s">
        <v>61</v>
      </c>
      <c r="I13869" s="226" t="s">
        <v>62</v>
      </c>
      <c r="J13869" s="223" t="s">
        <v>360</v>
      </c>
      <c r="K13869" s="223" t="s">
        <v>37</v>
      </c>
      <c r="L13869" s="223" t="s">
        <v>538</v>
      </c>
      <c r="M13869" s="223"/>
      <c r="N13869" s="223"/>
      <c r="O13869" s="223" t="s">
        <v>112</v>
      </c>
      <c r="P13869" s="223"/>
      <c r="Q13869" s="224"/>
    </row>
    <row r="13870" spans="1:17">
      <c r="A13870" s="221"/>
      <c r="B13870" s="222">
        <v>46108</v>
      </c>
      <c r="C13870" s="223" t="s">
        <v>301</v>
      </c>
      <c r="D13870" s="223" t="s">
        <v>452</v>
      </c>
      <c r="E13870" s="223" t="s">
        <v>402</v>
      </c>
      <c r="F13870" s="223">
        <v>2026</v>
      </c>
      <c r="G13870" s="223"/>
      <c r="H13870" s="223" t="s">
        <v>61</v>
      </c>
      <c r="I13870" s="226" t="s">
        <v>62</v>
      </c>
      <c r="J13870" s="223" t="s">
        <v>360</v>
      </c>
      <c r="K13870" s="223" t="s">
        <v>38</v>
      </c>
      <c r="L13870" s="223" t="s">
        <v>391</v>
      </c>
      <c r="M13870" s="223">
        <v>3</v>
      </c>
      <c r="N13870" s="223"/>
      <c r="O13870" s="223"/>
      <c r="P13870" s="223"/>
      <c r="Q13870" s="224"/>
    </row>
    <row r="13871" spans="1:17">
      <c r="A13871" s="221">
        <v>271</v>
      </c>
      <c r="B13871" s="222">
        <v>46111</v>
      </c>
      <c r="C13871" s="223" t="s">
        <v>302</v>
      </c>
      <c r="D13871" s="223" t="s">
        <v>520</v>
      </c>
      <c r="E13871" s="223" t="s">
        <v>402</v>
      </c>
      <c r="F13871" s="223">
        <v>2026</v>
      </c>
      <c r="G13871" s="223">
        <v>3</v>
      </c>
      <c r="H13871" s="223" t="s">
        <v>57</v>
      </c>
      <c r="I13871" s="226" t="s">
        <v>89</v>
      </c>
      <c r="J13871" s="223" t="s">
        <v>311</v>
      </c>
      <c r="K13871" s="223" t="s">
        <v>90</v>
      </c>
      <c r="L13871" s="223" t="s">
        <v>539</v>
      </c>
      <c r="M13871" s="223">
        <v>3</v>
      </c>
      <c r="N13871" s="223"/>
      <c r="O13871" s="223" t="s">
        <v>91</v>
      </c>
      <c r="P13871" s="223"/>
      <c r="Q13871" s="224"/>
    </row>
    <row r="13872" spans="1:17">
      <c r="A13872" s="221">
        <v>272</v>
      </c>
      <c r="B13872" s="222">
        <v>46111</v>
      </c>
      <c r="C13872" s="223" t="s">
        <v>302</v>
      </c>
      <c r="D13872" s="223" t="s">
        <v>477</v>
      </c>
      <c r="E13872" s="223" t="s">
        <v>402</v>
      </c>
      <c r="F13872" s="223">
        <v>2026</v>
      </c>
      <c r="G13872" s="223">
        <v>3</v>
      </c>
      <c r="H13872" s="223" t="s">
        <v>461</v>
      </c>
      <c r="I13872" s="226" t="s">
        <v>136</v>
      </c>
      <c r="J13872" s="223" t="s">
        <v>462</v>
      </c>
      <c r="K13872" s="223" t="s">
        <v>101</v>
      </c>
      <c r="L13872" s="223" t="s">
        <v>540</v>
      </c>
      <c r="M13872" s="223">
        <v>3</v>
      </c>
      <c r="N13872" s="223"/>
      <c r="O13872" s="223" t="s">
        <v>138</v>
      </c>
      <c r="P13872" s="223"/>
      <c r="Q13872" s="224"/>
    </row>
    <row r="13873" spans="1:17">
      <c r="A13873" s="221">
        <v>273</v>
      </c>
      <c r="B13873" s="222">
        <v>46111</v>
      </c>
      <c r="C13873" s="223" t="s">
        <v>302</v>
      </c>
      <c r="D13873" s="223" t="s">
        <v>479</v>
      </c>
      <c r="E13873" s="223" t="s">
        <v>402</v>
      </c>
      <c r="F13873" s="223">
        <v>2026</v>
      </c>
      <c r="G13873" s="223">
        <v>3</v>
      </c>
      <c r="H13873" s="223" t="s">
        <v>461</v>
      </c>
      <c r="I13873" s="226" t="s">
        <v>136</v>
      </c>
      <c r="J13873" s="223" t="s">
        <v>462</v>
      </c>
      <c r="K13873" s="223" t="s">
        <v>10</v>
      </c>
      <c r="L13873" s="223" t="s">
        <v>540</v>
      </c>
      <c r="M13873" s="223">
        <v>3</v>
      </c>
      <c r="N13873" s="223"/>
      <c r="O13873" s="223" t="s">
        <v>138</v>
      </c>
      <c r="P13873" s="223"/>
      <c r="Q13873" s="224"/>
    </row>
    <row r="13874" spans="1:17">
      <c r="A13874" s="221">
        <v>274</v>
      </c>
      <c r="B13874" s="222">
        <v>46111</v>
      </c>
      <c r="C13874" s="223" t="s">
        <v>302</v>
      </c>
      <c r="D13874" s="223" t="s">
        <v>480</v>
      </c>
      <c r="E13874" s="223" t="s">
        <v>402</v>
      </c>
      <c r="F13874" s="223">
        <v>2026</v>
      </c>
      <c r="G13874" s="223">
        <v>3</v>
      </c>
      <c r="H13874" s="223" t="s">
        <v>132</v>
      </c>
      <c r="I13874" s="226" t="s">
        <v>133</v>
      </c>
      <c r="J13874" s="223" t="s">
        <v>360</v>
      </c>
      <c r="K13874" s="223" t="s">
        <v>106</v>
      </c>
      <c r="L13874" s="223" t="s">
        <v>541</v>
      </c>
      <c r="M13874" s="223">
        <v>3</v>
      </c>
      <c r="N13874" s="223"/>
      <c r="O13874" s="223" t="s">
        <v>127</v>
      </c>
      <c r="P13874" s="223"/>
      <c r="Q13874" s="224"/>
    </row>
    <row r="13875" spans="1:17">
      <c r="A13875" s="221">
        <v>275</v>
      </c>
      <c r="B13875" s="222">
        <v>46111</v>
      </c>
      <c r="C13875" s="223" t="s">
        <v>302</v>
      </c>
      <c r="D13875" s="223" t="s">
        <v>482</v>
      </c>
      <c r="E13875" s="223" t="s">
        <v>402</v>
      </c>
      <c r="F13875" s="223">
        <v>2026</v>
      </c>
      <c r="G13875" s="223">
        <v>2</v>
      </c>
      <c r="H13875" s="223" t="s">
        <v>132</v>
      </c>
      <c r="I13875" s="226" t="s">
        <v>133</v>
      </c>
      <c r="J13875" s="223" t="s">
        <v>360</v>
      </c>
      <c r="K13875" s="223" t="s">
        <v>135</v>
      </c>
      <c r="L13875" s="223" t="s">
        <v>534</v>
      </c>
      <c r="M13875" s="223">
        <v>2</v>
      </c>
      <c r="N13875" s="223"/>
      <c r="O13875" s="223" t="s">
        <v>127</v>
      </c>
      <c r="P13875" s="223"/>
      <c r="Q13875" s="224"/>
    </row>
    <row r="13876" spans="1:17">
      <c r="A13876" s="221">
        <v>276</v>
      </c>
      <c r="B13876" s="222">
        <v>46111</v>
      </c>
      <c r="C13876" s="223" t="s">
        <v>302</v>
      </c>
      <c r="D13876" s="223" t="s">
        <v>483</v>
      </c>
      <c r="E13876" s="223" t="s">
        <v>402</v>
      </c>
      <c r="F13876" s="223">
        <v>2026</v>
      </c>
      <c r="G13876" s="223">
        <v>2</v>
      </c>
      <c r="H13876" s="223" t="s">
        <v>99</v>
      </c>
      <c r="I13876" s="226" t="s">
        <v>108</v>
      </c>
      <c r="J13876" s="223" t="s">
        <v>366</v>
      </c>
      <c r="K13876" s="223" t="s">
        <v>10</v>
      </c>
      <c r="L13876" s="223" t="s">
        <v>542</v>
      </c>
      <c r="M13876" s="223">
        <v>2</v>
      </c>
      <c r="N13876" s="223"/>
      <c r="O13876" s="223" t="s">
        <v>63</v>
      </c>
      <c r="P13876" s="223"/>
      <c r="Q13876" s="224"/>
    </row>
    <row r="13877" spans="1:17">
      <c r="A13877" s="221">
        <v>277</v>
      </c>
      <c r="B13877" s="222">
        <v>46111</v>
      </c>
      <c r="C13877" s="223" t="s">
        <v>302</v>
      </c>
      <c r="D13877" s="223" t="s">
        <v>491</v>
      </c>
      <c r="E13877" s="223" t="s">
        <v>402</v>
      </c>
      <c r="F13877" s="223">
        <v>2026</v>
      </c>
      <c r="G13877" s="223">
        <v>2.5</v>
      </c>
      <c r="H13877" s="223" t="s">
        <v>99</v>
      </c>
      <c r="I13877" s="226" t="s">
        <v>108</v>
      </c>
      <c r="J13877" s="223" t="s">
        <v>366</v>
      </c>
      <c r="K13877" s="223" t="s">
        <v>106</v>
      </c>
      <c r="L13877" s="223" t="s">
        <v>526</v>
      </c>
      <c r="M13877" s="223">
        <v>2.5</v>
      </c>
      <c r="N13877" s="223"/>
      <c r="O13877" s="223" t="s">
        <v>112</v>
      </c>
      <c r="P13877" s="223"/>
      <c r="Q13877" s="224"/>
    </row>
    <row r="13878" spans="1:17">
      <c r="A13878" s="221">
        <v>278</v>
      </c>
      <c r="B13878" s="222">
        <v>46111</v>
      </c>
      <c r="C13878" s="223" t="s">
        <v>302</v>
      </c>
      <c r="D13878" s="223" t="s">
        <v>398</v>
      </c>
      <c r="E13878" s="223" t="s">
        <v>402</v>
      </c>
      <c r="F13878" s="223">
        <v>2026</v>
      </c>
      <c r="G13878" s="223">
        <v>2</v>
      </c>
      <c r="H13878" s="223" t="s">
        <v>57</v>
      </c>
      <c r="I13878" s="226" t="s">
        <v>74</v>
      </c>
      <c r="J13878" s="223" t="s">
        <v>373</v>
      </c>
      <c r="K13878" s="223"/>
      <c r="L13878" s="223" t="s">
        <v>543</v>
      </c>
      <c r="M13878" s="223">
        <v>2</v>
      </c>
      <c r="N13878" s="223"/>
      <c r="O13878" s="223" t="s">
        <v>66</v>
      </c>
      <c r="P13878" s="223"/>
      <c r="Q13878" s="224"/>
    </row>
    <row r="13879" spans="1:17">
      <c r="A13879" s="221">
        <v>279</v>
      </c>
      <c r="B13879" s="222">
        <v>46111</v>
      </c>
      <c r="C13879" s="223" t="s">
        <v>302</v>
      </c>
      <c r="D13879" s="223" t="s">
        <v>372</v>
      </c>
      <c r="E13879" s="223" t="s">
        <v>402</v>
      </c>
      <c r="F13879" s="223">
        <v>2026</v>
      </c>
      <c r="G13879" s="223">
        <v>2.5</v>
      </c>
      <c r="H13879" s="223" t="s">
        <v>57</v>
      </c>
      <c r="I13879" s="226" t="s">
        <v>58</v>
      </c>
      <c r="J13879" s="223" t="s">
        <v>373</v>
      </c>
      <c r="K13879" s="223"/>
      <c r="L13879" s="223" t="s">
        <v>544</v>
      </c>
      <c r="M13879" s="223">
        <v>2.5</v>
      </c>
      <c r="N13879" s="223"/>
      <c r="O13879" s="223" t="s">
        <v>70</v>
      </c>
      <c r="P13879" s="223"/>
      <c r="Q13879" s="224"/>
    </row>
    <row r="13880" spans="1:17">
      <c r="A13880" s="221">
        <v>280</v>
      </c>
      <c r="B13880" s="222">
        <v>46111</v>
      </c>
      <c r="C13880" s="223" t="s">
        <v>302</v>
      </c>
      <c r="D13880" s="223" t="s">
        <v>451</v>
      </c>
      <c r="E13880" s="223" t="s">
        <v>402</v>
      </c>
      <c r="F13880" s="223">
        <v>2026</v>
      </c>
      <c r="G13880" s="223">
        <v>3</v>
      </c>
      <c r="H13880" s="223" t="s">
        <v>61</v>
      </c>
      <c r="I13880" s="226" t="s">
        <v>62</v>
      </c>
      <c r="J13880" s="223" t="s">
        <v>360</v>
      </c>
      <c r="K13880" s="223" t="s">
        <v>37</v>
      </c>
      <c r="L13880" s="223" t="s">
        <v>411</v>
      </c>
      <c r="M13880" s="223">
        <v>3</v>
      </c>
      <c r="N13880" s="223"/>
      <c r="O13880" s="223" t="s">
        <v>29</v>
      </c>
      <c r="P13880" s="223"/>
      <c r="Q13880" s="224"/>
    </row>
    <row r="13881" spans="1:17">
      <c r="A13881" s="221">
        <v>281</v>
      </c>
      <c r="B13881" s="222">
        <v>46111</v>
      </c>
      <c r="C13881" s="223" t="s">
        <v>302</v>
      </c>
      <c r="D13881" s="223" t="s">
        <v>452</v>
      </c>
      <c r="E13881" s="223" t="s">
        <v>402</v>
      </c>
      <c r="F13881" s="223">
        <v>2026</v>
      </c>
      <c r="G13881" s="223">
        <v>3</v>
      </c>
      <c r="H13881" s="223" t="s">
        <v>61</v>
      </c>
      <c r="I13881" s="226" t="s">
        <v>62</v>
      </c>
      <c r="J13881" s="223" t="s">
        <v>360</v>
      </c>
      <c r="K13881" s="223" t="s">
        <v>38</v>
      </c>
      <c r="L13881" s="223" t="s">
        <v>407</v>
      </c>
      <c r="M13881" s="223">
        <v>3</v>
      </c>
      <c r="N13881" s="223"/>
      <c r="O13881" s="223" t="s">
        <v>127</v>
      </c>
      <c r="P13881" s="223"/>
      <c r="Q13881" s="224"/>
    </row>
    <row r="13882" spans="1:17" ht="30.75">
      <c r="A13882" s="221">
        <v>282</v>
      </c>
      <c r="B13882" s="222">
        <v>46112</v>
      </c>
      <c r="C13882" s="223" t="s">
        <v>289</v>
      </c>
      <c r="D13882" s="223" t="s">
        <v>524</v>
      </c>
      <c r="E13882" s="223" t="s">
        <v>402</v>
      </c>
      <c r="F13882" s="223">
        <v>2026</v>
      </c>
      <c r="G13882" s="223">
        <v>2.5</v>
      </c>
      <c r="H13882" s="223" t="s">
        <v>115</v>
      </c>
      <c r="I13882" s="226" t="s">
        <v>437</v>
      </c>
      <c r="J13882" s="223" t="s">
        <v>438</v>
      </c>
      <c r="K13882" s="223" t="s">
        <v>101</v>
      </c>
      <c r="L13882" s="223" t="s">
        <v>546</v>
      </c>
      <c r="M13882" s="223">
        <v>2.5</v>
      </c>
      <c r="N13882" s="223"/>
      <c r="O13882" s="223" t="s">
        <v>117</v>
      </c>
      <c r="P13882" s="223"/>
      <c r="Q13882" s="224"/>
    </row>
    <row r="13883" spans="1:17">
      <c r="A13883" s="221">
        <v>283</v>
      </c>
      <c r="B13883" s="222">
        <v>46112</v>
      </c>
      <c r="C13883" s="223" t="s">
        <v>289</v>
      </c>
      <c r="D13883" s="223" t="s">
        <v>497</v>
      </c>
      <c r="E13883" s="223" t="s">
        <v>402</v>
      </c>
      <c r="F13883" s="223">
        <v>2026</v>
      </c>
      <c r="G13883" s="223" t="s">
        <v>498</v>
      </c>
      <c r="H13883" s="223" t="s">
        <v>57</v>
      </c>
      <c r="I13883" s="226" t="s">
        <v>454</v>
      </c>
      <c r="J13883" s="223" t="s">
        <v>311</v>
      </c>
      <c r="K13883" s="223"/>
      <c r="L13883" s="223" t="s">
        <v>545</v>
      </c>
      <c r="M13883" s="223" t="s">
        <v>498</v>
      </c>
      <c r="N13883" s="223"/>
      <c r="O13883" s="223" t="s">
        <v>516</v>
      </c>
      <c r="P13883" s="223"/>
      <c r="Q13883" s="224"/>
    </row>
    <row r="13884" spans="1:17">
      <c r="A13884" s="221">
        <v>284</v>
      </c>
      <c r="B13884" s="222">
        <v>46112</v>
      </c>
      <c r="C13884" s="223" t="s">
        <v>289</v>
      </c>
      <c r="D13884" s="223" t="s">
        <v>490</v>
      </c>
      <c r="E13884" s="223" t="s">
        <v>402</v>
      </c>
      <c r="F13884" s="223">
        <v>2026</v>
      </c>
      <c r="G13884" s="223">
        <v>2</v>
      </c>
      <c r="H13884" s="223" t="s">
        <v>99</v>
      </c>
      <c r="I13884" s="226" t="s">
        <v>108</v>
      </c>
      <c r="J13884" s="223" t="s">
        <v>366</v>
      </c>
      <c r="K13884" s="223" t="s">
        <v>101</v>
      </c>
      <c r="L13884" s="223" t="s">
        <v>542</v>
      </c>
      <c r="M13884" s="223">
        <v>2</v>
      </c>
      <c r="N13884" s="223"/>
      <c r="O13884" s="223" t="s">
        <v>109</v>
      </c>
      <c r="P13884" s="223"/>
      <c r="Q13884" s="224"/>
    </row>
    <row r="13885" spans="1:17">
      <c r="A13885" s="221">
        <v>285</v>
      </c>
      <c r="B13885" s="222">
        <v>46112</v>
      </c>
      <c r="C13885" s="223" t="s">
        <v>289</v>
      </c>
      <c r="D13885" s="223" t="s">
        <v>491</v>
      </c>
      <c r="E13885" s="223" t="s">
        <v>402</v>
      </c>
      <c r="F13885" s="223">
        <v>2026</v>
      </c>
      <c r="G13885" s="223">
        <v>2</v>
      </c>
      <c r="H13885" s="223" t="s">
        <v>99</v>
      </c>
      <c r="I13885" s="226" t="s">
        <v>108</v>
      </c>
      <c r="J13885" s="223" t="s">
        <v>366</v>
      </c>
      <c r="K13885" s="223" t="s">
        <v>104</v>
      </c>
      <c r="L13885" s="223" t="s">
        <v>542</v>
      </c>
      <c r="M13885" s="223">
        <v>2</v>
      </c>
      <c r="N13885" s="223"/>
      <c r="O13885" s="223" t="s">
        <v>109</v>
      </c>
      <c r="P13885" s="223"/>
      <c r="Q13885" s="224"/>
    </row>
    <row r="13886" spans="1:17" ht="45.75">
      <c r="A13886" s="221">
        <v>286</v>
      </c>
      <c r="B13886" s="222">
        <v>46112</v>
      </c>
      <c r="C13886" s="223" t="s">
        <v>289</v>
      </c>
      <c r="D13886" s="223" t="s">
        <v>456</v>
      </c>
      <c r="E13886" s="223" t="s">
        <v>402</v>
      </c>
      <c r="F13886" s="223">
        <v>2026</v>
      </c>
      <c r="G13886" s="223">
        <v>2.5</v>
      </c>
      <c r="H13886" s="223" t="s">
        <v>99</v>
      </c>
      <c r="I13886" s="226" t="s">
        <v>100</v>
      </c>
      <c r="J13886" s="223" t="s">
        <v>373</v>
      </c>
      <c r="K13886" s="223" t="s">
        <v>101</v>
      </c>
      <c r="L13886" s="226" t="s">
        <v>547</v>
      </c>
      <c r="M13886" s="223">
        <v>2.5</v>
      </c>
      <c r="N13886" s="223"/>
      <c r="O13886" s="223" t="s">
        <v>102</v>
      </c>
      <c r="P13886" s="223"/>
      <c r="Q13886" s="224"/>
    </row>
    <row r="13887" spans="1:17" ht="45.75">
      <c r="A13887" s="221">
        <v>287</v>
      </c>
      <c r="B13887" s="222">
        <v>46112</v>
      </c>
      <c r="C13887" s="223" t="s">
        <v>289</v>
      </c>
      <c r="D13887" s="223" t="s">
        <v>467</v>
      </c>
      <c r="E13887" s="223" t="s">
        <v>402</v>
      </c>
      <c r="F13887" s="223">
        <v>2026</v>
      </c>
      <c r="G13887" s="223">
        <v>2.5</v>
      </c>
      <c r="H13887" s="223" t="s">
        <v>99</v>
      </c>
      <c r="I13887" s="226" t="s">
        <v>100</v>
      </c>
      <c r="J13887" s="223" t="s">
        <v>373</v>
      </c>
      <c r="K13887" s="223" t="s">
        <v>104</v>
      </c>
      <c r="L13887" s="226" t="s">
        <v>517</v>
      </c>
      <c r="M13887" s="223">
        <v>2.5</v>
      </c>
      <c r="N13887" s="223"/>
      <c r="O13887" s="223" t="s">
        <v>70</v>
      </c>
      <c r="P13887" s="223"/>
      <c r="Q13887" s="224"/>
    </row>
    <row r="13888" spans="1:17" ht="30.75">
      <c r="A13888" s="221">
        <v>288</v>
      </c>
      <c r="B13888" s="222">
        <v>46112</v>
      </c>
      <c r="C13888" s="223" t="s">
        <v>289</v>
      </c>
      <c r="D13888" s="223" t="s">
        <v>430</v>
      </c>
      <c r="E13888" s="223" t="s">
        <v>402</v>
      </c>
      <c r="F13888" s="223">
        <v>2026</v>
      </c>
      <c r="G13888" s="223">
        <v>2.5</v>
      </c>
      <c r="H13888" s="223" t="s">
        <v>99</v>
      </c>
      <c r="I13888" s="226" t="s">
        <v>100</v>
      </c>
      <c r="J13888" s="223" t="s">
        <v>373</v>
      </c>
      <c r="K13888" s="223" t="s">
        <v>106</v>
      </c>
      <c r="L13888" s="226" t="s">
        <v>548</v>
      </c>
      <c r="M13888" s="223">
        <v>2.5</v>
      </c>
      <c r="N13888" s="223"/>
      <c r="O13888" s="223" t="s">
        <v>432</v>
      </c>
      <c r="P13888" s="223"/>
      <c r="Q13888" s="224"/>
    </row>
    <row r="13889" spans="1:17">
      <c r="A13889" s="221">
        <v>289</v>
      </c>
      <c r="B13889" s="222">
        <v>46112</v>
      </c>
      <c r="C13889" s="223" t="s">
        <v>289</v>
      </c>
      <c r="D13889" s="223" t="s">
        <v>395</v>
      </c>
      <c r="E13889" s="223" t="s">
        <v>402</v>
      </c>
      <c r="F13889" s="223">
        <v>2026</v>
      </c>
      <c r="G13889" s="223">
        <v>4</v>
      </c>
      <c r="H13889" s="223" t="s">
        <v>80</v>
      </c>
      <c r="I13889" s="226" t="s">
        <v>81</v>
      </c>
      <c r="J13889" s="223" t="s">
        <v>366</v>
      </c>
      <c r="K13889" s="223"/>
      <c r="L13889" s="223" t="s">
        <v>549</v>
      </c>
      <c r="M13889" s="223">
        <v>4</v>
      </c>
      <c r="N13889" s="223"/>
      <c r="O13889" s="223" t="s">
        <v>12</v>
      </c>
      <c r="P13889" s="223"/>
      <c r="Q13889" s="224"/>
    </row>
    <row r="13890" spans="1:17">
      <c r="A13890" s="221">
        <v>290</v>
      </c>
      <c r="B13890" s="222">
        <v>46112</v>
      </c>
      <c r="C13890" s="223" t="s">
        <v>289</v>
      </c>
      <c r="D13890" s="223" t="s">
        <v>451</v>
      </c>
      <c r="E13890" s="223" t="s">
        <v>402</v>
      </c>
      <c r="F13890" s="223">
        <v>2026</v>
      </c>
      <c r="G13890" s="223">
        <v>3</v>
      </c>
      <c r="H13890" s="223" t="s">
        <v>61</v>
      </c>
      <c r="I13890" s="226" t="s">
        <v>62</v>
      </c>
      <c r="J13890" s="223" t="s">
        <v>360</v>
      </c>
      <c r="K13890" s="223" t="s">
        <v>37</v>
      </c>
      <c r="L13890" s="223" t="s">
        <v>415</v>
      </c>
      <c r="M13890" s="223">
        <v>3</v>
      </c>
      <c r="N13890" s="223"/>
      <c r="O13890" s="223" t="s">
        <v>112</v>
      </c>
      <c r="P13890" s="223"/>
      <c r="Q13890" s="224"/>
    </row>
    <row r="13891" spans="1:17">
      <c r="A13891" s="221">
        <v>291</v>
      </c>
      <c r="B13891" s="222">
        <v>46112</v>
      </c>
      <c r="C13891" s="223" t="s">
        <v>289</v>
      </c>
      <c r="D13891" s="223"/>
      <c r="E13891" s="223" t="s">
        <v>402</v>
      </c>
      <c r="F13891" s="223">
        <v>2026</v>
      </c>
      <c r="G13891" s="223">
        <v>3</v>
      </c>
      <c r="H13891" s="223" t="s">
        <v>61</v>
      </c>
      <c r="I13891" s="226" t="s">
        <v>62</v>
      </c>
      <c r="J13891" s="223" t="s">
        <v>360</v>
      </c>
      <c r="K13891" s="223" t="s">
        <v>38</v>
      </c>
      <c r="L13891" s="223" t="s">
        <v>410</v>
      </c>
      <c r="M13891" s="223"/>
      <c r="N13891" s="223"/>
      <c r="O13891" s="223" t="s">
        <v>127</v>
      </c>
      <c r="P13891" s="223"/>
      <c r="Q13891" s="224"/>
    </row>
    <row r="13892" spans="1:17" ht="30.75">
      <c r="A13892" s="221">
        <v>292</v>
      </c>
      <c r="B13892" s="222">
        <v>46113</v>
      </c>
      <c r="C13892" s="223" t="s">
        <v>294</v>
      </c>
      <c r="D13892" s="223" t="s">
        <v>524</v>
      </c>
      <c r="E13892" s="223" t="s">
        <v>291</v>
      </c>
      <c r="F13892" s="223">
        <v>2026</v>
      </c>
      <c r="G13892" s="223">
        <v>2.5</v>
      </c>
      <c r="H13892" s="223" t="s">
        <v>115</v>
      </c>
      <c r="I13892" s="226" t="s">
        <v>437</v>
      </c>
      <c r="J13892" s="223" t="s">
        <v>438</v>
      </c>
      <c r="K13892" s="223" t="s">
        <v>101</v>
      </c>
      <c r="L13892" s="223" t="s">
        <v>554</v>
      </c>
      <c r="M13892" s="223">
        <v>2.5</v>
      </c>
      <c r="N13892" s="223"/>
      <c r="O13892" s="223" t="s">
        <v>117</v>
      </c>
      <c r="P13892" s="223"/>
      <c r="Q13892" s="224"/>
    </row>
    <row r="13893" spans="1:17">
      <c r="A13893" s="221">
        <v>293</v>
      </c>
      <c r="B13893" s="222">
        <v>46113</v>
      </c>
      <c r="C13893" s="223" t="s">
        <v>294</v>
      </c>
      <c r="D13893" s="223" t="s">
        <v>520</v>
      </c>
      <c r="E13893" s="223" t="s">
        <v>291</v>
      </c>
      <c r="F13893" s="223">
        <v>2026</v>
      </c>
      <c r="G13893" s="223">
        <v>3</v>
      </c>
      <c r="H13893" s="223" t="s">
        <v>57</v>
      </c>
      <c r="I13893" s="226" t="s">
        <v>89</v>
      </c>
      <c r="J13893" s="223" t="s">
        <v>311</v>
      </c>
      <c r="K13893" s="223" t="s">
        <v>90</v>
      </c>
      <c r="L13893" s="223" t="s">
        <v>550</v>
      </c>
      <c r="M13893" s="223">
        <v>3</v>
      </c>
      <c r="N13893" s="223"/>
      <c r="O13893" s="223" t="s">
        <v>91</v>
      </c>
      <c r="P13893" s="223"/>
      <c r="Q13893" s="224"/>
    </row>
    <row r="13894" spans="1:17">
      <c r="A13894" s="221">
        <v>294</v>
      </c>
      <c r="B13894" s="222">
        <v>46113</v>
      </c>
      <c r="C13894" s="223" t="s">
        <v>294</v>
      </c>
      <c r="D13894" s="223" t="s">
        <v>477</v>
      </c>
      <c r="E13894" s="223" t="s">
        <v>291</v>
      </c>
      <c r="F13894" s="223">
        <v>2026</v>
      </c>
      <c r="G13894" s="223">
        <v>3</v>
      </c>
      <c r="H13894" s="223" t="s">
        <v>461</v>
      </c>
      <c r="I13894" s="226" t="s">
        <v>136</v>
      </c>
      <c r="J13894" s="223" t="s">
        <v>462</v>
      </c>
      <c r="K13894" s="223" t="s">
        <v>101</v>
      </c>
      <c r="L13894" s="223" t="s">
        <v>551</v>
      </c>
      <c r="M13894" s="223">
        <v>3</v>
      </c>
      <c r="N13894" s="223"/>
      <c r="O13894" s="223" t="s">
        <v>138</v>
      </c>
      <c r="P13894" s="223"/>
      <c r="Q13894" s="224"/>
    </row>
    <row r="13895" spans="1:17">
      <c r="A13895" s="221">
        <v>295</v>
      </c>
      <c r="B13895" s="222">
        <v>46113</v>
      </c>
      <c r="C13895" s="223" t="s">
        <v>294</v>
      </c>
      <c r="D13895" s="223" t="s">
        <v>479</v>
      </c>
      <c r="E13895" s="223" t="s">
        <v>291</v>
      </c>
      <c r="F13895" s="223">
        <v>2026</v>
      </c>
      <c r="G13895" s="223">
        <v>3</v>
      </c>
      <c r="H13895" s="223" t="s">
        <v>461</v>
      </c>
      <c r="I13895" s="226" t="s">
        <v>136</v>
      </c>
      <c r="J13895" s="223" t="s">
        <v>462</v>
      </c>
      <c r="K13895" s="223" t="s">
        <v>10</v>
      </c>
      <c r="L13895" s="223" t="s">
        <v>551</v>
      </c>
      <c r="M13895" s="223">
        <v>3</v>
      </c>
      <c r="N13895" s="223"/>
      <c r="O13895" s="223" t="s">
        <v>138</v>
      </c>
      <c r="P13895" s="223"/>
      <c r="Q13895" s="224"/>
    </row>
    <row r="13896" spans="1:17">
      <c r="A13896" s="221">
        <v>296</v>
      </c>
      <c r="B13896" s="222">
        <v>46113</v>
      </c>
      <c r="C13896" s="223" t="s">
        <v>294</v>
      </c>
      <c r="D13896" s="223" t="s">
        <v>480</v>
      </c>
      <c r="E13896" s="223" t="s">
        <v>291</v>
      </c>
      <c r="F13896" s="223">
        <v>2026</v>
      </c>
      <c r="G13896" s="223">
        <v>3</v>
      </c>
      <c r="H13896" s="223" t="s">
        <v>132</v>
      </c>
      <c r="I13896" s="226" t="s">
        <v>133</v>
      </c>
      <c r="J13896" s="223" t="s">
        <v>360</v>
      </c>
      <c r="K13896" s="223" t="s">
        <v>106</v>
      </c>
      <c r="L13896" s="223" t="s">
        <v>552</v>
      </c>
      <c r="M13896" s="223">
        <v>3</v>
      </c>
      <c r="N13896" s="223"/>
      <c r="O13896" s="223" t="s">
        <v>127</v>
      </c>
      <c r="P13896" s="223"/>
      <c r="Q13896" s="224"/>
    </row>
    <row r="13897" spans="1:17">
      <c r="A13897" s="221">
        <v>297</v>
      </c>
      <c r="B13897" s="222">
        <v>46113</v>
      </c>
      <c r="C13897" s="223" t="s">
        <v>294</v>
      </c>
      <c r="D13897" s="223" t="s">
        <v>482</v>
      </c>
      <c r="E13897" s="223" t="s">
        <v>291</v>
      </c>
      <c r="F13897" s="223">
        <v>2026</v>
      </c>
      <c r="G13897" s="223">
        <v>2</v>
      </c>
      <c r="H13897" s="223" t="s">
        <v>132</v>
      </c>
      <c r="I13897" s="226" t="s">
        <v>133</v>
      </c>
      <c r="J13897" s="223" t="s">
        <v>360</v>
      </c>
      <c r="K13897" s="223" t="s">
        <v>135</v>
      </c>
      <c r="L13897" s="223" t="s">
        <v>553</v>
      </c>
      <c r="M13897" s="223">
        <v>2</v>
      </c>
      <c r="N13897" s="223"/>
      <c r="O13897" s="223" t="s">
        <v>63</v>
      </c>
      <c r="P13897" s="223"/>
      <c r="Q13897" s="224"/>
    </row>
    <row r="13898" spans="1:17">
      <c r="A13898" s="221"/>
      <c r="B13898" s="222">
        <v>46113</v>
      </c>
      <c r="C13898" s="223" t="s">
        <v>294</v>
      </c>
      <c r="D13898" s="223"/>
      <c r="E13898" s="223" t="s">
        <v>291</v>
      </c>
      <c r="F13898" s="223">
        <v>2026</v>
      </c>
      <c r="G13898" s="223"/>
      <c r="H13898" s="223" t="s">
        <v>99</v>
      </c>
      <c r="I13898" s="226" t="s">
        <v>108</v>
      </c>
      <c r="J13898" s="223" t="s">
        <v>366</v>
      </c>
      <c r="K13898" s="223" t="s">
        <v>101</v>
      </c>
      <c r="L13898" s="223" t="s">
        <v>391</v>
      </c>
      <c r="M13898" s="223"/>
      <c r="N13898" s="223"/>
      <c r="O13898" s="223"/>
      <c r="P13898" s="223"/>
      <c r="Q13898" s="224"/>
    </row>
    <row r="13899" spans="1:17">
      <c r="A13899" s="221">
        <v>298</v>
      </c>
      <c r="B13899" s="222">
        <v>46113</v>
      </c>
      <c r="C13899" s="223" t="s">
        <v>294</v>
      </c>
      <c r="D13899" s="223" t="s">
        <v>483</v>
      </c>
      <c r="E13899" s="223" t="s">
        <v>291</v>
      </c>
      <c r="F13899" s="223">
        <v>2026</v>
      </c>
      <c r="G13899" s="223">
        <v>2</v>
      </c>
      <c r="H13899" s="223" t="s">
        <v>99</v>
      </c>
      <c r="I13899" s="226" t="s">
        <v>108</v>
      </c>
      <c r="J13899" s="223" t="s">
        <v>366</v>
      </c>
      <c r="K13899" s="223" t="s">
        <v>10</v>
      </c>
      <c r="L13899" s="223" t="s">
        <v>555</v>
      </c>
      <c r="M13899" s="223">
        <v>2</v>
      </c>
      <c r="N13899" s="223"/>
      <c r="O13899" s="223" t="s">
        <v>63</v>
      </c>
      <c r="P13899" s="223"/>
      <c r="Q13899" s="224"/>
    </row>
    <row r="13900" spans="1:17">
      <c r="A13900" s="221">
        <v>299</v>
      </c>
      <c r="B13900" s="222">
        <v>46113</v>
      </c>
      <c r="C13900" s="223" t="s">
        <v>294</v>
      </c>
      <c r="D13900" s="223" t="s">
        <v>491</v>
      </c>
      <c r="E13900" s="223" t="s">
        <v>291</v>
      </c>
      <c r="F13900" s="223">
        <v>2026</v>
      </c>
      <c r="G13900" s="223">
        <v>2.5</v>
      </c>
      <c r="H13900" s="223" t="s">
        <v>99</v>
      </c>
      <c r="I13900" s="226" t="s">
        <v>108</v>
      </c>
      <c r="J13900" s="223" t="s">
        <v>366</v>
      </c>
      <c r="K13900" s="223" t="s">
        <v>106</v>
      </c>
      <c r="L13900" s="223" t="s">
        <v>542</v>
      </c>
      <c r="M13900" s="223">
        <v>2.5</v>
      </c>
      <c r="N13900" s="223"/>
      <c r="O13900" s="223" t="s">
        <v>112</v>
      </c>
      <c r="P13900" s="223"/>
      <c r="Q13900" s="224"/>
    </row>
    <row r="13901" spans="1:17">
      <c r="A13901" s="221">
        <v>300</v>
      </c>
      <c r="B13901" s="222">
        <v>46113</v>
      </c>
      <c r="C13901" s="223" t="s">
        <v>294</v>
      </c>
      <c r="D13901" s="223" t="s">
        <v>398</v>
      </c>
      <c r="E13901" s="223" t="s">
        <v>291</v>
      </c>
      <c r="F13901" s="223">
        <v>2026</v>
      </c>
      <c r="G13901" s="223">
        <v>2</v>
      </c>
      <c r="H13901" s="223" t="s">
        <v>57</v>
      </c>
      <c r="I13901" s="226" t="s">
        <v>74</v>
      </c>
      <c r="J13901" s="223" t="s">
        <v>373</v>
      </c>
      <c r="K13901" s="223"/>
      <c r="L13901" s="223" t="s">
        <v>556</v>
      </c>
      <c r="M13901" s="223">
        <v>2</v>
      </c>
      <c r="N13901" s="223"/>
      <c r="O13901" s="223" t="s">
        <v>66</v>
      </c>
      <c r="P13901" s="223"/>
      <c r="Q13901" s="224"/>
    </row>
    <row r="13902" spans="1:17">
      <c r="A13902" s="221">
        <v>301</v>
      </c>
      <c r="B13902" s="222">
        <v>46113</v>
      </c>
      <c r="C13902" s="223" t="s">
        <v>294</v>
      </c>
      <c r="D13902" s="223" t="s">
        <v>395</v>
      </c>
      <c r="E13902" s="223" t="s">
        <v>291</v>
      </c>
      <c r="F13902" s="223">
        <v>2026</v>
      </c>
      <c r="G13902" s="223">
        <v>4</v>
      </c>
      <c r="H13902" s="223" t="s">
        <v>80</v>
      </c>
      <c r="I13902" s="226" t="s">
        <v>81</v>
      </c>
      <c r="J13902" s="223" t="s">
        <v>366</v>
      </c>
      <c r="K13902" s="223"/>
      <c r="L13902" s="223" t="s">
        <v>557</v>
      </c>
      <c r="M13902" s="223">
        <v>4</v>
      </c>
      <c r="N13902" s="223"/>
      <c r="O13902" s="223" t="s">
        <v>12</v>
      </c>
      <c r="P13902" s="223"/>
      <c r="Q13902" s="224"/>
    </row>
    <row r="13903" spans="1:17">
      <c r="A13903" s="221">
        <v>302</v>
      </c>
      <c r="B13903" s="222">
        <v>46113</v>
      </c>
      <c r="C13903" s="223" t="s">
        <v>294</v>
      </c>
      <c r="D13903" s="223" t="s">
        <v>372</v>
      </c>
      <c r="E13903" s="223" t="s">
        <v>291</v>
      </c>
      <c r="F13903" s="223">
        <v>2026</v>
      </c>
      <c r="G13903" s="223">
        <v>2.5</v>
      </c>
      <c r="H13903" s="223" t="s">
        <v>57</v>
      </c>
      <c r="I13903" s="226" t="s">
        <v>58</v>
      </c>
      <c r="J13903" s="223" t="s">
        <v>373</v>
      </c>
      <c r="K13903" s="223"/>
      <c r="L13903" s="223" t="s">
        <v>558</v>
      </c>
      <c r="M13903" s="223">
        <v>2.5</v>
      </c>
      <c r="N13903" s="223"/>
      <c r="O13903" s="223" t="s">
        <v>559</v>
      </c>
      <c r="P13903" s="223"/>
      <c r="Q13903" s="224"/>
    </row>
    <row r="13904" spans="1:17">
      <c r="A13904" s="221">
        <v>303</v>
      </c>
      <c r="B13904" s="222">
        <v>46113</v>
      </c>
      <c r="C13904" s="223" t="s">
        <v>294</v>
      </c>
      <c r="D13904" s="223" t="s">
        <v>451</v>
      </c>
      <c r="E13904" s="223" t="s">
        <v>291</v>
      </c>
      <c r="F13904" s="223">
        <v>2026</v>
      </c>
      <c r="G13904" s="223">
        <v>3</v>
      </c>
      <c r="H13904" s="223" t="s">
        <v>61</v>
      </c>
      <c r="I13904" s="226" t="s">
        <v>62</v>
      </c>
      <c r="J13904" s="223" t="s">
        <v>360</v>
      </c>
      <c r="K13904" s="223" t="s">
        <v>37</v>
      </c>
      <c r="L13904" s="223" t="s">
        <v>419</v>
      </c>
      <c r="M13904" s="223">
        <v>3</v>
      </c>
      <c r="N13904" s="223"/>
      <c r="O13904" s="223" t="s">
        <v>112</v>
      </c>
      <c r="P13904" s="223"/>
      <c r="Q13904" s="224"/>
    </row>
    <row r="13905" spans="1:17">
      <c r="A13905" s="221">
        <v>304</v>
      </c>
      <c r="B13905" s="222">
        <v>46113</v>
      </c>
      <c r="C13905" s="223" t="s">
        <v>294</v>
      </c>
      <c r="D13905" s="223" t="s">
        <v>452</v>
      </c>
      <c r="E13905" s="223" t="s">
        <v>291</v>
      </c>
      <c r="F13905" s="223">
        <v>2026</v>
      </c>
      <c r="G13905" s="223">
        <v>3</v>
      </c>
      <c r="H13905" s="223" t="s">
        <v>61</v>
      </c>
      <c r="I13905" s="226" t="s">
        <v>62</v>
      </c>
      <c r="J13905" s="223" t="s">
        <v>360</v>
      </c>
      <c r="K13905" s="223" t="s">
        <v>38</v>
      </c>
      <c r="L13905" s="223" t="s">
        <v>419</v>
      </c>
      <c r="M13905" s="223">
        <v>3</v>
      </c>
      <c r="N13905" s="223"/>
      <c r="O13905" s="223" t="s">
        <v>127</v>
      </c>
      <c r="P13905" s="223"/>
      <c r="Q13905" s="224"/>
    </row>
    <row r="13906" spans="1:17">
      <c r="A13906" s="221">
        <v>305</v>
      </c>
      <c r="B13906" s="222">
        <v>46114</v>
      </c>
      <c r="C13906" s="223" t="s">
        <v>298</v>
      </c>
      <c r="D13906" s="223" t="s">
        <v>480</v>
      </c>
      <c r="E13906" s="223" t="s">
        <v>291</v>
      </c>
      <c r="F13906" s="223">
        <v>2026</v>
      </c>
      <c r="G13906" s="223">
        <v>3</v>
      </c>
      <c r="H13906" s="223" t="s">
        <v>132</v>
      </c>
      <c r="I13906" s="226" t="s">
        <v>133</v>
      </c>
      <c r="J13906" s="223" t="s">
        <v>360</v>
      </c>
      <c r="K13906" s="223" t="s">
        <v>106</v>
      </c>
      <c r="L13906" s="223" t="s">
        <v>560</v>
      </c>
      <c r="M13906" s="223">
        <v>3</v>
      </c>
      <c r="N13906" s="223"/>
      <c r="O13906" s="223" t="s">
        <v>127</v>
      </c>
      <c r="P13906" s="223"/>
      <c r="Q13906" s="224"/>
    </row>
    <row r="13907" spans="1:17">
      <c r="A13907" s="221">
        <v>306</v>
      </c>
      <c r="B13907" s="222">
        <v>46114</v>
      </c>
      <c r="C13907" s="223" t="s">
        <v>298</v>
      </c>
      <c r="D13907" s="223" t="s">
        <v>482</v>
      </c>
      <c r="E13907" s="223" t="s">
        <v>291</v>
      </c>
      <c r="F13907" s="223">
        <v>2026</v>
      </c>
      <c r="G13907" s="223">
        <v>2</v>
      </c>
      <c r="H13907" s="223" t="s">
        <v>132</v>
      </c>
      <c r="I13907" s="226" t="s">
        <v>133</v>
      </c>
      <c r="J13907" s="223" t="s">
        <v>360</v>
      </c>
      <c r="K13907" s="223" t="s">
        <v>135</v>
      </c>
      <c r="L13907" s="223" t="s">
        <v>561</v>
      </c>
      <c r="M13907" s="223">
        <v>2</v>
      </c>
      <c r="N13907" s="223"/>
      <c r="O13907" s="223" t="s">
        <v>63</v>
      </c>
      <c r="P13907" s="223"/>
      <c r="Q13907" s="224"/>
    </row>
    <row r="13908" spans="1:17">
      <c r="A13908" s="221">
        <v>307</v>
      </c>
      <c r="B13908" s="222">
        <v>46114</v>
      </c>
      <c r="C13908" s="223" t="s">
        <v>298</v>
      </c>
      <c r="D13908" s="223" t="s">
        <v>497</v>
      </c>
      <c r="E13908" s="223" t="s">
        <v>291</v>
      </c>
      <c r="F13908" s="223">
        <v>2026</v>
      </c>
      <c r="G13908" s="223" t="s">
        <v>498</v>
      </c>
      <c r="H13908" s="223" t="s">
        <v>57</v>
      </c>
      <c r="I13908" s="226" t="s">
        <v>454</v>
      </c>
      <c r="J13908" s="223" t="s">
        <v>311</v>
      </c>
      <c r="K13908" s="223"/>
      <c r="L13908" s="223" t="s">
        <v>562</v>
      </c>
      <c r="M13908" s="223" t="s">
        <v>498</v>
      </c>
      <c r="N13908" s="223"/>
      <c r="O13908" s="223" t="s">
        <v>516</v>
      </c>
      <c r="P13908" s="223"/>
      <c r="Q13908" s="224"/>
    </row>
    <row r="13909" spans="1:17">
      <c r="A13909" s="221">
        <v>308</v>
      </c>
      <c r="B13909" s="222">
        <v>46114</v>
      </c>
      <c r="C13909" s="223" t="s">
        <v>298</v>
      </c>
      <c r="D13909" s="223" t="s">
        <v>490</v>
      </c>
      <c r="E13909" s="223" t="s">
        <v>291</v>
      </c>
      <c r="F13909" s="223">
        <v>2026</v>
      </c>
      <c r="G13909" s="223">
        <v>2</v>
      </c>
      <c r="H13909" s="223" t="s">
        <v>99</v>
      </c>
      <c r="I13909" s="226" t="s">
        <v>108</v>
      </c>
      <c r="J13909" s="223" t="s">
        <v>366</v>
      </c>
      <c r="K13909" s="223" t="s">
        <v>101</v>
      </c>
      <c r="L13909" s="223" t="s">
        <v>555</v>
      </c>
      <c r="M13909" s="223">
        <v>2</v>
      </c>
      <c r="N13909" s="223"/>
      <c r="O13909" s="223" t="s">
        <v>109</v>
      </c>
      <c r="P13909" s="223"/>
      <c r="Q13909" s="224"/>
    </row>
    <row r="13910" spans="1:17">
      <c r="A13910" s="221">
        <v>309</v>
      </c>
      <c r="B13910" s="222">
        <v>46114</v>
      </c>
      <c r="C13910" s="223" t="s">
        <v>298</v>
      </c>
      <c r="D13910" s="223" t="s">
        <v>491</v>
      </c>
      <c r="E13910" s="223" t="s">
        <v>291</v>
      </c>
      <c r="F13910" s="223">
        <v>2026</v>
      </c>
      <c r="G13910" s="223">
        <v>2</v>
      </c>
      <c r="H13910" s="223" t="s">
        <v>99</v>
      </c>
      <c r="I13910" s="226" t="s">
        <v>108</v>
      </c>
      <c r="J13910" s="223" t="s">
        <v>366</v>
      </c>
      <c r="K13910" s="223" t="s">
        <v>104</v>
      </c>
      <c r="L13910" s="223" t="s">
        <v>555</v>
      </c>
      <c r="M13910" s="223">
        <v>2</v>
      </c>
      <c r="N13910" s="223"/>
      <c r="O13910" s="223" t="s">
        <v>109</v>
      </c>
      <c r="P13910" s="223"/>
      <c r="Q13910" s="224"/>
    </row>
    <row r="13911" spans="1:17">
      <c r="A13911" s="221">
        <v>310</v>
      </c>
      <c r="B13911" s="222">
        <v>46114</v>
      </c>
      <c r="C13911" s="223" t="s">
        <v>298</v>
      </c>
      <c r="D13911" s="223" t="s">
        <v>451</v>
      </c>
      <c r="E13911" s="223" t="s">
        <v>291</v>
      </c>
      <c r="F13911" s="223">
        <v>2026</v>
      </c>
      <c r="G13911" s="223">
        <v>3</v>
      </c>
      <c r="H13911" s="223" t="s">
        <v>61</v>
      </c>
      <c r="I13911" s="226" t="s">
        <v>62</v>
      </c>
      <c r="J13911" s="223" t="s">
        <v>360</v>
      </c>
      <c r="K13911" s="223" t="s">
        <v>37</v>
      </c>
      <c r="L13911" s="223" t="s">
        <v>422</v>
      </c>
      <c r="M13911" s="223">
        <v>3</v>
      </c>
      <c r="N13911" s="223"/>
      <c r="O13911" s="223" t="s">
        <v>112</v>
      </c>
      <c r="P13911" s="223"/>
      <c r="Q13911" s="224"/>
    </row>
    <row r="13912" spans="1:17">
      <c r="A13912" s="221">
        <v>311</v>
      </c>
      <c r="B13912" s="222">
        <v>46114</v>
      </c>
      <c r="C13912" s="223" t="s">
        <v>298</v>
      </c>
      <c r="D13912" s="223" t="s">
        <v>452</v>
      </c>
      <c r="E13912" s="223" t="s">
        <v>291</v>
      </c>
      <c r="F13912" s="223">
        <v>2026</v>
      </c>
      <c r="G13912" s="223">
        <v>3</v>
      </c>
      <c r="H13912" s="223" t="s">
        <v>61</v>
      </c>
      <c r="I13912" s="226" t="s">
        <v>62</v>
      </c>
      <c r="J13912" s="223" t="s">
        <v>360</v>
      </c>
      <c r="K13912" s="223" t="s">
        <v>38</v>
      </c>
      <c r="L13912" s="223" t="s">
        <v>422</v>
      </c>
      <c r="M13912" s="223">
        <v>3</v>
      </c>
      <c r="N13912" s="223"/>
      <c r="O13912" s="223" t="s">
        <v>127</v>
      </c>
      <c r="P13912" s="223"/>
      <c r="Q13912" s="224"/>
    </row>
    <row r="13913" spans="1:17">
      <c r="A13913" s="221"/>
      <c r="B13913" s="222">
        <v>46115</v>
      </c>
      <c r="C13913" s="223" t="s">
        <v>301</v>
      </c>
      <c r="D13913" s="223"/>
      <c r="E13913" s="223" t="s">
        <v>291</v>
      </c>
      <c r="F13913" s="223">
        <v>2026</v>
      </c>
      <c r="G13913" s="223"/>
      <c r="H13913" s="223" t="s">
        <v>99</v>
      </c>
      <c r="I13913" s="226" t="s">
        <v>108</v>
      </c>
      <c r="J13913" s="223" t="s">
        <v>366</v>
      </c>
      <c r="K13913" s="223" t="s">
        <v>104</v>
      </c>
      <c r="L13913" s="223" t="s">
        <v>391</v>
      </c>
      <c r="M13913" s="223"/>
      <c r="N13913" s="223"/>
      <c r="O13913" s="223"/>
      <c r="P13913" s="223"/>
      <c r="Q13913" s="224"/>
    </row>
    <row r="13914" spans="1:17">
      <c r="A13914" s="221">
        <v>312</v>
      </c>
      <c r="B13914" s="222">
        <v>46118</v>
      </c>
      <c r="C13914" s="223" t="s">
        <v>302</v>
      </c>
      <c r="D13914" s="223" t="s">
        <v>520</v>
      </c>
      <c r="E13914" s="223" t="s">
        <v>291</v>
      </c>
      <c r="F13914" s="223">
        <v>2026</v>
      </c>
      <c r="G13914" s="223">
        <v>3</v>
      </c>
      <c r="H13914" s="223" t="s">
        <v>57</v>
      </c>
      <c r="I13914" s="226" t="s">
        <v>89</v>
      </c>
      <c r="J13914" s="223" t="s">
        <v>311</v>
      </c>
      <c r="K13914" s="223" t="s">
        <v>90</v>
      </c>
      <c r="L13914" s="223" t="s">
        <v>563</v>
      </c>
      <c r="M13914" s="223">
        <v>3</v>
      </c>
      <c r="N13914" s="223"/>
      <c r="O13914" s="223" t="s">
        <v>91</v>
      </c>
      <c r="P13914" s="223"/>
      <c r="Q13914" s="224"/>
    </row>
    <row r="13915" spans="1:17">
      <c r="A13915" s="221">
        <v>313</v>
      </c>
      <c r="B13915" s="222">
        <v>46118</v>
      </c>
      <c r="C13915" s="223" t="s">
        <v>302</v>
      </c>
      <c r="D13915" s="223" t="s">
        <v>480</v>
      </c>
      <c r="E13915" s="223" t="s">
        <v>291</v>
      </c>
      <c r="F13915" s="223">
        <v>2026</v>
      </c>
      <c r="G13915" s="223">
        <v>3</v>
      </c>
      <c r="H13915" s="223" t="s">
        <v>132</v>
      </c>
      <c r="I13915" s="226" t="s">
        <v>133</v>
      </c>
      <c r="J13915" s="223" t="s">
        <v>360</v>
      </c>
      <c r="K13915" s="223" t="s">
        <v>106</v>
      </c>
      <c r="L13915" s="223" t="s">
        <v>564</v>
      </c>
      <c r="M13915" s="223">
        <v>3</v>
      </c>
      <c r="N13915" s="223"/>
      <c r="O13915" s="223" t="s">
        <v>127</v>
      </c>
      <c r="P13915" s="223"/>
      <c r="Q13915" s="224"/>
    </row>
    <row r="13916" spans="1:17">
      <c r="A13916" s="221">
        <v>314</v>
      </c>
      <c r="B13916" s="222">
        <v>46118</v>
      </c>
      <c r="C13916" s="223" t="s">
        <v>302</v>
      </c>
      <c r="D13916" s="223" t="s">
        <v>482</v>
      </c>
      <c r="E13916" s="223" t="s">
        <v>291</v>
      </c>
      <c r="F13916" s="223">
        <v>2026</v>
      </c>
      <c r="G13916" s="223">
        <v>2</v>
      </c>
      <c r="H13916" s="223" t="s">
        <v>132</v>
      </c>
      <c r="I13916" s="226" t="s">
        <v>133</v>
      </c>
      <c r="J13916" s="223" t="s">
        <v>360</v>
      </c>
      <c r="K13916" s="223" t="s">
        <v>135</v>
      </c>
      <c r="L13916" s="223" t="s">
        <v>565</v>
      </c>
      <c r="M13916" s="223">
        <v>2</v>
      </c>
      <c r="N13916" s="223"/>
      <c r="O13916" s="223" t="s">
        <v>63</v>
      </c>
      <c r="P13916" s="223"/>
      <c r="Q13916" s="224"/>
    </row>
    <row r="13917" spans="1:17">
      <c r="A13917" s="221">
        <v>315</v>
      </c>
      <c r="B13917" s="222">
        <v>46118</v>
      </c>
      <c r="C13917" s="223" t="s">
        <v>302</v>
      </c>
      <c r="D13917" s="223" t="s">
        <v>483</v>
      </c>
      <c r="E13917" s="223" t="s">
        <v>291</v>
      </c>
      <c r="F13917" s="223">
        <v>2026</v>
      </c>
      <c r="G13917" s="223">
        <v>2</v>
      </c>
      <c r="H13917" s="223" t="s">
        <v>99</v>
      </c>
      <c r="I13917" s="226" t="s">
        <v>108</v>
      </c>
      <c r="J13917" s="223" t="s">
        <v>366</v>
      </c>
      <c r="K13917" s="223" t="s">
        <v>10</v>
      </c>
      <c r="L13917" s="223" t="s">
        <v>566</v>
      </c>
      <c r="M13917" s="223">
        <v>2</v>
      </c>
      <c r="N13917" s="223"/>
      <c r="O13917" s="223" t="s">
        <v>63</v>
      </c>
      <c r="P13917" s="223"/>
      <c r="Q13917" s="224"/>
    </row>
    <row r="13918" spans="1:17">
      <c r="A13918" s="221">
        <v>316</v>
      </c>
      <c r="B13918" s="222">
        <v>46118</v>
      </c>
      <c r="C13918" s="223" t="s">
        <v>302</v>
      </c>
      <c r="D13918" s="223" t="s">
        <v>398</v>
      </c>
      <c r="E13918" s="223" t="s">
        <v>291</v>
      </c>
      <c r="F13918" s="223">
        <v>2026</v>
      </c>
      <c r="G13918" s="223">
        <v>2</v>
      </c>
      <c r="H13918" s="223" t="s">
        <v>57</v>
      </c>
      <c r="I13918" s="226" t="s">
        <v>74</v>
      </c>
      <c r="J13918" s="223" t="s">
        <v>373</v>
      </c>
      <c r="K13918" s="223"/>
      <c r="L13918" s="223" t="s">
        <v>567</v>
      </c>
      <c r="M13918" s="223">
        <v>2</v>
      </c>
      <c r="N13918" s="223"/>
      <c r="O13918" s="223" t="s">
        <v>66</v>
      </c>
      <c r="P13918" s="223"/>
      <c r="Q13918" s="224"/>
    </row>
    <row r="13919" spans="1:17">
      <c r="A13919" s="221">
        <v>317</v>
      </c>
      <c r="B13919" s="222">
        <v>46118</v>
      </c>
      <c r="C13919" s="223" t="s">
        <v>302</v>
      </c>
      <c r="D13919" s="223" t="s">
        <v>372</v>
      </c>
      <c r="E13919" s="223" t="s">
        <v>291</v>
      </c>
      <c r="F13919" s="223">
        <v>2026</v>
      </c>
      <c r="G13919" s="223">
        <v>2.5</v>
      </c>
      <c r="H13919" s="223" t="s">
        <v>57</v>
      </c>
      <c r="I13919" s="226" t="s">
        <v>58</v>
      </c>
      <c r="J13919" s="223" t="s">
        <v>373</v>
      </c>
      <c r="K13919" s="223"/>
      <c r="L13919" s="223" t="s">
        <v>544</v>
      </c>
      <c r="M13919" s="223">
        <v>2.5</v>
      </c>
      <c r="N13919" s="223"/>
      <c r="O13919" s="223" t="s">
        <v>70</v>
      </c>
      <c r="P13919" s="223"/>
      <c r="Q13919" s="224"/>
    </row>
    <row r="13920" spans="1:17">
      <c r="A13920" s="221">
        <v>318</v>
      </c>
      <c r="B13920" s="222">
        <v>46118</v>
      </c>
      <c r="C13920" s="223" t="s">
        <v>302</v>
      </c>
      <c r="D13920" s="223" t="s">
        <v>568</v>
      </c>
      <c r="E13920" s="223" t="s">
        <v>291</v>
      </c>
      <c r="F13920" s="223">
        <v>2026</v>
      </c>
      <c r="G13920" s="223">
        <v>3</v>
      </c>
      <c r="H13920" s="223" t="s">
        <v>61</v>
      </c>
      <c r="I13920" s="226" t="s">
        <v>62</v>
      </c>
      <c r="J13920" s="223" t="s">
        <v>360</v>
      </c>
      <c r="K13920" s="223" t="s">
        <v>34</v>
      </c>
      <c r="L13920" s="223" t="s">
        <v>569</v>
      </c>
      <c r="M13920" s="223">
        <v>3</v>
      </c>
      <c r="N13920" s="223"/>
      <c r="O13920" s="223" t="s">
        <v>169</v>
      </c>
      <c r="P13920" s="223"/>
      <c r="Q13920" s="224"/>
    </row>
    <row r="13921" spans="1:17">
      <c r="A13921" s="221">
        <v>319</v>
      </c>
      <c r="B13921" s="222">
        <v>46118</v>
      </c>
      <c r="C13921" s="223" t="s">
        <v>302</v>
      </c>
      <c r="D13921" s="223" t="s">
        <v>568</v>
      </c>
      <c r="E13921" s="223" t="s">
        <v>291</v>
      </c>
      <c r="F13921" s="223">
        <v>2026</v>
      </c>
      <c r="G13921" s="223">
        <v>3</v>
      </c>
      <c r="H13921" s="223" t="s">
        <v>61</v>
      </c>
      <c r="I13921" s="226" t="s">
        <v>62</v>
      </c>
      <c r="J13921" s="223" t="s">
        <v>360</v>
      </c>
      <c r="K13921" s="223" t="s">
        <v>35</v>
      </c>
      <c r="L13921" s="223" t="s">
        <v>569</v>
      </c>
      <c r="M13921" s="223">
        <v>3</v>
      </c>
      <c r="N13921" s="223"/>
      <c r="O13921" s="223" t="s">
        <v>169</v>
      </c>
      <c r="P13921" s="223"/>
      <c r="Q13921" s="224"/>
    </row>
    <row r="13922" spans="1:17">
      <c r="A13922" s="221">
        <v>320</v>
      </c>
      <c r="B13922" s="222">
        <v>46118</v>
      </c>
      <c r="C13922" s="223" t="s">
        <v>302</v>
      </c>
      <c r="D13922" s="223" t="s">
        <v>451</v>
      </c>
      <c r="E13922" s="223" t="s">
        <v>291</v>
      </c>
      <c r="F13922" s="223">
        <v>2026</v>
      </c>
      <c r="G13922" s="223">
        <v>3</v>
      </c>
      <c r="H13922" s="223" t="s">
        <v>61</v>
      </c>
      <c r="I13922" s="226" t="s">
        <v>62</v>
      </c>
      <c r="J13922" s="223" t="s">
        <v>360</v>
      </c>
      <c r="K13922" s="223" t="s">
        <v>37</v>
      </c>
      <c r="L13922" s="223" t="s">
        <v>424</v>
      </c>
      <c r="M13922" s="223">
        <v>3</v>
      </c>
      <c r="N13922" s="223"/>
      <c r="O13922" s="223" t="s">
        <v>112</v>
      </c>
      <c r="P13922" s="223"/>
      <c r="Q13922" s="224"/>
    </row>
    <row r="13923" spans="1:17">
      <c r="A13923" s="221">
        <v>321</v>
      </c>
      <c r="B13923" s="222">
        <v>46118</v>
      </c>
      <c r="C13923" s="223" t="s">
        <v>302</v>
      </c>
      <c r="D13923" s="223" t="s">
        <v>452</v>
      </c>
      <c r="E13923" s="223" t="s">
        <v>291</v>
      </c>
      <c r="F13923" s="223">
        <v>2026</v>
      </c>
      <c r="G13923" s="223">
        <v>3</v>
      </c>
      <c r="H13923" s="223" t="s">
        <v>61</v>
      </c>
      <c r="I13923" s="226" t="s">
        <v>62</v>
      </c>
      <c r="J13923" s="223" t="s">
        <v>360</v>
      </c>
      <c r="K13923" s="223" t="s">
        <v>38</v>
      </c>
      <c r="L13923" s="223" t="s">
        <v>424</v>
      </c>
      <c r="M13923" s="223">
        <v>3</v>
      </c>
      <c r="N13923" s="223"/>
      <c r="O13923" s="223" t="s">
        <v>127</v>
      </c>
      <c r="P13923" s="223"/>
      <c r="Q13923" s="224"/>
    </row>
    <row r="13924" spans="1:17" ht="30.75">
      <c r="A13924" s="221">
        <v>322</v>
      </c>
      <c r="B13924" s="222">
        <v>46119</v>
      </c>
      <c r="C13924" s="223" t="s">
        <v>289</v>
      </c>
      <c r="D13924" s="223" t="s">
        <v>524</v>
      </c>
      <c r="E13924" s="223" t="s">
        <v>291</v>
      </c>
      <c r="F13924" s="223">
        <v>2026</v>
      </c>
      <c r="G13924" s="223">
        <v>2.5</v>
      </c>
      <c r="H13924" s="223" t="s">
        <v>115</v>
      </c>
      <c r="I13924" s="226" t="s">
        <v>437</v>
      </c>
      <c r="J13924" s="223" t="s">
        <v>438</v>
      </c>
      <c r="K13924" s="223" t="s">
        <v>101</v>
      </c>
      <c r="L13924" s="223" t="s">
        <v>571</v>
      </c>
      <c r="M13924" s="223">
        <v>2.5</v>
      </c>
      <c r="N13924" s="223"/>
      <c r="O13924" s="223" t="s">
        <v>117</v>
      </c>
      <c r="P13924" s="223"/>
      <c r="Q13924" s="224"/>
    </row>
    <row r="13925" spans="1:17">
      <c r="A13925" s="221">
        <v>323</v>
      </c>
      <c r="B13925" s="222">
        <v>46119</v>
      </c>
      <c r="C13925" s="223" t="s">
        <v>289</v>
      </c>
      <c r="D13925" s="223" t="s">
        <v>477</v>
      </c>
      <c r="E13925" s="223" t="s">
        <v>291</v>
      </c>
      <c r="F13925" s="223">
        <v>2026</v>
      </c>
      <c r="G13925" s="223">
        <v>3</v>
      </c>
      <c r="H13925" s="223" t="s">
        <v>461</v>
      </c>
      <c r="I13925" s="226" t="s">
        <v>142</v>
      </c>
      <c r="J13925" s="223" t="s">
        <v>462</v>
      </c>
      <c r="K13925" s="223" t="s">
        <v>101</v>
      </c>
      <c r="L13925" s="223" t="s">
        <v>570</v>
      </c>
      <c r="M13925" s="223">
        <v>3</v>
      </c>
      <c r="N13925" s="223"/>
      <c r="O13925" s="223" t="s">
        <v>179</v>
      </c>
      <c r="P13925" s="223"/>
      <c r="Q13925" s="224"/>
    </row>
    <row r="13926" spans="1:17">
      <c r="A13926" s="221">
        <v>324</v>
      </c>
      <c r="B13926" s="222">
        <v>46119</v>
      </c>
      <c r="C13926" s="223" t="s">
        <v>289</v>
      </c>
      <c r="D13926" s="223" t="s">
        <v>479</v>
      </c>
      <c r="E13926" s="223" t="s">
        <v>291</v>
      </c>
      <c r="F13926" s="223">
        <v>2026</v>
      </c>
      <c r="G13926" s="223">
        <v>3</v>
      </c>
      <c r="H13926" s="223" t="s">
        <v>461</v>
      </c>
      <c r="I13926" s="226" t="s">
        <v>142</v>
      </c>
      <c r="J13926" s="223" t="s">
        <v>462</v>
      </c>
      <c r="K13926" s="223" t="s">
        <v>10</v>
      </c>
      <c r="L13926" s="223" t="s">
        <v>570</v>
      </c>
      <c r="M13926" s="223">
        <v>3</v>
      </c>
      <c r="N13926" s="223"/>
      <c r="O13926" s="223" t="s">
        <v>102</v>
      </c>
      <c r="P13926" s="223"/>
      <c r="Q13926" s="224"/>
    </row>
    <row r="13927" spans="1:17">
      <c r="A13927" s="221">
        <v>325</v>
      </c>
      <c r="B13927" s="222">
        <v>46119</v>
      </c>
      <c r="C13927" s="223" t="s">
        <v>289</v>
      </c>
      <c r="D13927" s="223" t="s">
        <v>490</v>
      </c>
      <c r="E13927" s="223" t="s">
        <v>291</v>
      </c>
      <c r="F13927" s="223">
        <v>2026</v>
      </c>
      <c r="G13927" s="223">
        <v>2</v>
      </c>
      <c r="H13927" s="223" t="s">
        <v>99</v>
      </c>
      <c r="I13927" s="226" t="s">
        <v>108</v>
      </c>
      <c r="J13927" s="223" t="s">
        <v>366</v>
      </c>
      <c r="K13927" s="223" t="s">
        <v>101</v>
      </c>
      <c r="L13927" s="223" t="s">
        <v>566</v>
      </c>
      <c r="M13927" s="223">
        <v>2</v>
      </c>
      <c r="N13927" s="223"/>
      <c r="O13927" s="223" t="s">
        <v>109</v>
      </c>
      <c r="P13927" s="223"/>
      <c r="Q13927" s="224"/>
    </row>
    <row r="13928" spans="1:17">
      <c r="A13928" s="221">
        <v>326</v>
      </c>
      <c r="B13928" s="222">
        <v>46119</v>
      </c>
      <c r="C13928" s="223" t="s">
        <v>289</v>
      </c>
      <c r="D13928" s="223" t="s">
        <v>491</v>
      </c>
      <c r="E13928" s="223" t="s">
        <v>291</v>
      </c>
      <c r="F13928" s="223">
        <v>2026</v>
      </c>
      <c r="G13928" s="223">
        <v>2</v>
      </c>
      <c r="H13928" s="223" t="s">
        <v>99</v>
      </c>
      <c r="I13928" s="226" t="s">
        <v>108</v>
      </c>
      <c r="J13928" s="223" t="s">
        <v>366</v>
      </c>
      <c r="K13928" s="223" t="s">
        <v>104</v>
      </c>
      <c r="L13928" s="223" t="s">
        <v>566</v>
      </c>
      <c r="M13928" s="223">
        <v>2</v>
      </c>
      <c r="N13928" s="223"/>
      <c r="O13928" s="223" t="s">
        <v>109</v>
      </c>
      <c r="P13928" s="223"/>
      <c r="Q13928" s="224"/>
    </row>
    <row r="13929" spans="1:17">
      <c r="A13929" s="221">
        <v>327</v>
      </c>
      <c r="B13929" s="222">
        <v>46119</v>
      </c>
      <c r="C13929" s="223" t="s">
        <v>289</v>
      </c>
      <c r="D13929" s="223" t="s">
        <v>491</v>
      </c>
      <c r="E13929" s="223" t="s">
        <v>291</v>
      </c>
      <c r="F13929" s="223">
        <v>2026</v>
      </c>
      <c r="G13929" s="223">
        <v>2.5</v>
      </c>
      <c r="H13929" s="223" t="s">
        <v>99</v>
      </c>
      <c r="I13929" s="226" t="s">
        <v>108</v>
      </c>
      <c r="J13929" s="223" t="s">
        <v>366</v>
      </c>
      <c r="K13929" s="223" t="s">
        <v>106</v>
      </c>
      <c r="L13929" s="223" t="s">
        <v>555</v>
      </c>
      <c r="M13929" s="223">
        <v>2.5</v>
      </c>
      <c r="N13929" s="223"/>
      <c r="O13929" s="223" t="s">
        <v>63</v>
      </c>
      <c r="P13929" s="223"/>
      <c r="Q13929" s="224"/>
    </row>
    <row r="13930" spans="1:17" ht="30.75">
      <c r="A13930" s="221">
        <v>328</v>
      </c>
      <c r="B13930" s="222">
        <v>46119</v>
      </c>
      <c r="C13930" s="223" t="s">
        <v>289</v>
      </c>
      <c r="D13930" s="223" t="s">
        <v>456</v>
      </c>
      <c r="E13930" s="223" t="s">
        <v>291</v>
      </c>
      <c r="F13930" s="223">
        <v>2026</v>
      </c>
      <c r="G13930" s="223">
        <v>2.5</v>
      </c>
      <c r="H13930" s="223" t="s">
        <v>99</v>
      </c>
      <c r="I13930" s="226" t="s">
        <v>100</v>
      </c>
      <c r="J13930" s="223" t="s">
        <v>373</v>
      </c>
      <c r="K13930" s="223" t="s">
        <v>101</v>
      </c>
      <c r="L13930" s="226" t="s">
        <v>548</v>
      </c>
      <c r="M13930" s="223">
        <v>2.5</v>
      </c>
      <c r="N13930" s="223"/>
      <c r="O13930" s="223" t="s">
        <v>102</v>
      </c>
      <c r="P13930" s="223"/>
      <c r="Q13930" s="224"/>
    </row>
    <row r="13931" spans="1:17">
      <c r="A13931" s="221">
        <v>329</v>
      </c>
      <c r="B13931" s="222">
        <v>46119</v>
      </c>
      <c r="C13931" s="223" t="s">
        <v>289</v>
      </c>
      <c r="D13931" s="223" t="s">
        <v>532</v>
      </c>
      <c r="E13931" s="223" t="s">
        <v>291</v>
      </c>
      <c r="F13931" s="223">
        <v>2026</v>
      </c>
      <c r="G13931" s="223">
        <v>2.5</v>
      </c>
      <c r="H13931" s="223" t="s">
        <v>99</v>
      </c>
      <c r="I13931" s="226" t="s">
        <v>100</v>
      </c>
      <c r="J13931" s="223" t="s">
        <v>373</v>
      </c>
      <c r="K13931" s="223" t="s">
        <v>10</v>
      </c>
      <c r="L13931" s="223" t="s">
        <v>457</v>
      </c>
      <c r="M13931" s="223">
        <v>2.5</v>
      </c>
      <c r="N13931" s="223"/>
      <c r="O13931" s="223" t="s">
        <v>29</v>
      </c>
      <c r="P13931" s="223"/>
      <c r="Q13931" s="224"/>
    </row>
    <row r="13932" spans="1:17" ht="45.75">
      <c r="A13932" s="221">
        <v>330</v>
      </c>
      <c r="B13932" s="222">
        <v>46119</v>
      </c>
      <c r="C13932" s="223" t="s">
        <v>289</v>
      </c>
      <c r="D13932" s="223" t="s">
        <v>467</v>
      </c>
      <c r="E13932" s="223" t="s">
        <v>291</v>
      </c>
      <c r="F13932" s="223">
        <v>2026</v>
      </c>
      <c r="G13932" s="223">
        <v>2.5</v>
      </c>
      <c r="H13932" s="223" t="s">
        <v>99</v>
      </c>
      <c r="I13932" s="226" t="s">
        <v>100</v>
      </c>
      <c r="J13932" s="223" t="s">
        <v>373</v>
      </c>
      <c r="K13932" s="223" t="s">
        <v>104</v>
      </c>
      <c r="L13932" s="226" t="s">
        <v>547</v>
      </c>
      <c r="M13932" s="223">
        <v>2.5</v>
      </c>
      <c r="N13932" s="223"/>
      <c r="O13932" s="223" t="s">
        <v>70</v>
      </c>
      <c r="P13932" s="223"/>
      <c r="Q13932" s="224"/>
    </row>
    <row r="13933" spans="1:17" ht="30.75">
      <c r="A13933" s="221">
        <v>331</v>
      </c>
      <c r="B13933" s="222">
        <v>46119</v>
      </c>
      <c r="C13933" s="223" t="s">
        <v>289</v>
      </c>
      <c r="D13933" s="223" t="s">
        <v>430</v>
      </c>
      <c r="E13933" s="223" t="s">
        <v>291</v>
      </c>
      <c r="F13933" s="223">
        <v>2026</v>
      </c>
      <c r="G13933" s="223">
        <v>2.5</v>
      </c>
      <c r="H13933" s="223" t="s">
        <v>99</v>
      </c>
      <c r="I13933" s="226" t="s">
        <v>100</v>
      </c>
      <c r="J13933" s="223" t="s">
        <v>373</v>
      </c>
      <c r="K13933" s="223" t="s">
        <v>106</v>
      </c>
      <c r="L13933" s="226" t="s">
        <v>572</v>
      </c>
      <c r="M13933" s="223">
        <v>2.5</v>
      </c>
      <c r="N13933" s="223"/>
      <c r="O13933" s="223" t="s">
        <v>432</v>
      </c>
      <c r="P13933" s="223"/>
      <c r="Q13933" s="224"/>
    </row>
    <row r="13934" spans="1:17">
      <c r="A13934" s="221">
        <v>332</v>
      </c>
      <c r="B13934" s="222">
        <v>46119</v>
      </c>
      <c r="C13934" s="223" t="s">
        <v>289</v>
      </c>
      <c r="D13934" s="223" t="s">
        <v>568</v>
      </c>
      <c r="E13934" s="223" t="s">
        <v>291</v>
      </c>
      <c r="F13934" s="223">
        <v>2026</v>
      </c>
      <c r="G13934" s="223">
        <v>3</v>
      </c>
      <c r="H13934" s="223" t="s">
        <v>61</v>
      </c>
      <c r="I13934" s="226" t="s">
        <v>62</v>
      </c>
      <c r="J13934" s="223" t="s">
        <v>360</v>
      </c>
      <c r="K13934" s="223" t="s">
        <v>34</v>
      </c>
      <c r="L13934" s="223" t="s">
        <v>569</v>
      </c>
      <c r="M13934" s="223">
        <v>3</v>
      </c>
      <c r="N13934" s="223"/>
      <c r="O13934" s="223" t="s">
        <v>169</v>
      </c>
      <c r="P13934" s="223"/>
      <c r="Q13934" s="224"/>
    </row>
    <row r="13935" spans="1:17">
      <c r="A13935" s="221">
        <v>333</v>
      </c>
      <c r="B13935" s="222">
        <v>46119</v>
      </c>
      <c r="C13935" s="223" t="s">
        <v>289</v>
      </c>
      <c r="D13935" s="223" t="s">
        <v>568</v>
      </c>
      <c r="E13935" s="223" t="s">
        <v>291</v>
      </c>
      <c r="F13935" s="223">
        <v>2026</v>
      </c>
      <c r="G13935" s="223">
        <v>3</v>
      </c>
      <c r="H13935" s="223" t="s">
        <v>61</v>
      </c>
      <c r="I13935" s="226" t="s">
        <v>62</v>
      </c>
      <c r="J13935" s="223" t="s">
        <v>360</v>
      </c>
      <c r="K13935" s="223" t="s">
        <v>35</v>
      </c>
      <c r="L13935" s="223" t="s">
        <v>569</v>
      </c>
      <c r="M13935" s="223">
        <v>3</v>
      </c>
      <c r="N13935" s="223"/>
      <c r="O13935" s="223" t="s">
        <v>169</v>
      </c>
      <c r="P13935" s="223"/>
      <c r="Q13935" s="224"/>
    </row>
    <row r="13936" spans="1:17">
      <c r="A13936" s="221">
        <v>334</v>
      </c>
      <c r="B13936" s="222">
        <v>46119</v>
      </c>
      <c r="C13936" s="223" t="s">
        <v>289</v>
      </c>
      <c r="D13936" s="223" t="s">
        <v>451</v>
      </c>
      <c r="E13936" s="223" t="s">
        <v>291</v>
      </c>
      <c r="F13936" s="223">
        <v>2026</v>
      </c>
      <c r="G13936" s="223">
        <v>3</v>
      </c>
      <c r="H13936" s="223" t="s">
        <v>61</v>
      </c>
      <c r="I13936" s="226" t="s">
        <v>62</v>
      </c>
      <c r="J13936" s="223" t="s">
        <v>360</v>
      </c>
      <c r="K13936" s="223" t="s">
        <v>37</v>
      </c>
      <c r="L13936" s="223" t="s">
        <v>428</v>
      </c>
      <c r="M13936" s="223">
        <v>3</v>
      </c>
      <c r="N13936" s="223"/>
      <c r="O13936" s="223" t="s">
        <v>112</v>
      </c>
      <c r="P13936" s="223"/>
      <c r="Q13936" s="224"/>
    </row>
    <row r="13937" spans="1:17">
      <c r="A13937" s="221">
        <v>335</v>
      </c>
      <c r="B13937" s="222">
        <v>46119</v>
      </c>
      <c r="C13937" s="223" t="s">
        <v>289</v>
      </c>
      <c r="D13937" s="223" t="s">
        <v>452</v>
      </c>
      <c r="E13937" s="223" t="s">
        <v>291</v>
      </c>
      <c r="F13937" s="223">
        <v>2026</v>
      </c>
      <c r="G13937" s="223">
        <v>3</v>
      </c>
      <c r="H13937" s="223" t="s">
        <v>61</v>
      </c>
      <c r="I13937" s="226" t="s">
        <v>62</v>
      </c>
      <c r="J13937" s="223" t="s">
        <v>360</v>
      </c>
      <c r="K13937" s="223" t="s">
        <v>38</v>
      </c>
      <c r="L13937" s="223" t="s">
        <v>417</v>
      </c>
      <c r="M13937" s="223">
        <v>3</v>
      </c>
      <c r="N13937" s="223"/>
      <c r="O13937" s="223" t="s">
        <v>127</v>
      </c>
      <c r="P13937" s="223"/>
      <c r="Q13937" s="224"/>
    </row>
    <row r="13938" spans="1:17">
      <c r="A13938" s="221">
        <v>336</v>
      </c>
      <c r="B13938" s="222">
        <v>46120</v>
      </c>
      <c r="C13938" s="223" t="s">
        <v>294</v>
      </c>
      <c r="D13938" s="223" t="s">
        <v>520</v>
      </c>
      <c r="E13938" s="223" t="s">
        <v>291</v>
      </c>
      <c r="F13938" s="223">
        <v>2026</v>
      </c>
      <c r="G13938" s="223">
        <v>3</v>
      </c>
      <c r="H13938" s="223" t="s">
        <v>57</v>
      </c>
      <c r="I13938" s="226" t="s">
        <v>89</v>
      </c>
      <c r="J13938" s="223" t="s">
        <v>311</v>
      </c>
      <c r="K13938" s="223" t="s">
        <v>90</v>
      </c>
      <c r="L13938" s="223" t="s">
        <v>573</v>
      </c>
      <c r="M13938" s="223">
        <v>3</v>
      </c>
      <c r="N13938" s="223"/>
      <c r="O13938" s="223" t="s">
        <v>91</v>
      </c>
      <c r="P13938" s="223"/>
      <c r="Q13938" s="224"/>
    </row>
    <row r="13939" spans="1:17">
      <c r="A13939" s="221">
        <v>337</v>
      </c>
      <c r="B13939" s="222">
        <v>46120</v>
      </c>
      <c r="C13939" s="223" t="s">
        <v>294</v>
      </c>
      <c r="D13939" s="223" t="s">
        <v>477</v>
      </c>
      <c r="E13939" s="223" t="s">
        <v>291</v>
      </c>
      <c r="F13939" s="223">
        <v>2026</v>
      </c>
      <c r="G13939" s="223">
        <v>3</v>
      </c>
      <c r="H13939" s="223" t="s">
        <v>461</v>
      </c>
      <c r="I13939" s="226" t="s">
        <v>136</v>
      </c>
      <c r="J13939" s="223" t="s">
        <v>462</v>
      </c>
      <c r="K13939" s="223" t="s">
        <v>101</v>
      </c>
      <c r="L13939" s="223" t="s">
        <v>574</v>
      </c>
      <c r="M13939" s="223">
        <v>3</v>
      </c>
      <c r="N13939" s="223"/>
      <c r="O13939" s="223" t="s">
        <v>138</v>
      </c>
      <c r="P13939" s="223"/>
      <c r="Q13939" s="224"/>
    </row>
    <row r="13940" spans="1:17">
      <c r="A13940" s="221">
        <v>338</v>
      </c>
      <c r="B13940" s="222">
        <v>46120</v>
      </c>
      <c r="C13940" s="223" t="s">
        <v>294</v>
      </c>
      <c r="D13940" s="223" t="s">
        <v>479</v>
      </c>
      <c r="E13940" s="223" t="s">
        <v>291</v>
      </c>
      <c r="F13940" s="223">
        <v>2026</v>
      </c>
      <c r="G13940" s="223">
        <v>3</v>
      </c>
      <c r="H13940" s="223" t="s">
        <v>461</v>
      </c>
      <c r="I13940" s="226" t="s">
        <v>136</v>
      </c>
      <c r="J13940" s="223" t="s">
        <v>462</v>
      </c>
      <c r="K13940" s="223" t="s">
        <v>10</v>
      </c>
      <c r="L13940" s="223" t="s">
        <v>574</v>
      </c>
      <c r="M13940" s="223">
        <v>3</v>
      </c>
      <c r="N13940" s="223"/>
      <c r="O13940" s="223" t="s">
        <v>138</v>
      </c>
      <c r="P13940" s="223"/>
      <c r="Q13940" s="224"/>
    </row>
    <row r="13941" spans="1:17">
      <c r="A13941" s="221">
        <v>339</v>
      </c>
      <c r="B13941" s="222">
        <v>46120</v>
      </c>
      <c r="C13941" s="223" t="s">
        <v>294</v>
      </c>
      <c r="D13941" s="223" t="s">
        <v>480</v>
      </c>
      <c r="E13941" s="223" t="s">
        <v>291</v>
      </c>
      <c r="F13941" s="223">
        <v>2026</v>
      </c>
      <c r="G13941" s="223">
        <v>3</v>
      </c>
      <c r="H13941" s="223" t="s">
        <v>132</v>
      </c>
      <c r="I13941" s="226" t="s">
        <v>133</v>
      </c>
      <c r="J13941" s="223" t="s">
        <v>360</v>
      </c>
      <c r="K13941" s="223" t="s">
        <v>106</v>
      </c>
      <c r="L13941" s="223" t="s">
        <v>575</v>
      </c>
      <c r="M13941" s="223">
        <v>3</v>
      </c>
      <c r="N13941" s="223"/>
      <c r="O13941" s="223" t="s">
        <v>127</v>
      </c>
      <c r="P13941" s="223"/>
      <c r="Q13941" s="224"/>
    </row>
    <row r="13942" spans="1:17">
      <c r="A13942" s="221">
        <v>340</v>
      </c>
      <c r="B13942" s="222">
        <v>46120</v>
      </c>
      <c r="C13942" s="223" t="s">
        <v>294</v>
      </c>
      <c r="D13942" s="223" t="s">
        <v>483</v>
      </c>
      <c r="E13942" s="223" t="s">
        <v>291</v>
      </c>
      <c r="F13942" s="223">
        <v>2026</v>
      </c>
      <c r="G13942" s="223">
        <v>2</v>
      </c>
      <c r="H13942" s="223" t="s">
        <v>99</v>
      </c>
      <c r="I13942" s="226" t="s">
        <v>108</v>
      </c>
      <c r="J13942" s="223" t="s">
        <v>366</v>
      </c>
      <c r="K13942" s="223" t="s">
        <v>10</v>
      </c>
      <c r="L13942" s="223" t="s">
        <v>576</v>
      </c>
      <c r="M13942" s="223">
        <v>2</v>
      </c>
      <c r="N13942" s="223"/>
      <c r="O13942" s="223" t="s">
        <v>63</v>
      </c>
      <c r="P13942" s="223"/>
      <c r="Q13942" s="224"/>
    </row>
    <row r="13943" spans="1:17">
      <c r="A13943" s="221">
        <v>341</v>
      </c>
      <c r="B13943" s="222">
        <v>46120</v>
      </c>
      <c r="C13943" s="223" t="s">
        <v>294</v>
      </c>
      <c r="D13943" s="223" t="s">
        <v>491</v>
      </c>
      <c r="E13943" s="223" t="s">
        <v>291</v>
      </c>
      <c r="F13943" s="223">
        <v>2026</v>
      </c>
      <c r="G13943" s="223">
        <v>2.5</v>
      </c>
      <c r="H13943" s="223" t="s">
        <v>99</v>
      </c>
      <c r="I13943" s="226" t="s">
        <v>108</v>
      </c>
      <c r="J13943" s="223" t="s">
        <v>366</v>
      </c>
      <c r="K13943" s="223" t="s">
        <v>106</v>
      </c>
      <c r="L13943" s="223" t="s">
        <v>566</v>
      </c>
      <c r="M13943" s="223">
        <v>2.5</v>
      </c>
      <c r="N13943" s="223"/>
      <c r="O13943" s="223" t="s">
        <v>63</v>
      </c>
      <c r="P13943" s="223"/>
      <c r="Q13943" s="224"/>
    </row>
    <row r="13944" spans="1:17">
      <c r="A13944" s="221">
        <v>342</v>
      </c>
      <c r="B13944" s="222">
        <v>46120</v>
      </c>
      <c r="C13944" s="223" t="s">
        <v>294</v>
      </c>
      <c r="D13944" s="223" t="s">
        <v>398</v>
      </c>
      <c r="E13944" s="223" t="s">
        <v>291</v>
      </c>
      <c r="F13944" s="223">
        <v>2026</v>
      </c>
      <c r="G13944" s="223">
        <v>2</v>
      </c>
      <c r="H13944" s="223" t="s">
        <v>57</v>
      </c>
      <c r="I13944" s="226" t="s">
        <v>74</v>
      </c>
      <c r="J13944" s="223" t="s">
        <v>373</v>
      </c>
      <c r="K13944" s="223"/>
      <c r="L13944" s="223" t="s">
        <v>577</v>
      </c>
      <c r="M13944" s="223">
        <v>2</v>
      </c>
      <c r="N13944" s="223"/>
      <c r="O13944" s="223" t="s">
        <v>66</v>
      </c>
      <c r="P13944" s="223"/>
      <c r="Q13944" s="224"/>
    </row>
    <row r="13945" spans="1:17">
      <c r="A13945" s="221">
        <v>343</v>
      </c>
      <c r="B13945" s="222">
        <v>46120</v>
      </c>
      <c r="C13945" s="223" t="s">
        <v>294</v>
      </c>
      <c r="D13945" s="223" t="s">
        <v>372</v>
      </c>
      <c r="E13945" s="223" t="s">
        <v>291</v>
      </c>
      <c r="F13945" s="223">
        <v>2026</v>
      </c>
      <c r="G13945" s="223">
        <v>2.5</v>
      </c>
      <c r="H13945" s="223" t="s">
        <v>57</v>
      </c>
      <c r="I13945" s="226" t="s">
        <v>58</v>
      </c>
      <c r="J13945" s="223" t="s">
        <v>373</v>
      </c>
      <c r="K13945" s="223"/>
      <c r="L13945" s="223" t="s">
        <v>578</v>
      </c>
      <c r="M13945" s="223">
        <v>2.5</v>
      </c>
      <c r="N13945" s="223"/>
      <c r="O13945" s="223" t="s">
        <v>559</v>
      </c>
      <c r="P13945" s="223"/>
      <c r="Q13945" s="224"/>
    </row>
    <row r="13946" spans="1:17">
      <c r="A13946" s="221">
        <v>344</v>
      </c>
      <c r="B13946" s="222">
        <v>46120</v>
      </c>
      <c r="C13946" s="223" t="s">
        <v>294</v>
      </c>
      <c r="D13946" s="223" t="s">
        <v>451</v>
      </c>
      <c r="E13946" s="223" t="s">
        <v>291</v>
      </c>
      <c r="F13946" s="223">
        <v>2026</v>
      </c>
      <c r="G13946" s="223">
        <v>3</v>
      </c>
      <c r="H13946" s="223" t="s">
        <v>61</v>
      </c>
      <c r="I13946" s="226" t="s">
        <v>62</v>
      </c>
      <c r="J13946" s="223" t="s">
        <v>360</v>
      </c>
      <c r="K13946" s="223" t="s">
        <v>37</v>
      </c>
      <c r="L13946" s="223" t="s">
        <v>429</v>
      </c>
      <c r="M13946" s="223">
        <v>3</v>
      </c>
      <c r="N13946" s="223"/>
      <c r="O13946" s="223" t="s">
        <v>112</v>
      </c>
      <c r="P13946" s="223"/>
      <c r="Q13946" s="224"/>
    </row>
    <row r="13947" spans="1:17">
      <c r="A13947" s="221">
        <v>345</v>
      </c>
      <c r="B13947" s="222">
        <v>46120</v>
      </c>
      <c r="C13947" s="223" t="s">
        <v>294</v>
      </c>
      <c r="D13947" s="223" t="s">
        <v>452</v>
      </c>
      <c r="E13947" s="223" t="s">
        <v>291</v>
      </c>
      <c r="F13947" s="223">
        <v>2026</v>
      </c>
      <c r="G13947" s="223">
        <v>3</v>
      </c>
      <c r="H13947" s="223" t="s">
        <v>61</v>
      </c>
      <c r="I13947" s="226" t="s">
        <v>62</v>
      </c>
      <c r="J13947" s="223" t="s">
        <v>360</v>
      </c>
      <c r="K13947" s="223" t="s">
        <v>38</v>
      </c>
      <c r="L13947" s="223" t="s">
        <v>428</v>
      </c>
      <c r="M13947" s="223">
        <v>3</v>
      </c>
      <c r="N13947" s="223"/>
      <c r="O13947" s="223" t="s">
        <v>127</v>
      </c>
      <c r="P13947" s="223"/>
      <c r="Q13947" s="224"/>
    </row>
    <row r="13948" spans="1:17" ht="30.75">
      <c r="A13948" s="221">
        <v>346</v>
      </c>
      <c r="B13948" s="222">
        <v>46121</v>
      </c>
      <c r="C13948" s="223" t="s">
        <v>298</v>
      </c>
      <c r="D13948" s="223" t="s">
        <v>524</v>
      </c>
      <c r="E13948" s="223" t="s">
        <v>291</v>
      </c>
      <c r="F13948" s="223">
        <v>2026</v>
      </c>
      <c r="G13948" s="223">
        <v>2.5</v>
      </c>
      <c r="H13948" s="223" t="s">
        <v>115</v>
      </c>
      <c r="I13948" s="226" t="s">
        <v>437</v>
      </c>
      <c r="J13948" s="223" t="s">
        <v>438</v>
      </c>
      <c r="K13948" s="223" t="s">
        <v>101</v>
      </c>
      <c r="L13948" s="223" t="s">
        <v>580</v>
      </c>
      <c r="M13948" s="223">
        <v>2.5</v>
      </c>
      <c r="N13948" s="223"/>
      <c r="O13948" s="223" t="s">
        <v>164</v>
      </c>
      <c r="P13948" s="223"/>
      <c r="Q13948" s="224"/>
    </row>
    <row r="13949" spans="1:17">
      <c r="A13949" s="221">
        <v>347</v>
      </c>
      <c r="B13949" s="222">
        <v>46121</v>
      </c>
      <c r="C13949" s="223" t="s">
        <v>298</v>
      </c>
      <c r="D13949" s="223" t="s">
        <v>482</v>
      </c>
      <c r="E13949" s="223" t="s">
        <v>291</v>
      </c>
      <c r="F13949" s="223">
        <v>2026</v>
      </c>
      <c r="G13949" s="223">
        <v>2</v>
      </c>
      <c r="H13949" s="223" t="s">
        <v>132</v>
      </c>
      <c r="I13949" s="226" t="s">
        <v>133</v>
      </c>
      <c r="J13949" s="223" t="s">
        <v>360</v>
      </c>
      <c r="K13949" s="223" t="s">
        <v>135</v>
      </c>
      <c r="L13949" s="223" t="s">
        <v>579</v>
      </c>
      <c r="M13949" s="223">
        <v>2</v>
      </c>
      <c r="N13949" s="223"/>
      <c r="O13949" s="223" t="s">
        <v>63</v>
      </c>
      <c r="P13949" s="223"/>
      <c r="Q13949" s="224"/>
    </row>
    <row r="13950" spans="1:17">
      <c r="A13950" s="221">
        <v>348</v>
      </c>
      <c r="B13950" s="222">
        <v>46121</v>
      </c>
      <c r="C13950" s="223" t="s">
        <v>298</v>
      </c>
      <c r="D13950" s="223" t="s">
        <v>490</v>
      </c>
      <c r="E13950" s="223" t="s">
        <v>291</v>
      </c>
      <c r="F13950" s="223">
        <v>2026</v>
      </c>
      <c r="G13950" s="223">
        <v>2</v>
      </c>
      <c r="H13950" s="223" t="s">
        <v>99</v>
      </c>
      <c r="I13950" s="226" t="s">
        <v>108</v>
      </c>
      <c r="J13950" s="223" t="s">
        <v>366</v>
      </c>
      <c r="K13950" s="223" t="s">
        <v>101</v>
      </c>
      <c r="L13950" s="223" t="s">
        <v>576</v>
      </c>
      <c r="M13950" s="223">
        <v>2</v>
      </c>
      <c r="N13950" s="223"/>
      <c r="O13950" s="223" t="s">
        <v>109</v>
      </c>
      <c r="P13950" s="223"/>
      <c r="Q13950" s="224"/>
    </row>
    <row r="13951" spans="1:17">
      <c r="A13951" s="221">
        <v>349</v>
      </c>
      <c r="B13951" s="222">
        <v>46121</v>
      </c>
      <c r="C13951" s="223" t="s">
        <v>298</v>
      </c>
      <c r="D13951" s="223" t="s">
        <v>491</v>
      </c>
      <c r="E13951" s="223" t="s">
        <v>291</v>
      </c>
      <c r="F13951" s="223">
        <v>2026</v>
      </c>
      <c r="G13951" s="223">
        <v>2</v>
      </c>
      <c r="H13951" s="223" t="s">
        <v>99</v>
      </c>
      <c r="I13951" s="226" t="s">
        <v>108</v>
      </c>
      <c r="J13951" s="223" t="s">
        <v>366</v>
      </c>
      <c r="K13951" s="223" t="s">
        <v>104</v>
      </c>
      <c r="L13951" s="223" t="s">
        <v>576</v>
      </c>
      <c r="M13951" s="223">
        <v>2</v>
      </c>
      <c r="N13951" s="223"/>
      <c r="O13951" s="223" t="s">
        <v>109</v>
      </c>
      <c r="P13951" s="223"/>
      <c r="Q13951" s="224"/>
    </row>
    <row r="13952" spans="1:17" ht="45.75">
      <c r="A13952" s="221">
        <v>350</v>
      </c>
      <c r="B13952" s="222">
        <v>46121</v>
      </c>
      <c r="C13952" s="223" t="s">
        <v>298</v>
      </c>
      <c r="D13952" s="223" t="s">
        <v>532</v>
      </c>
      <c r="E13952" s="223" t="s">
        <v>291</v>
      </c>
      <c r="F13952" s="223">
        <v>2026</v>
      </c>
      <c r="G13952" s="223">
        <v>2.5</v>
      </c>
      <c r="H13952" s="223" t="s">
        <v>99</v>
      </c>
      <c r="I13952" s="226" t="s">
        <v>100</v>
      </c>
      <c r="J13952" s="223" t="s">
        <v>373</v>
      </c>
      <c r="K13952" s="223" t="s">
        <v>10</v>
      </c>
      <c r="L13952" s="226" t="s">
        <v>468</v>
      </c>
      <c r="M13952" s="223">
        <v>2.5</v>
      </c>
      <c r="N13952" s="223"/>
      <c r="O13952" s="223" t="s">
        <v>29</v>
      </c>
      <c r="P13952" s="223"/>
      <c r="Q13952" s="224"/>
    </row>
    <row r="13953" spans="1:17">
      <c r="A13953" s="221">
        <v>351</v>
      </c>
      <c r="B13953" s="222">
        <v>46121</v>
      </c>
      <c r="C13953" s="223" t="s">
        <v>298</v>
      </c>
      <c r="D13953" s="223" t="s">
        <v>395</v>
      </c>
      <c r="E13953" s="223" t="s">
        <v>291</v>
      </c>
      <c r="F13953" s="223">
        <v>2026</v>
      </c>
      <c r="G13953" s="223">
        <v>4</v>
      </c>
      <c r="H13953" s="223" t="s">
        <v>80</v>
      </c>
      <c r="I13953" s="226" t="s">
        <v>81</v>
      </c>
      <c r="J13953" s="223" t="s">
        <v>366</v>
      </c>
      <c r="K13953" s="223"/>
      <c r="L13953" s="223" t="s">
        <v>581</v>
      </c>
      <c r="M13953" s="223">
        <v>4</v>
      </c>
      <c r="N13953" s="223"/>
      <c r="O13953" s="223" t="s">
        <v>119</v>
      </c>
      <c r="P13953" s="223"/>
      <c r="Q13953" s="224"/>
    </row>
    <row r="13954" spans="1:17">
      <c r="A13954" s="221">
        <v>352</v>
      </c>
      <c r="B13954" s="222">
        <v>46121</v>
      </c>
      <c r="C13954" s="223" t="s">
        <v>298</v>
      </c>
      <c r="D13954" s="223" t="s">
        <v>451</v>
      </c>
      <c r="E13954" s="223" t="s">
        <v>291</v>
      </c>
      <c r="F13954" s="223">
        <v>2026</v>
      </c>
      <c r="G13954" s="223">
        <v>3</v>
      </c>
      <c r="H13954" s="223" t="s">
        <v>61</v>
      </c>
      <c r="I13954" s="226" t="s">
        <v>62</v>
      </c>
      <c r="J13954" s="223" t="s">
        <v>360</v>
      </c>
      <c r="K13954" s="223" t="s">
        <v>37</v>
      </c>
      <c r="L13954" s="223" t="s">
        <v>417</v>
      </c>
      <c r="M13954" s="223">
        <v>3</v>
      </c>
      <c r="N13954" s="223"/>
      <c r="O13954" s="223" t="s">
        <v>112</v>
      </c>
      <c r="P13954" s="223"/>
      <c r="Q13954" s="224"/>
    </row>
    <row r="13955" spans="1:17">
      <c r="A13955" s="221">
        <v>353</v>
      </c>
      <c r="B13955" s="222">
        <v>46121</v>
      </c>
      <c r="C13955" s="223" t="s">
        <v>298</v>
      </c>
      <c r="D13955" s="223" t="s">
        <v>452</v>
      </c>
      <c r="E13955" s="223" t="s">
        <v>291</v>
      </c>
      <c r="F13955" s="223">
        <v>2026</v>
      </c>
      <c r="G13955" s="223">
        <v>3</v>
      </c>
      <c r="H13955" s="223" t="s">
        <v>61</v>
      </c>
      <c r="I13955" s="226" t="s">
        <v>62</v>
      </c>
      <c r="J13955" s="223" t="s">
        <v>360</v>
      </c>
      <c r="K13955" s="223" t="s">
        <v>38</v>
      </c>
      <c r="L13955" s="223" t="s">
        <v>429</v>
      </c>
      <c r="M13955" s="223">
        <v>3</v>
      </c>
      <c r="N13955" s="223"/>
      <c r="O13955" s="223" t="s">
        <v>127</v>
      </c>
      <c r="P13955" s="223"/>
      <c r="Q13955" s="224"/>
    </row>
    <row r="13956" spans="1:17" ht="30.75">
      <c r="A13956" s="221">
        <v>354</v>
      </c>
      <c r="B13956" s="222">
        <v>46122</v>
      </c>
      <c r="C13956" s="223" t="s">
        <v>301</v>
      </c>
      <c r="D13956" s="223" t="s">
        <v>524</v>
      </c>
      <c r="E13956" s="223" t="s">
        <v>291</v>
      </c>
      <c r="F13956" s="223">
        <v>2026</v>
      </c>
      <c r="G13956" s="223">
        <v>2.5</v>
      </c>
      <c r="H13956" s="223" t="s">
        <v>115</v>
      </c>
      <c r="I13956" s="226" t="s">
        <v>437</v>
      </c>
      <c r="J13956" s="223" t="s">
        <v>438</v>
      </c>
      <c r="K13956" s="223" t="s">
        <v>101</v>
      </c>
      <c r="L13956" s="223" t="s">
        <v>585</v>
      </c>
      <c r="M13956" s="223">
        <v>2.5</v>
      </c>
      <c r="N13956" s="223"/>
      <c r="O13956" s="223" t="s">
        <v>164</v>
      </c>
      <c r="P13956" s="223"/>
      <c r="Q13956" s="224"/>
    </row>
    <row r="13957" spans="1:17">
      <c r="A13957" s="221">
        <v>355</v>
      </c>
      <c r="B13957" s="222">
        <v>46122</v>
      </c>
      <c r="C13957" s="223" t="s">
        <v>301</v>
      </c>
      <c r="D13957" s="223" t="s">
        <v>479</v>
      </c>
      <c r="E13957" s="223" t="s">
        <v>291</v>
      </c>
      <c r="F13957" s="223">
        <v>2026</v>
      </c>
      <c r="G13957" s="223">
        <v>3</v>
      </c>
      <c r="H13957" s="223" t="s">
        <v>461</v>
      </c>
      <c r="I13957" s="226" t="s">
        <v>142</v>
      </c>
      <c r="J13957" s="223" t="s">
        <v>462</v>
      </c>
      <c r="K13957" s="223" t="s">
        <v>10</v>
      </c>
      <c r="L13957" s="223" t="s">
        <v>582</v>
      </c>
      <c r="M13957" s="223">
        <v>3</v>
      </c>
      <c r="N13957" s="223"/>
      <c r="O13957" s="223" t="s">
        <v>102</v>
      </c>
      <c r="P13957" s="223"/>
      <c r="Q13957" s="224"/>
    </row>
    <row r="13958" spans="1:17">
      <c r="A13958" s="221">
        <v>356</v>
      </c>
      <c r="B13958" s="222">
        <v>46122</v>
      </c>
      <c r="C13958" s="223" t="s">
        <v>301</v>
      </c>
      <c r="D13958" s="223" t="s">
        <v>480</v>
      </c>
      <c r="E13958" s="223" t="s">
        <v>291</v>
      </c>
      <c r="F13958" s="223">
        <v>2026</v>
      </c>
      <c r="G13958" s="223">
        <v>3</v>
      </c>
      <c r="H13958" s="223" t="s">
        <v>132</v>
      </c>
      <c r="I13958" s="226" t="s">
        <v>133</v>
      </c>
      <c r="J13958" s="223" t="s">
        <v>360</v>
      </c>
      <c r="K13958" s="223" t="s">
        <v>106</v>
      </c>
      <c r="L13958" s="223" t="s">
        <v>583</v>
      </c>
      <c r="M13958" s="223">
        <v>3</v>
      </c>
      <c r="N13958" s="223"/>
      <c r="O13958" s="223" t="s">
        <v>127</v>
      </c>
      <c r="P13958" s="223"/>
      <c r="Q13958" s="224"/>
    </row>
    <row r="13959" spans="1:17">
      <c r="A13959" s="221">
        <v>357</v>
      </c>
      <c r="B13959" s="222">
        <v>46122</v>
      </c>
      <c r="C13959" s="223" t="s">
        <v>301</v>
      </c>
      <c r="D13959" s="223" t="s">
        <v>482</v>
      </c>
      <c r="E13959" s="223" t="s">
        <v>291</v>
      </c>
      <c r="F13959" s="223">
        <v>2026</v>
      </c>
      <c r="G13959" s="223">
        <v>2</v>
      </c>
      <c r="H13959" s="223" t="s">
        <v>132</v>
      </c>
      <c r="I13959" s="226" t="s">
        <v>133</v>
      </c>
      <c r="J13959" s="223" t="s">
        <v>360</v>
      </c>
      <c r="K13959" s="223" t="s">
        <v>135</v>
      </c>
      <c r="L13959" s="223" t="s">
        <v>552</v>
      </c>
      <c r="M13959" s="223">
        <v>2</v>
      </c>
      <c r="N13959" s="223"/>
      <c r="O13959" s="223" t="s">
        <v>63</v>
      </c>
      <c r="P13959" s="223"/>
      <c r="Q13959" s="224"/>
    </row>
    <row r="13960" spans="1:17">
      <c r="A13960" s="221">
        <v>358</v>
      </c>
      <c r="B13960" s="222">
        <v>46122</v>
      </c>
      <c r="C13960" s="223" t="s">
        <v>301</v>
      </c>
      <c r="D13960" s="223" t="s">
        <v>497</v>
      </c>
      <c r="E13960" s="223" t="s">
        <v>291</v>
      </c>
      <c r="F13960" s="223">
        <v>2026</v>
      </c>
      <c r="G13960" s="223" t="s">
        <v>498</v>
      </c>
      <c r="H13960" s="223" t="s">
        <v>57</v>
      </c>
      <c r="I13960" s="226" t="s">
        <v>454</v>
      </c>
      <c r="J13960" s="223" t="s">
        <v>311</v>
      </c>
      <c r="K13960" s="223"/>
      <c r="L13960" s="223" t="s">
        <v>584</v>
      </c>
      <c r="M13960" s="223" t="s">
        <v>498</v>
      </c>
      <c r="N13960" s="223"/>
      <c r="O13960" s="223" t="s">
        <v>12</v>
      </c>
      <c r="P13960" s="223" t="s">
        <v>60</v>
      </c>
      <c r="Q13960" s="224"/>
    </row>
    <row r="13961" spans="1:17">
      <c r="A13961" s="221"/>
      <c r="B13961" s="222">
        <v>46122</v>
      </c>
      <c r="C13961" s="223" t="s">
        <v>301</v>
      </c>
      <c r="D13961" s="223"/>
      <c r="E13961" s="223" t="s">
        <v>291</v>
      </c>
      <c r="F13961" s="223">
        <v>2026</v>
      </c>
      <c r="G13961" s="223"/>
      <c r="H13961" s="223" t="s">
        <v>99</v>
      </c>
      <c r="I13961" s="226" t="s">
        <v>108</v>
      </c>
      <c r="J13961" s="223" t="s">
        <v>366</v>
      </c>
      <c r="K13961" s="223" t="s">
        <v>101</v>
      </c>
      <c r="L13961" s="223" t="s">
        <v>391</v>
      </c>
      <c r="M13961" s="223"/>
      <c r="N13961" s="223"/>
      <c r="O13961" s="223"/>
      <c r="P13961" s="223"/>
      <c r="Q13961" s="224"/>
    </row>
    <row r="13962" spans="1:17">
      <c r="A13962" s="221">
        <v>359</v>
      </c>
      <c r="B13962" s="222">
        <v>46122</v>
      </c>
      <c r="C13962" s="223" t="s">
        <v>301</v>
      </c>
      <c r="D13962" s="223" t="s">
        <v>398</v>
      </c>
      <c r="E13962" s="223" t="s">
        <v>291</v>
      </c>
      <c r="F13962" s="223">
        <v>2026</v>
      </c>
      <c r="G13962" s="223">
        <v>2</v>
      </c>
      <c r="H13962" s="223" t="s">
        <v>57</v>
      </c>
      <c r="I13962" s="226" t="s">
        <v>74</v>
      </c>
      <c r="J13962" s="223" t="s">
        <v>373</v>
      </c>
      <c r="K13962" s="223"/>
      <c r="L13962" s="223" t="s">
        <v>586</v>
      </c>
      <c r="M13962" s="223">
        <v>2</v>
      </c>
      <c r="N13962" s="223"/>
      <c r="O13962" s="223" t="s">
        <v>66</v>
      </c>
      <c r="P13962" s="223"/>
      <c r="Q13962" s="224"/>
    </row>
    <row r="13963" spans="1:17">
      <c r="A13963" s="221">
        <v>360</v>
      </c>
      <c r="B13963" s="222">
        <v>46122</v>
      </c>
      <c r="C13963" s="223" t="s">
        <v>301</v>
      </c>
      <c r="D13963" s="223"/>
      <c r="E13963" s="223" t="s">
        <v>291</v>
      </c>
      <c r="F13963" s="223">
        <v>2026</v>
      </c>
      <c r="G13963" s="223">
        <v>2.5</v>
      </c>
      <c r="H13963" s="223" t="s">
        <v>363</v>
      </c>
      <c r="I13963" s="226"/>
      <c r="J13963" s="223" t="s">
        <v>311</v>
      </c>
      <c r="K13963" s="223" t="s">
        <v>101</v>
      </c>
      <c r="L13963" s="223" t="s">
        <v>587</v>
      </c>
      <c r="M13963" s="223"/>
      <c r="N13963" s="223"/>
      <c r="O13963" s="223" t="s">
        <v>401</v>
      </c>
      <c r="P13963" s="223"/>
      <c r="Q13963" s="224"/>
    </row>
    <row r="13964" spans="1:17">
      <c r="A13964" s="221">
        <v>361</v>
      </c>
      <c r="B13964" s="222">
        <v>46122</v>
      </c>
      <c r="C13964" s="223" t="s">
        <v>301</v>
      </c>
      <c r="D13964" s="223" t="s">
        <v>395</v>
      </c>
      <c r="E13964" s="223" t="s">
        <v>291</v>
      </c>
      <c r="F13964" s="223">
        <v>2026</v>
      </c>
      <c r="G13964" s="223">
        <v>4</v>
      </c>
      <c r="H13964" s="223" t="s">
        <v>80</v>
      </c>
      <c r="I13964" s="226" t="s">
        <v>81</v>
      </c>
      <c r="J13964" s="223" t="s">
        <v>366</v>
      </c>
      <c r="K13964" s="223"/>
      <c r="L13964" s="223" t="s">
        <v>588</v>
      </c>
      <c r="M13964" s="223">
        <v>4</v>
      </c>
      <c r="N13964" s="223"/>
      <c r="O13964" s="223" t="s">
        <v>119</v>
      </c>
      <c r="P13964" s="223"/>
      <c r="Q13964" s="224"/>
    </row>
    <row r="13965" spans="1:17">
      <c r="A13965" s="221">
        <v>362</v>
      </c>
      <c r="B13965" s="222">
        <v>46122</v>
      </c>
      <c r="C13965" s="223" t="s">
        <v>301</v>
      </c>
      <c r="D13965" s="223" t="s">
        <v>372</v>
      </c>
      <c r="E13965" s="223" t="s">
        <v>291</v>
      </c>
      <c r="F13965" s="223">
        <v>2026</v>
      </c>
      <c r="G13965" s="223">
        <v>2.5</v>
      </c>
      <c r="H13965" s="223" t="s">
        <v>57</v>
      </c>
      <c r="I13965" s="226" t="s">
        <v>58</v>
      </c>
      <c r="J13965" s="223" t="s">
        <v>373</v>
      </c>
      <c r="K13965" s="223"/>
      <c r="L13965" s="223" t="s">
        <v>589</v>
      </c>
      <c r="M13965" s="223">
        <v>2.5</v>
      </c>
      <c r="N13965" s="223"/>
      <c r="O13965" s="223" t="s">
        <v>559</v>
      </c>
      <c r="P13965" s="223"/>
      <c r="Q13965" s="224"/>
    </row>
    <row r="13966" spans="1:17">
      <c r="A13966" s="221">
        <v>363</v>
      </c>
      <c r="B13966" s="222">
        <v>46122</v>
      </c>
      <c r="C13966" s="223" t="s">
        <v>301</v>
      </c>
      <c r="D13966" s="223" t="s">
        <v>451</v>
      </c>
      <c r="E13966" s="223" t="s">
        <v>291</v>
      </c>
      <c r="F13966" s="223">
        <v>2026</v>
      </c>
      <c r="G13966" s="223">
        <v>3</v>
      </c>
      <c r="H13966" s="223" t="s">
        <v>61</v>
      </c>
      <c r="I13966" s="226" t="s">
        <v>62</v>
      </c>
      <c r="J13966" s="223" t="s">
        <v>360</v>
      </c>
      <c r="K13966" s="223" t="s">
        <v>37</v>
      </c>
      <c r="L13966" s="223" t="s">
        <v>436</v>
      </c>
      <c r="M13966" s="223">
        <v>3</v>
      </c>
      <c r="N13966" s="223"/>
      <c r="O13966" s="223" t="s">
        <v>112</v>
      </c>
      <c r="P13966" s="223"/>
      <c r="Q13966" s="224"/>
    </row>
    <row r="13967" spans="1:17">
      <c r="A13967" s="221">
        <v>364</v>
      </c>
      <c r="B13967" s="222">
        <v>46122</v>
      </c>
      <c r="C13967" s="223" t="s">
        <v>301</v>
      </c>
      <c r="D13967" s="223" t="s">
        <v>452</v>
      </c>
      <c r="E13967" s="223" t="s">
        <v>291</v>
      </c>
      <c r="F13967" s="223">
        <v>2026</v>
      </c>
      <c r="G13967" s="223">
        <v>3</v>
      </c>
      <c r="H13967" s="223" t="s">
        <v>61</v>
      </c>
      <c r="I13967" s="226" t="s">
        <v>62</v>
      </c>
      <c r="J13967" s="223" t="s">
        <v>360</v>
      </c>
      <c r="K13967" s="223" t="s">
        <v>38</v>
      </c>
      <c r="L13967" s="223" t="s">
        <v>436</v>
      </c>
      <c r="M13967" s="223">
        <v>3</v>
      </c>
      <c r="N13967" s="223"/>
      <c r="O13967" s="223" t="s">
        <v>127</v>
      </c>
      <c r="P13967" s="223"/>
      <c r="Q13967" s="224"/>
    </row>
    <row r="13968" spans="1:17">
      <c r="A13968" s="221">
        <v>365</v>
      </c>
      <c r="B13968" s="222">
        <v>46125</v>
      </c>
      <c r="C13968" s="223" t="s">
        <v>302</v>
      </c>
      <c r="D13968" s="223" t="s">
        <v>520</v>
      </c>
      <c r="E13968" s="223" t="s">
        <v>291</v>
      </c>
      <c r="F13968" s="223">
        <v>2026</v>
      </c>
      <c r="G13968" s="223">
        <v>3</v>
      </c>
      <c r="H13968" s="223" t="s">
        <v>57</v>
      </c>
      <c r="I13968" s="226" t="s">
        <v>89</v>
      </c>
      <c r="J13968" s="223" t="s">
        <v>311</v>
      </c>
      <c r="K13968" s="223" t="s">
        <v>90</v>
      </c>
      <c r="L13968" s="223" t="s">
        <v>590</v>
      </c>
      <c r="M13968" s="223">
        <v>3</v>
      </c>
      <c r="N13968" s="223"/>
      <c r="O13968" s="223" t="s">
        <v>91</v>
      </c>
      <c r="P13968" s="223"/>
      <c r="Q13968" s="224"/>
    </row>
    <row r="13969" spans="1:17">
      <c r="A13969" s="221">
        <v>366</v>
      </c>
      <c r="B13969" s="222">
        <v>46125</v>
      </c>
      <c r="C13969" s="223" t="s">
        <v>302</v>
      </c>
      <c r="D13969" s="223" t="s">
        <v>477</v>
      </c>
      <c r="E13969" s="223" t="s">
        <v>291</v>
      </c>
      <c r="F13969" s="223">
        <v>2026</v>
      </c>
      <c r="G13969" s="223">
        <v>3</v>
      </c>
      <c r="H13969" s="223" t="s">
        <v>461</v>
      </c>
      <c r="I13969" s="226" t="s">
        <v>136</v>
      </c>
      <c r="J13969" s="223" t="s">
        <v>462</v>
      </c>
      <c r="K13969" s="223" t="s">
        <v>101</v>
      </c>
      <c r="L13969" s="223" t="s">
        <v>591</v>
      </c>
      <c r="M13969" s="223">
        <v>3</v>
      </c>
      <c r="N13969" s="223"/>
      <c r="O13969" s="223" t="s">
        <v>140</v>
      </c>
      <c r="P13969" s="223"/>
      <c r="Q13969" s="224"/>
    </row>
    <row r="13970" spans="1:17">
      <c r="A13970" s="221">
        <v>367</v>
      </c>
      <c r="B13970" s="222">
        <v>46125</v>
      </c>
      <c r="C13970" s="223" t="s">
        <v>302</v>
      </c>
      <c r="D13970" s="223" t="s">
        <v>479</v>
      </c>
      <c r="E13970" s="223" t="s">
        <v>291</v>
      </c>
      <c r="F13970" s="223">
        <v>2026</v>
      </c>
      <c r="G13970" s="223">
        <v>3</v>
      </c>
      <c r="H13970" s="223" t="s">
        <v>461</v>
      </c>
      <c r="I13970" s="226" t="s">
        <v>136</v>
      </c>
      <c r="J13970" s="223" t="s">
        <v>462</v>
      </c>
      <c r="K13970" s="223" t="s">
        <v>10</v>
      </c>
      <c r="L13970" s="223" t="s">
        <v>591</v>
      </c>
      <c r="M13970" s="223">
        <v>3</v>
      </c>
      <c r="N13970" s="223"/>
      <c r="O13970" s="223" t="s">
        <v>140</v>
      </c>
      <c r="P13970" s="223"/>
      <c r="Q13970" s="224"/>
    </row>
    <row r="13971" spans="1:17">
      <c r="A13971" s="221">
        <v>368</v>
      </c>
      <c r="B13971" s="222">
        <v>46125</v>
      </c>
      <c r="C13971" s="223" t="s">
        <v>302</v>
      </c>
      <c r="D13971" s="223" t="s">
        <v>477</v>
      </c>
      <c r="E13971" s="223" t="s">
        <v>291</v>
      </c>
      <c r="F13971" s="223">
        <v>2026</v>
      </c>
      <c r="G13971" s="223">
        <v>3</v>
      </c>
      <c r="H13971" s="223" t="s">
        <v>461</v>
      </c>
      <c r="I13971" s="226" t="s">
        <v>142</v>
      </c>
      <c r="J13971" s="223" t="s">
        <v>462</v>
      </c>
      <c r="K13971" s="223" t="s">
        <v>101</v>
      </c>
      <c r="L13971" s="223" t="s">
        <v>582</v>
      </c>
      <c r="M13971" s="223">
        <v>3</v>
      </c>
      <c r="N13971" s="223"/>
      <c r="O13971" s="223" t="s">
        <v>179</v>
      </c>
      <c r="P13971" s="223"/>
      <c r="Q13971" s="224"/>
    </row>
    <row r="13972" spans="1:17">
      <c r="A13972" s="221">
        <v>369</v>
      </c>
      <c r="B13972" s="222">
        <v>46125</v>
      </c>
      <c r="C13972" s="223" t="s">
        <v>302</v>
      </c>
      <c r="D13972" s="223" t="s">
        <v>592</v>
      </c>
      <c r="E13972" s="223" t="s">
        <v>291</v>
      </c>
      <c r="F13972" s="223">
        <v>2026</v>
      </c>
      <c r="G13972" s="223">
        <v>2</v>
      </c>
      <c r="H13972" s="223" t="s">
        <v>132</v>
      </c>
      <c r="I13972" s="226" t="s">
        <v>133</v>
      </c>
      <c r="J13972" s="223" t="s">
        <v>360</v>
      </c>
      <c r="K13972" s="223" t="s">
        <v>106</v>
      </c>
      <c r="L13972" s="223" t="s">
        <v>593</v>
      </c>
      <c r="M13972" s="223">
        <v>2</v>
      </c>
      <c r="N13972" s="223"/>
      <c r="O13972" s="223" t="s">
        <v>127</v>
      </c>
      <c r="P13972" s="223"/>
      <c r="Q13972" s="224"/>
    </row>
    <row r="13973" spans="1:17">
      <c r="A13973" s="221">
        <v>370</v>
      </c>
      <c r="B13973" s="222">
        <v>46125</v>
      </c>
      <c r="C13973" s="223" t="s">
        <v>302</v>
      </c>
      <c r="D13973" s="223" t="s">
        <v>482</v>
      </c>
      <c r="E13973" s="223" t="s">
        <v>291</v>
      </c>
      <c r="F13973" s="223">
        <v>2026</v>
      </c>
      <c r="G13973" s="223">
        <v>2</v>
      </c>
      <c r="H13973" s="223" t="s">
        <v>132</v>
      </c>
      <c r="I13973" s="226" t="s">
        <v>133</v>
      </c>
      <c r="J13973" s="223" t="s">
        <v>360</v>
      </c>
      <c r="K13973" s="223" t="s">
        <v>135</v>
      </c>
      <c r="L13973" s="223" t="s">
        <v>560</v>
      </c>
      <c r="M13973" s="223">
        <v>2</v>
      </c>
      <c r="N13973" s="223"/>
      <c r="O13973" s="223" t="s">
        <v>63</v>
      </c>
      <c r="P13973" s="223"/>
      <c r="Q13973" s="224"/>
    </row>
    <row r="13974" spans="1:17">
      <c r="A13974" s="221"/>
      <c r="B13974" s="222">
        <v>46125</v>
      </c>
      <c r="C13974" s="223" t="s">
        <v>302</v>
      </c>
      <c r="D13974" s="223"/>
      <c r="E13974" s="223" t="s">
        <v>291</v>
      </c>
      <c r="F13974" s="223">
        <v>2026</v>
      </c>
      <c r="G13974" s="223"/>
      <c r="H13974" s="223" t="s">
        <v>99</v>
      </c>
      <c r="I13974" s="226" t="s">
        <v>108</v>
      </c>
      <c r="J13974" s="223" t="s">
        <v>366</v>
      </c>
      <c r="K13974" s="223" t="s">
        <v>10</v>
      </c>
      <c r="L13974" s="223" t="s">
        <v>594</v>
      </c>
      <c r="M13974" s="223"/>
      <c r="N13974" s="223"/>
      <c r="O13974" s="223"/>
      <c r="P13974" s="223"/>
      <c r="Q13974" s="224"/>
    </row>
    <row r="13975" spans="1:17">
      <c r="A13975" s="221">
        <v>371</v>
      </c>
      <c r="B13975" s="222">
        <v>46125</v>
      </c>
      <c r="C13975" s="223" t="s">
        <v>302</v>
      </c>
      <c r="D13975" s="223" t="s">
        <v>372</v>
      </c>
      <c r="E13975" s="223" t="s">
        <v>291</v>
      </c>
      <c r="F13975" s="223">
        <v>2026</v>
      </c>
      <c r="G13975" s="223">
        <v>2.5</v>
      </c>
      <c r="H13975" s="223" t="s">
        <v>57</v>
      </c>
      <c r="I13975" s="226" t="s">
        <v>58</v>
      </c>
      <c r="J13975" s="223" t="s">
        <v>373</v>
      </c>
      <c r="K13975" s="223"/>
      <c r="L13975" s="223" t="s">
        <v>595</v>
      </c>
      <c r="M13975" s="223">
        <v>2.5</v>
      </c>
      <c r="N13975" s="223"/>
      <c r="O13975" s="223" t="s">
        <v>70</v>
      </c>
      <c r="P13975" s="223"/>
      <c r="Q13975" s="224"/>
    </row>
    <row r="13976" spans="1:17">
      <c r="A13976" s="221">
        <v>372</v>
      </c>
      <c r="B13976" s="222">
        <v>46125</v>
      </c>
      <c r="C13976" s="223" t="s">
        <v>302</v>
      </c>
      <c r="D13976" s="223" t="s">
        <v>451</v>
      </c>
      <c r="E13976" s="223" t="s">
        <v>291</v>
      </c>
      <c r="F13976" s="223">
        <v>2026</v>
      </c>
      <c r="G13976" s="223">
        <v>3</v>
      </c>
      <c r="H13976" s="223" t="s">
        <v>61</v>
      </c>
      <c r="I13976" s="226" t="s">
        <v>62</v>
      </c>
      <c r="J13976" s="223" t="s">
        <v>360</v>
      </c>
      <c r="K13976" s="223" t="s">
        <v>37</v>
      </c>
      <c r="L13976" s="223" t="s">
        <v>443</v>
      </c>
      <c r="M13976" s="223">
        <v>3</v>
      </c>
      <c r="N13976" s="223"/>
      <c r="O13976" s="223" t="s">
        <v>112</v>
      </c>
      <c r="P13976" s="223"/>
      <c r="Q13976" s="224"/>
    </row>
    <row r="13977" spans="1:17">
      <c r="A13977" s="221">
        <v>373</v>
      </c>
      <c r="B13977" s="222">
        <v>46125</v>
      </c>
      <c r="C13977" s="223" t="s">
        <v>302</v>
      </c>
      <c r="D13977" s="223" t="s">
        <v>452</v>
      </c>
      <c r="E13977" s="223" t="s">
        <v>291</v>
      </c>
      <c r="F13977" s="223">
        <v>2026</v>
      </c>
      <c r="G13977" s="223">
        <v>3</v>
      </c>
      <c r="H13977" s="223" t="s">
        <v>61</v>
      </c>
      <c r="I13977" s="226" t="s">
        <v>62</v>
      </c>
      <c r="J13977" s="223" t="s">
        <v>360</v>
      </c>
      <c r="K13977" s="223" t="s">
        <v>38</v>
      </c>
      <c r="L13977" s="223" t="s">
        <v>443</v>
      </c>
      <c r="M13977" s="223">
        <v>3</v>
      </c>
      <c r="N13977" s="223"/>
      <c r="O13977" s="223" t="s">
        <v>127</v>
      </c>
      <c r="P13977" s="223"/>
      <c r="Q13977" s="224"/>
    </row>
    <row r="13978" spans="1:17">
      <c r="A13978" s="221">
        <v>374</v>
      </c>
      <c r="B13978" s="222">
        <v>46126</v>
      </c>
      <c r="C13978" s="223" t="s">
        <v>289</v>
      </c>
      <c r="D13978" s="223" t="s">
        <v>483</v>
      </c>
      <c r="E13978" s="223" t="s">
        <v>291</v>
      </c>
      <c r="F13978" s="223">
        <v>2026</v>
      </c>
      <c r="G13978" s="223">
        <v>2</v>
      </c>
      <c r="H13978" s="223" t="s">
        <v>99</v>
      </c>
      <c r="I13978" s="226" t="s">
        <v>108</v>
      </c>
      <c r="J13978" s="223" t="s">
        <v>366</v>
      </c>
      <c r="K13978" s="223" t="s">
        <v>10</v>
      </c>
      <c r="L13978" s="223" t="s">
        <v>596</v>
      </c>
      <c r="M13978" s="223">
        <v>2</v>
      </c>
      <c r="N13978" s="223"/>
      <c r="O13978" s="223" t="s">
        <v>63</v>
      </c>
      <c r="P13978" s="223"/>
      <c r="Q13978" s="224"/>
    </row>
    <row r="13979" spans="1:17">
      <c r="A13979" s="221">
        <v>375</v>
      </c>
      <c r="B13979" s="222">
        <v>46126</v>
      </c>
      <c r="C13979" s="223" t="s">
        <v>289</v>
      </c>
      <c r="D13979" s="223" t="s">
        <v>491</v>
      </c>
      <c r="E13979" s="223" t="s">
        <v>291</v>
      </c>
      <c r="F13979" s="223">
        <v>2026</v>
      </c>
      <c r="G13979" s="223">
        <v>2</v>
      </c>
      <c r="H13979" s="223" t="s">
        <v>99</v>
      </c>
      <c r="I13979" s="226" t="s">
        <v>108</v>
      </c>
      <c r="J13979" s="223" t="s">
        <v>366</v>
      </c>
      <c r="K13979" s="223" t="s">
        <v>104</v>
      </c>
      <c r="L13979" s="223" t="s">
        <v>596</v>
      </c>
      <c r="M13979" s="223">
        <v>2</v>
      </c>
      <c r="N13979" s="223"/>
      <c r="O13979" s="223" t="s">
        <v>109</v>
      </c>
      <c r="P13979" s="223"/>
      <c r="Q13979" s="224"/>
    </row>
    <row r="13980" spans="1:17">
      <c r="A13980" s="221">
        <v>376</v>
      </c>
      <c r="B13980" s="222">
        <v>46126</v>
      </c>
      <c r="C13980" s="223" t="s">
        <v>289</v>
      </c>
      <c r="D13980" s="223" t="s">
        <v>491</v>
      </c>
      <c r="E13980" s="223" t="s">
        <v>291</v>
      </c>
      <c r="F13980" s="223">
        <v>2026</v>
      </c>
      <c r="G13980" s="223">
        <v>2.5</v>
      </c>
      <c r="H13980" s="223" t="s">
        <v>99</v>
      </c>
      <c r="I13980" s="226" t="s">
        <v>108</v>
      </c>
      <c r="J13980" s="223" t="s">
        <v>366</v>
      </c>
      <c r="K13980" s="223" t="s">
        <v>106</v>
      </c>
      <c r="L13980" s="223" t="s">
        <v>576</v>
      </c>
      <c r="M13980" s="223">
        <v>2.5</v>
      </c>
      <c r="N13980" s="223"/>
      <c r="O13980" s="223" t="s">
        <v>112</v>
      </c>
      <c r="P13980" s="223"/>
      <c r="Q13980" s="224"/>
    </row>
    <row r="13981" spans="1:17">
      <c r="A13981" s="221">
        <v>377</v>
      </c>
      <c r="B13981" s="222">
        <v>46126</v>
      </c>
      <c r="C13981" s="223" t="s">
        <v>289</v>
      </c>
      <c r="D13981" s="223" t="s">
        <v>451</v>
      </c>
      <c r="E13981" s="223" t="s">
        <v>291</v>
      </c>
      <c r="F13981" s="223">
        <v>2026</v>
      </c>
      <c r="G13981" s="223">
        <v>3</v>
      </c>
      <c r="H13981" s="223" t="s">
        <v>61</v>
      </c>
      <c r="I13981" s="226" t="s">
        <v>62</v>
      </c>
      <c r="J13981" s="223" t="s">
        <v>360</v>
      </c>
      <c r="K13981" s="223" t="s">
        <v>37</v>
      </c>
      <c r="L13981" s="223" t="s">
        <v>450</v>
      </c>
      <c r="M13981" s="223">
        <v>3</v>
      </c>
      <c r="N13981" s="223"/>
      <c r="O13981" s="223" t="s">
        <v>112</v>
      </c>
      <c r="P13981" s="223"/>
      <c r="Q13981" s="224"/>
    </row>
    <row r="13982" spans="1:17">
      <c r="A13982" s="221">
        <v>378</v>
      </c>
      <c r="B13982" s="222">
        <v>46126</v>
      </c>
      <c r="C13982" s="223" t="s">
        <v>289</v>
      </c>
      <c r="D13982" s="223" t="s">
        <v>452</v>
      </c>
      <c r="E13982" s="223" t="s">
        <v>291</v>
      </c>
      <c r="F13982" s="223">
        <v>2026</v>
      </c>
      <c r="G13982" s="223">
        <v>3</v>
      </c>
      <c r="H13982" s="223" t="s">
        <v>61</v>
      </c>
      <c r="I13982" s="226" t="s">
        <v>62</v>
      </c>
      <c r="J13982" s="223" t="s">
        <v>360</v>
      </c>
      <c r="K13982" s="223" t="s">
        <v>38</v>
      </c>
      <c r="L13982" s="223" t="s">
        <v>450</v>
      </c>
      <c r="M13982" s="223">
        <v>3</v>
      </c>
      <c r="N13982" s="223"/>
      <c r="O13982" s="223" t="s">
        <v>127</v>
      </c>
      <c r="P13982" s="223"/>
      <c r="Q13982" s="224"/>
    </row>
    <row r="13983" spans="1:17">
      <c r="A13983" s="221">
        <v>379</v>
      </c>
      <c r="B13983" s="222">
        <v>46127</v>
      </c>
      <c r="C13983" s="223" t="s">
        <v>294</v>
      </c>
      <c r="D13983" s="223" t="s">
        <v>497</v>
      </c>
      <c r="E13983" s="223" t="s">
        <v>291</v>
      </c>
      <c r="F13983" s="223">
        <v>2026</v>
      </c>
      <c r="G13983" s="223" t="s">
        <v>498</v>
      </c>
      <c r="H13983" s="223" t="s">
        <v>57</v>
      </c>
      <c r="I13983" s="226" t="s">
        <v>454</v>
      </c>
      <c r="J13983" s="223" t="s">
        <v>311</v>
      </c>
      <c r="K13983" s="223"/>
      <c r="L13983" s="223" t="s">
        <v>597</v>
      </c>
      <c r="M13983" s="223" t="s">
        <v>498</v>
      </c>
      <c r="N13983" s="223"/>
      <c r="O13983" s="223" t="s">
        <v>516</v>
      </c>
      <c r="P13983" s="223"/>
      <c r="Q13983" s="224"/>
    </row>
    <row r="13984" spans="1:17">
      <c r="A13984" s="221">
        <v>380</v>
      </c>
      <c r="B13984" s="222">
        <v>46127</v>
      </c>
      <c r="C13984" s="223" t="s">
        <v>294</v>
      </c>
      <c r="D13984" s="223" t="s">
        <v>483</v>
      </c>
      <c r="E13984" s="223" t="s">
        <v>291</v>
      </c>
      <c r="F13984" s="223">
        <v>2026</v>
      </c>
      <c r="G13984" s="223">
        <v>2</v>
      </c>
      <c r="H13984" s="223" t="s">
        <v>99</v>
      </c>
      <c r="I13984" s="226" t="s">
        <v>108</v>
      </c>
      <c r="J13984" s="223" t="s">
        <v>366</v>
      </c>
      <c r="K13984" s="223" t="s">
        <v>10</v>
      </c>
      <c r="L13984" s="223" t="s">
        <v>598</v>
      </c>
      <c r="M13984" s="223">
        <v>2</v>
      </c>
      <c r="N13984" s="223"/>
      <c r="O13984" s="223" t="s">
        <v>63</v>
      </c>
      <c r="P13984" s="223"/>
      <c r="Q13984" s="224"/>
    </row>
    <row r="13985" spans="1:17">
      <c r="A13985" s="221">
        <v>381</v>
      </c>
      <c r="B13985" s="222">
        <v>46127</v>
      </c>
      <c r="C13985" s="223" t="s">
        <v>294</v>
      </c>
      <c r="D13985" s="223" t="s">
        <v>599</v>
      </c>
      <c r="E13985" s="223" t="s">
        <v>291</v>
      </c>
      <c r="F13985" s="223">
        <v>2026</v>
      </c>
      <c r="G13985" s="223">
        <v>5</v>
      </c>
      <c r="H13985" s="223" t="s">
        <v>80</v>
      </c>
      <c r="I13985" s="226" t="s">
        <v>81</v>
      </c>
      <c r="J13985" s="223" t="s">
        <v>366</v>
      </c>
      <c r="K13985" s="223"/>
      <c r="L13985" s="223" t="s">
        <v>600</v>
      </c>
      <c r="M13985" s="223">
        <v>5</v>
      </c>
      <c r="N13985" s="223"/>
      <c r="O13985" s="223" t="s">
        <v>12</v>
      </c>
      <c r="P13985" s="223"/>
      <c r="Q13985" s="224"/>
    </row>
    <row r="13986" spans="1:17">
      <c r="A13986" s="221">
        <v>382</v>
      </c>
      <c r="B13986" s="222">
        <v>46127</v>
      </c>
      <c r="C13986" s="223" t="s">
        <v>294</v>
      </c>
      <c r="D13986" s="223" t="s">
        <v>451</v>
      </c>
      <c r="E13986" s="223" t="s">
        <v>291</v>
      </c>
      <c r="F13986" s="223">
        <v>2026</v>
      </c>
      <c r="G13986" s="223">
        <v>3</v>
      </c>
      <c r="H13986" s="223" t="s">
        <v>61</v>
      </c>
      <c r="I13986" s="226" t="s">
        <v>62</v>
      </c>
      <c r="J13986" s="223" t="s">
        <v>360</v>
      </c>
      <c r="K13986" s="223" t="s">
        <v>37</v>
      </c>
      <c r="L13986" s="223" t="s">
        <v>459</v>
      </c>
      <c r="M13986" s="223">
        <v>3</v>
      </c>
      <c r="N13986" s="223"/>
      <c r="O13986" s="223" t="s">
        <v>112</v>
      </c>
      <c r="P13986" s="223"/>
      <c r="Q13986" s="224"/>
    </row>
    <row r="13987" spans="1:17">
      <c r="A13987" s="221">
        <v>383</v>
      </c>
      <c r="B13987" s="222">
        <v>46127</v>
      </c>
      <c r="C13987" s="223" t="s">
        <v>294</v>
      </c>
      <c r="D13987" s="223" t="s">
        <v>452</v>
      </c>
      <c r="E13987" s="223" t="s">
        <v>291</v>
      </c>
      <c r="F13987" s="223">
        <v>2026</v>
      </c>
      <c r="G13987" s="223">
        <v>3</v>
      </c>
      <c r="H13987" s="223" t="s">
        <v>61</v>
      </c>
      <c r="I13987" s="226" t="s">
        <v>62</v>
      </c>
      <c r="J13987" s="223" t="s">
        <v>360</v>
      </c>
      <c r="K13987" s="223" t="s">
        <v>38</v>
      </c>
      <c r="L13987" s="223" t="s">
        <v>459</v>
      </c>
      <c r="M13987" s="223">
        <v>3</v>
      </c>
      <c r="N13987" s="223"/>
      <c r="O13987" s="223" t="s">
        <v>127</v>
      </c>
      <c r="P13987" s="223"/>
      <c r="Q13987" s="224"/>
    </row>
    <row r="13988" spans="1:17">
      <c r="A13988" s="221">
        <v>384</v>
      </c>
      <c r="B13988" s="222">
        <v>46128</v>
      </c>
      <c r="C13988" s="223" t="s">
        <v>298</v>
      </c>
      <c r="D13988" s="223"/>
      <c r="E13988" s="223" t="s">
        <v>291</v>
      </c>
      <c r="F13988" s="223">
        <v>2026</v>
      </c>
      <c r="G13988" s="223">
        <v>8</v>
      </c>
      <c r="H13988" s="223" t="s">
        <v>76</v>
      </c>
      <c r="I13988" s="226" t="s">
        <v>158</v>
      </c>
      <c r="J13988" s="223" t="s">
        <v>366</v>
      </c>
      <c r="K13988" s="223" t="s">
        <v>101</v>
      </c>
      <c r="L13988" s="223" t="s">
        <v>601</v>
      </c>
      <c r="M13988" s="223">
        <v>8</v>
      </c>
      <c r="N13988" s="223"/>
      <c r="O13988" s="223" t="s">
        <v>159</v>
      </c>
      <c r="P13988" s="223"/>
      <c r="Q13988" s="224"/>
    </row>
    <row r="13989" spans="1:17" ht="30.75">
      <c r="A13989" s="221">
        <v>385</v>
      </c>
      <c r="B13989" s="222">
        <v>46128</v>
      </c>
      <c r="C13989" s="223" t="s">
        <v>298</v>
      </c>
      <c r="D13989" s="223" t="s">
        <v>524</v>
      </c>
      <c r="E13989" s="223" t="s">
        <v>291</v>
      </c>
      <c r="F13989" s="223">
        <v>2026</v>
      </c>
      <c r="G13989" s="223">
        <v>2.5</v>
      </c>
      <c r="H13989" s="223" t="s">
        <v>115</v>
      </c>
      <c r="I13989" s="226" t="s">
        <v>437</v>
      </c>
      <c r="J13989" s="223" t="s">
        <v>438</v>
      </c>
      <c r="K13989" s="223" t="s">
        <v>101</v>
      </c>
      <c r="L13989" s="223" t="s">
        <v>605</v>
      </c>
      <c r="M13989" s="223">
        <v>2.5</v>
      </c>
      <c r="N13989" s="223"/>
      <c r="O13989" s="223" t="s">
        <v>164</v>
      </c>
      <c r="P13989" s="223"/>
      <c r="Q13989" s="224"/>
    </row>
    <row r="13990" spans="1:17">
      <c r="A13990" s="221">
        <v>386</v>
      </c>
      <c r="B13990" s="222">
        <v>46128</v>
      </c>
      <c r="C13990" s="223" t="s">
        <v>298</v>
      </c>
      <c r="D13990" s="223" t="s">
        <v>520</v>
      </c>
      <c r="E13990" s="223" t="s">
        <v>291</v>
      </c>
      <c r="F13990" s="223">
        <v>2026</v>
      </c>
      <c r="G13990" s="223">
        <v>3</v>
      </c>
      <c r="H13990" s="223" t="s">
        <v>57</v>
      </c>
      <c r="I13990" s="226" t="s">
        <v>89</v>
      </c>
      <c r="J13990" s="223" t="s">
        <v>311</v>
      </c>
      <c r="K13990" s="223" t="s">
        <v>90</v>
      </c>
      <c r="L13990" s="223" t="s">
        <v>602</v>
      </c>
      <c r="M13990" s="223">
        <v>3</v>
      </c>
      <c r="N13990" s="223"/>
      <c r="O13990" s="223" t="s">
        <v>91</v>
      </c>
      <c r="P13990" s="223"/>
      <c r="Q13990" s="224"/>
    </row>
    <row r="13991" spans="1:17">
      <c r="A13991" s="221">
        <v>387</v>
      </c>
      <c r="B13991" s="222">
        <v>46128</v>
      </c>
      <c r="C13991" s="223" t="s">
        <v>298</v>
      </c>
      <c r="D13991" s="223" t="s">
        <v>477</v>
      </c>
      <c r="E13991" s="223" t="s">
        <v>291</v>
      </c>
      <c r="F13991" s="223">
        <v>2026</v>
      </c>
      <c r="G13991" s="223">
        <v>3</v>
      </c>
      <c r="H13991" s="223" t="s">
        <v>461</v>
      </c>
      <c r="I13991" s="226" t="s">
        <v>142</v>
      </c>
      <c r="J13991" s="223" t="s">
        <v>462</v>
      </c>
      <c r="K13991" s="223" t="s">
        <v>101</v>
      </c>
      <c r="L13991" s="223" t="s">
        <v>603</v>
      </c>
      <c r="M13991" s="223">
        <v>3</v>
      </c>
      <c r="N13991" s="223"/>
      <c r="O13991" s="223" t="s">
        <v>179</v>
      </c>
      <c r="P13991" s="223"/>
      <c r="Q13991" s="224"/>
    </row>
    <row r="13992" spans="1:17">
      <c r="A13992" s="221">
        <v>388</v>
      </c>
      <c r="B13992" s="222">
        <v>46128</v>
      </c>
      <c r="C13992" s="223" t="s">
        <v>298</v>
      </c>
      <c r="D13992" s="223" t="s">
        <v>479</v>
      </c>
      <c r="E13992" s="223" t="s">
        <v>291</v>
      </c>
      <c r="F13992" s="223">
        <v>2026</v>
      </c>
      <c r="G13992" s="223">
        <v>3</v>
      </c>
      <c r="H13992" s="223" t="s">
        <v>461</v>
      </c>
      <c r="I13992" s="226" t="s">
        <v>142</v>
      </c>
      <c r="J13992" s="223" t="s">
        <v>462</v>
      </c>
      <c r="K13992" s="223" t="s">
        <v>10</v>
      </c>
      <c r="L13992" s="223" t="s">
        <v>603</v>
      </c>
      <c r="M13992" s="223">
        <v>3</v>
      </c>
      <c r="N13992" s="223"/>
      <c r="O13992" s="223" t="s">
        <v>102</v>
      </c>
      <c r="P13992" s="223"/>
      <c r="Q13992" s="224"/>
    </row>
    <row r="13993" spans="1:17">
      <c r="A13993" s="221">
        <v>389</v>
      </c>
      <c r="B13993" s="222">
        <v>46128</v>
      </c>
      <c r="C13993" s="223" t="s">
        <v>298</v>
      </c>
      <c r="D13993" s="223" t="s">
        <v>480</v>
      </c>
      <c r="E13993" s="223" t="s">
        <v>291</v>
      </c>
      <c r="F13993" s="223">
        <v>2026</v>
      </c>
      <c r="G13993" s="223">
        <v>3</v>
      </c>
      <c r="H13993" s="223" t="s">
        <v>132</v>
      </c>
      <c r="I13993" s="226" t="s">
        <v>133</v>
      </c>
      <c r="J13993" s="223" t="s">
        <v>360</v>
      </c>
      <c r="K13993" s="223" t="s">
        <v>106</v>
      </c>
      <c r="L13993" s="223" t="s">
        <v>604</v>
      </c>
      <c r="M13993" s="223">
        <v>3</v>
      </c>
      <c r="N13993" s="223"/>
      <c r="O13993" s="223" t="s">
        <v>127</v>
      </c>
      <c r="P13993" s="223"/>
      <c r="Q13993" s="224"/>
    </row>
    <row r="13994" spans="1:17">
      <c r="A13994" s="221">
        <v>390</v>
      </c>
      <c r="B13994" s="222">
        <v>46128</v>
      </c>
      <c r="C13994" s="223" t="s">
        <v>298</v>
      </c>
      <c r="D13994" s="223" t="s">
        <v>482</v>
      </c>
      <c r="E13994" s="223" t="s">
        <v>291</v>
      </c>
      <c r="F13994" s="223">
        <v>2026</v>
      </c>
      <c r="G13994" s="223">
        <v>2</v>
      </c>
      <c r="H13994" s="223" t="s">
        <v>132</v>
      </c>
      <c r="I13994" s="226" t="s">
        <v>133</v>
      </c>
      <c r="J13994" s="223" t="s">
        <v>360</v>
      </c>
      <c r="K13994" s="223" t="s">
        <v>135</v>
      </c>
      <c r="L13994" s="223" t="s">
        <v>564</v>
      </c>
      <c r="M13994" s="223">
        <v>2</v>
      </c>
      <c r="N13994" s="223"/>
      <c r="O13994" s="223" t="s">
        <v>63</v>
      </c>
      <c r="P13994" s="223"/>
      <c r="Q13994" s="224"/>
    </row>
    <row r="13995" spans="1:17">
      <c r="A13995" s="221">
        <v>391</v>
      </c>
      <c r="B13995" s="222">
        <v>46128</v>
      </c>
      <c r="C13995" s="223" t="s">
        <v>298</v>
      </c>
      <c r="D13995" s="223" t="s">
        <v>490</v>
      </c>
      <c r="E13995" s="223" t="s">
        <v>291</v>
      </c>
      <c r="F13995" s="223">
        <v>2026</v>
      </c>
      <c r="G13995" s="223">
        <v>2</v>
      </c>
      <c r="H13995" s="223" t="s">
        <v>99</v>
      </c>
      <c r="I13995" s="226" t="s">
        <v>108</v>
      </c>
      <c r="J13995" s="223" t="s">
        <v>366</v>
      </c>
      <c r="K13995" s="223" t="s">
        <v>101</v>
      </c>
      <c r="L13995" s="223" t="s">
        <v>596</v>
      </c>
      <c r="M13995" s="223">
        <v>2</v>
      </c>
      <c r="N13995" s="223"/>
      <c r="O13995" s="223" t="s">
        <v>109</v>
      </c>
      <c r="P13995" s="223"/>
      <c r="Q13995" s="224"/>
    </row>
    <row r="13996" spans="1:17">
      <c r="A13996" s="221">
        <v>392</v>
      </c>
      <c r="B13996" s="222">
        <v>46128</v>
      </c>
      <c r="C13996" s="223" t="s">
        <v>298</v>
      </c>
      <c r="D13996" s="223" t="s">
        <v>491</v>
      </c>
      <c r="E13996" s="223" t="s">
        <v>291</v>
      </c>
      <c r="F13996" s="223">
        <v>2026</v>
      </c>
      <c r="G13996" s="223">
        <v>2</v>
      </c>
      <c r="H13996" s="223" t="s">
        <v>99</v>
      </c>
      <c r="I13996" s="226" t="s">
        <v>108</v>
      </c>
      <c r="J13996" s="223" t="s">
        <v>366</v>
      </c>
      <c r="K13996" s="223" t="s">
        <v>104</v>
      </c>
      <c r="L13996" s="223" t="s">
        <v>598</v>
      </c>
      <c r="M13996" s="223">
        <v>2</v>
      </c>
      <c r="N13996" s="223"/>
      <c r="O13996" s="223" t="s">
        <v>109</v>
      </c>
      <c r="P13996" s="223"/>
      <c r="Q13996" s="224"/>
    </row>
    <row r="13997" spans="1:17" ht="30.75">
      <c r="A13997" s="221">
        <v>393</v>
      </c>
      <c r="B13997" s="222">
        <v>46128</v>
      </c>
      <c r="C13997" s="223" t="s">
        <v>298</v>
      </c>
      <c r="D13997" s="223" t="s">
        <v>456</v>
      </c>
      <c r="E13997" s="223" t="s">
        <v>291</v>
      </c>
      <c r="F13997" s="223">
        <v>2026</v>
      </c>
      <c r="G13997" s="223">
        <v>2.5</v>
      </c>
      <c r="H13997" s="223" t="s">
        <v>99</v>
      </c>
      <c r="I13997" s="226" t="s">
        <v>100</v>
      </c>
      <c r="J13997" s="223" t="s">
        <v>373</v>
      </c>
      <c r="K13997" s="223" t="s">
        <v>101</v>
      </c>
      <c r="L13997" s="226" t="s">
        <v>572</v>
      </c>
      <c r="M13997" s="223">
        <v>2.5</v>
      </c>
      <c r="N13997" s="223"/>
      <c r="O13997" s="223" t="s">
        <v>102</v>
      </c>
      <c r="P13997" s="223"/>
      <c r="Q13997" s="224"/>
    </row>
    <row r="13998" spans="1:17" ht="30.75">
      <c r="A13998" s="221">
        <v>394</v>
      </c>
      <c r="B13998" s="222">
        <v>46128</v>
      </c>
      <c r="C13998" s="223" t="s">
        <v>298</v>
      </c>
      <c r="D13998" s="223" t="s">
        <v>467</v>
      </c>
      <c r="E13998" s="223" t="s">
        <v>291</v>
      </c>
      <c r="F13998" s="223">
        <v>2026</v>
      </c>
      <c r="G13998" s="223">
        <v>2.5</v>
      </c>
      <c r="H13998" s="223" t="s">
        <v>99</v>
      </c>
      <c r="I13998" s="226" t="s">
        <v>100</v>
      </c>
      <c r="J13998" s="223" t="s">
        <v>373</v>
      </c>
      <c r="K13998" s="223" t="s">
        <v>104</v>
      </c>
      <c r="L13998" s="226" t="s">
        <v>548</v>
      </c>
      <c r="M13998" s="223">
        <v>2.5</v>
      </c>
      <c r="N13998" s="223"/>
      <c r="O13998" s="223" t="s">
        <v>70</v>
      </c>
      <c r="P13998" s="223"/>
      <c r="Q13998" s="224"/>
    </row>
    <row r="13999" spans="1:17">
      <c r="A13999" s="221">
        <v>395</v>
      </c>
      <c r="B13999" s="222">
        <v>46128</v>
      </c>
      <c r="C13999" s="223" t="s">
        <v>298</v>
      </c>
      <c r="D13999" s="223" t="s">
        <v>430</v>
      </c>
      <c r="E13999" s="223" t="s">
        <v>291</v>
      </c>
      <c r="F13999" s="223">
        <v>2026</v>
      </c>
      <c r="G13999" s="223">
        <v>2.5</v>
      </c>
      <c r="H13999" s="223" t="s">
        <v>99</v>
      </c>
      <c r="I13999" s="226" t="s">
        <v>100</v>
      </c>
      <c r="J13999" s="223" t="s">
        <v>373</v>
      </c>
      <c r="K13999" s="223" t="s">
        <v>106</v>
      </c>
      <c r="L13999" s="223" t="s">
        <v>606</v>
      </c>
      <c r="M13999" s="223">
        <v>2.5</v>
      </c>
      <c r="N13999" s="223"/>
      <c r="O13999" s="223" t="s">
        <v>432</v>
      </c>
      <c r="P13999" s="223"/>
      <c r="Q13999" s="224"/>
    </row>
    <row r="14000" spans="1:17">
      <c r="A14000" s="221">
        <v>396</v>
      </c>
      <c r="B14000" s="222">
        <v>46128</v>
      </c>
      <c r="C14000" s="223" t="s">
        <v>298</v>
      </c>
      <c r="D14000" s="223" t="s">
        <v>607</v>
      </c>
      <c r="E14000" s="223" t="s">
        <v>291</v>
      </c>
      <c r="F14000" s="223">
        <v>2026</v>
      </c>
      <c r="G14000" s="223">
        <v>6</v>
      </c>
      <c r="H14000" s="223" t="s">
        <v>80</v>
      </c>
      <c r="I14000" s="226" t="s">
        <v>81</v>
      </c>
      <c r="J14000" s="223" t="s">
        <v>366</v>
      </c>
      <c r="K14000" s="223"/>
      <c r="L14000" s="223" t="s">
        <v>608</v>
      </c>
      <c r="M14000" s="223">
        <v>5</v>
      </c>
      <c r="N14000" s="223"/>
      <c r="O14000" s="223" t="s">
        <v>12</v>
      </c>
      <c r="P14000" s="223"/>
      <c r="Q14000" s="224"/>
    </row>
    <row r="14001" spans="1:17">
      <c r="A14001" s="221">
        <v>397</v>
      </c>
      <c r="B14001" s="222">
        <v>46128</v>
      </c>
      <c r="C14001" s="223" t="s">
        <v>298</v>
      </c>
      <c r="D14001" s="223" t="s">
        <v>451</v>
      </c>
      <c r="E14001" s="223" t="s">
        <v>291</v>
      </c>
      <c r="F14001" s="223">
        <v>2026</v>
      </c>
      <c r="G14001" s="223">
        <v>3</v>
      </c>
      <c r="H14001" s="223" t="s">
        <v>61</v>
      </c>
      <c r="I14001" s="226" t="s">
        <v>62</v>
      </c>
      <c r="J14001" s="223" t="s">
        <v>360</v>
      </c>
      <c r="K14001" s="223" t="s">
        <v>37</v>
      </c>
      <c r="L14001" s="223" t="s">
        <v>466</v>
      </c>
      <c r="M14001" s="223">
        <v>3</v>
      </c>
      <c r="N14001" s="223"/>
      <c r="O14001" s="223" t="s">
        <v>112</v>
      </c>
      <c r="P14001" s="223"/>
      <c r="Q14001" s="224"/>
    </row>
    <row r="14002" spans="1:17">
      <c r="A14002" s="221">
        <v>398</v>
      </c>
      <c r="B14002" s="222">
        <v>46128</v>
      </c>
      <c r="C14002" s="223" t="s">
        <v>298</v>
      </c>
      <c r="D14002" s="223" t="s">
        <v>452</v>
      </c>
      <c r="E14002" s="223" t="s">
        <v>291</v>
      </c>
      <c r="F14002" s="223">
        <v>2026</v>
      </c>
      <c r="G14002" s="223">
        <v>3</v>
      </c>
      <c r="H14002" s="223" t="s">
        <v>61</v>
      </c>
      <c r="I14002" s="226" t="s">
        <v>62</v>
      </c>
      <c r="J14002" s="223" t="s">
        <v>360</v>
      </c>
      <c r="K14002" s="223" t="s">
        <v>38</v>
      </c>
      <c r="L14002" s="223" t="s">
        <v>466</v>
      </c>
      <c r="M14002" s="223">
        <v>3</v>
      </c>
      <c r="N14002" s="223"/>
      <c r="O14002" s="223" t="s">
        <v>127</v>
      </c>
      <c r="P14002" s="223"/>
      <c r="Q14002" s="224"/>
    </row>
    <row r="14003" spans="1:17" ht="30.75">
      <c r="A14003" s="221">
        <v>399</v>
      </c>
      <c r="B14003" s="222">
        <v>46129</v>
      </c>
      <c r="C14003" s="223" t="s">
        <v>301</v>
      </c>
      <c r="D14003" s="223" t="s">
        <v>524</v>
      </c>
      <c r="E14003" s="223" t="s">
        <v>291</v>
      </c>
      <c r="F14003" s="223">
        <v>2026</v>
      </c>
      <c r="G14003" s="223">
        <v>2.5</v>
      </c>
      <c r="H14003" s="223" t="s">
        <v>115</v>
      </c>
      <c r="I14003" s="226" t="s">
        <v>437</v>
      </c>
      <c r="J14003" s="223" t="s">
        <v>438</v>
      </c>
      <c r="K14003" s="223" t="s">
        <v>101</v>
      </c>
      <c r="L14003" s="223" t="s">
        <v>611</v>
      </c>
      <c r="M14003" s="223">
        <v>2.5</v>
      </c>
      <c r="N14003" s="223"/>
      <c r="O14003" s="223" t="s">
        <v>164</v>
      </c>
      <c r="P14003" s="223"/>
      <c r="Q14003" s="224"/>
    </row>
    <row r="14004" spans="1:17">
      <c r="A14004" s="221">
        <v>400</v>
      </c>
      <c r="B14004" s="222">
        <v>46129</v>
      </c>
      <c r="C14004" s="223" t="s">
        <v>301</v>
      </c>
      <c r="D14004" s="223" t="s">
        <v>592</v>
      </c>
      <c r="E14004" s="223" t="s">
        <v>291</v>
      </c>
      <c r="F14004" s="223">
        <v>2026</v>
      </c>
      <c r="G14004" s="223">
        <v>2</v>
      </c>
      <c r="H14004" s="223" t="s">
        <v>132</v>
      </c>
      <c r="I14004" s="226" t="s">
        <v>133</v>
      </c>
      <c r="J14004" s="223" t="s">
        <v>360</v>
      </c>
      <c r="K14004" s="223" t="s">
        <v>106</v>
      </c>
      <c r="L14004" s="223" t="s">
        <v>609</v>
      </c>
      <c r="M14004" s="223">
        <v>2</v>
      </c>
      <c r="N14004" s="223"/>
      <c r="O14004" s="223" t="s">
        <v>127</v>
      </c>
      <c r="P14004" s="223"/>
      <c r="Q14004" s="224"/>
    </row>
    <row r="14005" spans="1:17">
      <c r="A14005" s="221">
        <v>401</v>
      </c>
      <c r="B14005" s="222">
        <v>46129</v>
      </c>
      <c r="C14005" s="223" t="s">
        <v>301</v>
      </c>
      <c r="D14005" s="223" t="s">
        <v>482</v>
      </c>
      <c r="E14005" s="223" t="s">
        <v>291</v>
      </c>
      <c r="F14005" s="223">
        <v>2026</v>
      </c>
      <c r="G14005" s="223">
        <v>2</v>
      </c>
      <c r="H14005" s="223" t="s">
        <v>132</v>
      </c>
      <c r="I14005" s="226" t="s">
        <v>133</v>
      </c>
      <c r="J14005" s="223" t="s">
        <v>360</v>
      </c>
      <c r="K14005" s="223" t="s">
        <v>135</v>
      </c>
      <c r="L14005" s="223" t="s">
        <v>575</v>
      </c>
      <c r="M14005" s="223">
        <v>2</v>
      </c>
      <c r="N14005" s="223"/>
      <c r="O14005" s="223" t="s">
        <v>63</v>
      </c>
      <c r="P14005" s="223"/>
      <c r="Q14005" s="224"/>
    </row>
    <row r="14006" spans="1:17">
      <c r="A14006" s="221">
        <v>402</v>
      </c>
      <c r="B14006" s="222">
        <v>46129</v>
      </c>
      <c r="C14006" s="223" t="s">
        <v>301</v>
      </c>
      <c r="D14006" s="223" t="s">
        <v>497</v>
      </c>
      <c r="E14006" s="223" t="s">
        <v>291</v>
      </c>
      <c r="F14006" s="223">
        <v>2026</v>
      </c>
      <c r="G14006" s="223" t="s">
        <v>498</v>
      </c>
      <c r="H14006" s="223" t="s">
        <v>57</v>
      </c>
      <c r="I14006" s="226" t="s">
        <v>454</v>
      </c>
      <c r="J14006" s="223" t="s">
        <v>311</v>
      </c>
      <c r="K14006" s="223"/>
      <c r="L14006" s="223" t="s">
        <v>610</v>
      </c>
      <c r="M14006" s="223" t="s">
        <v>498</v>
      </c>
      <c r="N14006" s="223"/>
      <c r="O14006" s="223" t="s">
        <v>516</v>
      </c>
      <c r="P14006" s="223"/>
      <c r="Q14006" s="224"/>
    </row>
    <row r="14007" spans="1:17">
      <c r="A14007" s="221">
        <v>403</v>
      </c>
      <c r="B14007" s="222">
        <v>46129</v>
      </c>
      <c r="C14007" s="223" t="s">
        <v>301</v>
      </c>
      <c r="D14007" s="223" t="s">
        <v>490</v>
      </c>
      <c r="E14007" s="223" t="s">
        <v>291</v>
      </c>
      <c r="F14007" s="223">
        <v>2026</v>
      </c>
      <c r="G14007" s="223">
        <v>2</v>
      </c>
      <c r="H14007" s="223" t="s">
        <v>99</v>
      </c>
      <c r="I14007" s="226" t="s">
        <v>108</v>
      </c>
      <c r="J14007" s="223" t="s">
        <v>366</v>
      </c>
      <c r="K14007" s="223" t="s">
        <v>101</v>
      </c>
      <c r="L14007" s="223" t="s">
        <v>598</v>
      </c>
      <c r="M14007" s="223">
        <v>2</v>
      </c>
      <c r="N14007" s="223"/>
      <c r="O14007" s="223" t="s">
        <v>109</v>
      </c>
      <c r="P14007" s="223"/>
      <c r="Q14007" s="224"/>
    </row>
    <row r="14008" spans="1:17">
      <c r="A14008" s="221"/>
      <c r="B14008" s="222">
        <v>46129</v>
      </c>
      <c r="C14008" s="223" t="s">
        <v>301</v>
      </c>
      <c r="D14008" s="223"/>
      <c r="E14008" s="223" t="s">
        <v>291</v>
      </c>
      <c r="F14008" s="223">
        <v>2026</v>
      </c>
      <c r="G14008" s="223"/>
      <c r="H14008" s="223" t="s">
        <v>99</v>
      </c>
      <c r="I14008" s="226" t="s">
        <v>108</v>
      </c>
      <c r="J14008" s="223" t="s">
        <v>366</v>
      </c>
      <c r="K14008" s="223" t="s">
        <v>10</v>
      </c>
      <c r="L14008" s="223" t="s">
        <v>391</v>
      </c>
      <c r="M14008" s="223"/>
      <c r="N14008" s="223"/>
      <c r="O14008" s="223"/>
      <c r="P14008" s="223"/>
      <c r="Q14008" s="224"/>
    </row>
    <row r="14009" spans="1:17">
      <c r="A14009" s="221"/>
      <c r="B14009" s="222">
        <v>46129</v>
      </c>
      <c r="C14009" s="223" t="s">
        <v>301</v>
      </c>
      <c r="D14009" s="223"/>
      <c r="E14009" s="223" t="s">
        <v>291</v>
      </c>
      <c r="F14009" s="223">
        <v>2026</v>
      </c>
      <c r="G14009" s="223"/>
      <c r="H14009" s="223" t="s">
        <v>99</v>
      </c>
      <c r="I14009" s="226" t="s">
        <v>108</v>
      </c>
      <c r="J14009" s="223" t="s">
        <v>366</v>
      </c>
      <c r="K14009" s="223" t="s">
        <v>104</v>
      </c>
      <c r="L14009" s="223" t="s">
        <v>391</v>
      </c>
      <c r="M14009" s="223"/>
      <c r="N14009" s="223"/>
      <c r="O14009" s="223"/>
      <c r="P14009" s="223"/>
      <c r="Q14009" s="224"/>
    </row>
    <row r="14010" spans="1:17">
      <c r="A14010" s="221">
        <v>404</v>
      </c>
      <c r="B14010" s="222">
        <v>46129</v>
      </c>
      <c r="C14010" s="223" t="s">
        <v>301</v>
      </c>
      <c r="D14010" s="223" t="s">
        <v>491</v>
      </c>
      <c r="E14010" s="223" t="s">
        <v>291</v>
      </c>
      <c r="F14010" s="223">
        <v>2026</v>
      </c>
      <c r="G14010" s="223">
        <v>2.5</v>
      </c>
      <c r="H14010" s="223" t="s">
        <v>99</v>
      </c>
      <c r="I14010" s="226" t="s">
        <v>108</v>
      </c>
      <c r="J14010" s="223" t="s">
        <v>366</v>
      </c>
      <c r="K14010" s="223" t="s">
        <v>106</v>
      </c>
      <c r="L14010" s="223" t="s">
        <v>596</v>
      </c>
      <c r="M14010" s="223">
        <v>2.5</v>
      </c>
      <c r="N14010" s="223"/>
      <c r="O14010" s="223" t="s">
        <v>109</v>
      </c>
      <c r="P14010" s="223"/>
      <c r="Q14010" s="224"/>
    </row>
    <row r="14011" spans="1:17">
      <c r="A14011" s="221">
        <v>405</v>
      </c>
      <c r="B14011" s="222">
        <v>46129</v>
      </c>
      <c r="C14011" s="223" t="s">
        <v>301</v>
      </c>
      <c r="D14011" s="223" t="s">
        <v>607</v>
      </c>
      <c r="E14011" s="223" t="s">
        <v>291</v>
      </c>
      <c r="F14011" s="223">
        <v>2026</v>
      </c>
      <c r="G14011" s="223">
        <v>6</v>
      </c>
      <c r="H14011" s="223" t="s">
        <v>80</v>
      </c>
      <c r="I14011" s="226" t="s">
        <v>81</v>
      </c>
      <c r="J14011" s="223" t="s">
        <v>366</v>
      </c>
      <c r="K14011" s="223"/>
      <c r="L14011" s="223" t="s">
        <v>608</v>
      </c>
      <c r="M14011" s="223">
        <v>5</v>
      </c>
      <c r="N14011" s="223"/>
      <c r="O14011" s="223" t="s">
        <v>12</v>
      </c>
      <c r="P14011" s="223"/>
      <c r="Q14011" s="224"/>
    </row>
    <row r="14012" spans="1:17">
      <c r="A14012" s="221">
        <v>406</v>
      </c>
      <c r="B14012" s="222">
        <v>46129</v>
      </c>
      <c r="C14012" s="223" t="s">
        <v>301</v>
      </c>
      <c r="D14012" s="223" t="s">
        <v>372</v>
      </c>
      <c r="E14012" s="223" t="s">
        <v>291</v>
      </c>
      <c r="F14012" s="223">
        <v>2026</v>
      </c>
      <c r="G14012" s="223">
        <v>2.5</v>
      </c>
      <c r="H14012" s="223" t="s">
        <v>57</v>
      </c>
      <c r="I14012" s="226" t="s">
        <v>58</v>
      </c>
      <c r="J14012" s="223" t="s">
        <v>373</v>
      </c>
      <c r="K14012" s="223"/>
      <c r="L14012" s="223" t="s">
        <v>612</v>
      </c>
      <c r="M14012" s="223">
        <v>2.5</v>
      </c>
      <c r="N14012" s="223"/>
      <c r="O14012" s="223" t="s">
        <v>559</v>
      </c>
      <c r="P14012" s="223"/>
      <c r="Q14012" s="224"/>
    </row>
    <row r="14013" spans="1:17">
      <c r="A14013" s="221">
        <v>407</v>
      </c>
      <c r="B14013" s="222">
        <v>46129</v>
      </c>
      <c r="C14013" s="223" t="s">
        <v>301</v>
      </c>
      <c r="D14013" s="223" t="s">
        <v>451</v>
      </c>
      <c r="E14013" s="223" t="s">
        <v>291</v>
      </c>
      <c r="F14013" s="223">
        <v>2026</v>
      </c>
      <c r="G14013" s="223">
        <v>3</v>
      </c>
      <c r="H14013" s="223" t="s">
        <v>61</v>
      </c>
      <c r="I14013" s="226" t="s">
        <v>62</v>
      </c>
      <c r="J14013" s="223" t="s">
        <v>360</v>
      </c>
      <c r="K14013" s="223" t="s">
        <v>37</v>
      </c>
      <c r="L14013" s="223" t="s">
        <v>469</v>
      </c>
      <c r="M14013" s="223">
        <v>3</v>
      </c>
      <c r="N14013" s="223"/>
      <c r="O14013" s="223" t="s">
        <v>112</v>
      </c>
      <c r="P14013" s="223"/>
      <c r="Q14013" s="224"/>
    </row>
    <row r="14014" spans="1:17">
      <c r="A14014" s="221">
        <v>408</v>
      </c>
      <c r="B14014" s="222">
        <v>46129</v>
      </c>
      <c r="C14014" s="223" t="s">
        <v>301</v>
      </c>
      <c r="D14014" s="223" t="s">
        <v>452</v>
      </c>
      <c r="E14014" s="223" t="s">
        <v>291</v>
      </c>
      <c r="F14014" s="223">
        <v>2026</v>
      </c>
      <c r="G14014" s="223">
        <v>3</v>
      </c>
      <c r="H14014" s="223" t="s">
        <v>61</v>
      </c>
      <c r="I14014" s="226" t="s">
        <v>62</v>
      </c>
      <c r="J14014" s="223" t="s">
        <v>360</v>
      </c>
      <c r="K14014" s="223" t="s">
        <v>38</v>
      </c>
      <c r="L14014" s="223" t="s">
        <v>469</v>
      </c>
      <c r="M14014" s="223">
        <v>3</v>
      </c>
      <c r="N14014" s="223"/>
      <c r="O14014" s="223" t="s">
        <v>127</v>
      </c>
      <c r="P14014" s="223"/>
      <c r="Q14014" s="224"/>
    </row>
    <row r="14015" spans="1:17">
      <c r="A14015" s="221">
        <v>409</v>
      </c>
      <c r="B14015" s="222">
        <v>46132</v>
      </c>
      <c r="C14015" s="223" t="s">
        <v>302</v>
      </c>
      <c r="D14015" s="223" t="s">
        <v>520</v>
      </c>
      <c r="E14015" s="223" t="s">
        <v>291</v>
      </c>
      <c r="F14015" s="223">
        <v>2026</v>
      </c>
      <c r="G14015" s="223">
        <v>3</v>
      </c>
      <c r="H14015" s="223" t="s">
        <v>57</v>
      </c>
      <c r="I14015" s="226" t="s">
        <v>89</v>
      </c>
      <c r="J14015" s="223" t="s">
        <v>311</v>
      </c>
      <c r="K14015" s="223" t="s">
        <v>90</v>
      </c>
      <c r="L14015" s="223" t="s">
        <v>613</v>
      </c>
      <c r="M14015" s="223">
        <v>3</v>
      </c>
      <c r="N14015" s="223"/>
      <c r="O14015" s="223" t="s">
        <v>91</v>
      </c>
      <c r="P14015" s="223"/>
      <c r="Q14015" s="224"/>
    </row>
    <row r="14016" spans="1:17">
      <c r="A14016" s="221">
        <v>410</v>
      </c>
      <c r="B14016" s="222">
        <v>46132</v>
      </c>
      <c r="C14016" s="223" t="s">
        <v>302</v>
      </c>
      <c r="D14016" s="223" t="s">
        <v>477</v>
      </c>
      <c r="E14016" s="223" t="s">
        <v>291</v>
      </c>
      <c r="F14016" s="223">
        <v>2026</v>
      </c>
      <c r="G14016" s="223">
        <v>3</v>
      </c>
      <c r="H14016" s="223" t="s">
        <v>461</v>
      </c>
      <c r="I14016" s="226" t="s">
        <v>136</v>
      </c>
      <c r="J14016" s="223" t="s">
        <v>462</v>
      </c>
      <c r="K14016" s="223" t="s">
        <v>101</v>
      </c>
      <c r="L14016" s="223" t="s">
        <v>614</v>
      </c>
      <c r="M14016" s="223">
        <v>3</v>
      </c>
      <c r="N14016" s="223"/>
      <c r="O14016" s="223" t="s">
        <v>140</v>
      </c>
      <c r="P14016" s="223"/>
      <c r="Q14016" s="224"/>
    </row>
    <row r="14017" spans="1:17">
      <c r="A14017" s="221">
        <v>411</v>
      </c>
      <c r="B14017" s="222">
        <v>46132</v>
      </c>
      <c r="C14017" s="223" t="s">
        <v>302</v>
      </c>
      <c r="D14017" s="223" t="s">
        <v>479</v>
      </c>
      <c r="E14017" s="223" t="s">
        <v>291</v>
      </c>
      <c r="F14017" s="223">
        <v>2026</v>
      </c>
      <c r="G14017" s="223">
        <v>3</v>
      </c>
      <c r="H14017" s="223" t="s">
        <v>461</v>
      </c>
      <c r="I14017" s="226" t="s">
        <v>136</v>
      </c>
      <c r="J14017" s="223" t="s">
        <v>462</v>
      </c>
      <c r="K14017" s="223" t="s">
        <v>10</v>
      </c>
      <c r="L14017" s="223" t="s">
        <v>614</v>
      </c>
      <c r="M14017" s="223">
        <v>3</v>
      </c>
      <c r="N14017" s="223"/>
      <c r="O14017" s="223" t="s">
        <v>138</v>
      </c>
      <c r="P14017" s="223"/>
      <c r="Q14017" s="224"/>
    </row>
    <row r="14018" spans="1:17">
      <c r="A14018" s="221"/>
      <c r="B14018" s="222">
        <v>46132</v>
      </c>
      <c r="C14018" s="223" t="s">
        <v>302</v>
      </c>
      <c r="D14018" s="223"/>
      <c r="E14018" s="223" t="s">
        <v>291</v>
      </c>
      <c r="F14018" s="223">
        <v>2026</v>
      </c>
      <c r="G14018" s="223" t="s">
        <v>615</v>
      </c>
      <c r="H14018" s="223" t="s">
        <v>132</v>
      </c>
      <c r="I14018" s="226" t="s">
        <v>133</v>
      </c>
      <c r="J14018" s="223" t="s">
        <v>360</v>
      </c>
      <c r="K14018" s="223" t="s">
        <v>106</v>
      </c>
      <c r="L14018" s="223" t="s">
        <v>616</v>
      </c>
      <c r="M14018" s="223" t="s">
        <v>615</v>
      </c>
      <c r="N14018" s="223"/>
      <c r="O14018" s="223"/>
      <c r="P14018" s="223"/>
      <c r="Q14018" s="224"/>
    </row>
    <row r="14019" spans="1:17">
      <c r="A14019" s="221">
        <v>412</v>
      </c>
      <c r="B14019" s="222">
        <v>46132</v>
      </c>
      <c r="C14019" s="223" t="s">
        <v>302</v>
      </c>
      <c r="D14019" s="223" t="s">
        <v>482</v>
      </c>
      <c r="E14019" s="223" t="s">
        <v>291</v>
      </c>
      <c r="F14019" s="223">
        <v>2026</v>
      </c>
      <c r="G14019" s="223">
        <v>2</v>
      </c>
      <c r="H14019" s="223" t="s">
        <v>132</v>
      </c>
      <c r="I14019" s="226" t="s">
        <v>133</v>
      </c>
      <c r="J14019" s="223" t="s">
        <v>360</v>
      </c>
      <c r="K14019" s="223" t="s">
        <v>135</v>
      </c>
      <c r="L14019" s="223" t="s">
        <v>583</v>
      </c>
      <c r="M14019" s="223">
        <v>2</v>
      </c>
      <c r="N14019" s="223"/>
      <c r="O14019" s="223" t="s">
        <v>63</v>
      </c>
      <c r="P14019" s="223"/>
      <c r="Q14019" s="224"/>
    </row>
    <row r="14020" spans="1:17">
      <c r="A14020" s="221">
        <v>413</v>
      </c>
      <c r="B14020" s="222">
        <v>46132</v>
      </c>
      <c r="C14020" s="223" t="s">
        <v>302</v>
      </c>
      <c r="D14020" s="223" t="s">
        <v>497</v>
      </c>
      <c r="E14020" s="223" t="s">
        <v>291</v>
      </c>
      <c r="F14020" s="223">
        <v>2026</v>
      </c>
      <c r="G14020" s="223" t="s">
        <v>498</v>
      </c>
      <c r="H14020" s="223" t="s">
        <v>57</v>
      </c>
      <c r="I14020" s="226" t="s">
        <v>454</v>
      </c>
      <c r="J14020" s="223" t="s">
        <v>311</v>
      </c>
      <c r="K14020" s="223"/>
      <c r="L14020" s="223" t="s">
        <v>617</v>
      </c>
      <c r="M14020" s="223" t="s">
        <v>498</v>
      </c>
      <c r="N14020" s="223"/>
      <c r="O14020" s="223" t="s">
        <v>559</v>
      </c>
      <c r="P14020" s="223"/>
      <c r="Q14020" s="224"/>
    </row>
    <row r="14021" spans="1:17">
      <c r="A14021" s="221">
        <v>414</v>
      </c>
      <c r="B14021" s="222">
        <v>46132</v>
      </c>
      <c r="C14021" s="223" t="s">
        <v>302</v>
      </c>
      <c r="D14021" s="223" t="s">
        <v>483</v>
      </c>
      <c r="E14021" s="223" t="s">
        <v>291</v>
      </c>
      <c r="F14021" s="223">
        <v>2026</v>
      </c>
      <c r="G14021" s="223">
        <v>2</v>
      </c>
      <c r="H14021" s="223" t="s">
        <v>99</v>
      </c>
      <c r="I14021" s="226" t="s">
        <v>108</v>
      </c>
      <c r="J14021" s="223" t="s">
        <v>366</v>
      </c>
      <c r="K14021" s="223" t="s">
        <v>10</v>
      </c>
      <c r="L14021" s="223" t="s">
        <v>391</v>
      </c>
      <c r="M14021" s="223">
        <v>2</v>
      </c>
      <c r="N14021" s="223"/>
      <c r="O14021" s="223" t="s">
        <v>63</v>
      </c>
      <c r="P14021" s="223"/>
      <c r="Q14021" s="224"/>
    </row>
    <row r="14022" spans="1:17">
      <c r="A14022" s="221">
        <v>415</v>
      </c>
      <c r="B14022" s="222">
        <v>46132</v>
      </c>
      <c r="C14022" s="223" t="s">
        <v>302</v>
      </c>
      <c r="D14022" s="223" t="s">
        <v>491</v>
      </c>
      <c r="E14022" s="223" t="s">
        <v>291</v>
      </c>
      <c r="F14022" s="223">
        <v>2026</v>
      </c>
      <c r="G14022" s="223">
        <v>2.5</v>
      </c>
      <c r="H14022" s="223" t="s">
        <v>99</v>
      </c>
      <c r="I14022" s="226" t="s">
        <v>108</v>
      </c>
      <c r="J14022" s="223" t="s">
        <v>366</v>
      </c>
      <c r="K14022" s="223" t="s">
        <v>106</v>
      </c>
      <c r="L14022" s="223" t="s">
        <v>598</v>
      </c>
      <c r="M14022" s="223">
        <v>2.5</v>
      </c>
      <c r="N14022" s="223"/>
      <c r="O14022" s="223" t="s">
        <v>112</v>
      </c>
      <c r="P14022" s="223"/>
      <c r="Q14022" s="224"/>
    </row>
    <row r="14023" spans="1:17">
      <c r="A14023" s="221"/>
      <c r="B14023" s="222">
        <v>46132</v>
      </c>
      <c r="C14023" s="223" t="s">
        <v>302</v>
      </c>
      <c r="D14023" s="223" t="s">
        <v>451</v>
      </c>
      <c r="E14023" s="223" t="s">
        <v>291</v>
      </c>
      <c r="F14023" s="223">
        <v>2026</v>
      </c>
      <c r="G14023" s="223"/>
      <c r="H14023" s="223" t="s">
        <v>61</v>
      </c>
      <c r="I14023" s="226" t="s">
        <v>62</v>
      </c>
      <c r="J14023" s="223" t="s">
        <v>360</v>
      </c>
      <c r="K14023" s="223" t="s">
        <v>37</v>
      </c>
      <c r="L14023" s="223" t="s">
        <v>391</v>
      </c>
      <c r="M14023" s="223">
        <v>3</v>
      </c>
      <c r="N14023" s="223"/>
      <c r="O14023" s="223"/>
      <c r="P14023" s="223"/>
      <c r="Q14023" s="224"/>
    </row>
    <row r="14024" spans="1:17">
      <c r="A14024" s="221">
        <v>416</v>
      </c>
      <c r="B14024" s="222">
        <v>46132</v>
      </c>
      <c r="C14024" s="223" t="s">
        <v>302</v>
      </c>
      <c r="D14024" s="223" t="s">
        <v>452</v>
      </c>
      <c r="E14024" s="223" t="s">
        <v>291</v>
      </c>
      <c r="F14024" s="223">
        <v>2026</v>
      </c>
      <c r="G14024" s="223">
        <v>3</v>
      </c>
      <c r="H14024" s="223" t="s">
        <v>61</v>
      </c>
      <c r="I14024" s="226" t="s">
        <v>62</v>
      </c>
      <c r="J14024" s="223" t="s">
        <v>360</v>
      </c>
      <c r="K14024" s="223" t="s">
        <v>38</v>
      </c>
      <c r="L14024" s="223" t="s">
        <v>476</v>
      </c>
      <c r="M14024" s="223">
        <v>3</v>
      </c>
      <c r="N14024" s="223"/>
      <c r="O14024" s="223" t="s">
        <v>127</v>
      </c>
      <c r="P14024" s="223"/>
      <c r="Q14024" s="224"/>
    </row>
    <row r="14025" spans="1:17" ht="30.75">
      <c r="A14025" s="221">
        <v>417</v>
      </c>
      <c r="B14025" s="222">
        <v>46133</v>
      </c>
      <c r="C14025" s="223" t="s">
        <v>289</v>
      </c>
      <c r="D14025" s="223" t="s">
        <v>524</v>
      </c>
      <c r="E14025" s="223" t="s">
        <v>291</v>
      </c>
      <c r="F14025" s="223">
        <v>2026</v>
      </c>
      <c r="G14025" s="223">
        <v>2.5</v>
      </c>
      <c r="H14025" s="223" t="s">
        <v>115</v>
      </c>
      <c r="I14025" s="226" t="s">
        <v>437</v>
      </c>
      <c r="J14025" s="223" t="s">
        <v>438</v>
      </c>
      <c r="K14025" s="223" t="s">
        <v>101</v>
      </c>
      <c r="L14025" s="223" t="s">
        <v>620</v>
      </c>
      <c r="M14025" s="223">
        <v>2.5</v>
      </c>
      <c r="N14025" s="223"/>
      <c r="O14025" s="223" t="s">
        <v>164</v>
      </c>
      <c r="P14025" s="223"/>
      <c r="Q14025" s="224"/>
    </row>
    <row r="14026" spans="1:17">
      <c r="A14026" s="221">
        <v>418</v>
      </c>
      <c r="B14026" s="222">
        <v>46133</v>
      </c>
      <c r="C14026" s="223" t="s">
        <v>289</v>
      </c>
      <c r="D14026" s="223" t="s">
        <v>477</v>
      </c>
      <c r="E14026" s="223" t="s">
        <v>291</v>
      </c>
      <c r="F14026" s="223">
        <v>2026</v>
      </c>
      <c r="G14026" s="223">
        <v>3</v>
      </c>
      <c r="H14026" s="223" t="s">
        <v>461</v>
      </c>
      <c r="I14026" s="226" t="s">
        <v>142</v>
      </c>
      <c r="J14026" s="223" t="s">
        <v>462</v>
      </c>
      <c r="K14026" s="223" t="s">
        <v>101</v>
      </c>
      <c r="L14026" s="223" t="s">
        <v>618</v>
      </c>
      <c r="M14026" s="223">
        <v>3</v>
      </c>
      <c r="N14026" s="223"/>
      <c r="O14026" s="223" t="s">
        <v>179</v>
      </c>
      <c r="P14026" s="223"/>
      <c r="Q14026" s="224"/>
    </row>
    <row r="14027" spans="1:17">
      <c r="A14027" s="221">
        <v>419</v>
      </c>
      <c r="B14027" s="222">
        <v>46133</v>
      </c>
      <c r="C14027" s="223" t="s">
        <v>289</v>
      </c>
      <c r="D14027" s="223" t="s">
        <v>479</v>
      </c>
      <c r="E14027" s="223" t="s">
        <v>291</v>
      </c>
      <c r="F14027" s="223">
        <v>2026</v>
      </c>
      <c r="G14027" s="223">
        <v>3</v>
      </c>
      <c r="H14027" s="223" t="s">
        <v>461</v>
      </c>
      <c r="I14027" s="226" t="s">
        <v>142</v>
      </c>
      <c r="J14027" s="223" t="s">
        <v>462</v>
      </c>
      <c r="K14027" s="223" t="s">
        <v>10</v>
      </c>
      <c r="L14027" s="223" t="s">
        <v>618</v>
      </c>
      <c r="M14027" s="223">
        <v>3</v>
      </c>
      <c r="N14027" s="223"/>
      <c r="O14027" s="223" t="s">
        <v>102</v>
      </c>
      <c r="P14027" s="223"/>
      <c r="Q14027" s="224"/>
    </row>
    <row r="14028" spans="1:17">
      <c r="A14028" s="221">
        <v>420</v>
      </c>
      <c r="B14028" s="222">
        <v>46133</v>
      </c>
      <c r="C14028" s="223" t="s">
        <v>289</v>
      </c>
      <c r="D14028" s="223" t="s">
        <v>497</v>
      </c>
      <c r="E14028" s="223" t="s">
        <v>291</v>
      </c>
      <c r="F14028" s="223">
        <v>2026</v>
      </c>
      <c r="G14028" s="223" t="s">
        <v>498</v>
      </c>
      <c r="H14028" s="223" t="s">
        <v>57</v>
      </c>
      <c r="I14028" s="226" t="s">
        <v>454</v>
      </c>
      <c r="J14028" s="223" t="s">
        <v>311</v>
      </c>
      <c r="K14028" s="223"/>
      <c r="L14028" s="223" t="s">
        <v>619</v>
      </c>
      <c r="M14028" s="223" t="s">
        <v>498</v>
      </c>
      <c r="N14028" s="223"/>
      <c r="O14028" s="223" t="s">
        <v>559</v>
      </c>
      <c r="P14028" s="223"/>
      <c r="Q14028" s="224"/>
    </row>
    <row r="14029" spans="1:17">
      <c r="A14029" s="221">
        <v>421</v>
      </c>
      <c r="B14029" s="222">
        <v>46133</v>
      </c>
      <c r="C14029" s="223" t="s">
        <v>289</v>
      </c>
      <c r="D14029" s="223" t="s">
        <v>456</v>
      </c>
      <c r="E14029" s="223" t="s">
        <v>291</v>
      </c>
      <c r="F14029" s="223">
        <v>2026</v>
      </c>
      <c r="G14029" s="223">
        <v>2.5</v>
      </c>
      <c r="H14029" s="223" t="s">
        <v>99</v>
      </c>
      <c r="I14029" s="226" t="s">
        <v>100</v>
      </c>
      <c r="J14029" s="223" t="s">
        <v>373</v>
      </c>
      <c r="K14029" s="223" t="s">
        <v>101</v>
      </c>
      <c r="L14029" s="223" t="s">
        <v>606</v>
      </c>
      <c r="M14029" s="223">
        <v>2.5</v>
      </c>
      <c r="N14029" s="223"/>
      <c r="O14029" s="223" t="s">
        <v>102</v>
      </c>
      <c r="P14029" s="223"/>
      <c r="Q14029" s="224"/>
    </row>
    <row r="14030" spans="1:17" ht="45.75">
      <c r="A14030" s="221">
        <v>422</v>
      </c>
      <c r="B14030" s="222">
        <v>46133</v>
      </c>
      <c r="C14030" s="223" t="s">
        <v>289</v>
      </c>
      <c r="D14030" s="223" t="s">
        <v>532</v>
      </c>
      <c r="E14030" s="223" t="s">
        <v>291</v>
      </c>
      <c r="F14030" s="223">
        <v>2026</v>
      </c>
      <c r="G14030" s="223">
        <v>2.5</v>
      </c>
      <c r="H14030" s="223" t="s">
        <v>99</v>
      </c>
      <c r="I14030" s="226" t="s">
        <v>100</v>
      </c>
      <c r="J14030" s="223" t="s">
        <v>373</v>
      </c>
      <c r="K14030" s="223" t="s">
        <v>10</v>
      </c>
      <c r="L14030" s="226" t="s">
        <v>492</v>
      </c>
      <c r="M14030" s="223">
        <v>2.5</v>
      </c>
      <c r="N14030" s="223"/>
      <c r="O14030" s="223" t="s">
        <v>29</v>
      </c>
      <c r="P14030" s="223"/>
      <c r="Q14030" s="224"/>
    </row>
    <row r="14031" spans="1:17" ht="30.75">
      <c r="A14031" s="221">
        <v>423</v>
      </c>
      <c r="B14031" s="222">
        <v>46133</v>
      </c>
      <c r="C14031" s="223" t="s">
        <v>289</v>
      </c>
      <c r="D14031" s="223" t="s">
        <v>467</v>
      </c>
      <c r="E14031" s="223" t="s">
        <v>291</v>
      </c>
      <c r="F14031" s="223">
        <v>2026</v>
      </c>
      <c r="G14031" s="223">
        <v>2.5</v>
      </c>
      <c r="H14031" s="223" t="s">
        <v>99</v>
      </c>
      <c r="I14031" s="226" t="s">
        <v>100</v>
      </c>
      <c r="J14031" s="223" t="s">
        <v>373</v>
      </c>
      <c r="K14031" s="223" t="s">
        <v>104</v>
      </c>
      <c r="L14031" s="226" t="s">
        <v>572</v>
      </c>
      <c r="M14031" s="223">
        <v>2.5</v>
      </c>
      <c r="N14031" s="223"/>
      <c r="O14031" s="223" t="s">
        <v>70</v>
      </c>
      <c r="P14031" s="223"/>
      <c r="Q14031" s="224"/>
    </row>
    <row r="14032" spans="1:17">
      <c r="A14032" s="221">
        <v>424</v>
      </c>
      <c r="B14032" s="222">
        <v>46133</v>
      </c>
      <c r="C14032" s="223" t="s">
        <v>289</v>
      </c>
      <c r="D14032" s="223" t="s">
        <v>430</v>
      </c>
      <c r="E14032" s="223" t="s">
        <v>291</v>
      </c>
      <c r="F14032" s="223">
        <v>2026</v>
      </c>
      <c r="G14032" s="223">
        <v>2.5</v>
      </c>
      <c r="H14032" s="223" t="s">
        <v>99</v>
      </c>
      <c r="I14032" s="226" t="s">
        <v>100</v>
      </c>
      <c r="J14032" s="223" t="s">
        <v>373</v>
      </c>
      <c r="K14032" s="223" t="s">
        <v>106</v>
      </c>
      <c r="L14032" s="223" t="s">
        <v>621</v>
      </c>
      <c r="M14032" s="223">
        <v>2.5</v>
      </c>
      <c r="N14032" s="223"/>
      <c r="O14032" s="223" t="s">
        <v>432</v>
      </c>
      <c r="P14032" s="223"/>
      <c r="Q14032" s="224"/>
    </row>
    <row r="14033" spans="1:17">
      <c r="A14033" s="221">
        <v>425</v>
      </c>
      <c r="B14033" s="222">
        <v>46133</v>
      </c>
      <c r="C14033" s="223" t="s">
        <v>289</v>
      </c>
      <c r="D14033" s="223" t="s">
        <v>451</v>
      </c>
      <c r="E14033" s="223" t="s">
        <v>291</v>
      </c>
      <c r="F14033" s="223">
        <v>2026</v>
      </c>
      <c r="G14033" s="223">
        <v>3</v>
      </c>
      <c r="H14033" s="223" t="s">
        <v>61</v>
      </c>
      <c r="I14033" s="226" t="s">
        <v>62</v>
      </c>
      <c r="J14033" s="223" t="s">
        <v>360</v>
      </c>
      <c r="K14033" s="223" t="s">
        <v>37</v>
      </c>
      <c r="L14033" s="223" t="s">
        <v>487</v>
      </c>
      <c r="M14033" s="223"/>
      <c r="N14033" s="223"/>
      <c r="O14033" s="223" t="s">
        <v>112</v>
      </c>
      <c r="P14033" s="223"/>
      <c r="Q14033" s="224"/>
    </row>
    <row r="14034" spans="1:17">
      <c r="A14034" s="221">
        <v>426</v>
      </c>
      <c r="B14034" s="222">
        <v>46133</v>
      </c>
      <c r="C14034" s="223" t="s">
        <v>289</v>
      </c>
      <c r="D14034" s="223" t="s">
        <v>452</v>
      </c>
      <c r="E14034" s="223" t="s">
        <v>291</v>
      </c>
      <c r="F14034" s="223">
        <v>2026</v>
      </c>
      <c r="G14034" s="223">
        <v>3</v>
      </c>
      <c r="H14034" s="223" t="s">
        <v>61</v>
      </c>
      <c r="I14034" s="226" t="s">
        <v>62</v>
      </c>
      <c r="J14034" s="223" t="s">
        <v>360</v>
      </c>
      <c r="K14034" s="223" t="s">
        <v>38</v>
      </c>
      <c r="L14034" s="223" t="s">
        <v>487</v>
      </c>
      <c r="M14034" s="223">
        <v>3</v>
      </c>
      <c r="N14034" s="223"/>
      <c r="O14034" s="223" t="s">
        <v>127</v>
      </c>
      <c r="P14034" s="223"/>
      <c r="Q14034" s="224"/>
    </row>
    <row r="14035" spans="1:17">
      <c r="A14035" s="221"/>
      <c r="B14035" s="222">
        <v>46134</v>
      </c>
      <c r="C14035" s="223" t="s">
        <v>294</v>
      </c>
      <c r="D14035" s="223" t="s">
        <v>622</v>
      </c>
      <c r="E14035" s="223" t="s">
        <v>291</v>
      </c>
      <c r="F14035" s="223">
        <v>2026</v>
      </c>
      <c r="G14035" s="223"/>
      <c r="H14035" s="223" t="s">
        <v>132</v>
      </c>
      <c r="I14035" s="226" t="s">
        <v>183</v>
      </c>
      <c r="J14035" s="223" t="s">
        <v>623</v>
      </c>
      <c r="K14035" s="223" t="s">
        <v>101</v>
      </c>
      <c r="L14035" s="223" t="s">
        <v>463</v>
      </c>
      <c r="M14035" s="223"/>
      <c r="N14035" s="223"/>
      <c r="O14035" s="223"/>
      <c r="P14035" s="223"/>
      <c r="Q14035" s="224"/>
    </row>
    <row r="14036" spans="1:17">
      <c r="A14036" s="221">
        <v>427</v>
      </c>
      <c r="B14036" s="222">
        <v>46134</v>
      </c>
      <c r="C14036" s="223" t="s">
        <v>294</v>
      </c>
      <c r="D14036" s="223" t="s">
        <v>520</v>
      </c>
      <c r="E14036" s="223" t="s">
        <v>291</v>
      </c>
      <c r="F14036" s="223">
        <v>2026</v>
      </c>
      <c r="G14036" s="223">
        <v>3</v>
      </c>
      <c r="H14036" s="223" t="s">
        <v>57</v>
      </c>
      <c r="I14036" s="226" t="s">
        <v>89</v>
      </c>
      <c r="J14036" s="223" t="s">
        <v>311</v>
      </c>
      <c r="K14036" s="223" t="s">
        <v>90</v>
      </c>
      <c r="L14036" s="223" t="s">
        <v>624</v>
      </c>
      <c r="M14036" s="223">
        <v>3</v>
      </c>
      <c r="N14036" s="223"/>
      <c r="O14036" s="223" t="s">
        <v>91</v>
      </c>
      <c r="P14036" s="223"/>
      <c r="Q14036" s="224"/>
    </row>
    <row r="14037" spans="1:17">
      <c r="A14037" s="221">
        <v>428</v>
      </c>
      <c r="B14037" s="222">
        <v>46134</v>
      </c>
      <c r="C14037" s="223" t="s">
        <v>294</v>
      </c>
      <c r="D14037" s="223" t="s">
        <v>477</v>
      </c>
      <c r="E14037" s="223" t="s">
        <v>291</v>
      </c>
      <c r="F14037" s="223">
        <v>2026</v>
      </c>
      <c r="G14037" s="223">
        <v>3</v>
      </c>
      <c r="H14037" s="223" t="s">
        <v>461</v>
      </c>
      <c r="I14037" s="226" t="s">
        <v>136</v>
      </c>
      <c r="J14037" s="223" t="s">
        <v>462</v>
      </c>
      <c r="K14037" s="223" t="s">
        <v>101</v>
      </c>
      <c r="L14037" s="223" t="s">
        <v>625</v>
      </c>
      <c r="M14037" s="223">
        <v>3</v>
      </c>
      <c r="N14037" s="223"/>
      <c r="O14037" s="223" t="s">
        <v>140</v>
      </c>
      <c r="P14037" s="223"/>
      <c r="Q14037" s="224"/>
    </row>
    <row r="14038" spans="1:17">
      <c r="A14038" s="221">
        <v>429</v>
      </c>
      <c r="B14038" s="222">
        <v>46134</v>
      </c>
      <c r="C14038" s="223" t="s">
        <v>294</v>
      </c>
      <c r="D14038" s="223" t="s">
        <v>479</v>
      </c>
      <c r="E14038" s="223" t="s">
        <v>291</v>
      </c>
      <c r="F14038" s="223">
        <v>2026</v>
      </c>
      <c r="G14038" s="223">
        <v>3</v>
      </c>
      <c r="H14038" s="223" t="s">
        <v>461</v>
      </c>
      <c r="I14038" s="226" t="s">
        <v>136</v>
      </c>
      <c r="J14038" s="223" t="s">
        <v>462</v>
      </c>
      <c r="K14038" s="223" t="s">
        <v>10</v>
      </c>
      <c r="L14038" s="223" t="s">
        <v>625</v>
      </c>
      <c r="M14038" s="223">
        <v>3</v>
      </c>
      <c r="N14038" s="223"/>
      <c r="O14038" s="223" t="s">
        <v>140</v>
      </c>
      <c r="P14038" s="223"/>
      <c r="Q14038" s="224"/>
    </row>
    <row r="14039" spans="1:17">
      <c r="A14039" s="221">
        <v>430</v>
      </c>
      <c r="B14039" s="222">
        <v>46134</v>
      </c>
      <c r="C14039" s="223" t="s">
        <v>294</v>
      </c>
      <c r="D14039" s="223" t="s">
        <v>480</v>
      </c>
      <c r="E14039" s="223" t="s">
        <v>291</v>
      </c>
      <c r="F14039" s="223">
        <v>2026</v>
      </c>
      <c r="G14039" s="223">
        <v>3</v>
      </c>
      <c r="H14039" s="223" t="s">
        <v>132</v>
      </c>
      <c r="I14039" s="226" t="s">
        <v>133</v>
      </c>
      <c r="J14039" s="223" t="s">
        <v>360</v>
      </c>
      <c r="K14039" s="223" t="s">
        <v>106</v>
      </c>
      <c r="L14039" s="223" t="s">
        <v>626</v>
      </c>
      <c r="M14039" s="223">
        <v>3</v>
      </c>
      <c r="N14039" s="223"/>
      <c r="O14039" s="223" t="s">
        <v>127</v>
      </c>
      <c r="P14039" s="223"/>
      <c r="Q14039" s="224"/>
    </row>
    <row r="14040" spans="1:17">
      <c r="A14040" s="221">
        <v>431</v>
      </c>
      <c r="B14040" s="222">
        <v>46134</v>
      </c>
      <c r="C14040" s="223" t="s">
        <v>294</v>
      </c>
      <c r="D14040" s="223" t="s">
        <v>482</v>
      </c>
      <c r="E14040" s="223" t="s">
        <v>291</v>
      </c>
      <c r="F14040" s="223">
        <v>2026</v>
      </c>
      <c r="G14040" s="223">
        <v>2</v>
      </c>
      <c r="H14040" s="223" t="s">
        <v>132</v>
      </c>
      <c r="I14040" s="226" t="s">
        <v>133</v>
      </c>
      <c r="J14040" s="223" t="s">
        <v>360</v>
      </c>
      <c r="K14040" s="223" t="s">
        <v>135</v>
      </c>
      <c r="L14040" s="223" t="s">
        <v>627</v>
      </c>
      <c r="M14040" s="223">
        <v>2</v>
      </c>
      <c r="N14040" s="223"/>
      <c r="O14040" s="223" t="s">
        <v>63</v>
      </c>
      <c r="P14040" s="223"/>
      <c r="Q14040" s="224"/>
    </row>
    <row r="14041" spans="1:17">
      <c r="A14041" s="221">
        <v>432</v>
      </c>
      <c r="B14041" s="222">
        <v>46134</v>
      </c>
      <c r="C14041" s="223" t="s">
        <v>294</v>
      </c>
      <c r="D14041" s="223" t="s">
        <v>497</v>
      </c>
      <c r="E14041" s="223" t="s">
        <v>291</v>
      </c>
      <c r="F14041" s="223">
        <v>2026</v>
      </c>
      <c r="G14041" s="223" t="s">
        <v>498</v>
      </c>
      <c r="H14041" s="223" t="s">
        <v>57</v>
      </c>
      <c r="I14041" s="226" t="s">
        <v>454</v>
      </c>
      <c r="J14041" s="223" t="s">
        <v>311</v>
      </c>
      <c r="K14041" s="223"/>
      <c r="L14041" s="223" t="s">
        <v>628</v>
      </c>
      <c r="M14041" s="223" t="s">
        <v>498</v>
      </c>
      <c r="N14041" s="223"/>
      <c r="O14041" s="223" t="s">
        <v>12</v>
      </c>
      <c r="P14041" s="223"/>
      <c r="Q14041" s="224"/>
    </row>
    <row r="14042" spans="1:17">
      <c r="A14042" s="221">
        <v>433</v>
      </c>
      <c r="B14042" s="222">
        <v>46134</v>
      </c>
      <c r="C14042" s="223" t="s">
        <v>294</v>
      </c>
      <c r="D14042" s="223" t="s">
        <v>483</v>
      </c>
      <c r="E14042" s="223" t="s">
        <v>291</v>
      </c>
      <c r="F14042" s="223">
        <v>2026</v>
      </c>
      <c r="G14042" s="223">
        <v>2</v>
      </c>
      <c r="H14042" s="223" t="s">
        <v>99</v>
      </c>
      <c r="I14042" s="226" t="s">
        <v>108</v>
      </c>
      <c r="J14042" s="223" t="s">
        <v>366</v>
      </c>
      <c r="K14042" s="223" t="s">
        <v>10</v>
      </c>
      <c r="L14042" s="223" t="s">
        <v>391</v>
      </c>
      <c r="M14042" s="223">
        <v>2</v>
      </c>
      <c r="N14042" s="223"/>
      <c r="O14042" s="223" t="s">
        <v>63</v>
      </c>
      <c r="P14042" s="223"/>
      <c r="Q14042" s="224"/>
    </row>
    <row r="14043" spans="1:17">
      <c r="A14043" s="221">
        <v>434</v>
      </c>
      <c r="B14043" s="222">
        <v>46134</v>
      </c>
      <c r="C14043" s="223" t="s">
        <v>294</v>
      </c>
      <c r="D14043" s="223"/>
      <c r="E14043" s="223" t="s">
        <v>291</v>
      </c>
      <c r="F14043" s="223">
        <v>2026</v>
      </c>
      <c r="G14043" s="223"/>
      <c r="H14043" s="223" t="s">
        <v>99</v>
      </c>
      <c r="I14043" s="226" t="s">
        <v>108</v>
      </c>
      <c r="J14043" s="223" t="s">
        <v>366</v>
      </c>
      <c r="K14043" s="223" t="s">
        <v>104</v>
      </c>
      <c r="L14043" s="223" t="s">
        <v>391</v>
      </c>
      <c r="M14043" s="223"/>
      <c r="N14043" s="223"/>
      <c r="O14043" s="223" t="s">
        <v>109</v>
      </c>
      <c r="P14043" s="223"/>
      <c r="Q14043" s="224"/>
    </row>
    <row r="14044" spans="1:17">
      <c r="A14044" s="221">
        <v>435</v>
      </c>
      <c r="B14044" s="222">
        <v>46134</v>
      </c>
      <c r="C14044" s="223" t="s">
        <v>294</v>
      </c>
      <c r="D14044" s="223" t="s">
        <v>491</v>
      </c>
      <c r="E14044" s="223" t="s">
        <v>291</v>
      </c>
      <c r="F14044" s="223">
        <v>2026</v>
      </c>
      <c r="G14044" s="223">
        <v>2.5</v>
      </c>
      <c r="H14044" s="223" t="s">
        <v>99</v>
      </c>
      <c r="I14044" s="226" t="s">
        <v>108</v>
      </c>
      <c r="J14044" s="223" t="s">
        <v>366</v>
      </c>
      <c r="K14044" s="223" t="s">
        <v>106</v>
      </c>
      <c r="L14044" s="223" t="s">
        <v>391</v>
      </c>
      <c r="M14044" s="223"/>
      <c r="N14044" s="223"/>
      <c r="O14044" s="223" t="s">
        <v>112</v>
      </c>
      <c r="P14044" s="223"/>
      <c r="Q14044" s="224"/>
    </row>
    <row r="14045" spans="1:17">
      <c r="A14045" s="221">
        <v>436</v>
      </c>
      <c r="B14045" s="222">
        <v>46134</v>
      </c>
      <c r="C14045" s="223" t="s">
        <v>294</v>
      </c>
      <c r="D14045" s="223" t="s">
        <v>372</v>
      </c>
      <c r="E14045" s="223" t="s">
        <v>291</v>
      </c>
      <c r="F14045" s="223">
        <v>2026</v>
      </c>
      <c r="G14045" s="223">
        <v>2.5</v>
      </c>
      <c r="H14045" s="223" t="s">
        <v>57</v>
      </c>
      <c r="I14045" s="226" t="s">
        <v>58</v>
      </c>
      <c r="J14045" s="223" t="s">
        <v>373</v>
      </c>
      <c r="K14045" s="223"/>
      <c r="L14045" s="223" t="s">
        <v>629</v>
      </c>
      <c r="M14045" s="223">
        <v>2.5</v>
      </c>
      <c r="N14045" s="223"/>
      <c r="O14045" s="223" t="s">
        <v>559</v>
      </c>
      <c r="P14045" s="223"/>
      <c r="Q14045" s="224"/>
    </row>
    <row r="14046" spans="1:17">
      <c r="A14046" s="221">
        <v>437</v>
      </c>
      <c r="B14046" s="222">
        <v>46134</v>
      </c>
      <c r="C14046" s="223" t="s">
        <v>294</v>
      </c>
      <c r="D14046" s="223"/>
      <c r="E14046" s="223" t="s">
        <v>291</v>
      </c>
      <c r="F14046" s="223">
        <v>2026</v>
      </c>
      <c r="G14046" s="223">
        <v>3</v>
      </c>
      <c r="H14046" s="223" t="s">
        <v>61</v>
      </c>
      <c r="I14046" s="226" t="s">
        <v>62</v>
      </c>
      <c r="J14046" s="223" t="s">
        <v>360</v>
      </c>
      <c r="K14046" s="223" t="s">
        <v>37</v>
      </c>
      <c r="L14046" s="223" t="s">
        <v>630</v>
      </c>
      <c r="M14046" s="223">
        <v>3</v>
      </c>
      <c r="N14046" s="223"/>
      <c r="O14046" s="223" t="s">
        <v>112</v>
      </c>
      <c r="P14046" s="223"/>
      <c r="Q14046" s="224"/>
    </row>
    <row r="14047" spans="1:17">
      <c r="A14047" s="221">
        <v>438</v>
      </c>
      <c r="B14047" s="222">
        <v>46134</v>
      </c>
      <c r="C14047" s="223" t="s">
        <v>294</v>
      </c>
      <c r="D14047" s="223"/>
      <c r="E14047" s="223" t="s">
        <v>291</v>
      </c>
      <c r="F14047" s="223">
        <v>2026</v>
      </c>
      <c r="G14047" s="223">
        <v>3</v>
      </c>
      <c r="H14047" s="223" t="s">
        <v>61</v>
      </c>
      <c r="I14047" s="226" t="s">
        <v>62</v>
      </c>
      <c r="J14047" s="223" t="s">
        <v>360</v>
      </c>
      <c r="K14047" s="223" t="s">
        <v>38</v>
      </c>
      <c r="L14047" s="223" t="s">
        <v>630</v>
      </c>
      <c r="M14047" s="223"/>
      <c r="N14047" s="223"/>
      <c r="O14047" s="223" t="s">
        <v>127</v>
      </c>
      <c r="P14047" s="223"/>
      <c r="Q14047" s="224"/>
    </row>
    <row r="14048" spans="1:17">
      <c r="A14048" s="221"/>
      <c r="B14048" s="222">
        <v>46135</v>
      </c>
      <c r="C14048" s="223" t="s">
        <v>298</v>
      </c>
      <c r="D14048" s="223" t="s">
        <v>477</v>
      </c>
      <c r="E14048" s="223" t="s">
        <v>291</v>
      </c>
      <c r="F14048" s="223">
        <v>2026</v>
      </c>
      <c r="G14048" s="223">
        <v>3</v>
      </c>
      <c r="H14048" s="223" t="s">
        <v>461</v>
      </c>
      <c r="I14048" s="226" t="s">
        <v>142</v>
      </c>
      <c r="J14048" s="223" t="s">
        <v>462</v>
      </c>
      <c r="K14048" s="223" t="s">
        <v>101</v>
      </c>
      <c r="L14048" s="223" t="s">
        <v>632</v>
      </c>
      <c r="M14048" s="223">
        <v>3</v>
      </c>
      <c r="N14048" s="223"/>
      <c r="O14048" s="223"/>
      <c r="P14048" s="223"/>
      <c r="Q14048" s="224"/>
    </row>
    <row r="14049" spans="1:17">
      <c r="A14049" s="221"/>
      <c r="B14049" s="222">
        <v>46135</v>
      </c>
      <c r="C14049" s="223" t="s">
        <v>298</v>
      </c>
      <c r="D14049" s="223" t="s">
        <v>631</v>
      </c>
      <c r="E14049" s="223" t="s">
        <v>291</v>
      </c>
      <c r="F14049" s="223">
        <v>2026</v>
      </c>
      <c r="G14049" s="223">
        <v>1</v>
      </c>
      <c r="H14049" s="223" t="s">
        <v>461</v>
      </c>
      <c r="I14049" s="226" t="s">
        <v>142</v>
      </c>
      <c r="J14049" s="223" t="s">
        <v>462</v>
      </c>
      <c r="K14049" s="223" t="s">
        <v>10</v>
      </c>
      <c r="L14049" s="223" t="s">
        <v>632</v>
      </c>
      <c r="M14049" s="223">
        <v>3</v>
      </c>
      <c r="N14049" s="223"/>
      <c r="O14049" s="223"/>
      <c r="P14049" s="223"/>
      <c r="Q14049" s="224"/>
    </row>
    <row r="14050" spans="1:17">
      <c r="A14050" s="221">
        <v>439</v>
      </c>
      <c r="B14050" s="222">
        <v>46135</v>
      </c>
      <c r="C14050" s="223" t="s">
        <v>298</v>
      </c>
      <c r="D14050" s="223" t="s">
        <v>491</v>
      </c>
      <c r="E14050" s="223" t="s">
        <v>291</v>
      </c>
      <c r="F14050" s="223">
        <v>2026</v>
      </c>
      <c r="G14050" s="223"/>
      <c r="H14050" s="223" t="s">
        <v>99</v>
      </c>
      <c r="I14050" s="226" t="s">
        <v>108</v>
      </c>
      <c r="J14050" s="223" t="s">
        <v>366</v>
      </c>
      <c r="K14050" s="223" t="s">
        <v>104</v>
      </c>
      <c r="L14050" s="223" t="s">
        <v>391</v>
      </c>
      <c r="M14050" s="223"/>
      <c r="N14050" s="223"/>
      <c r="O14050" s="223" t="s">
        <v>109</v>
      </c>
      <c r="P14050" s="223"/>
      <c r="Q14050" s="224"/>
    </row>
    <row r="14051" spans="1:17">
      <c r="A14051" s="221">
        <v>440</v>
      </c>
      <c r="B14051" s="222">
        <v>46135</v>
      </c>
      <c r="C14051" s="223" t="s">
        <v>298</v>
      </c>
      <c r="D14051" s="223"/>
      <c r="E14051" s="223" t="s">
        <v>291</v>
      </c>
      <c r="F14051" s="223">
        <v>2026</v>
      </c>
      <c r="G14051" s="223"/>
      <c r="H14051" s="223" t="s">
        <v>99</v>
      </c>
      <c r="I14051" s="226" t="s">
        <v>100</v>
      </c>
      <c r="J14051" s="223" t="s">
        <v>373</v>
      </c>
      <c r="K14051" s="223" t="s">
        <v>101</v>
      </c>
      <c r="L14051" s="223" t="s">
        <v>427</v>
      </c>
      <c r="M14051" s="223"/>
      <c r="N14051" s="223"/>
      <c r="O14051" s="223" t="s">
        <v>102</v>
      </c>
      <c r="P14051" s="223"/>
      <c r="Q14051" s="224"/>
    </row>
    <row r="14052" spans="1:17" ht="45.75">
      <c r="A14052" s="221">
        <v>441</v>
      </c>
      <c r="B14052" s="222">
        <v>46135</v>
      </c>
      <c r="C14052" s="223" t="s">
        <v>298</v>
      </c>
      <c r="D14052" s="223" t="s">
        <v>532</v>
      </c>
      <c r="E14052" s="223" t="s">
        <v>291</v>
      </c>
      <c r="F14052" s="223">
        <v>2026</v>
      </c>
      <c r="G14052" s="223">
        <v>2.5</v>
      </c>
      <c r="H14052" s="223" t="s">
        <v>99</v>
      </c>
      <c r="I14052" s="226" t="s">
        <v>100</v>
      </c>
      <c r="J14052" s="223" t="s">
        <v>373</v>
      </c>
      <c r="K14052" s="223" t="s">
        <v>10</v>
      </c>
      <c r="L14052" s="226" t="s">
        <v>547</v>
      </c>
      <c r="M14052" s="223">
        <v>2.5</v>
      </c>
      <c r="N14052" s="223"/>
      <c r="O14052" s="223" t="s">
        <v>29</v>
      </c>
      <c r="P14052" s="223"/>
      <c r="Q14052" s="224"/>
    </row>
    <row r="14053" spans="1:17">
      <c r="A14053" s="221"/>
      <c r="B14053" s="222">
        <v>46135</v>
      </c>
      <c r="C14053" s="223" t="s">
        <v>298</v>
      </c>
      <c r="D14053" s="223"/>
      <c r="E14053" s="223" t="s">
        <v>291</v>
      </c>
      <c r="F14053" s="223">
        <v>2026</v>
      </c>
      <c r="G14053" s="223"/>
      <c r="H14053" s="223" t="s">
        <v>99</v>
      </c>
      <c r="I14053" s="226" t="s">
        <v>100</v>
      </c>
      <c r="J14053" s="223" t="s">
        <v>373</v>
      </c>
      <c r="K14053" s="223" t="s">
        <v>106</v>
      </c>
      <c r="L14053" s="223" t="s">
        <v>427</v>
      </c>
      <c r="M14053" s="223"/>
      <c r="N14053" s="223"/>
      <c r="O14053" s="223"/>
      <c r="P14053" s="223"/>
      <c r="Q14053" s="224"/>
    </row>
    <row r="14054" spans="1:17" ht="45.75">
      <c r="A14054" s="221">
        <v>442</v>
      </c>
      <c r="B14054" s="222">
        <v>46135</v>
      </c>
      <c r="C14054" s="223" t="s">
        <v>298</v>
      </c>
      <c r="D14054" s="223" t="s">
        <v>599</v>
      </c>
      <c r="E14054" s="223" t="s">
        <v>291</v>
      </c>
      <c r="F14054" s="223">
        <v>2026</v>
      </c>
      <c r="G14054" s="223">
        <v>5</v>
      </c>
      <c r="H14054" s="223" t="s">
        <v>80</v>
      </c>
      <c r="I14054" s="226" t="s">
        <v>81</v>
      </c>
      <c r="J14054" s="223" t="s">
        <v>366</v>
      </c>
      <c r="K14054" s="223"/>
      <c r="L14054" s="226" t="s">
        <v>633</v>
      </c>
      <c r="M14054" s="223" t="s">
        <v>634</v>
      </c>
      <c r="N14054" s="223"/>
      <c r="O14054" s="223" t="s">
        <v>12</v>
      </c>
      <c r="P14054" s="223"/>
      <c r="Q14054" s="224"/>
    </row>
    <row r="14055" spans="1:17">
      <c r="A14055" s="221">
        <v>443</v>
      </c>
      <c r="B14055" s="222">
        <v>46135</v>
      </c>
      <c r="C14055" s="223" t="s">
        <v>298</v>
      </c>
      <c r="D14055" s="223" t="s">
        <v>451</v>
      </c>
      <c r="E14055" s="223" t="s">
        <v>291</v>
      </c>
      <c r="F14055" s="223">
        <v>2026</v>
      </c>
      <c r="G14055" s="223">
        <v>3</v>
      </c>
      <c r="H14055" s="223" t="s">
        <v>61</v>
      </c>
      <c r="I14055" s="226" t="s">
        <v>62</v>
      </c>
      <c r="J14055" s="223" t="s">
        <v>360</v>
      </c>
      <c r="K14055" s="223" t="s">
        <v>37</v>
      </c>
      <c r="L14055" s="223" t="s">
        <v>476</v>
      </c>
      <c r="M14055" s="223">
        <v>3</v>
      </c>
      <c r="N14055" s="223"/>
      <c r="O14055" s="223" t="s">
        <v>112</v>
      </c>
      <c r="P14055" s="223"/>
      <c r="Q14055" s="224"/>
    </row>
    <row r="14056" spans="1:17">
      <c r="A14056" s="221">
        <v>444</v>
      </c>
      <c r="B14056" s="222">
        <v>46135</v>
      </c>
      <c r="C14056" s="223" t="s">
        <v>298</v>
      </c>
      <c r="D14056" s="223" t="s">
        <v>452</v>
      </c>
      <c r="E14056" s="223" t="s">
        <v>291</v>
      </c>
      <c r="F14056" s="223">
        <v>2026</v>
      </c>
      <c r="G14056" s="223">
        <v>3</v>
      </c>
      <c r="H14056" s="223" t="s">
        <v>61</v>
      </c>
      <c r="I14056" s="226" t="s">
        <v>62</v>
      </c>
      <c r="J14056" s="223" t="s">
        <v>360</v>
      </c>
      <c r="K14056" s="223" t="s">
        <v>38</v>
      </c>
      <c r="L14056" s="223" t="s">
        <v>502</v>
      </c>
      <c r="M14056" s="223">
        <v>3</v>
      </c>
      <c r="N14056" s="223"/>
      <c r="O14056" s="223" t="s">
        <v>127</v>
      </c>
      <c r="P14056" s="223"/>
      <c r="Q14056" s="224"/>
    </row>
    <row r="14057" spans="1:17" ht="30.75">
      <c r="A14057" s="221">
        <v>445</v>
      </c>
      <c r="B14057" s="222">
        <v>46136</v>
      </c>
      <c r="C14057" s="223" t="s">
        <v>301</v>
      </c>
      <c r="D14057" s="223" t="s">
        <v>524</v>
      </c>
      <c r="E14057" s="223" t="s">
        <v>291</v>
      </c>
      <c r="F14057" s="223">
        <v>2026</v>
      </c>
      <c r="G14057" s="223">
        <v>2.5</v>
      </c>
      <c r="H14057" s="223" t="s">
        <v>115</v>
      </c>
      <c r="I14057" s="226" t="s">
        <v>437</v>
      </c>
      <c r="J14057" s="223" t="s">
        <v>438</v>
      </c>
      <c r="K14057" s="223" t="s">
        <v>101</v>
      </c>
      <c r="L14057" s="223" t="s">
        <v>637</v>
      </c>
      <c r="M14057" s="223">
        <v>2.5</v>
      </c>
      <c r="N14057" s="223"/>
      <c r="O14057" s="223" t="s">
        <v>164</v>
      </c>
      <c r="P14057" s="223"/>
      <c r="Q14057" s="224"/>
    </row>
    <row r="14058" spans="1:17">
      <c r="A14058" s="221">
        <v>446</v>
      </c>
      <c r="B14058" s="222">
        <v>46136</v>
      </c>
      <c r="C14058" s="223" t="s">
        <v>301</v>
      </c>
      <c r="D14058" s="223" t="s">
        <v>480</v>
      </c>
      <c r="E14058" s="223" t="s">
        <v>291</v>
      </c>
      <c r="F14058" s="223">
        <v>2026</v>
      </c>
      <c r="G14058" s="223">
        <v>3</v>
      </c>
      <c r="H14058" s="223" t="s">
        <v>132</v>
      </c>
      <c r="I14058" s="226" t="s">
        <v>133</v>
      </c>
      <c r="J14058" s="223" t="s">
        <v>360</v>
      </c>
      <c r="K14058" s="223" t="s">
        <v>106</v>
      </c>
      <c r="L14058" s="223" t="s">
        <v>635</v>
      </c>
      <c r="M14058" s="223">
        <v>3</v>
      </c>
      <c r="N14058" s="223"/>
      <c r="O14058" s="223" t="s">
        <v>127</v>
      </c>
      <c r="P14058" s="223"/>
      <c r="Q14058" s="224"/>
    </row>
    <row r="14059" spans="1:17">
      <c r="A14059" s="221">
        <v>447</v>
      </c>
      <c r="B14059" s="222">
        <v>46136</v>
      </c>
      <c r="C14059" s="223" t="s">
        <v>301</v>
      </c>
      <c r="D14059" s="223" t="s">
        <v>482</v>
      </c>
      <c r="E14059" s="223" t="s">
        <v>291</v>
      </c>
      <c r="F14059" s="223">
        <v>2026</v>
      </c>
      <c r="G14059" s="223">
        <v>2</v>
      </c>
      <c r="H14059" s="223" t="s">
        <v>132</v>
      </c>
      <c r="I14059" s="226" t="s">
        <v>133</v>
      </c>
      <c r="J14059" s="223" t="s">
        <v>360</v>
      </c>
      <c r="K14059" s="223" t="s">
        <v>135</v>
      </c>
      <c r="L14059" s="223" t="s">
        <v>636</v>
      </c>
      <c r="M14059" s="223">
        <v>2</v>
      </c>
      <c r="N14059" s="223"/>
      <c r="O14059" s="223" t="s">
        <v>63</v>
      </c>
      <c r="P14059" s="223"/>
      <c r="Q14059" s="224"/>
    </row>
    <row r="14060" spans="1:17">
      <c r="A14060" s="221"/>
      <c r="B14060" s="222">
        <v>46136</v>
      </c>
      <c r="C14060" s="223" t="s">
        <v>301</v>
      </c>
      <c r="D14060" s="223"/>
      <c r="E14060" s="223" t="s">
        <v>359</v>
      </c>
      <c r="F14060" s="223">
        <v>2026</v>
      </c>
      <c r="G14060" s="223"/>
      <c r="H14060" s="223" t="s">
        <v>363</v>
      </c>
      <c r="I14060" s="226"/>
      <c r="J14060" s="223" t="s">
        <v>311</v>
      </c>
      <c r="K14060" s="223" t="s">
        <v>101</v>
      </c>
      <c r="L14060" s="223"/>
      <c r="M14060" s="223"/>
      <c r="N14060" s="223"/>
      <c r="O14060" s="223"/>
      <c r="P14060" s="223"/>
      <c r="Q14060" s="224"/>
    </row>
    <row r="14061" spans="1:17" ht="45.75">
      <c r="A14061" s="221">
        <v>448</v>
      </c>
      <c r="B14061" s="222">
        <v>46136</v>
      </c>
      <c r="C14061" s="223" t="s">
        <v>301</v>
      </c>
      <c r="D14061" s="223" t="s">
        <v>599</v>
      </c>
      <c r="E14061" s="223" t="s">
        <v>291</v>
      </c>
      <c r="F14061" s="223">
        <v>2026</v>
      </c>
      <c r="G14061" s="223">
        <v>5</v>
      </c>
      <c r="H14061" s="223" t="s">
        <v>80</v>
      </c>
      <c r="I14061" s="226" t="s">
        <v>81</v>
      </c>
      <c r="J14061" s="223" t="s">
        <v>366</v>
      </c>
      <c r="K14061" s="223"/>
      <c r="L14061" s="226" t="s">
        <v>633</v>
      </c>
      <c r="M14061" s="223" t="s">
        <v>634</v>
      </c>
      <c r="N14061" s="223"/>
      <c r="O14061" s="223" t="s">
        <v>12</v>
      </c>
      <c r="P14061" s="223"/>
      <c r="Q14061" s="224"/>
    </row>
    <row r="14062" spans="1:17">
      <c r="A14062" s="221"/>
      <c r="B14062" s="222">
        <v>46136</v>
      </c>
      <c r="C14062" s="223" t="s">
        <v>301</v>
      </c>
      <c r="D14062" s="223" t="s">
        <v>372</v>
      </c>
      <c r="E14062" s="223" t="s">
        <v>291</v>
      </c>
      <c r="F14062" s="223">
        <v>2026</v>
      </c>
      <c r="G14062" s="223"/>
      <c r="H14062" s="223" t="s">
        <v>57</v>
      </c>
      <c r="I14062" s="226" t="s">
        <v>58</v>
      </c>
      <c r="J14062" s="223" t="s">
        <v>373</v>
      </c>
      <c r="K14062" s="223"/>
      <c r="L14062" s="223" t="s">
        <v>427</v>
      </c>
      <c r="M14062" s="223"/>
      <c r="N14062" s="223"/>
      <c r="O14062" s="223"/>
      <c r="P14062" s="223"/>
      <c r="Q14062" s="224"/>
    </row>
    <row r="14063" spans="1:17">
      <c r="A14063" s="221">
        <v>449</v>
      </c>
      <c r="B14063" s="222">
        <v>46136</v>
      </c>
      <c r="C14063" s="223" t="s">
        <v>301</v>
      </c>
      <c r="D14063" s="223" t="s">
        <v>451</v>
      </c>
      <c r="E14063" s="223" t="s">
        <v>291</v>
      </c>
      <c r="F14063" s="223">
        <v>2026</v>
      </c>
      <c r="G14063" s="223">
        <v>3</v>
      </c>
      <c r="H14063" s="223" t="s">
        <v>61</v>
      </c>
      <c r="I14063" s="226" t="s">
        <v>62</v>
      </c>
      <c r="J14063" s="223" t="s">
        <v>360</v>
      </c>
      <c r="K14063" s="223" t="s">
        <v>37</v>
      </c>
      <c r="L14063" s="223" t="s">
        <v>476</v>
      </c>
      <c r="M14063" s="223">
        <v>3</v>
      </c>
      <c r="N14063" s="223"/>
      <c r="O14063" s="223" t="s">
        <v>112</v>
      </c>
      <c r="P14063" s="223"/>
      <c r="Q14063" s="224"/>
    </row>
    <row r="14064" spans="1:17">
      <c r="A14064" s="221">
        <v>450</v>
      </c>
      <c r="B14064" s="222">
        <v>46136</v>
      </c>
      <c r="C14064" s="223" t="s">
        <v>301</v>
      </c>
      <c r="D14064" s="223" t="s">
        <v>452</v>
      </c>
      <c r="E14064" s="223" t="s">
        <v>291</v>
      </c>
      <c r="F14064" s="223">
        <v>2026</v>
      </c>
      <c r="G14064" s="223">
        <v>3</v>
      </c>
      <c r="H14064" s="223" t="s">
        <v>61</v>
      </c>
      <c r="I14064" s="226" t="s">
        <v>62</v>
      </c>
      <c r="J14064" s="223" t="s">
        <v>360</v>
      </c>
      <c r="K14064" s="223" t="s">
        <v>38</v>
      </c>
      <c r="L14064" s="223" t="s">
        <v>506</v>
      </c>
      <c r="M14064" s="223">
        <v>3</v>
      </c>
      <c r="N14064" s="223"/>
      <c r="O14064" s="223" t="s">
        <v>127</v>
      </c>
      <c r="P14064" s="223"/>
      <c r="Q14064" s="224"/>
    </row>
    <row r="14065" spans="1:17">
      <c r="A14065" s="221">
        <v>451</v>
      </c>
      <c r="B14065" s="222">
        <v>46139</v>
      </c>
      <c r="C14065" s="223" t="s">
        <v>302</v>
      </c>
      <c r="D14065" s="223" t="s">
        <v>638</v>
      </c>
      <c r="E14065" s="223" t="s">
        <v>291</v>
      </c>
      <c r="F14065" s="223">
        <v>2026</v>
      </c>
      <c r="G14065" s="223">
        <v>2.5</v>
      </c>
      <c r="H14065" s="223" t="s">
        <v>132</v>
      </c>
      <c r="I14065" s="226" t="s">
        <v>183</v>
      </c>
      <c r="J14065" s="223" t="s">
        <v>623</v>
      </c>
      <c r="K14065" s="223" t="s">
        <v>101</v>
      </c>
      <c r="L14065" s="223" t="s">
        <v>639</v>
      </c>
      <c r="M14065" s="223">
        <v>2.5</v>
      </c>
      <c r="N14065" s="223"/>
      <c r="O14065" s="223" t="s">
        <v>164</v>
      </c>
      <c r="P14065" s="223"/>
      <c r="Q14065" s="224"/>
    </row>
    <row r="14066" spans="1:17">
      <c r="A14066" s="221">
        <v>452</v>
      </c>
      <c r="B14066" s="222">
        <v>46139</v>
      </c>
      <c r="C14066" s="223" t="s">
        <v>302</v>
      </c>
      <c r="D14066" s="223" t="s">
        <v>520</v>
      </c>
      <c r="E14066" s="223" t="s">
        <v>291</v>
      </c>
      <c r="F14066" s="223">
        <v>2026</v>
      </c>
      <c r="G14066" s="223">
        <v>3</v>
      </c>
      <c r="H14066" s="223" t="s">
        <v>57</v>
      </c>
      <c r="I14066" s="226" t="s">
        <v>89</v>
      </c>
      <c r="J14066" s="223" t="s">
        <v>311</v>
      </c>
      <c r="K14066" s="223" t="s">
        <v>90</v>
      </c>
      <c r="L14066" s="223" t="s">
        <v>640</v>
      </c>
      <c r="M14066" s="223">
        <v>3</v>
      </c>
      <c r="N14066" s="223"/>
      <c r="O14066" s="223" t="s">
        <v>91</v>
      </c>
      <c r="P14066" s="223"/>
      <c r="Q14066" s="224"/>
    </row>
    <row r="14067" spans="1:17">
      <c r="A14067" s="221">
        <v>453</v>
      </c>
      <c r="B14067" s="222">
        <v>46139</v>
      </c>
      <c r="C14067" s="223" t="s">
        <v>302</v>
      </c>
      <c r="D14067" s="223" t="s">
        <v>477</v>
      </c>
      <c r="E14067" s="223" t="s">
        <v>291</v>
      </c>
      <c r="F14067" s="223">
        <v>2026</v>
      </c>
      <c r="G14067" s="223">
        <v>3</v>
      </c>
      <c r="H14067" s="223" t="s">
        <v>461</v>
      </c>
      <c r="I14067" s="226" t="s">
        <v>136</v>
      </c>
      <c r="J14067" s="223" t="s">
        <v>462</v>
      </c>
      <c r="K14067" s="223" t="s">
        <v>101</v>
      </c>
      <c r="L14067" s="223" t="s">
        <v>641</v>
      </c>
      <c r="M14067" s="223">
        <v>3</v>
      </c>
      <c r="N14067" s="223"/>
      <c r="O14067" s="223" t="s">
        <v>140</v>
      </c>
      <c r="P14067" s="223"/>
      <c r="Q14067" s="224"/>
    </row>
    <row r="14068" spans="1:17">
      <c r="A14068" s="221">
        <v>454</v>
      </c>
      <c r="B14068" s="222">
        <v>46139</v>
      </c>
      <c r="C14068" s="223" t="s">
        <v>302</v>
      </c>
      <c r="D14068" s="223" t="s">
        <v>479</v>
      </c>
      <c r="E14068" s="223" t="s">
        <v>291</v>
      </c>
      <c r="F14068" s="223">
        <v>2026</v>
      </c>
      <c r="G14068" s="223">
        <v>3</v>
      </c>
      <c r="H14068" s="223" t="s">
        <v>461</v>
      </c>
      <c r="I14068" s="226" t="s">
        <v>136</v>
      </c>
      <c r="J14068" s="223" t="s">
        <v>462</v>
      </c>
      <c r="K14068" s="223" t="s">
        <v>10</v>
      </c>
      <c r="L14068" s="223" t="s">
        <v>641</v>
      </c>
      <c r="M14068" s="223">
        <v>3</v>
      </c>
      <c r="N14068" s="223"/>
      <c r="O14068" s="223" t="s">
        <v>140</v>
      </c>
      <c r="P14068" s="223"/>
      <c r="Q14068" s="224"/>
    </row>
    <row r="14069" spans="1:17">
      <c r="A14069" s="221">
        <v>455</v>
      </c>
      <c r="B14069" s="222">
        <v>46139</v>
      </c>
      <c r="C14069" s="223" t="s">
        <v>302</v>
      </c>
      <c r="D14069" s="223" t="s">
        <v>592</v>
      </c>
      <c r="E14069" s="223" t="s">
        <v>291</v>
      </c>
      <c r="F14069" s="223">
        <v>2026</v>
      </c>
      <c r="G14069" s="223">
        <v>2</v>
      </c>
      <c r="H14069" s="223" t="s">
        <v>132</v>
      </c>
      <c r="I14069" s="226" t="s">
        <v>133</v>
      </c>
      <c r="J14069" s="223" t="s">
        <v>360</v>
      </c>
      <c r="K14069" s="223" t="s">
        <v>106</v>
      </c>
      <c r="L14069" s="223" t="s">
        <v>642</v>
      </c>
      <c r="M14069" s="223">
        <v>2</v>
      </c>
      <c r="N14069" s="223"/>
      <c r="O14069" s="223" t="s">
        <v>127</v>
      </c>
      <c r="P14069" s="223"/>
      <c r="Q14069" s="224"/>
    </row>
    <row r="14070" spans="1:17">
      <c r="A14070" s="221">
        <v>456</v>
      </c>
      <c r="B14070" s="222">
        <v>46139</v>
      </c>
      <c r="C14070" s="223" t="s">
        <v>302</v>
      </c>
      <c r="D14070" s="223" t="s">
        <v>482</v>
      </c>
      <c r="E14070" s="223" t="s">
        <v>291</v>
      </c>
      <c r="F14070" s="223">
        <v>2026</v>
      </c>
      <c r="G14070" s="223">
        <v>2</v>
      </c>
      <c r="H14070" s="223" t="s">
        <v>132</v>
      </c>
      <c r="I14070" s="226" t="s">
        <v>133</v>
      </c>
      <c r="J14070" s="223" t="s">
        <v>360</v>
      </c>
      <c r="K14070" s="223" t="s">
        <v>135</v>
      </c>
      <c r="L14070" s="223" t="s">
        <v>593</v>
      </c>
      <c r="M14070" s="223">
        <v>2</v>
      </c>
      <c r="N14070" s="223"/>
      <c r="O14070" s="223" t="s">
        <v>63</v>
      </c>
      <c r="P14070" s="223"/>
      <c r="Q14070" s="224"/>
    </row>
    <row r="14071" spans="1:17">
      <c r="A14071" s="221">
        <v>457</v>
      </c>
      <c r="B14071" s="222">
        <v>46139</v>
      </c>
      <c r="C14071" s="223" t="s">
        <v>302</v>
      </c>
      <c r="D14071" s="223" t="s">
        <v>451</v>
      </c>
      <c r="E14071" s="223" t="s">
        <v>291</v>
      </c>
      <c r="F14071" s="223">
        <v>2026</v>
      </c>
      <c r="G14071" s="223">
        <v>3</v>
      </c>
      <c r="H14071" s="223" t="s">
        <v>61</v>
      </c>
      <c r="I14071" s="226" t="s">
        <v>62</v>
      </c>
      <c r="J14071" s="223" t="s">
        <v>360</v>
      </c>
      <c r="K14071" s="223" t="s">
        <v>37</v>
      </c>
      <c r="L14071" s="223" t="s">
        <v>502</v>
      </c>
      <c r="M14071" s="223">
        <v>3</v>
      </c>
      <c r="N14071" s="223"/>
      <c r="O14071" s="223" t="s">
        <v>112</v>
      </c>
      <c r="P14071" s="223"/>
      <c r="Q14071" s="224"/>
    </row>
    <row r="14072" spans="1:17">
      <c r="A14072" s="221">
        <v>458</v>
      </c>
      <c r="B14072" s="222">
        <v>46139</v>
      </c>
      <c r="C14072" s="223" t="s">
        <v>302</v>
      </c>
      <c r="D14072" s="223" t="s">
        <v>452</v>
      </c>
      <c r="E14072" s="223" t="s">
        <v>291</v>
      </c>
      <c r="F14072" s="223">
        <v>2026</v>
      </c>
      <c r="G14072" s="223">
        <v>3</v>
      </c>
      <c r="H14072" s="223" t="s">
        <v>61</v>
      </c>
      <c r="I14072" s="226" t="s">
        <v>62</v>
      </c>
      <c r="J14072" s="223" t="s">
        <v>360</v>
      </c>
      <c r="K14072" s="223" t="s">
        <v>38</v>
      </c>
      <c r="L14072" s="223" t="s">
        <v>507</v>
      </c>
      <c r="M14072" s="223">
        <v>3</v>
      </c>
      <c r="N14072" s="223"/>
      <c r="O14072" s="223" t="s">
        <v>127</v>
      </c>
      <c r="P14072" s="223"/>
      <c r="Q14072" s="224"/>
    </row>
    <row r="14073" spans="1:17">
      <c r="A14073" s="221">
        <v>459</v>
      </c>
      <c r="B14073" s="222">
        <v>46140</v>
      </c>
      <c r="C14073" s="223" t="s">
        <v>289</v>
      </c>
      <c r="D14073" s="223" t="s">
        <v>646</v>
      </c>
      <c r="E14073" s="223" t="s">
        <v>291</v>
      </c>
      <c r="F14073" s="223">
        <v>2026</v>
      </c>
      <c r="G14073" s="223">
        <v>0.5</v>
      </c>
      <c r="H14073" s="223" t="s">
        <v>132</v>
      </c>
      <c r="I14073" s="226" t="s">
        <v>184</v>
      </c>
      <c r="J14073" s="223" t="s">
        <v>360</v>
      </c>
      <c r="K14073" s="223" t="s">
        <v>101</v>
      </c>
      <c r="L14073" s="223" t="s">
        <v>647</v>
      </c>
      <c r="M14073" s="223">
        <v>0.5</v>
      </c>
      <c r="N14073" s="223"/>
      <c r="O14073" s="223" t="s">
        <v>185</v>
      </c>
      <c r="P14073" s="223"/>
      <c r="Q14073" s="224"/>
    </row>
    <row r="14074" spans="1:17">
      <c r="A14074" s="221">
        <v>460</v>
      </c>
      <c r="B14074" s="222">
        <v>46140</v>
      </c>
      <c r="C14074" s="223" t="s">
        <v>289</v>
      </c>
      <c r="D14074" s="223" t="s">
        <v>477</v>
      </c>
      <c r="E14074" s="223" t="s">
        <v>291</v>
      </c>
      <c r="F14074" s="223">
        <v>2026</v>
      </c>
      <c r="G14074" s="223">
        <v>3</v>
      </c>
      <c r="H14074" s="223" t="s">
        <v>461</v>
      </c>
      <c r="I14074" s="226" t="s">
        <v>142</v>
      </c>
      <c r="J14074" s="223" t="s">
        <v>462</v>
      </c>
      <c r="K14074" s="223" t="s">
        <v>101</v>
      </c>
      <c r="L14074" s="223" t="s">
        <v>648</v>
      </c>
      <c r="M14074" s="223">
        <v>3</v>
      </c>
      <c r="N14074" s="223"/>
      <c r="O14074" s="223" t="s">
        <v>138</v>
      </c>
      <c r="P14074" s="223"/>
      <c r="Q14074" s="224"/>
    </row>
    <row r="14075" spans="1:17">
      <c r="A14075" s="221">
        <v>461</v>
      </c>
      <c r="B14075" s="222">
        <v>46140</v>
      </c>
      <c r="C14075" s="223" t="s">
        <v>289</v>
      </c>
      <c r="D14075" s="223" t="s">
        <v>479</v>
      </c>
      <c r="E14075" s="223" t="s">
        <v>291</v>
      </c>
      <c r="F14075" s="223">
        <v>2026</v>
      </c>
      <c r="G14075" s="223">
        <v>3</v>
      </c>
      <c r="H14075" s="223" t="s">
        <v>461</v>
      </c>
      <c r="I14075" s="226" t="s">
        <v>142</v>
      </c>
      <c r="J14075" s="223" t="s">
        <v>462</v>
      </c>
      <c r="K14075" s="223" t="s">
        <v>10</v>
      </c>
      <c r="L14075" s="223" t="s">
        <v>648</v>
      </c>
      <c r="M14075" s="223">
        <v>3</v>
      </c>
      <c r="N14075" s="223"/>
      <c r="O14075" s="223" t="s">
        <v>102</v>
      </c>
      <c r="P14075" s="223"/>
      <c r="Q14075" s="224"/>
    </row>
    <row r="14076" spans="1:17">
      <c r="A14076" s="221">
        <v>462</v>
      </c>
      <c r="B14076" s="222">
        <v>46140</v>
      </c>
      <c r="C14076" s="223" t="s">
        <v>289</v>
      </c>
      <c r="D14076" s="223" t="s">
        <v>497</v>
      </c>
      <c r="E14076" s="223" t="s">
        <v>291</v>
      </c>
      <c r="F14076" s="223">
        <v>2026</v>
      </c>
      <c r="G14076" s="223" t="s">
        <v>498</v>
      </c>
      <c r="H14076" s="223" t="s">
        <v>57</v>
      </c>
      <c r="I14076" s="226" t="s">
        <v>454</v>
      </c>
      <c r="J14076" s="223" t="s">
        <v>311</v>
      </c>
      <c r="K14076" s="223"/>
      <c r="L14076" s="223" t="s">
        <v>612</v>
      </c>
      <c r="M14076" s="223" t="s">
        <v>498</v>
      </c>
      <c r="N14076" s="223"/>
      <c r="O14076" s="223" t="s">
        <v>559</v>
      </c>
      <c r="P14076" s="223"/>
      <c r="Q14076" s="224"/>
    </row>
    <row r="14077" spans="1:17" ht="45.75">
      <c r="A14077" s="221"/>
      <c r="B14077" s="222">
        <v>46140</v>
      </c>
      <c r="C14077" s="223" t="s">
        <v>289</v>
      </c>
      <c r="D14077" s="223"/>
      <c r="E14077" s="223" t="s">
        <v>291</v>
      </c>
      <c r="F14077" s="223">
        <v>2026</v>
      </c>
      <c r="G14077" s="223"/>
      <c r="H14077" s="223" t="s">
        <v>99</v>
      </c>
      <c r="I14077" s="226" t="s">
        <v>108</v>
      </c>
      <c r="J14077" s="223" t="s">
        <v>366</v>
      </c>
      <c r="K14077" s="223" t="s">
        <v>101</v>
      </c>
      <c r="L14077" s="226" t="s">
        <v>649</v>
      </c>
      <c r="M14077" s="223"/>
      <c r="N14077" s="223"/>
      <c r="O14077" s="223"/>
      <c r="P14077" s="223"/>
      <c r="Q14077" s="224"/>
    </row>
    <row r="14078" spans="1:17" ht="45.75">
      <c r="A14078" s="221"/>
      <c r="B14078" s="222">
        <v>46140</v>
      </c>
      <c r="C14078" s="223" t="s">
        <v>289</v>
      </c>
      <c r="D14078" s="223"/>
      <c r="E14078" s="223" t="s">
        <v>291</v>
      </c>
      <c r="F14078" s="223">
        <v>2026</v>
      </c>
      <c r="G14078" s="223"/>
      <c r="H14078" s="223" t="s">
        <v>99</v>
      </c>
      <c r="I14078" s="226" t="s">
        <v>108</v>
      </c>
      <c r="J14078" s="223" t="s">
        <v>366</v>
      </c>
      <c r="K14078" s="223" t="s">
        <v>10</v>
      </c>
      <c r="L14078" s="226" t="s">
        <v>649</v>
      </c>
      <c r="M14078" s="223"/>
      <c r="N14078" s="223"/>
      <c r="O14078" s="223"/>
      <c r="P14078" s="223"/>
      <c r="Q14078" s="224"/>
    </row>
    <row r="14079" spans="1:17" ht="45.75">
      <c r="A14079" s="221"/>
      <c r="B14079" s="222">
        <v>46140</v>
      </c>
      <c r="C14079" s="223" t="s">
        <v>289</v>
      </c>
      <c r="D14079" s="223"/>
      <c r="E14079" s="223" t="s">
        <v>291</v>
      </c>
      <c r="F14079" s="223">
        <v>2026</v>
      </c>
      <c r="G14079" s="223"/>
      <c r="H14079" s="223" t="s">
        <v>99</v>
      </c>
      <c r="I14079" s="226" t="s">
        <v>108</v>
      </c>
      <c r="J14079" s="223" t="s">
        <v>366</v>
      </c>
      <c r="K14079" s="223" t="s">
        <v>104</v>
      </c>
      <c r="L14079" s="226" t="s">
        <v>649</v>
      </c>
      <c r="M14079" s="223"/>
      <c r="N14079" s="223"/>
      <c r="O14079" s="223"/>
      <c r="P14079" s="223"/>
      <c r="Q14079" s="224"/>
    </row>
    <row r="14080" spans="1:17" ht="45.75">
      <c r="A14080" s="221"/>
      <c r="B14080" s="222">
        <v>46140</v>
      </c>
      <c r="C14080" s="223" t="s">
        <v>289</v>
      </c>
      <c r="D14080" s="223"/>
      <c r="E14080" s="223" t="s">
        <v>291</v>
      </c>
      <c r="F14080" s="223">
        <v>2026</v>
      </c>
      <c r="G14080" s="223"/>
      <c r="H14080" s="223" t="s">
        <v>99</v>
      </c>
      <c r="I14080" s="226" t="s">
        <v>108</v>
      </c>
      <c r="J14080" s="223" t="s">
        <v>366</v>
      </c>
      <c r="K14080" s="223" t="s">
        <v>104</v>
      </c>
      <c r="L14080" s="226" t="s">
        <v>649</v>
      </c>
      <c r="M14080" s="223"/>
      <c r="N14080" s="223"/>
      <c r="O14080" s="223"/>
      <c r="P14080" s="223"/>
      <c r="Q14080" s="224"/>
    </row>
    <row r="14081" spans="1:17">
      <c r="A14081" s="221">
        <v>463</v>
      </c>
      <c r="B14081" s="222">
        <v>46140</v>
      </c>
      <c r="C14081" s="223" t="s">
        <v>289</v>
      </c>
      <c r="D14081" s="223" t="s">
        <v>456</v>
      </c>
      <c r="E14081" s="223" t="s">
        <v>291</v>
      </c>
      <c r="F14081" s="223">
        <v>2026</v>
      </c>
      <c r="G14081" s="223">
        <v>2.5</v>
      </c>
      <c r="H14081" s="223" t="s">
        <v>99</v>
      </c>
      <c r="I14081" s="226" t="s">
        <v>100</v>
      </c>
      <c r="J14081" s="223" t="s">
        <v>373</v>
      </c>
      <c r="K14081" s="223" t="s">
        <v>101</v>
      </c>
      <c r="L14081" s="223" t="s">
        <v>621</v>
      </c>
      <c r="M14081" s="223">
        <v>2.5</v>
      </c>
      <c r="N14081" s="223"/>
      <c r="O14081" s="223" t="s">
        <v>102</v>
      </c>
      <c r="P14081" s="223"/>
      <c r="Q14081" s="224"/>
    </row>
    <row r="14082" spans="1:17" ht="30.75">
      <c r="A14082" s="221">
        <v>464</v>
      </c>
      <c r="B14082" s="222">
        <v>46140</v>
      </c>
      <c r="C14082" s="223" t="s">
        <v>289</v>
      </c>
      <c r="D14082" s="223" t="s">
        <v>532</v>
      </c>
      <c r="E14082" s="223" t="s">
        <v>291</v>
      </c>
      <c r="F14082" s="223">
        <v>2026</v>
      </c>
      <c r="G14082" s="223">
        <v>2.5</v>
      </c>
      <c r="H14082" s="223" t="s">
        <v>99</v>
      </c>
      <c r="I14082" s="226" t="s">
        <v>100</v>
      </c>
      <c r="J14082" s="223" t="s">
        <v>373</v>
      </c>
      <c r="K14082" s="223" t="s">
        <v>10</v>
      </c>
      <c r="L14082" s="226" t="s">
        <v>548</v>
      </c>
      <c r="M14082" s="223">
        <v>2.5</v>
      </c>
      <c r="N14082" s="223"/>
      <c r="O14082" s="223" t="s">
        <v>29</v>
      </c>
      <c r="P14082" s="223"/>
      <c r="Q14082" s="224"/>
    </row>
    <row r="14083" spans="1:17">
      <c r="A14083" s="221">
        <v>465</v>
      </c>
      <c r="B14083" s="222">
        <v>46140</v>
      </c>
      <c r="C14083" s="223" t="s">
        <v>289</v>
      </c>
      <c r="D14083" s="223" t="s">
        <v>467</v>
      </c>
      <c r="E14083" s="223" t="s">
        <v>291</v>
      </c>
      <c r="F14083" s="223">
        <v>2026</v>
      </c>
      <c r="G14083" s="223">
        <v>2.5</v>
      </c>
      <c r="H14083" s="223" t="s">
        <v>99</v>
      </c>
      <c r="I14083" s="226" t="s">
        <v>100</v>
      </c>
      <c r="J14083" s="223" t="s">
        <v>373</v>
      </c>
      <c r="K14083" s="223" t="s">
        <v>104</v>
      </c>
      <c r="L14083" s="223" t="s">
        <v>606</v>
      </c>
      <c r="M14083" s="223">
        <v>2.5</v>
      </c>
      <c r="N14083" s="223"/>
      <c r="O14083" s="223" t="s">
        <v>70</v>
      </c>
      <c r="P14083" s="223"/>
      <c r="Q14083" s="224"/>
    </row>
    <row r="14084" spans="1:17">
      <c r="A14084" s="221">
        <v>466</v>
      </c>
      <c r="B14084" s="222">
        <v>46140</v>
      </c>
      <c r="C14084" s="223" t="s">
        <v>289</v>
      </c>
      <c r="D14084" s="223" t="s">
        <v>430</v>
      </c>
      <c r="E14084" s="223" t="s">
        <v>291</v>
      </c>
      <c r="F14084" s="223">
        <v>2026</v>
      </c>
      <c r="G14084" s="223">
        <v>2.5</v>
      </c>
      <c r="H14084" s="223" t="s">
        <v>99</v>
      </c>
      <c r="I14084" s="226" t="s">
        <v>100</v>
      </c>
      <c r="J14084" s="223" t="s">
        <v>373</v>
      </c>
      <c r="K14084" s="223" t="s">
        <v>106</v>
      </c>
      <c r="L14084" s="223" t="s">
        <v>650</v>
      </c>
      <c r="M14084" s="223">
        <v>2.5</v>
      </c>
      <c r="N14084" s="223"/>
      <c r="O14084" s="223" t="s">
        <v>432</v>
      </c>
      <c r="P14084" s="223"/>
      <c r="Q14084" s="224"/>
    </row>
    <row r="14085" spans="1:17">
      <c r="A14085" s="221">
        <v>467</v>
      </c>
      <c r="B14085" s="222">
        <v>46140</v>
      </c>
      <c r="C14085" s="223" t="s">
        <v>289</v>
      </c>
      <c r="D14085" s="223" t="s">
        <v>451</v>
      </c>
      <c r="E14085" s="223" t="s">
        <v>291</v>
      </c>
      <c r="F14085" s="223">
        <v>2026</v>
      </c>
      <c r="G14085" s="223">
        <v>3</v>
      </c>
      <c r="H14085" s="223" t="s">
        <v>61</v>
      </c>
      <c r="I14085" s="226" t="s">
        <v>62</v>
      </c>
      <c r="J14085" s="223" t="s">
        <v>360</v>
      </c>
      <c r="K14085" s="223" t="s">
        <v>37</v>
      </c>
      <c r="L14085" s="223" t="s">
        <v>506</v>
      </c>
      <c r="M14085" s="223">
        <v>3</v>
      </c>
      <c r="N14085" s="223"/>
      <c r="O14085" s="223" t="s">
        <v>112</v>
      </c>
      <c r="P14085" s="223"/>
      <c r="Q14085" s="224"/>
    </row>
    <row r="14086" spans="1:17">
      <c r="A14086" s="221">
        <v>468</v>
      </c>
      <c r="B14086" s="222">
        <v>46140</v>
      </c>
      <c r="C14086" s="223" t="s">
        <v>289</v>
      </c>
      <c r="D14086" s="223" t="s">
        <v>452</v>
      </c>
      <c r="E14086" s="223" t="s">
        <v>291</v>
      </c>
      <c r="F14086" s="223">
        <v>2026</v>
      </c>
      <c r="G14086" s="223">
        <v>3</v>
      </c>
      <c r="H14086" s="223" t="s">
        <v>61</v>
      </c>
      <c r="I14086" s="226" t="s">
        <v>62</v>
      </c>
      <c r="J14086" s="223" t="s">
        <v>360</v>
      </c>
      <c r="K14086" s="223" t="s">
        <v>38</v>
      </c>
      <c r="L14086" s="223" t="s">
        <v>513</v>
      </c>
      <c r="M14086" s="223">
        <v>3</v>
      </c>
      <c r="N14086" s="223"/>
      <c r="O14086" s="223" t="s">
        <v>127</v>
      </c>
      <c r="P14086" s="223"/>
      <c r="Q14086" s="224"/>
    </row>
    <row r="14087" spans="1:17">
      <c r="A14087" s="221">
        <v>469</v>
      </c>
      <c r="B14087" s="222">
        <v>46141</v>
      </c>
      <c r="C14087" s="223" t="s">
        <v>294</v>
      </c>
      <c r="D14087" s="223"/>
      <c r="E14087" s="223" t="s">
        <v>291</v>
      </c>
      <c r="F14087" s="223">
        <v>2026</v>
      </c>
      <c r="G14087" s="223">
        <v>8</v>
      </c>
      <c r="H14087" s="223" t="s">
        <v>76</v>
      </c>
      <c r="I14087" s="226" t="s">
        <v>158</v>
      </c>
      <c r="J14087" s="223" t="s">
        <v>366</v>
      </c>
      <c r="K14087" s="223" t="s">
        <v>101</v>
      </c>
      <c r="L14087" s="223" t="s">
        <v>601</v>
      </c>
      <c r="M14087" s="223">
        <v>8</v>
      </c>
      <c r="N14087" s="223"/>
      <c r="O14087" s="223" t="s">
        <v>159</v>
      </c>
      <c r="P14087" s="223"/>
      <c r="Q14087" s="224"/>
    </row>
    <row r="14088" spans="1:17">
      <c r="A14088" s="221">
        <v>470</v>
      </c>
      <c r="B14088" s="222">
        <v>46141</v>
      </c>
      <c r="C14088" s="223" t="s">
        <v>294</v>
      </c>
      <c r="D14088" s="223" t="s">
        <v>638</v>
      </c>
      <c r="E14088" s="223" t="s">
        <v>291</v>
      </c>
      <c r="F14088" s="223">
        <v>2026</v>
      </c>
      <c r="G14088" s="223">
        <v>2.5</v>
      </c>
      <c r="H14088" s="223" t="s">
        <v>132</v>
      </c>
      <c r="I14088" s="226" t="s">
        <v>183</v>
      </c>
      <c r="J14088" s="223" t="s">
        <v>623</v>
      </c>
      <c r="K14088" s="223" t="s">
        <v>101</v>
      </c>
      <c r="L14088" s="223" t="s">
        <v>639</v>
      </c>
      <c r="M14088" s="223">
        <v>2.5</v>
      </c>
      <c r="N14088" s="223"/>
      <c r="O14088" s="223" t="s">
        <v>164</v>
      </c>
      <c r="P14088" s="223"/>
      <c r="Q14088" s="224"/>
    </row>
    <row r="14089" spans="1:17">
      <c r="A14089" s="221">
        <v>471</v>
      </c>
      <c r="B14089" s="222">
        <v>46141</v>
      </c>
      <c r="C14089" s="223" t="s">
        <v>294</v>
      </c>
      <c r="D14089" s="223" t="s">
        <v>520</v>
      </c>
      <c r="E14089" s="223" t="s">
        <v>291</v>
      </c>
      <c r="F14089" s="223">
        <v>2026</v>
      </c>
      <c r="G14089" s="223">
        <v>3</v>
      </c>
      <c r="H14089" s="223" t="s">
        <v>57</v>
      </c>
      <c r="I14089" s="226" t="s">
        <v>89</v>
      </c>
      <c r="J14089" s="223" t="s">
        <v>311</v>
      </c>
      <c r="K14089" s="223" t="s">
        <v>90</v>
      </c>
      <c r="L14089" s="223" t="s">
        <v>651</v>
      </c>
      <c r="M14089" s="223">
        <v>3</v>
      </c>
      <c r="N14089" s="223"/>
      <c r="O14089" s="223" t="s">
        <v>91</v>
      </c>
      <c r="P14089" s="223"/>
      <c r="Q14089" s="224"/>
    </row>
    <row r="14090" spans="1:17">
      <c r="A14090" s="221">
        <v>472</v>
      </c>
      <c r="B14090" s="222">
        <v>46141</v>
      </c>
      <c r="C14090" s="223" t="s">
        <v>294</v>
      </c>
      <c r="D14090" s="223" t="s">
        <v>477</v>
      </c>
      <c r="E14090" s="223" t="s">
        <v>291</v>
      </c>
      <c r="F14090" s="223">
        <v>2026</v>
      </c>
      <c r="G14090" s="223">
        <v>3</v>
      </c>
      <c r="H14090" s="223" t="s">
        <v>461</v>
      </c>
      <c r="I14090" s="226" t="s">
        <v>136</v>
      </c>
      <c r="J14090" s="223" t="s">
        <v>462</v>
      </c>
      <c r="K14090" s="223" t="s">
        <v>101</v>
      </c>
      <c r="L14090" s="223" t="s">
        <v>652</v>
      </c>
      <c r="M14090" s="223">
        <v>3</v>
      </c>
      <c r="N14090" s="223"/>
      <c r="O14090" s="223" t="s">
        <v>82</v>
      </c>
      <c r="P14090" s="223"/>
      <c r="Q14090" s="224"/>
    </row>
    <row r="14091" spans="1:17">
      <c r="A14091" s="221">
        <v>473</v>
      </c>
      <c r="B14091" s="222">
        <v>46141</v>
      </c>
      <c r="C14091" s="223" t="s">
        <v>294</v>
      </c>
      <c r="D14091" s="223" t="s">
        <v>479</v>
      </c>
      <c r="E14091" s="223" t="s">
        <v>291</v>
      </c>
      <c r="F14091" s="223">
        <v>2026</v>
      </c>
      <c r="G14091" s="223">
        <v>3</v>
      </c>
      <c r="H14091" s="223" t="s">
        <v>461</v>
      </c>
      <c r="I14091" s="226" t="s">
        <v>136</v>
      </c>
      <c r="J14091" s="223" t="s">
        <v>462</v>
      </c>
      <c r="K14091" s="223" t="s">
        <v>10</v>
      </c>
      <c r="L14091" s="223" t="s">
        <v>652</v>
      </c>
      <c r="M14091" s="223">
        <v>3</v>
      </c>
      <c r="N14091" s="223"/>
      <c r="O14091" s="223" t="s">
        <v>138</v>
      </c>
      <c r="P14091" s="223"/>
      <c r="Q14091" s="224"/>
    </row>
    <row r="14092" spans="1:17">
      <c r="A14092" s="221">
        <v>474</v>
      </c>
      <c r="B14092" s="222">
        <v>46141</v>
      </c>
      <c r="C14092" s="223" t="s">
        <v>294</v>
      </c>
      <c r="D14092" s="223"/>
      <c r="E14092" s="223" t="s">
        <v>291</v>
      </c>
      <c r="F14092" s="223">
        <v>2026</v>
      </c>
      <c r="G14092" s="223"/>
      <c r="H14092" s="223" t="s">
        <v>132</v>
      </c>
      <c r="I14092" s="226" t="s">
        <v>133</v>
      </c>
      <c r="J14092" s="223" t="s">
        <v>360</v>
      </c>
      <c r="K14092" s="223" t="s">
        <v>106</v>
      </c>
      <c r="L14092" s="223" t="s">
        <v>473</v>
      </c>
      <c r="M14092" s="223"/>
      <c r="N14092" s="223"/>
      <c r="O14092" s="223" t="s">
        <v>127</v>
      </c>
      <c r="P14092" s="223"/>
      <c r="Q14092" s="224"/>
    </row>
    <row r="14093" spans="1:17">
      <c r="A14093" s="221">
        <v>475</v>
      </c>
      <c r="B14093" s="222">
        <v>46141</v>
      </c>
      <c r="C14093" s="223" t="s">
        <v>294</v>
      </c>
      <c r="D14093" s="223" t="s">
        <v>451</v>
      </c>
      <c r="E14093" s="223" t="s">
        <v>291</v>
      </c>
      <c r="F14093" s="223">
        <v>2026</v>
      </c>
      <c r="G14093" s="223">
        <v>3</v>
      </c>
      <c r="H14093" s="223" t="s">
        <v>61</v>
      </c>
      <c r="I14093" s="226" t="s">
        <v>62</v>
      </c>
      <c r="J14093" s="223" t="s">
        <v>360</v>
      </c>
      <c r="K14093" s="223" t="s">
        <v>37</v>
      </c>
      <c r="L14093" s="223" t="s">
        <v>507</v>
      </c>
      <c r="M14093" s="223">
        <v>3</v>
      </c>
      <c r="N14093" s="223"/>
      <c r="O14093" s="223" t="s">
        <v>112</v>
      </c>
      <c r="P14093" s="223"/>
      <c r="Q14093" s="224"/>
    </row>
    <row r="14094" spans="1:17">
      <c r="A14094" s="221">
        <v>476</v>
      </c>
      <c r="B14094" s="222">
        <v>46141</v>
      </c>
      <c r="C14094" s="223" t="s">
        <v>294</v>
      </c>
      <c r="D14094" s="223" t="s">
        <v>452</v>
      </c>
      <c r="E14094" s="223" t="s">
        <v>291</v>
      </c>
      <c r="F14094" s="223">
        <v>2026</v>
      </c>
      <c r="G14094" s="223">
        <v>3</v>
      </c>
      <c r="H14094" s="223" t="s">
        <v>61</v>
      </c>
      <c r="I14094" s="226" t="s">
        <v>62</v>
      </c>
      <c r="J14094" s="223" t="s">
        <v>360</v>
      </c>
      <c r="K14094" s="223" t="s">
        <v>38</v>
      </c>
      <c r="L14094" s="223" t="s">
        <v>519</v>
      </c>
      <c r="M14094" s="223">
        <v>3</v>
      </c>
      <c r="N14094" s="223"/>
      <c r="O14094" s="223" t="s">
        <v>127</v>
      </c>
      <c r="P14094" s="223"/>
      <c r="Q14094" s="224"/>
    </row>
    <row r="14095" spans="1:17">
      <c r="A14095" s="221"/>
      <c r="B14095" s="222">
        <v>46142</v>
      </c>
      <c r="C14095" s="223" t="s">
        <v>298</v>
      </c>
      <c r="D14095" s="223"/>
      <c r="E14095" s="223" t="s">
        <v>291</v>
      </c>
      <c r="F14095" s="223">
        <v>2026</v>
      </c>
      <c r="G14095" s="223">
        <v>1.5</v>
      </c>
      <c r="H14095" s="223" t="s">
        <v>132</v>
      </c>
      <c r="I14095" s="226" t="s">
        <v>158</v>
      </c>
      <c r="J14095" s="223" t="s">
        <v>360</v>
      </c>
      <c r="K14095" s="223" t="s">
        <v>101</v>
      </c>
      <c r="L14095" s="223" t="s">
        <v>745</v>
      </c>
      <c r="M14095" s="223">
        <v>1.5</v>
      </c>
      <c r="N14095" s="223"/>
      <c r="O14095" s="223"/>
      <c r="P14095" s="223"/>
      <c r="Q14095" s="224"/>
    </row>
    <row r="14096" spans="1:17" ht="30.75">
      <c r="A14096" s="221">
        <v>477</v>
      </c>
      <c r="B14096" s="222">
        <v>46142</v>
      </c>
      <c r="C14096" s="223" t="s">
        <v>298</v>
      </c>
      <c r="D14096" s="223" t="s">
        <v>655</v>
      </c>
      <c r="E14096" s="223" t="s">
        <v>291</v>
      </c>
      <c r="F14096" s="223">
        <v>2026</v>
      </c>
      <c r="G14096" s="223">
        <v>1.5</v>
      </c>
      <c r="H14096" s="223" t="s">
        <v>115</v>
      </c>
      <c r="I14096" s="226" t="s">
        <v>437</v>
      </c>
      <c r="J14096" s="223" t="s">
        <v>438</v>
      </c>
      <c r="K14096" s="223" t="s">
        <v>101</v>
      </c>
      <c r="L14096" s="223" t="s">
        <v>656</v>
      </c>
      <c r="M14096" s="223">
        <v>1.5</v>
      </c>
      <c r="N14096" s="223"/>
      <c r="O14096" s="223" t="s">
        <v>164</v>
      </c>
      <c r="P14096" s="223"/>
      <c r="Q14096" s="224"/>
    </row>
    <row r="14097" spans="1:17">
      <c r="A14097" s="221">
        <v>478</v>
      </c>
      <c r="B14097" s="222">
        <v>46142</v>
      </c>
      <c r="C14097" s="223" t="s">
        <v>298</v>
      </c>
      <c r="D14097" s="223" t="s">
        <v>477</v>
      </c>
      <c r="E14097" s="223" t="s">
        <v>291</v>
      </c>
      <c r="F14097" s="223">
        <v>2026</v>
      </c>
      <c r="G14097" s="223">
        <v>3</v>
      </c>
      <c r="H14097" s="223" t="s">
        <v>461</v>
      </c>
      <c r="I14097" s="226" t="s">
        <v>142</v>
      </c>
      <c r="J14097" s="223" t="s">
        <v>462</v>
      </c>
      <c r="K14097" s="223" t="s">
        <v>101</v>
      </c>
      <c r="L14097" s="223" t="s">
        <v>653</v>
      </c>
      <c r="M14097" s="223">
        <v>3</v>
      </c>
      <c r="N14097" s="223"/>
      <c r="O14097" s="223" t="s">
        <v>138</v>
      </c>
      <c r="P14097" s="223"/>
      <c r="Q14097" s="224"/>
    </row>
    <row r="14098" spans="1:17">
      <c r="A14098" s="221">
        <v>479</v>
      </c>
      <c r="B14098" s="222">
        <v>46142</v>
      </c>
      <c r="C14098" s="223" t="s">
        <v>298</v>
      </c>
      <c r="D14098" s="223" t="s">
        <v>479</v>
      </c>
      <c r="E14098" s="223" t="s">
        <v>291</v>
      </c>
      <c r="F14098" s="223">
        <v>2026</v>
      </c>
      <c r="G14098" s="223">
        <v>3</v>
      </c>
      <c r="H14098" s="223" t="s">
        <v>461</v>
      </c>
      <c r="I14098" s="226" t="s">
        <v>142</v>
      </c>
      <c r="J14098" s="223" t="s">
        <v>462</v>
      </c>
      <c r="K14098" s="223" t="s">
        <v>10</v>
      </c>
      <c r="L14098" s="223" t="s">
        <v>653</v>
      </c>
      <c r="M14098" s="223">
        <v>3</v>
      </c>
      <c r="N14098" s="223"/>
      <c r="O14098" s="223" t="s">
        <v>102</v>
      </c>
      <c r="P14098" s="223"/>
      <c r="Q14098" s="224"/>
    </row>
    <row r="14099" spans="1:17">
      <c r="A14099" s="221">
        <v>480</v>
      </c>
      <c r="B14099" s="222">
        <v>46142</v>
      </c>
      <c r="C14099" s="223" t="s">
        <v>298</v>
      </c>
      <c r="D14099" s="223" t="s">
        <v>497</v>
      </c>
      <c r="E14099" s="223" t="s">
        <v>291</v>
      </c>
      <c r="F14099" s="223">
        <v>2026</v>
      </c>
      <c r="G14099" s="223" t="s">
        <v>498</v>
      </c>
      <c r="H14099" s="223" t="s">
        <v>57</v>
      </c>
      <c r="I14099" s="226" t="s">
        <v>454</v>
      </c>
      <c r="J14099" s="223" t="s">
        <v>311</v>
      </c>
      <c r="K14099" s="223"/>
      <c r="L14099" s="223" t="s">
        <v>654</v>
      </c>
      <c r="M14099" s="223" t="s">
        <v>498</v>
      </c>
      <c r="N14099" s="223"/>
      <c r="O14099" s="223" t="s">
        <v>516</v>
      </c>
      <c r="P14099" s="223"/>
      <c r="Q14099" s="224"/>
    </row>
    <row r="14100" spans="1:17">
      <c r="A14100" s="221">
        <v>481</v>
      </c>
      <c r="B14100" s="222">
        <v>46142</v>
      </c>
      <c r="C14100" s="223" t="s">
        <v>298</v>
      </c>
      <c r="D14100" s="223" t="s">
        <v>456</v>
      </c>
      <c r="E14100" s="223" t="s">
        <v>291</v>
      </c>
      <c r="F14100" s="223">
        <v>2026</v>
      </c>
      <c r="G14100" s="223">
        <v>2.5</v>
      </c>
      <c r="H14100" s="223" t="s">
        <v>99</v>
      </c>
      <c r="I14100" s="226" t="s">
        <v>100</v>
      </c>
      <c r="J14100" s="223" t="s">
        <v>373</v>
      </c>
      <c r="K14100" s="223" t="s">
        <v>101</v>
      </c>
      <c r="L14100" s="223" t="s">
        <v>650</v>
      </c>
      <c r="M14100" s="223">
        <v>2.5</v>
      </c>
      <c r="N14100" s="223"/>
      <c r="O14100" s="223" t="s">
        <v>102</v>
      </c>
      <c r="P14100" s="223"/>
      <c r="Q14100" s="224"/>
    </row>
    <row r="14101" spans="1:17" ht="30.75">
      <c r="A14101" s="221">
        <v>482</v>
      </c>
      <c r="B14101" s="222">
        <v>46142</v>
      </c>
      <c r="C14101" s="223" t="s">
        <v>298</v>
      </c>
      <c r="D14101" s="223" t="s">
        <v>532</v>
      </c>
      <c r="E14101" s="223" t="s">
        <v>291</v>
      </c>
      <c r="F14101" s="223">
        <v>2026</v>
      </c>
      <c r="G14101" s="223">
        <v>2.5</v>
      </c>
      <c r="H14101" s="223" t="s">
        <v>99</v>
      </c>
      <c r="I14101" s="226" t="s">
        <v>100</v>
      </c>
      <c r="J14101" s="223" t="s">
        <v>373</v>
      </c>
      <c r="K14101" s="223" t="s">
        <v>10</v>
      </c>
      <c r="L14101" s="226" t="s">
        <v>572</v>
      </c>
      <c r="M14101" s="223">
        <v>2.5</v>
      </c>
      <c r="N14101" s="223"/>
      <c r="O14101" s="223" t="s">
        <v>29</v>
      </c>
      <c r="P14101" s="223"/>
      <c r="Q14101" s="224"/>
    </row>
    <row r="14102" spans="1:17">
      <c r="A14102" s="221">
        <v>483</v>
      </c>
      <c r="B14102" s="222">
        <v>46142</v>
      </c>
      <c r="C14102" s="223" t="s">
        <v>298</v>
      </c>
      <c r="D14102" s="223" t="s">
        <v>451</v>
      </c>
      <c r="E14102" s="223" t="s">
        <v>291</v>
      </c>
      <c r="F14102" s="223">
        <v>2026</v>
      </c>
      <c r="G14102" s="223">
        <v>3</v>
      </c>
      <c r="H14102" s="223" t="s">
        <v>61</v>
      </c>
      <c r="I14102" s="226" t="s">
        <v>62</v>
      </c>
      <c r="J14102" s="223" t="s">
        <v>360</v>
      </c>
      <c r="K14102" s="223" t="s">
        <v>37</v>
      </c>
      <c r="L14102" s="223" t="s">
        <v>513</v>
      </c>
      <c r="M14102" s="223"/>
      <c r="N14102" s="223"/>
      <c r="O14102" s="223" t="s">
        <v>112</v>
      </c>
      <c r="P14102" s="223"/>
      <c r="Q14102" s="224"/>
    </row>
    <row r="14103" spans="1:17">
      <c r="A14103" s="221">
        <v>484</v>
      </c>
      <c r="B14103" s="222">
        <v>46142</v>
      </c>
      <c r="C14103" s="223" t="s">
        <v>298</v>
      </c>
      <c r="D14103" s="223" t="s">
        <v>452</v>
      </c>
      <c r="E14103" s="223" t="s">
        <v>291</v>
      </c>
      <c r="F14103" s="223">
        <v>2026</v>
      </c>
      <c r="G14103" s="223">
        <v>3</v>
      </c>
      <c r="H14103" s="223" t="s">
        <v>61</v>
      </c>
      <c r="I14103" s="226" t="s">
        <v>62</v>
      </c>
      <c r="J14103" s="223" t="s">
        <v>360</v>
      </c>
      <c r="K14103" s="223" t="s">
        <v>38</v>
      </c>
      <c r="L14103" s="223" t="s">
        <v>529</v>
      </c>
      <c r="M14103" s="223">
        <v>3</v>
      </c>
      <c r="N14103" s="223"/>
      <c r="O14103" s="223" t="s">
        <v>127</v>
      </c>
      <c r="P14103" s="223"/>
      <c r="Q14103" s="224"/>
    </row>
    <row r="14104" spans="1:17">
      <c r="A14104" s="221">
        <v>485</v>
      </c>
      <c r="B14104" s="222">
        <v>46146</v>
      </c>
      <c r="C14104" s="223" t="s">
        <v>302</v>
      </c>
      <c r="D14104" s="223" t="s">
        <v>638</v>
      </c>
      <c r="E14104" s="223" t="s">
        <v>318</v>
      </c>
      <c r="F14104" s="223">
        <v>2026</v>
      </c>
      <c r="G14104" s="223">
        <v>2.5</v>
      </c>
      <c r="H14104" s="223" t="s">
        <v>132</v>
      </c>
      <c r="I14104" s="226" t="s">
        <v>183</v>
      </c>
      <c r="J14104" s="223" t="s">
        <v>623</v>
      </c>
      <c r="K14104" s="223" t="s">
        <v>101</v>
      </c>
      <c r="L14104" s="223" t="s">
        <v>730</v>
      </c>
      <c r="M14104" s="223">
        <v>2.5</v>
      </c>
      <c r="N14104" s="223"/>
      <c r="O14104" s="223" t="s">
        <v>164</v>
      </c>
      <c r="P14104" s="223"/>
      <c r="Q14104" s="224"/>
    </row>
    <row r="14105" spans="1:17">
      <c r="A14105" s="221">
        <v>486</v>
      </c>
      <c r="B14105" s="222">
        <v>46146</v>
      </c>
      <c r="C14105" s="223" t="s">
        <v>302</v>
      </c>
      <c r="D14105" s="223" t="s">
        <v>520</v>
      </c>
      <c r="E14105" s="223" t="s">
        <v>318</v>
      </c>
      <c r="F14105" s="223">
        <v>2026</v>
      </c>
      <c r="G14105" s="223">
        <v>3</v>
      </c>
      <c r="H14105" s="223" t="s">
        <v>57</v>
      </c>
      <c r="I14105" s="226" t="s">
        <v>89</v>
      </c>
      <c r="J14105" s="223" t="s">
        <v>311</v>
      </c>
      <c r="K14105" s="223" t="s">
        <v>90</v>
      </c>
      <c r="L14105" s="223" t="s">
        <v>657</v>
      </c>
      <c r="M14105" s="223">
        <v>3</v>
      </c>
      <c r="N14105" s="223"/>
      <c r="O14105" s="223" t="s">
        <v>91</v>
      </c>
      <c r="P14105" s="223"/>
      <c r="Q14105" s="224"/>
    </row>
    <row r="14106" spans="1:17">
      <c r="A14106" s="221">
        <v>487</v>
      </c>
      <c r="B14106" s="222">
        <v>46146</v>
      </c>
      <c r="C14106" s="223" t="s">
        <v>302</v>
      </c>
      <c r="D14106" s="223"/>
      <c r="E14106" s="223" t="s">
        <v>318</v>
      </c>
      <c r="F14106" s="223">
        <v>2026</v>
      </c>
      <c r="G14106" s="223"/>
      <c r="H14106" s="223" t="s">
        <v>132</v>
      </c>
      <c r="I14106" s="226" t="s">
        <v>133</v>
      </c>
      <c r="J14106" s="223" t="s">
        <v>360</v>
      </c>
      <c r="K14106" s="223" t="s">
        <v>106</v>
      </c>
      <c r="L14106" s="223" t="s">
        <v>658</v>
      </c>
      <c r="M14106" s="223"/>
      <c r="N14106" s="223"/>
      <c r="O14106" s="223" t="s">
        <v>127</v>
      </c>
      <c r="P14106" s="223"/>
      <c r="Q14106" s="224"/>
    </row>
    <row r="14107" spans="1:17">
      <c r="A14107" s="221">
        <v>488</v>
      </c>
      <c r="B14107" s="222">
        <v>46146</v>
      </c>
      <c r="C14107" s="223" t="s">
        <v>302</v>
      </c>
      <c r="D14107" s="223" t="s">
        <v>482</v>
      </c>
      <c r="E14107" s="223" t="s">
        <v>318</v>
      </c>
      <c r="F14107" s="223">
        <v>2026</v>
      </c>
      <c r="G14107" s="223">
        <v>2</v>
      </c>
      <c r="H14107" s="223" t="s">
        <v>132</v>
      </c>
      <c r="I14107" s="226" t="s">
        <v>133</v>
      </c>
      <c r="J14107" s="223" t="s">
        <v>360</v>
      </c>
      <c r="K14107" s="223" t="s">
        <v>135</v>
      </c>
      <c r="L14107" s="223" t="s">
        <v>604</v>
      </c>
      <c r="M14107" s="223">
        <v>2</v>
      </c>
      <c r="N14107" s="223"/>
      <c r="O14107" s="223" t="s">
        <v>63</v>
      </c>
      <c r="P14107" s="223"/>
      <c r="Q14107" s="224"/>
    </row>
    <row r="14108" spans="1:17">
      <c r="A14108" s="221">
        <v>489</v>
      </c>
      <c r="B14108" s="222">
        <v>46146</v>
      </c>
      <c r="C14108" s="223" t="s">
        <v>302</v>
      </c>
      <c r="D14108" s="223" t="s">
        <v>372</v>
      </c>
      <c r="E14108" s="223" t="s">
        <v>318</v>
      </c>
      <c r="F14108" s="223">
        <v>2026</v>
      </c>
      <c r="G14108" s="223">
        <v>5</v>
      </c>
      <c r="H14108" s="223" t="s">
        <v>57</v>
      </c>
      <c r="I14108" s="226" t="s">
        <v>58</v>
      </c>
      <c r="J14108" s="223" t="s">
        <v>373</v>
      </c>
      <c r="K14108" s="223"/>
      <c r="L14108" s="223" t="s">
        <v>659</v>
      </c>
      <c r="M14108" s="223">
        <v>5</v>
      </c>
      <c r="N14108" s="223"/>
      <c r="O14108" s="223" t="s">
        <v>70</v>
      </c>
      <c r="P14108" s="223"/>
      <c r="Q14108" s="224"/>
    </row>
    <row r="14109" spans="1:17">
      <c r="A14109" s="221">
        <v>490</v>
      </c>
      <c r="B14109" s="222">
        <v>46146</v>
      </c>
      <c r="C14109" s="223" t="s">
        <v>302</v>
      </c>
      <c r="D14109" s="223"/>
      <c r="E14109" s="223" t="s">
        <v>318</v>
      </c>
      <c r="F14109" s="223">
        <v>2026</v>
      </c>
      <c r="G14109" s="223">
        <v>3</v>
      </c>
      <c r="H14109" s="223" t="s">
        <v>61</v>
      </c>
      <c r="I14109" s="226" t="s">
        <v>62</v>
      </c>
      <c r="J14109" s="223" t="s">
        <v>360</v>
      </c>
      <c r="K14109" s="223" t="s">
        <v>37</v>
      </c>
      <c r="L14109" s="223" t="s">
        <v>519</v>
      </c>
      <c r="M14109" s="223">
        <v>3</v>
      </c>
      <c r="N14109" s="223"/>
      <c r="O14109" s="223" t="s">
        <v>112</v>
      </c>
      <c r="P14109" s="223"/>
      <c r="Q14109" s="224"/>
    </row>
    <row r="14110" spans="1:17">
      <c r="A14110" s="221">
        <v>491</v>
      </c>
      <c r="B14110" s="222">
        <v>46146</v>
      </c>
      <c r="C14110" s="223" t="s">
        <v>302</v>
      </c>
      <c r="D14110" s="223" t="s">
        <v>452</v>
      </c>
      <c r="E14110" s="223" t="s">
        <v>318</v>
      </c>
      <c r="F14110" s="223">
        <v>2026</v>
      </c>
      <c r="G14110" s="223">
        <v>3</v>
      </c>
      <c r="H14110" s="223" t="s">
        <v>61</v>
      </c>
      <c r="I14110" s="226" t="s">
        <v>62</v>
      </c>
      <c r="J14110" s="223" t="s">
        <v>360</v>
      </c>
      <c r="K14110" s="223" t="s">
        <v>38</v>
      </c>
      <c r="L14110" s="223" t="s">
        <v>660</v>
      </c>
      <c r="M14110" s="223"/>
      <c r="N14110" s="223"/>
      <c r="O14110" s="223" t="s">
        <v>127</v>
      </c>
      <c r="P14110" s="223"/>
      <c r="Q14110" s="224"/>
    </row>
    <row r="14111" spans="1:17">
      <c r="A14111" s="221"/>
      <c r="B14111" s="222">
        <v>46147</v>
      </c>
      <c r="C14111" s="223" t="s">
        <v>289</v>
      </c>
      <c r="D14111" s="223"/>
      <c r="E14111" s="223" t="s">
        <v>318</v>
      </c>
      <c r="F14111" s="223">
        <v>2026</v>
      </c>
      <c r="G14111" s="223" t="s">
        <v>959</v>
      </c>
      <c r="H14111" s="223" t="s">
        <v>132</v>
      </c>
      <c r="I14111" s="226" t="s">
        <v>158</v>
      </c>
      <c r="J14111" s="223" t="s">
        <v>360</v>
      </c>
      <c r="K14111" s="223" t="s">
        <v>101</v>
      </c>
      <c r="L14111" s="223" t="s">
        <v>960</v>
      </c>
      <c r="M14111" s="223" t="s">
        <v>959</v>
      </c>
      <c r="N14111" s="223"/>
      <c r="O14111" s="223"/>
      <c r="P14111" s="223"/>
      <c r="Q14111" s="224"/>
    </row>
    <row r="14112" spans="1:17">
      <c r="A14112" s="221">
        <v>492</v>
      </c>
      <c r="B14112" s="222">
        <v>46147</v>
      </c>
      <c r="C14112" s="223" t="s">
        <v>289</v>
      </c>
      <c r="D14112" s="223" t="s">
        <v>661</v>
      </c>
      <c r="E14112" s="223" t="s">
        <v>318</v>
      </c>
      <c r="F14112" s="223">
        <v>2026</v>
      </c>
      <c r="G14112" s="223">
        <v>2.5</v>
      </c>
      <c r="H14112" s="223" t="s">
        <v>132</v>
      </c>
      <c r="I14112" s="226" t="s">
        <v>184</v>
      </c>
      <c r="J14112" s="223" t="s">
        <v>360</v>
      </c>
      <c r="K14112" s="223" t="s">
        <v>101</v>
      </c>
      <c r="L14112" s="223" t="s">
        <v>662</v>
      </c>
      <c r="M14112" s="223">
        <v>2.5</v>
      </c>
      <c r="N14112" s="223"/>
      <c r="O14112" s="223" t="s">
        <v>63</v>
      </c>
      <c r="P14112" s="223"/>
      <c r="Q14112" s="224"/>
    </row>
    <row r="14113" spans="1:17" ht="30.75">
      <c r="A14113" s="221">
        <v>493</v>
      </c>
      <c r="B14113" s="222">
        <v>46147</v>
      </c>
      <c r="C14113" s="223" t="s">
        <v>289</v>
      </c>
      <c r="D14113" s="223" t="s">
        <v>655</v>
      </c>
      <c r="E14113" s="223" t="s">
        <v>318</v>
      </c>
      <c r="F14113" s="223">
        <v>2026</v>
      </c>
      <c r="G14113" s="223">
        <v>1.5</v>
      </c>
      <c r="H14113" s="223" t="s">
        <v>115</v>
      </c>
      <c r="I14113" s="226" t="s">
        <v>437</v>
      </c>
      <c r="J14113" s="223" t="s">
        <v>438</v>
      </c>
      <c r="K14113" s="223" t="s">
        <v>101</v>
      </c>
      <c r="L14113" s="223" t="s">
        <v>656</v>
      </c>
      <c r="M14113" s="223">
        <v>1.5</v>
      </c>
      <c r="N14113" s="223"/>
      <c r="O14113" s="223" t="s">
        <v>164</v>
      </c>
      <c r="P14113" s="223"/>
      <c r="Q14113" s="224"/>
    </row>
    <row r="14114" spans="1:17">
      <c r="A14114" s="221">
        <v>494</v>
      </c>
      <c r="B14114" s="222">
        <v>46147</v>
      </c>
      <c r="C14114" s="223" t="s">
        <v>289</v>
      </c>
      <c r="D14114" s="223" t="s">
        <v>477</v>
      </c>
      <c r="E14114" s="223" t="s">
        <v>318</v>
      </c>
      <c r="F14114" s="223">
        <v>2026</v>
      </c>
      <c r="G14114" s="223">
        <v>3</v>
      </c>
      <c r="H14114" s="223" t="s">
        <v>461</v>
      </c>
      <c r="I14114" s="226" t="s">
        <v>142</v>
      </c>
      <c r="J14114" s="223" t="s">
        <v>462</v>
      </c>
      <c r="K14114" s="223" t="s">
        <v>101</v>
      </c>
      <c r="L14114" s="223" t="s">
        <v>663</v>
      </c>
      <c r="M14114" s="223">
        <v>3</v>
      </c>
      <c r="N14114" s="223"/>
      <c r="O14114" s="223" t="s">
        <v>179</v>
      </c>
      <c r="P14114" s="223"/>
      <c r="Q14114" s="224"/>
    </row>
    <row r="14115" spans="1:17">
      <c r="A14115" s="221">
        <v>495</v>
      </c>
      <c r="B14115" s="222">
        <v>46147</v>
      </c>
      <c r="C14115" s="223" t="s">
        <v>289</v>
      </c>
      <c r="D14115" s="223" t="s">
        <v>479</v>
      </c>
      <c r="E14115" s="223" t="s">
        <v>318</v>
      </c>
      <c r="F14115" s="223">
        <v>2026</v>
      </c>
      <c r="G14115" s="223">
        <v>3</v>
      </c>
      <c r="H14115" s="223" t="s">
        <v>461</v>
      </c>
      <c r="I14115" s="226" t="s">
        <v>142</v>
      </c>
      <c r="J14115" s="223" t="s">
        <v>462</v>
      </c>
      <c r="K14115" s="223" t="s">
        <v>10</v>
      </c>
      <c r="L14115" s="223" t="s">
        <v>663</v>
      </c>
      <c r="M14115" s="223">
        <v>3</v>
      </c>
      <c r="N14115" s="223"/>
      <c r="O14115" s="223" t="s">
        <v>138</v>
      </c>
      <c r="P14115" s="223"/>
      <c r="Q14115" s="224"/>
    </row>
    <row r="14116" spans="1:17">
      <c r="A14116" s="221">
        <v>496</v>
      </c>
      <c r="B14116" s="222">
        <v>46147</v>
      </c>
      <c r="C14116" s="223" t="s">
        <v>289</v>
      </c>
      <c r="D14116" s="223" t="s">
        <v>497</v>
      </c>
      <c r="E14116" s="223" t="s">
        <v>318</v>
      </c>
      <c r="F14116" s="223">
        <v>2026</v>
      </c>
      <c r="G14116" s="223" t="s">
        <v>498</v>
      </c>
      <c r="H14116" s="223" t="s">
        <v>57</v>
      </c>
      <c r="I14116" s="226" t="s">
        <v>454</v>
      </c>
      <c r="J14116" s="223" t="s">
        <v>311</v>
      </c>
      <c r="K14116" s="223"/>
      <c r="L14116" s="223" t="s">
        <v>664</v>
      </c>
      <c r="M14116" s="223" t="s">
        <v>498</v>
      </c>
      <c r="N14116" s="223"/>
      <c r="O14116" s="223" t="s">
        <v>559</v>
      </c>
      <c r="P14116" s="223"/>
      <c r="Q14116" s="224"/>
    </row>
    <row r="14117" spans="1:17">
      <c r="A14117" s="221">
        <v>497</v>
      </c>
      <c r="B14117" s="222">
        <v>46147</v>
      </c>
      <c r="C14117" s="223" t="s">
        <v>289</v>
      </c>
      <c r="D14117" s="223" t="s">
        <v>665</v>
      </c>
      <c r="E14117" s="223" t="s">
        <v>318</v>
      </c>
      <c r="F14117" s="223">
        <v>2026</v>
      </c>
      <c r="G14117" s="223">
        <v>4</v>
      </c>
      <c r="H14117" s="223" t="s">
        <v>99</v>
      </c>
      <c r="I14117" s="226" t="s">
        <v>108</v>
      </c>
      <c r="J14117" s="223" t="s">
        <v>366</v>
      </c>
      <c r="K14117" s="223" t="s">
        <v>101</v>
      </c>
      <c r="L14117" s="223" t="s">
        <v>666</v>
      </c>
      <c r="M14117" s="223">
        <v>4</v>
      </c>
      <c r="N14117" s="223"/>
      <c r="O14117" s="223" t="s">
        <v>112</v>
      </c>
      <c r="P14117" s="223"/>
      <c r="Q14117" s="224"/>
    </row>
    <row r="14118" spans="1:17">
      <c r="A14118" s="221">
        <v>498</v>
      </c>
      <c r="B14118" s="222">
        <v>46147</v>
      </c>
      <c r="C14118" s="223" t="s">
        <v>289</v>
      </c>
      <c r="D14118" s="223" t="s">
        <v>667</v>
      </c>
      <c r="E14118" s="223" t="s">
        <v>318</v>
      </c>
      <c r="F14118" s="223">
        <v>2026</v>
      </c>
      <c r="G14118" s="223">
        <v>4</v>
      </c>
      <c r="H14118" s="223" t="s">
        <v>99</v>
      </c>
      <c r="I14118" s="226" t="s">
        <v>108</v>
      </c>
      <c r="J14118" s="223" t="s">
        <v>366</v>
      </c>
      <c r="K14118" s="223" t="s">
        <v>104</v>
      </c>
      <c r="L14118" s="223" t="s">
        <v>666</v>
      </c>
      <c r="M14118" s="223">
        <v>4</v>
      </c>
      <c r="N14118" s="223"/>
      <c r="O14118" s="223" t="s">
        <v>109</v>
      </c>
      <c r="P14118" s="223"/>
      <c r="Q14118" s="224"/>
    </row>
    <row r="14119" spans="1:17">
      <c r="A14119" s="221">
        <v>499</v>
      </c>
      <c r="B14119" s="222">
        <v>46147</v>
      </c>
      <c r="C14119" s="223" t="s">
        <v>289</v>
      </c>
      <c r="D14119" s="223" t="s">
        <v>456</v>
      </c>
      <c r="E14119" s="223" t="s">
        <v>318</v>
      </c>
      <c r="F14119" s="223">
        <v>2026</v>
      </c>
      <c r="G14119" s="223">
        <v>2.5</v>
      </c>
      <c r="H14119" s="223" t="s">
        <v>99</v>
      </c>
      <c r="I14119" s="226" t="s">
        <v>100</v>
      </c>
      <c r="J14119" s="223" t="s">
        <v>373</v>
      </c>
      <c r="K14119" s="223" t="s">
        <v>101</v>
      </c>
      <c r="L14119" s="223" t="s">
        <v>668</v>
      </c>
      <c r="M14119" s="223"/>
      <c r="N14119" s="223"/>
      <c r="O14119" s="223" t="s">
        <v>102</v>
      </c>
      <c r="P14119" s="223"/>
      <c r="Q14119" s="224"/>
    </row>
    <row r="14120" spans="1:17">
      <c r="A14120" s="221">
        <v>500</v>
      </c>
      <c r="B14120" s="222">
        <v>46147</v>
      </c>
      <c r="C14120" s="223" t="s">
        <v>289</v>
      </c>
      <c r="D14120" s="223" t="s">
        <v>532</v>
      </c>
      <c r="E14120" s="223" t="s">
        <v>318</v>
      </c>
      <c r="F14120" s="223">
        <v>2026</v>
      </c>
      <c r="G14120" s="223">
        <v>2.5</v>
      </c>
      <c r="H14120" s="223" t="s">
        <v>99</v>
      </c>
      <c r="I14120" s="226" t="s">
        <v>100</v>
      </c>
      <c r="J14120" s="223" t="s">
        <v>373</v>
      </c>
      <c r="K14120" s="223" t="s">
        <v>10</v>
      </c>
      <c r="L14120" s="223" t="s">
        <v>606</v>
      </c>
      <c r="M14120" s="223">
        <v>2.5</v>
      </c>
      <c r="N14120" s="223"/>
      <c r="O14120" s="223" t="s">
        <v>29</v>
      </c>
      <c r="P14120" s="223"/>
      <c r="Q14120" s="224"/>
    </row>
    <row r="14121" spans="1:17">
      <c r="A14121" s="221">
        <v>501</v>
      </c>
      <c r="B14121" s="222">
        <v>46147</v>
      </c>
      <c r="C14121" s="223" t="s">
        <v>289</v>
      </c>
      <c r="D14121" s="223" t="s">
        <v>467</v>
      </c>
      <c r="E14121" s="223" t="s">
        <v>318</v>
      </c>
      <c r="F14121" s="223">
        <v>2026</v>
      </c>
      <c r="G14121" s="223">
        <v>2.5</v>
      </c>
      <c r="H14121" s="223" t="s">
        <v>99</v>
      </c>
      <c r="I14121" s="226" t="s">
        <v>100</v>
      </c>
      <c r="J14121" s="223" t="s">
        <v>373</v>
      </c>
      <c r="K14121" s="223" t="s">
        <v>104</v>
      </c>
      <c r="L14121" s="223" t="s">
        <v>621</v>
      </c>
      <c r="M14121" s="223"/>
      <c r="N14121" s="223"/>
      <c r="O14121" s="223" t="s">
        <v>70</v>
      </c>
      <c r="P14121" s="223"/>
      <c r="Q14121" s="224"/>
    </row>
    <row r="14122" spans="1:17">
      <c r="A14122" s="221">
        <v>502</v>
      </c>
      <c r="B14122" s="222">
        <v>46147</v>
      </c>
      <c r="C14122" s="223" t="s">
        <v>289</v>
      </c>
      <c r="D14122" s="223" t="s">
        <v>430</v>
      </c>
      <c r="E14122" s="223" t="s">
        <v>318</v>
      </c>
      <c r="F14122" s="223">
        <v>2026</v>
      </c>
      <c r="G14122" s="223">
        <v>2.5</v>
      </c>
      <c r="H14122" s="223" t="s">
        <v>99</v>
      </c>
      <c r="I14122" s="226" t="s">
        <v>100</v>
      </c>
      <c r="J14122" s="223" t="s">
        <v>373</v>
      </c>
      <c r="K14122" s="223" t="s">
        <v>106</v>
      </c>
      <c r="L14122" s="223" t="s">
        <v>668</v>
      </c>
      <c r="M14122" s="223"/>
      <c r="N14122" s="223"/>
      <c r="O14122" s="223" t="s">
        <v>432</v>
      </c>
      <c r="P14122" s="223"/>
      <c r="Q14122" s="224"/>
    </row>
    <row r="14123" spans="1:17">
      <c r="A14123" s="221">
        <v>503</v>
      </c>
      <c r="B14123" s="222">
        <v>46147</v>
      </c>
      <c r="C14123" s="223" t="s">
        <v>289</v>
      </c>
      <c r="D14123" s="223" t="s">
        <v>568</v>
      </c>
      <c r="E14123" s="223" t="s">
        <v>318</v>
      </c>
      <c r="F14123" s="223"/>
      <c r="G14123" s="223">
        <v>3</v>
      </c>
      <c r="H14123" s="223"/>
      <c r="I14123" s="226"/>
      <c r="J14123" s="223"/>
      <c r="K14123" s="223"/>
      <c r="L14123" s="223" t="s">
        <v>529</v>
      </c>
      <c r="M14123" s="223"/>
      <c r="N14123" s="223"/>
      <c r="O14123" s="223" t="s">
        <v>112</v>
      </c>
      <c r="P14123" s="223"/>
      <c r="Q14123" s="224"/>
    </row>
    <row r="14124" spans="1:17" ht="30.75">
      <c r="A14124" s="221"/>
      <c r="B14124" s="222">
        <v>46148</v>
      </c>
      <c r="C14124" s="223" t="s">
        <v>294</v>
      </c>
      <c r="D14124" s="223" t="s">
        <v>631</v>
      </c>
      <c r="E14124" s="223" t="s">
        <v>318</v>
      </c>
      <c r="F14124" s="223">
        <v>2026</v>
      </c>
      <c r="G14124" s="223">
        <v>0.5</v>
      </c>
      <c r="H14124" s="223" t="s">
        <v>201</v>
      </c>
      <c r="I14124" s="226" t="s">
        <v>202</v>
      </c>
      <c r="J14124" s="223"/>
      <c r="K14124" s="223" t="s">
        <v>101</v>
      </c>
      <c r="L14124" s="223" t="s">
        <v>961</v>
      </c>
      <c r="M14124" s="223">
        <v>0.5</v>
      </c>
      <c r="N14124" s="223"/>
      <c r="O14124" s="223"/>
      <c r="P14124" s="223"/>
      <c r="Q14124" s="224"/>
    </row>
    <row r="14125" spans="1:17">
      <c r="A14125" s="221">
        <v>504</v>
      </c>
      <c r="B14125" s="222">
        <v>46148</v>
      </c>
      <c r="C14125" s="223" t="s">
        <v>294</v>
      </c>
      <c r="D14125" s="223" t="s">
        <v>661</v>
      </c>
      <c r="E14125" s="223" t="s">
        <v>318</v>
      </c>
      <c r="F14125" s="223">
        <v>2026</v>
      </c>
      <c r="G14125" s="223">
        <v>2.5</v>
      </c>
      <c r="H14125" s="223" t="s">
        <v>132</v>
      </c>
      <c r="I14125" s="226" t="s">
        <v>184</v>
      </c>
      <c r="J14125" s="223" t="s">
        <v>360</v>
      </c>
      <c r="K14125" s="223" t="s">
        <v>101</v>
      </c>
      <c r="L14125" s="223" t="s">
        <v>669</v>
      </c>
      <c r="M14125" s="223">
        <v>2.5</v>
      </c>
      <c r="N14125" s="223"/>
      <c r="O14125" s="223" t="s">
        <v>63</v>
      </c>
      <c r="P14125" s="223"/>
      <c r="Q14125" s="224"/>
    </row>
    <row r="14126" spans="1:17">
      <c r="A14126" s="221">
        <v>505</v>
      </c>
      <c r="B14126" s="222">
        <v>46148</v>
      </c>
      <c r="C14126" s="223" t="s">
        <v>294</v>
      </c>
      <c r="D14126" s="223" t="s">
        <v>638</v>
      </c>
      <c r="E14126" s="223" t="s">
        <v>318</v>
      </c>
      <c r="F14126" s="223">
        <v>2026</v>
      </c>
      <c r="G14126" s="223">
        <v>2.5</v>
      </c>
      <c r="H14126" s="223" t="s">
        <v>132</v>
      </c>
      <c r="I14126" s="226" t="s">
        <v>183</v>
      </c>
      <c r="J14126" s="223" t="s">
        <v>623</v>
      </c>
      <c r="K14126" s="223" t="s">
        <v>101</v>
      </c>
      <c r="L14126" s="223" t="s">
        <v>730</v>
      </c>
      <c r="M14126" s="223">
        <v>2.5</v>
      </c>
      <c r="N14126" s="223"/>
      <c r="O14126" s="223" t="s">
        <v>164</v>
      </c>
      <c r="P14126" s="223"/>
      <c r="Q14126" s="224"/>
    </row>
    <row r="14127" spans="1:17">
      <c r="A14127" s="221">
        <v>506</v>
      </c>
      <c r="B14127" s="222">
        <v>46148</v>
      </c>
      <c r="C14127" s="223" t="s">
        <v>294</v>
      </c>
      <c r="D14127" s="223" t="s">
        <v>520</v>
      </c>
      <c r="E14127" s="223" t="s">
        <v>318</v>
      </c>
      <c r="F14127" s="223">
        <v>2026</v>
      </c>
      <c r="G14127" s="223">
        <v>3</v>
      </c>
      <c r="H14127" s="223" t="s">
        <v>57</v>
      </c>
      <c r="I14127" s="226" t="s">
        <v>89</v>
      </c>
      <c r="J14127" s="223" t="s">
        <v>311</v>
      </c>
      <c r="K14127" s="223" t="s">
        <v>90</v>
      </c>
      <c r="L14127" s="223" t="s">
        <v>670</v>
      </c>
      <c r="M14127" s="223">
        <v>3</v>
      </c>
      <c r="N14127" s="223"/>
      <c r="O14127" s="223" t="s">
        <v>91</v>
      </c>
      <c r="P14127" s="223"/>
      <c r="Q14127" s="224"/>
    </row>
    <row r="14128" spans="1:17">
      <c r="A14128" s="221">
        <v>507</v>
      </c>
      <c r="B14128" s="222">
        <v>46148</v>
      </c>
      <c r="C14128" s="223" t="s">
        <v>294</v>
      </c>
      <c r="D14128" s="223" t="s">
        <v>477</v>
      </c>
      <c r="E14128" s="223" t="s">
        <v>318</v>
      </c>
      <c r="F14128" s="223">
        <v>2026</v>
      </c>
      <c r="G14128" s="223">
        <v>3</v>
      </c>
      <c r="H14128" s="223" t="s">
        <v>461</v>
      </c>
      <c r="I14128" s="226" t="s">
        <v>136</v>
      </c>
      <c r="J14128" s="223" t="s">
        <v>462</v>
      </c>
      <c r="K14128" s="223" t="s">
        <v>101</v>
      </c>
      <c r="L14128" s="223" t="s">
        <v>671</v>
      </c>
      <c r="M14128" s="223">
        <v>3</v>
      </c>
      <c r="N14128" s="223"/>
      <c r="O14128" s="223" t="s">
        <v>140</v>
      </c>
      <c r="P14128" s="223"/>
      <c r="Q14128" s="224"/>
    </row>
    <row r="14129" spans="1:17">
      <c r="A14129" s="221">
        <v>508</v>
      </c>
      <c r="B14129" s="222">
        <v>46148</v>
      </c>
      <c r="C14129" s="223" t="s">
        <v>294</v>
      </c>
      <c r="D14129" s="223" t="s">
        <v>479</v>
      </c>
      <c r="E14129" s="223" t="s">
        <v>318</v>
      </c>
      <c r="F14129" s="223">
        <v>2026</v>
      </c>
      <c r="G14129" s="223">
        <v>3</v>
      </c>
      <c r="H14129" s="223" t="s">
        <v>461</v>
      </c>
      <c r="I14129" s="226" t="s">
        <v>136</v>
      </c>
      <c r="J14129" s="223" t="s">
        <v>462</v>
      </c>
      <c r="K14129" s="223" t="s">
        <v>10</v>
      </c>
      <c r="L14129" s="223" t="s">
        <v>671</v>
      </c>
      <c r="M14129" s="223">
        <v>3</v>
      </c>
      <c r="N14129" s="223"/>
      <c r="O14129" s="223" t="s">
        <v>138</v>
      </c>
      <c r="P14129" s="223"/>
      <c r="Q14129" s="224"/>
    </row>
    <row r="14130" spans="1:17">
      <c r="A14130" s="221">
        <v>509</v>
      </c>
      <c r="B14130" s="222">
        <v>46148</v>
      </c>
      <c r="C14130" s="223" t="s">
        <v>294</v>
      </c>
      <c r="D14130" s="223" t="s">
        <v>482</v>
      </c>
      <c r="E14130" s="223" t="s">
        <v>318</v>
      </c>
      <c r="F14130" s="223">
        <v>2026</v>
      </c>
      <c r="G14130" s="223">
        <v>2</v>
      </c>
      <c r="H14130" s="223" t="s">
        <v>132</v>
      </c>
      <c r="I14130" s="226" t="s">
        <v>133</v>
      </c>
      <c r="J14130" s="223" t="s">
        <v>360</v>
      </c>
      <c r="K14130" s="223" t="s">
        <v>135</v>
      </c>
      <c r="L14130" s="223" t="s">
        <v>609</v>
      </c>
      <c r="M14130" s="223">
        <v>2</v>
      </c>
      <c r="N14130" s="223"/>
      <c r="O14130" s="223" t="s">
        <v>127</v>
      </c>
      <c r="P14130" s="223"/>
      <c r="Q14130" s="224"/>
    </row>
    <row r="14131" spans="1:17">
      <c r="A14131" s="221">
        <v>510</v>
      </c>
      <c r="B14131" s="222">
        <v>46148</v>
      </c>
      <c r="C14131" s="223" t="s">
        <v>294</v>
      </c>
      <c r="D14131" s="223" t="s">
        <v>372</v>
      </c>
      <c r="E14131" s="223" t="s">
        <v>318</v>
      </c>
      <c r="F14131" s="223">
        <v>2026</v>
      </c>
      <c r="G14131" s="223"/>
      <c r="H14131" s="223" t="s">
        <v>57</v>
      </c>
      <c r="I14131" s="226" t="s">
        <v>58</v>
      </c>
      <c r="J14131" s="223" t="s">
        <v>373</v>
      </c>
      <c r="K14131" s="223"/>
      <c r="L14131" s="223" t="s">
        <v>659</v>
      </c>
      <c r="M14131" s="223">
        <v>5</v>
      </c>
      <c r="N14131" s="223"/>
      <c r="O14131" s="223" t="s">
        <v>70</v>
      </c>
      <c r="P14131" s="223"/>
      <c r="Q14131" s="224"/>
    </row>
    <row r="14132" spans="1:17">
      <c r="L14132"/>
    </row>
    <row r="14133" spans="1:17">
      <c r="L14133"/>
    </row>
    <row r="14134" spans="1:17">
      <c r="L14134"/>
    </row>
    <row r="14135" spans="1:17">
      <c r="L14135"/>
    </row>
    <row r="14136" spans="1:17">
      <c r="L14136"/>
    </row>
    <row r="14137" spans="1:17">
      <c r="L14137"/>
    </row>
    <row r="14138" spans="1:17">
      <c r="L14138"/>
    </row>
    <row r="14139" spans="1:17">
      <c r="L14139"/>
    </row>
    <row r="14140" spans="1:17">
      <c r="L14140"/>
    </row>
    <row r="14141" spans="1:17">
      <c r="L14141"/>
    </row>
    <row r="14142" spans="1:17">
      <c r="L14142"/>
    </row>
    <row r="14143" spans="1:17" ht="30.75">
      <c r="A14143" s="221">
        <v>521</v>
      </c>
      <c r="B14143" s="222">
        <v>46150</v>
      </c>
      <c r="C14143" s="223" t="s">
        <v>301</v>
      </c>
      <c r="D14143" s="223" t="s">
        <v>962</v>
      </c>
      <c r="E14143" s="223" t="s">
        <v>318</v>
      </c>
      <c r="F14143" s="223">
        <v>2026</v>
      </c>
      <c r="G14143" s="223">
        <v>1.5</v>
      </c>
      <c r="H14143" s="223" t="s">
        <v>201</v>
      </c>
      <c r="I14143" s="226" t="s">
        <v>202</v>
      </c>
      <c r="J14143" s="223"/>
      <c r="K14143" s="223" t="s">
        <v>101</v>
      </c>
      <c r="L14143" s="223" t="s">
        <v>963</v>
      </c>
      <c r="M14143" s="223">
        <v>1.5</v>
      </c>
      <c r="N14143" s="223"/>
      <c r="O14143" s="223" t="s">
        <v>769</v>
      </c>
      <c r="P14143" s="223"/>
      <c r="Q14143" s="224"/>
    </row>
    <row r="14144" spans="1:17" ht="30.75">
      <c r="A14144" s="221">
        <v>522</v>
      </c>
      <c r="B14144" s="222">
        <v>46150</v>
      </c>
      <c r="C14144" s="223" t="s">
        <v>301</v>
      </c>
      <c r="D14144" s="223" t="s">
        <v>655</v>
      </c>
      <c r="E14144" s="223" t="s">
        <v>318</v>
      </c>
      <c r="F14144" s="223">
        <v>2026</v>
      </c>
      <c r="G14144" s="223">
        <v>1.5</v>
      </c>
      <c r="H14144" s="223" t="s">
        <v>115</v>
      </c>
      <c r="I14144" s="226" t="s">
        <v>437</v>
      </c>
      <c r="J14144" s="223" t="s">
        <v>438</v>
      </c>
      <c r="K14144" s="223" t="s">
        <v>101</v>
      </c>
      <c r="L14144" s="223" t="s">
        <v>676</v>
      </c>
      <c r="M14144" s="223">
        <v>1.5</v>
      </c>
      <c r="N14144" s="223"/>
      <c r="O14144" s="223" t="s">
        <v>164</v>
      </c>
      <c r="P14144" s="223"/>
      <c r="Q14144" s="224"/>
    </row>
    <row r="14145" spans="1:17">
      <c r="A14145" s="221">
        <v>523</v>
      </c>
      <c r="B14145" s="222">
        <v>46150</v>
      </c>
      <c r="C14145" s="223" t="s">
        <v>301</v>
      </c>
      <c r="D14145" s="223" t="s">
        <v>482</v>
      </c>
      <c r="E14145" s="223" t="s">
        <v>318</v>
      </c>
      <c r="F14145" s="223">
        <v>2026</v>
      </c>
      <c r="G14145" s="223">
        <v>2</v>
      </c>
      <c r="H14145" s="223" t="s">
        <v>132</v>
      </c>
      <c r="I14145" s="226" t="s">
        <v>133</v>
      </c>
      <c r="J14145" s="223" t="s">
        <v>360</v>
      </c>
      <c r="K14145" s="223" t="s">
        <v>135</v>
      </c>
      <c r="L14145" s="223" t="s">
        <v>626</v>
      </c>
      <c r="M14145" s="223">
        <v>2</v>
      </c>
      <c r="N14145" s="223"/>
      <c r="O14145" s="223" t="s">
        <v>127</v>
      </c>
      <c r="P14145" s="223"/>
      <c r="Q14145" s="224"/>
    </row>
    <row r="14146" spans="1:17">
      <c r="A14146" s="221">
        <v>524</v>
      </c>
      <c r="B14146" s="222">
        <v>46150</v>
      </c>
      <c r="C14146" s="223" t="s">
        <v>301</v>
      </c>
      <c r="D14146" s="223" t="s">
        <v>497</v>
      </c>
      <c r="E14146" s="223" t="s">
        <v>318</v>
      </c>
      <c r="F14146" s="223">
        <v>2026</v>
      </c>
      <c r="G14146" s="223" t="s">
        <v>498</v>
      </c>
      <c r="H14146" s="223" t="s">
        <v>57</v>
      </c>
      <c r="I14146" s="226" t="s">
        <v>454</v>
      </c>
      <c r="J14146" s="223" t="s">
        <v>311</v>
      </c>
      <c r="K14146" s="223"/>
      <c r="L14146" s="223" t="s">
        <v>682</v>
      </c>
      <c r="M14146" s="223" t="s">
        <v>498</v>
      </c>
      <c r="N14146" s="223"/>
      <c r="O14146" s="223" t="s">
        <v>12</v>
      </c>
      <c r="P14146" s="223"/>
      <c r="Q14146" s="224"/>
    </row>
    <row r="14147" spans="1:17">
      <c r="A14147" s="221">
        <v>525</v>
      </c>
      <c r="B14147" s="222">
        <v>46150</v>
      </c>
      <c r="C14147" s="223" t="s">
        <v>301</v>
      </c>
      <c r="D14147" s="223" t="s">
        <v>372</v>
      </c>
      <c r="E14147" s="223" t="s">
        <v>318</v>
      </c>
      <c r="F14147" s="223">
        <v>2026</v>
      </c>
      <c r="G14147" s="223"/>
      <c r="H14147" s="223" t="s">
        <v>57</v>
      </c>
      <c r="I14147" s="226" t="s">
        <v>58</v>
      </c>
      <c r="J14147" s="223" t="s">
        <v>373</v>
      </c>
      <c r="K14147" s="223"/>
      <c r="L14147" s="223" t="s">
        <v>659</v>
      </c>
      <c r="M14147" s="223">
        <v>5</v>
      </c>
      <c r="N14147" s="223"/>
      <c r="O14147" s="223" t="s">
        <v>70</v>
      </c>
      <c r="P14147" s="223"/>
      <c r="Q14147" s="224"/>
    </row>
    <row r="14148" spans="1:17" ht="30.75">
      <c r="A14148" s="221">
        <v>526</v>
      </c>
      <c r="B14148" s="222">
        <v>46153</v>
      </c>
      <c r="C14148" s="223" t="s">
        <v>302</v>
      </c>
      <c r="D14148" s="223" t="s">
        <v>962</v>
      </c>
      <c r="E14148" s="223" t="s">
        <v>318</v>
      </c>
      <c r="F14148" s="223">
        <v>2026</v>
      </c>
      <c r="G14148" s="223">
        <v>1.5</v>
      </c>
      <c r="H14148" s="223" t="s">
        <v>201</v>
      </c>
      <c r="I14148" s="226" t="s">
        <v>202</v>
      </c>
      <c r="J14148" s="223"/>
      <c r="K14148" s="223" t="s">
        <v>101</v>
      </c>
      <c r="L14148" s="223" t="s">
        <v>964</v>
      </c>
      <c r="M14148" s="223">
        <v>1.5</v>
      </c>
      <c r="N14148" s="223"/>
      <c r="O14148" s="223" t="s">
        <v>769</v>
      </c>
      <c r="P14148" s="223"/>
      <c r="Q14148" s="224"/>
    </row>
    <row r="14149" spans="1:17">
      <c r="A14149" s="221">
        <v>527</v>
      </c>
      <c r="B14149" s="222">
        <v>46153</v>
      </c>
      <c r="C14149" s="223" t="s">
        <v>302</v>
      </c>
      <c r="D14149" s="223" t="s">
        <v>520</v>
      </c>
      <c r="E14149" s="223" t="s">
        <v>318</v>
      </c>
      <c r="F14149" s="223">
        <v>2026</v>
      </c>
      <c r="G14149" s="223">
        <v>3</v>
      </c>
      <c r="H14149" s="223" t="s">
        <v>57</v>
      </c>
      <c r="I14149" s="226" t="s">
        <v>89</v>
      </c>
      <c r="J14149" s="223" t="s">
        <v>311</v>
      </c>
      <c r="K14149" s="223" t="s">
        <v>90</v>
      </c>
      <c r="L14149" s="223" t="s">
        <v>684</v>
      </c>
      <c r="M14149" s="223">
        <v>3</v>
      </c>
      <c r="N14149" s="223"/>
      <c r="O14149" s="223" t="s">
        <v>91</v>
      </c>
      <c r="P14149" s="223"/>
      <c r="Q14149" s="224"/>
    </row>
    <row r="14150" spans="1:17">
      <c r="A14150" s="221">
        <v>528</v>
      </c>
      <c r="B14150" s="222">
        <v>46153</v>
      </c>
      <c r="C14150" s="223" t="s">
        <v>302</v>
      </c>
      <c r="D14150" s="223" t="s">
        <v>477</v>
      </c>
      <c r="E14150" s="223" t="s">
        <v>318</v>
      </c>
      <c r="F14150" s="223">
        <v>2026</v>
      </c>
      <c r="G14150" s="223">
        <v>3</v>
      </c>
      <c r="H14150" s="223" t="s">
        <v>461</v>
      </c>
      <c r="I14150" s="226" t="s">
        <v>136</v>
      </c>
      <c r="J14150" s="223" t="s">
        <v>462</v>
      </c>
      <c r="K14150" s="223" t="s">
        <v>101</v>
      </c>
      <c r="L14150" s="223" t="s">
        <v>685</v>
      </c>
      <c r="M14150" s="223">
        <v>3</v>
      </c>
      <c r="N14150" s="223"/>
      <c r="O14150" s="223" t="s">
        <v>138</v>
      </c>
      <c r="P14150" s="223"/>
      <c r="Q14150" s="224"/>
    </row>
    <row r="14151" spans="1:17">
      <c r="A14151" s="221">
        <v>529</v>
      </c>
      <c r="B14151" s="222">
        <v>46153</v>
      </c>
      <c r="C14151" s="223" t="s">
        <v>302</v>
      </c>
      <c r="D14151" s="223" t="s">
        <v>479</v>
      </c>
      <c r="E14151" s="223" t="s">
        <v>318</v>
      </c>
      <c r="F14151" s="223">
        <v>2026</v>
      </c>
      <c r="G14151" s="223">
        <v>3</v>
      </c>
      <c r="H14151" s="223" t="s">
        <v>461</v>
      </c>
      <c r="I14151" s="226" t="s">
        <v>136</v>
      </c>
      <c r="J14151" s="223" t="s">
        <v>462</v>
      </c>
      <c r="K14151" s="223" t="s">
        <v>10</v>
      </c>
      <c r="L14151" s="223" t="s">
        <v>685</v>
      </c>
      <c r="M14151" s="223">
        <v>3</v>
      </c>
      <c r="N14151" s="223"/>
      <c r="O14151" s="223" t="s">
        <v>138</v>
      </c>
      <c r="P14151" s="223"/>
      <c r="Q14151" s="224"/>
    </row>
    <row r="14152" spans="1:17">
      <c r="A14152" s="221">
        <v>530</v>
      </c>
      <c r="B14152" s="222">
        <v>46153</v>
      </c>
      <c r="C14152" s="223" t="s">
        <v>302</v>
      </c>
      <c r="D14152" s="223" t="s">
        <v>482</v>
      </c>
      <c r="E14152" s="223" t="s">
        <v>318</v>
      </c>
      <c r="F14152" s="223">
        <v>2026</v>
      </c>
      <c r="G14152" s="223">
        <v>2</v>
      </c>
      <c r="H14152" s="223" t="s">
        <v>132</v>
      </c>
      <c r="I14152" s="226" t="s">
        <v>133</v>
      </c>
      <c r="J14152" s="223" t="s">
        <v>360</v>
      </c>
      <c r="K14152" s="223" t="s">
        <v>135</v>
      </c>
      <c r="L14152" s="223" t="s">
        <v>635</v>
      </c>
      <c r="M14152" s="223">
        <v>2</v>
      </c>
      <c r="N14152" s="223"/>
      <c r="O14152" s="223" t="s">
        <v>127</v>
      </c>
      <c r="P14152" s="223"/>
      <c r="Q14152" s="224"/>
    </row>
    <row r="14153" spans="1:17">
      <c r="A14153" s="221">
        <v>531</v>
      </c>
      <c r="B14153" s="222">
        <v>46153</v>
      </c>
      <c r="C14153" s="223" t="s">
        <v>302</v>
      </c>
      <c r="D14153" s="223"/>
      <c r="E14153" s="223" t="s">
        <v>318</v>
      </c>
      <c r="F14153" s="223">
        <v>2026</v>
      </c>
      <c r="G14153" s="223">
        <v>3</v>
      </c>
      <c r="H14153" s="223" t="s">
        <v>61</v>
      </c>
      <c r="I14153" s="226" t="s">
        <v>62</v>
      </c>
      <c r="J14153" s="223" t="s">
        <v>360</v>
      </c>
      <c r="K14153" s="223" t="s">
        <v>38</v>
      </c>
      <c r="L14153" s="223" t="s">
        <v>569</v>
      </c>
      <c r="M14153" s="223"/>
      <c r="N14153" s="223"/>
      <c r="O14153" s="223" t="s">
        <v>169</v>
      </c>
      <c r="P14153" s="223"/>
      <c r="Q14153" s="224"/>
    </row>
    <row r="14154" spans="1:17">
      <c r="A14154" s="221">
        <v>532</v>
      </c>
      <c r="B14154" s="222">
        <v>46154</v>
      </c>
      <c r="C14154" s="223" t="s">
        <v>289</v>
      </c>
      <c r="D14154" s="223" t="s">
        <v>661</v>
      </c>
      <c r="E14154" s="223" t="s">
        <v>318</v>
      </c>
      <c r="F14154" s="223">
        <v>2026</v>
      </c>
      <c r="G14154" s="223">
        <v>2.5</v>
      </c>
      <c r="H14154" s="223" t="s">
        <v>132</v>
      </c>
      <c r="I14154" s="226" t="s">
        <v>158</v>
      </c>
      <c r="J14154" s="223" t="s">
        <v>360</v>
      </c>
      <c r="K14154" s="223" t="s">
        <v>101</v>
      </c>
      <c r="L14154" s="223" t="s">
        <v>965</v>
      </c>
      <c r="M14154" s="223">
        <v>2.5</v>
      </c>
      <c r="N14154" s="223"/>
      <c r="O14154" s="223" t="s">
        <v>70</v>
      </c>
      <c r="P14154" s="223"/>
      <c r="Q14154" s="224"/>
    </row>
    <row r="14155" spans="1:17" ht="30.75">
      <c r="A14155" s="221"/>
      <c r="B14155" s="222">
        <v>46154</v>
      </c>
      <c r="C14155" s="223" t="s">
        <v>289</v>
      </c>
      <c r="D14155" s="223" t="s">
        <v>966</v>
      </c>
      <c r="E14155" s="223" t="s">
        <v>318</v>
      </c>
      <c r="F14155" s="223">
        <v>2026</v>
      </c>
      <c r="G14155" s="223">
        <v>1</v>
      </c>
      <c r="H14155" s="223" t="s">
        <v>196</v>
      </c>
      <c r="I14155" s="226" t="s">
        <v>967</v>
      </c>
      <c r="J14155" s="223" t="s">
        <v>687</v>
      </c>
      <c r="K14155" s="223" t="s">
        <v>101</v>
      </c>
      <c r="L14155" s="223" t="s">
        <v>688</v>
      </c>
      <c r="M14155" s="223">
        <v>1</v>
      </c>
      <c r="N14155" s="223"/>
      <c r="O14155" s="223"/>
      <c r="P14155" s="223"/>
      <c r="Q14155" s="224"/>
    </row>
    <row r="14156" spans="1:17">
      <c r="A14156" s="221">
        <v>533</v>
      </c>
      <c r="B14156" s="222">
        <v>46154</v>
      </c>
      <c r="C14156" s="223" t="s">
        <v>289</v>
      </c>
      <c r="D14156" s="223" t="s">
        <v>661</v>
      </c>
      <c r="E14156" s="223" t="s">
        <v>318</v>
      </c>
      <c r="F14156" s="223">
        <v>2026</v>
      </c>
      <c r="G14156" s="223">
        <v>2.5</v>
      </c>
      <c r="H14156" s="223" t="s">
        <v>132</v>
      </c>
      <c r="I14156" s="226" t="s">
        <v>184</v>
      </c>
      <c r="J14156" s="223" t="s">
        <v>360</v>
      </c>
      <c r="K14156" s="223" t="s">
        <v>101</v>
      </c>
      <c r="L14156" s="223" t="s">
        <v>690</v>
      </c>
      <c r="M14156" s="223">
        <v>2.5</v>
      </c>
      <c r="N14156" s="223"/>
      <c r="O14156" s="223" t="s">
        <v>63</v>
      </c>
      <c r="P14156" s="223"/>
      <c r="Q14156" s="224"/>
    </row>
    <row r="14157" spans="1:17" ht="30.75">
      <c r="A14157" s="221">
        <v>534</v>
      </c>
      <c r="B14157" s="222">
        <v>46154</v>
      </c>
      <c r="C14157" s="223" t="s">
        <v>289</v>
      </c>
      <c r="D14157" s="223" t="s">
        <v>655</v>
      </c>
      <c r="E14157" s="223" t="s">
        <v>318</v>
      </c>
      <c r="F14157" s="223">
        <v>2026</v>
      </c>
      <c r="G14157" s="223">
        <v>1.5</v>
      </c>
      <c r="H14157" s="223" t="s">
        <v>115</v>
      </c>
      <c r="I14157" s="226" t="s">
        <v>437</v>
      </c>
      <c r="J14157" s="223" t="s">
        <v>438</v>
      </c>
      <c r="K14157" s="223" t="s">
        <v>101</v>
      </c>
      <c r="L14157" s="223" t="s">
        <v>694</v>
      </c>
      <c r="M14157" s="223">
        <v>1.5</v>
      </c>
      <c r="N14157" s="223"/>
      <c r="O14157" s="223" t="s">
        <v>117</v>
      </c>
      <c r="P14157" s="223"/>
      <c r="Q14157" s="224"/>
    </row>
    <row r="14158" spans="1:17">
      <c r="A14158" s="221">
        <v>535</v>
      </c>
      <c r="B14158" s="222">
        <v>46154</v>
      </c>
      <c r="C14158" s="223" t="s">
        <v>289</v>
      </c>
      <c r="D14158" s="223" t="s">
        <v>477</v>
      </c>
      <c r="E14158" s="223" t="s">
        <v>318</v>
      </c>
      <c r="F14158" s="223">
        <v>2026</v>
      </c>
      <c r="G14158" s="223">
        <v>3</v>
      </c>
      <c r="H14158" s="223" t="s">
        <v>461</v>
      </c>
      <c r="I14158" s="226" t="s">
        <v>142</v>
      </c>
      <c r="J14158" s="223" t="s">
        <v>462</v>
      </c>
      <c r="K14158" s="223" t="s">
        <v>101</v>
      </c>
      <c r="L14158" s="223" t="s">
        <v>691</v>
      </c>
      <c r="M14158" s="223">
        <v>3</v>
      </c>
      <c r="N14158" s="223"/>
      <c r="O14158" s="223" t="s">
        <v>82</v>
      </c>
      <c r="P14158" s="223"/>
      <c r="Q14158" s="224"/>
    </row>
    <row r="14159" spans="1:17">
      <c r="A14159" s="221">
        <v>536</v>
      </c>
      <c r="B14159" s="222">
        <v>46154</v>
      </c>
      <c r="C14159" s="223" t="s">
        <v>289</v>
      </c>
      <c r="D14159" s="223" t="s">
        <v>479</v>
      </c>
      <c r="E14159" s="223" t="s">
        <v>318</v>
      </c>
      <c r="F14159" s="223">
        <v>2026</v>
      </c>
      <c r="G14159" s="223">
        <v>3</v>
      </c>
      <c r="H14159" s="223" t="s">
        <v>461</v>
      </c>
      <c r="I14159" s="226" t="s">
        <v>142</v>
      </c>
      <c r="J14159" s="223" t="s">
        <v>462</v>
      </c>
      <c r="K14159" s="223" t="s">
        <v>10</v>
      </c>
      <c r="L14159" s="223" t="s">
        <v>691</v>
      </c>
      <c r="M14159" s="223">
        <v>3</v>
      </c>
      <c r="N14159" s="223"/>
      <c r="O14159" s="223" t="s">
        <v>138</v>
      </c>
      <c r="P14159" s="223"/>
      <c r="Q14159" s="224"/>
    </row>
    <row r="14160" spans="1:17">
      <c r="A14160" s="221">
        <v>537</v>
      </c>
      <c r="B14160" s="222">
        <v>46154</v>
      </c>
      <c r="C14160" s="223" t="s">
        <v>289</v>
      </c>
      <c r="D14160" s="223" t="s">
        <v>497</v>
      </c>
      <c r="E14160" s="223" t="s">
        <v>318</v>
      </c>
      <c r="F14160" s="223">
        <v>2026</v>
      </c>
      <c r="G14160" s="223" t="s">
        <v>498</v>
      </c>
      <c r="H14160" s="223" t="s">
        <v>57</v>
      </c>
      <c r="I14160" s="226" t="s">
        <v>454</v>
      </c>
      <c r="J14160" s="223" t="s">
        <v>311</v>
      </c>
      <c r="K14160" s="223"/>
      <c r="L14160" s="223" t="s">
        <v>692</v>
      </c>
      <c r="M14160" s="223" t="s">
        <v>498</v>
      </c>
      <c r="N14160" s="223"/>
      <c r="O14160" s="223" t="s">
        <v>693</v>
      </c>
      <c r="P14160" s="223"/>
      <c r="Q14160" s="224"/>
    </row>
    <row r="14161" spans="1:17">
      <c r="A14161" s="221">
        <v>538</v>
      </c>
      <c r="B14161" s="222">
        <v>46154</v>
      </c>
      <c r="C14161" s="223" t="s">
        <v>289</v>
      </c>
      <c r="D14161" s="223" t="s">
        <v>665</v>
      </c>
      <c r="E14161" s="223" t="s">
        <v>318</v>
      </c>
      <c r="F14161" s="223">
        <v>2026</v>
      </c>
      <c r="G14161" s="223">
        <v>4</v>
      </c>
      <c r="H14161" s="223" t="s">
        <v>99</v>
      </c>
      <c r="I14161" s="226" t="s">
        <v>108</v>
      </c>
      <c r="J14161" s="223" t="s">
        <v>366</v>
      </c>
      <c r="K14161" s="223" t="s">
        <v>101</v>
      </c>
      <c r="L14161" s="223" t="s">
        <v>695</v>
      </c>
      <c r="M14161" s="223">
        <v>4</v>
      </c>
      <c r="N14161" s="223"/>
      <c r="O14161" s="223" t="s">
        <v>112</v>
      </c>
      <c r="P14161" s="223"/>
      <c r="Q14161" s="224"/>
    </row>
    <row r="14162" spans="1:17">
      <c r="A14162" s="221">
        <v>539</v>
      </c>
      <c r="B14162" s="222">
        <v>46154</v>
      </c>
      <c r="C14162" s="223" t="s">
        <v>289</v>
      </c>
      <c r="D14162" s="223" t="s">
        <v>667</v>
      </c>
      <c r="E14162" s="223" t="s">
        <v>318</v>
      </c>
      <c r="F14162" s="223">
        <v>2026</v>
      </c>
      <c r="G14162" s="223">
        <v>4</v>
      </c>
      <c r="H14162" s="223" t="s">
        <v>99</v>
      </c>
      <c r="I14162" s="226" t="s">
        <v>108</v>
      </c>
      <c r="J14162" s="223" t="s">
        <v>366</v>
      </c>
      <c r="K14162" s="223" t="s">
        <v>104</v>
      </c>
      <c r="L14162" s="223" t="s">
        <v>695</v>
      </c>
      <c r="M14162" s="223">
        <v>4</v>
      </c>
      <c r="N14162" s="223"/>
      <c r="O14162" s="223" t="s">
        <v>109</v>
      </c>
      <c r="P14162" s="223"/>
      <c r="Q14162" s="224"/>
    </row>
    <row r="14163" spans="1:17">
      <c r="A14163" s="221">
        <v>540</v>
      </c>
      <c r="B14163" s="222">
        <v>46154</v>
      </c>
      <c r="C14163" s="223" t="s">
        <v>289</v>
      </c>
      <c r="D14163" s="223" t="s">
        <v>456</v>
      </c>
      <c r="E14163" s="223" t="s">
        <v>318</v>
      </c>
      <c r="F14163" s="223">
        <v>2026</v>
      </c>
      <c r="G14163" s="223">
        <v>2.5</v>
      </c>
      <c r="H14163" s="223" t="s">
        <v>99</v>
      </c>
      <c r="I14163" s="226" t="s">
        <v>100</v>
      </c>
      <c r="J14163" s="223" t="s">
        <v>373</v>
      </c>
      <c r="K14163" s="223" t="s">
        <v>101</v>
      </c>
      <c r="L14163" s="223" t="s">
        <v>696</v>
      </c>
      <c r="M14163" s="223">
        <v>2.5</v>
      </c>
      <c r="N14163" s="223"/>
      <c r="O14163" s="223" t="s">
        <v>102</v>
      </c>
      <c r="P14163" s="223"/>
      <c r="Q14163" s="224"/>
    </row>
    <row r="14164" spans="1:17">
      <c r="A14164" s="221">
        <v>541</v>
      </c>
      <c r="B14164" s="222">
        <v>46154</v>
      </c>
      <c r="C14164" s="223" t="s">
        <v>289</v>
      </c>
      <c r="D14164" s="223"/>
      <c r="E14164" s="223" t="s">
        <v>318</v>
      </c>
      <c r="F14164" s="223">
        <v>2026</v>
      </c>
      <c r="G14164" s="223"/>
      <c r="H14164" s="223" t="s">
        <v>99</v>
      </c>
      <c r="I14164" s="226" t="s">
        <v>100</v>
      </c>
      <c r="J14164" s="223" t="s">
        <v>373</v>
      </c>
      <c r="K14164" s="223" t="s">
        <v>10</v>
      </c>
      <c r="L14164" s="223" t="s">
        <v>427</v>
      </c>
      <c r="M14164" s="223">
        <v>2.5</v>
      </c>
      <c r="N14164" s="223"/>
      <c r="O14164" s="223" t="s">
        <v>29</v>
      </c>
      <c r="P14164" s="223"/>
      <c r="Q14164" s="224"/>
    </row>
    <row r="14165" spans="1:17">
      <c r="A14165" s="221">
        <v>542</v>
      </c>
      <c r="B14165" s="222">
        <v>46154</v>
      </c>
      <c r="C14165" s="223" t="s">
        <v>289</v>
      </c>
      <c r="D14165" s="223" t="s">
        <v>467</v>
      </c>
      <c r="E14165" s="223" t="s">
        <v>318</v>
      </c>
      <c r="F14165" s="223">
        <v>2026</v>
      </c>
      <c r="G14165" s="223">
        <v>2.5</v>
      </c>
      <c r="H14165" s="223" t="s">
        <v>99</v>
      </c>
      <c r="I14165" s="226" t="s">
        <v>100</v>
      </c>
      <c r="J14165" s="223" t="s">
        <v>373</v>
      </c>
      <c r="K14165" s="223" t="s">
        <v>104</v>
      </c>
      <c r="L14165" s="223" t="s">
        <v>668</v>
      </c>
      <c r="M14165" s="223"/>
      <c r="N14165" s="223"/>
      <c r="O14165" s="223" t="s">
        <v>70</v>
      </c>
      <c r="P14165" s="223"/>
      <c r="Q14165" s="224"/>
    </row>
    <row r="14166" spans="1:17">
      <c r="A14166" s="221">
        <v>543</v>
      </c>
      <c r="B14166" s="222">
        <v>46154</v>
      </c>
      <c r="C14166" s="223" t="s">
        <v>289</v>
      </c>
      <c r="D14166" s="223" t="s">
        <v>430</v>
      </c>
      <c r="E14166" s="223" t="s">
        <v>318</v>
      </c>
      <c r="F14166" s="223">
        <v>2026</v>
      </c>
      <c r="G14166" s="223">
        <v>2.5</v>
      </c>
      <c r="H14166" s="223" t="s">
        <v>99</v>
      </c>
      <c r="I14166" s="226" t="s">
        <v>100</v>
      </c>
      <c r="J14166" s="223" t="s">
        <v>373</v>
      </c>
      <c r="K14166" s="223" t="s">
        <v>106</v>
      </c>
      <c r="L14166" s="223" t="s">
        <v>696</v>
      </c>
      <c r="M14166" s="223">
        <v>2.5</v>
      </c>
      <c r="N14166" s="223"/>
      <c r="O14166" s="223" t="s">
        <v>432</v>
      </c>
      <c r="P14166" s="223"/>
      <c r="Q14166" s="224"/>
    </row>
    <row r="14167" spans="1:17">
      <c r="A14167" s="221">
        <v>544</v>
      </c>
      <c r="B14167" s="222">
        <v>46154</v>
      </c>
      <c r="C14167" s="223" t="s">
        <v>289</v>
      </c>
      <c r="D14167" s="223" t="s">
        <v>568</v>
      </c>
      <c r="E14167" s="223" t="s">
        <v>318</v>
      </c>
      <c r="F14167" s="223">
        <v>2026</v>
      </c>
      <c r="G14167" s="223">
        <v>3</v>
      </c>
      <c r="H14167" s="223" t="s">
        <v>61</v>
      </c>
      <c r="I14167" s="226" t="s">
        <v>62</v>
      </c>
      <c r="J14167" s="223" t="s">
        <v>360</v>
      </c>
      <c r="K14167" s="223" t="s">
        <v>38</v>
      </c>
      <c r="L14167" s="223" t="s">
        <v>569</v>
      </c>
      <c r="M14167" s="223">
        <v>3</v>
      </c>
      <c r="N14167" s="223"/>
      <c r="O14167" s="223" t="s">
        <v>169</v>
      </c>
      <c r="P14167" s="223"/>
      <c r="Q14167" s="224"/>
    </row>
    <row r="14168" spans="1:17">
      <c r="A14168" s="221">
        <v>545</v>
      </c>
      <c r="B14168" s="222">
        <v>46154</v>
      </c>
      <c r="C14168" s="223" t="s">
        <v>289</v>
      </c>
      <c r="D14168" s="223" t="s">
        <v>568</v>
      </c>
      <c r="E14168" s="223" t="s">
        <v>318</v>
      </c>
      <c r="F14168" s="223">
        <v>2026</v>
      </c>
      <c r="G14168" s="223">
        <v>3</v>
      </c>
      <c r="H14168" s="223" t="s">
        <v>61</v>
      </c>
      <c r="I14168" s="226" t="s">
        <v>62</v>
      </c>
      <c r="J14168" s="223" t="s">
        <v>360</v>
      </c>
      <c r="K14168" s="223" t="s">
        <v>38</v>
      </c>
      <c r="L14168" s="223" t="s">
        <v>569</v>
      </c>
      <c r="M14168" s="223">
        <v>3</v>
      </c>
      <c r="N14168" s="223"/>
      <c r="O14168" s="223" t="s">
        <v>169</v>
      </c>
      <c r="P14168" s="223"/>
      <c r="Q14168" s="224"/>
    </row>
    <row r="14169" spans="1:17">
      <c r="A14169" s="221">
        <v>546</v>
      </c>
      <c r="B14169" s="222">
        <v>46155</v>
      </c>
      <c r="C14169" s="223" t="s">
        <v>294</v>
      </c>
      <c r="D14169" s="223" t="s">
        <v>661</v>
      </c>
      <c r="E14169" s="223" t="s">
        <v>318</v>
      </c>
      <c r="F14169" s="223">
        <v>2026</v>
      </c>
      <c r="G14169" s="223">
        <v>2.5</v>
      </c>
      <c r="H14169" s="223" t="s">
        <v>132</v>
      </c>
      <c r="I14169" s="226" t="s">
        <v>158</v>
      </c>
      <c r="J14169" s="223" t="s">
        <v>360</v>
      </c>
      <c r="K14169" s="223" t="s">
        <v>101</v>
      </c>
      <c r="L14169" s="223" t="s">
        <v>770</v>
      </c>
      <c r="M14169" s="223">
        <v>2.5</v>
      </c>
      <c r="N14169" s="223"/>
      <c r="O14169" s="223" t="s">
        <v>72</v>
      </c>
      <c r="P14169" s="223"/>
      <c r="Q14169" s="224"/>
    </row>
    <row r="14170" spans="1:17" ht="30.75">
      <c r="A14170" s="221">
        <v>547</v>
      </c>
      <c r="B14170" s="222">
        <v>46155</v>
      </c>
      <c r="C14170" s="223" t="s">
        <v>294</v>
      </c>
      <c r="D14170" s="223" t="s">
        <v>962</v>
      </c>
      <c r="E14170" s="223" t="s">
        <v>318</v>
      </c>
      <c r="F14170" s="223">
        <v>2026</v>
      </c>
      <c r="G14170" s="223">
        <v>1.5</v>
      </c>
      <c r="H14170" s="223" t="s">
        <v>201</v>
      </c>
      <c r="I14170" s="226" t="s">
        <v>202</v>
      </c>
      <c r="J14170" s="223"/>
      <c r="K14170" s="223" t="s">
        <v>101</v>
      </c>
      <c r="L14170" s="223" t="s">
        <v>968</v>
      </c>
      <c r="M14170" s="223">
        <v>1.5</v>
      </c>
      <c r="N14170" s="223"/>
      <c r="O14170" s="223" t="s">
        <v>769</v>
      </c>
      <c r="P14170" s="223"/>
      <c r="Q14170" s="224"/>
    </row>
    <row r="14171" spans="1:17">
      <c r="A14171" s="221">
        <v>548</v>
      </c>
      <c r="B14171" s="222">
        <v>46155</v>
      </c>
      <c r="C14171" s="223" t="s">
        <v>294</v>
      </c>
      <c r="D14171" s="223" t="s">
        <v>661</v>
      </c>
      <c r="E14171" s="223" t="s">
        <v>318</v>
      </c>
      <c r="F14171" s="223">
        <v>2026</v>
      </c>
      <c r="G14171" s="223">
        <v>2.5</v>
      </c>
      <c r="H14171" s="223" t="s">
        <v>132</v>
      </c>
      <c r="I14171" s="226" t="s">
        <v>184</v>
      </c>
      <c r="J14171" s="223" t="s">
        <v>360</v>
      </c>
      <c r="K14171" s="223" t="s">
        <v>101</v>
      </c>
      <c r="L14171" s="223" t="s">
        <v>700</v>
      </c>
      <c r="M14171" s="223">
        <v>2.5</v>
      </c>
      <c r="N14171" s="223"/>
      <c r="O14171" s="223" t="s">
        <v>63</v>
      </c>
      <c r="P14171" s="223"/>
      <c r="Q14171" s="224"/>
    </row>
    <row r="14172" spans="1:17">
      <c r="A14172" s="221">
        <v>549</v>
      </c>
      <c r="B14172" s="222">
        <v>46155</v>
      </c>
      <c r="C14172" s="223" t="s">
        <v>294</v>
      </c>
      <c r="D14172" s="223" t="s">
        <v>638</v>
      </c>
      <c r="E14172" s="223" t="s">
        <v>318</v>
      </c>
      <c r="F14172" s="223">
        <v>2026</v>
      </c>
      <c r="G14172" s="223">
        <v>2.5</v>
      </c>
      <c r="H14172" s="223" t="s">
        <v>132</v>
      </c>
      <c r="I14172" s="226" t="s">
        <v>183</v>
      </c>
      <c r="J14172" s="223" t="s">
        <v>623</v>
      </c>
      <c r="K14172" s="223" t="s">
        <v>101</v>
      </c>
      <c r="L14172" s="223" t="s">
        <v>772</v>
      </c>
      <c r="M14172" s="223">
        <v>2.5</v>
      </c>
      <c r="N14172" s="223"/>
      <c r="O14172" s="223" t="s">
        <v>164</v>
      </c>
      <c r="P14172" s="223"/>
      <c r="Q14172" s="224"/>
    </row>
    <row r="14173" spans="1:17">
      <c r="A14173" s="221">
        <v>550</v>
      </c>
      <c r="B14173" s="222">
        <v>46155</v>
      </c>
      <c r="C14173" s="223" t="s">
        <v>294</v>
      </c>
      <c r="D14173" s="223" t="s">
        <v>520</v>
      </c>
      <c r="E14173" s="223" t="s">
        <v>318</v>
      </c>
      <c r="F14173" s="223">
        <v>2026</v>
      </c>
      <c r="G14173" s="223">
        <v>3</v>
      </c>
      <c r="H14173" s="223" t="s">
        <v>57</v>
      </c>
      <c r="I14173" s="226" t="s">
        <v>89</v>
      </c>
      <c r="J14173" s="223" t="s">
        <v>311</v>
      </c>
      <c r="K14173" s="223" t="s">
        <v>90</v>
      </c>
      <c r="L14173" s="223" t="s">
        <v>701</v>
      </c>
      <c r="M14173" s="223">
        <v>3</v>
      </c>
      <c r="N14173" s="223"/>
      <c r="O14173" s="223" t="s">
        <v>91</v>
      </c>
      <c r="P14173" s="223"/>
      <c r="Q14173" s="224"/>
    </row>
    <row r="14174" spans="1:17">
      <c r="A14174" s="221">
        <v>551</v>
      </c>
      <c r="B14174" s="222">
        <v>46155</v>
      </c>
      <c r="C14174" s="223" t="s">
        <v>294</v>
      </c>
      <c r="D14174" s="223" t="s">
        <v>477</v>
      </c>
      <c r="E14174" s="223" t="s">
        <v>318</v>
      </c>
      <c r="F14174" s="223">
        <v>2026</v>
      </c>
      <c r="G14174" s="223">
        <v>3</v>
      </c>
      <c r="H14174" s="223" t="s">
        <v>461</v>
      </c>
      <c r="I14174" s="226" t="s">
        <v>136</v>
      </c>
      <c r="J14174" s="223" t="s">
        <v>462</v>
      </c>
      <c r="K14174" s="223" t="s">
        <v>101</v>
      </c>
      <c r="L14174" s="223" t="s">
        <v>702</v>
      </c>
      <c r="M14174" s="223">
        <v>3</v>
      </c>
      <c r="N14174" s="223"/>
      <c r="O14174" s="223" t="s">
        <v>138</v>
      </c>
      <c r="P14174" s="223"/>
      <c r="Q14174" s="224"/>
    </row>
    <row r="14175" spans="1:17">
      <c r="A14175" s="221">
        <v>552</v>
      </c>
      <c r="B14175" s="222">
        <v>46155</v>
      </c>
      <c r="C14175" s="223" t="s">
        <v>294</v>
      </c>
      <c r="D14175" s="223" t="s">
        <v>479</v>
      </c>
      <c r="E14175" s="223" t="s">
        <v>318</v>
      </c>
      <c r="F14175" s="223">
        <v>2026</v>
      </c>
      <c r="G14175" s="223">
        <v>3</v>
      </c>
      <c r="H14175" s="223" t="s">
        <v>461</v>
      </c>
      <c r="I14175" s="226" t="s">
        <v>136</v>
      </c>
      <c r="J14175" s="223" t="s">
        <v>462</v>
      </c>
      <c r="K14175" s="223" t="s">
        <v>10</v>
      </c>
      <c r="L14175" s="223" t="s">
        <v>702</v>
      </c>
      <c r="M14175" s="223">
        <v>3</v>
      </c>
      <c r="N14175" s="223"/>
      <c r="O14175" s="223" t="s">
        <v>138</v>
      </c>
      <c r="P14175" s="223"/>
      <c r="Q14175" s="224"/>
    </row>
    <row r="14176" spans="1:17">
      <c r="A14176" s="221">
        <v>553</v>
      </c>
      <c r="B14176" s="222">
        <v>46155</v>
      </c>
      <c r="C14176" s="223" t="s">
        <v>294</v>
      </c>
      <c r="D14176" s="223" t="s">
        <v>482</v>
      </c>
      <c r="E14176" s="223" t="s">
        <v>318</v>
      </c>
      <c r="F14176" s="223">
        <v>2026</v>
      </c>
      <c r="G14176" s="223">
        <v>2</v>
      </c>
      <c r="H14176" s="223" t="s">
        <v>132</v>
      </c>
      <c r="I14176" s="226" t="s">
        <v>133</v>
      </c>
      <c r="J14176" s="223" t="s">
        <v>360</v>
      </c>
      <c r="K14176" s="223" t="s">
        <v>135</v>
      </c>
      <c r="L14176" s="223" t="s">
        <v>703</v>
      </c>
      <c r="M14176" s="223">
        <v>2</v>
      </c>
      <c r="N14176" s="223"/>
      <c r="O14176" s="223" t="s">
        <v>127</v>
      </c>
      <c r="P14176" s="223"/>
      <c r="Q14176" s="224"/>
    </row>
    <row r="14177" spans="1:17">
      <c r="A14177" s="221">
        <v>554</v>
      </c>
      <c r="B14177" s="222">
        <v>46156</v>
      </c>
      <c r="C14177" s="223" t="s">
        <v>298</v>
      </c>
      <c r="D14177" s="223" t="s">
        <v>661</v>
      </c>
      <c r="E14177" s="223" t="s">
        <v>318</v>
      </c>
      <c r="F14177" s="223">
        <v>2026</v>
      </c>
      <c r="G14177" s="223">
        <v>2.5</v>
      </c>
      <c r="H14177" s="223" t="s">
        <v>132</v>
      </c>
      <c r="I14177" s="226" t="s">
        <v>158</v>
      </c>
      <c r="J14177" s="223" t="s">
        <v>360</v>
      </c>
      <c r="K14177" s="223" t="s">
        <v>101</v>
      </c>
      <c r="L14177" s="223" t="s">
        <v>969</v>
      </c>
      <c r="M14177" s="223">
        <v>2.5</v>
      </c>
      <c r="N14177" s="223"/>
      <c r="O14177" s="223" t="s">
        <v>811</v>
      </c>
      <c r="P14177" s="223"/>
      <c r="Q14177" s="224"/>
    </row>
    <row r="14178" spans="1:17">
      <c r="A14178" s="221">
        <v>555</v>
      </c>
      <c r="B14178" s="222">
        <v>46156</v>
      </c>
      <c r="C14178" s="223" t="s">
        <v>298</v>
      </c>
      <c r="D14178" s="223" t="s">
        <v>661</v>
      </c>
      <c r="E14178" s="223" t="s">
        <v>318</v>
      </c>
      <c r="F14178" s="223">
        <v>2026</v>
      </c>
      <c r="G14178" s="223">
        <v>2.5</v>
      </c>
      <c r="H14178" s="223" t="s">
        <v>132</v>
      </c>
      <c r="I14178" s="226" t="s">
        <v>184</v>
      </c>
      <c r="J14178" s="223" t="s">
        <v>360</v>
      </c>
      <c r="K14178" s="223" t="s">
        <v>101</v>
      </c>
      <c r="L14178" s="223" t="s">
        <v>706</v>
      </c>
      <c r="M14178" s="223">
        <v>2.5</v>
      </c>
      <c r="N14178" s="223"/>
      <c r="O14178" s="223" t="s">
        <v>63</v>
      </c>
      <c r="P14178" s="223"/>
      <c r="Q14178" s="224"/>
    </row>
    <row r="14179" spans="1:17" ht="30.75">
      <c r="A14179" s="221">
        <v>556</v>
      </c>
      <c r="B14179" s="222">
        <v>46156</v>
      </c>
      <c r="C14179" s="223" t="s">
        <v>298</v>
      </c>
      <c r="D14179" s="223" t="s">
        <v>655</v>
      </c>
      <c r="E14179" s="223" t="s">
        <v>318</v>
      </c>
      <c r="F14179" s="223">
        <v>2026</v>
      </c>
      <c r="G14179" s="223">
        <v>1.5</v>
      </c>
      <c r="H14179" s="223" t="s">
        <v>115</v>
      </c>
      <c r="I14179" s="226" t="s">
        <v>437</v>
      </c>
      <c r="J14179" s="223" t="s">
        <v>438</v>
      </c>
      <c r="K14179" s="223" t="s">
        <v>101</v>
      </c>
      <c r="L14179" s="223" t="s">
        <v>710</v>
      </c>
      <c r="M14179" s="223">
        <v>1.5</v>
      </c>
      <c r="N14179" s="223"/>
      <c r="O14179" s="223" t="s">
        <v>164</v>
      </c>
      <c r="P14179" s="223"/>
      <c r="Q14179" s="224"/>
    </row>
    <row r="14180" spans="1:17">
      <c r="A14180" s="221"/>
      <c r="B14180" s="222">
        <v>46156</v>
      </c>
      <c r="C14180" s="223" t="s">
        <v>298</v>
      </c>
      <c r="D14180" s="223" t="s">
        <v>477</v>
      </c>
      <c r="E14180" s="223" t="s">
        <v>318</v>
      </c>
      <c r="F14180" s="223">
        <v>2026</v>
      </c>
      <c r="G14180" s="223">
        <v>3</v>
      </c>
      <c r="H14180" s="223" t="s">
        <v>461</v>
      </c>
      <c r="I14180" s="226" t="s">
        <v>142</v>
      </c>
      <c r="J14180" s="223" t="s">
        <v>462</v>
      </c>
      <c r="K14180" s="223" t="s">
        <v>101</v>
      </c>
      <c r="L14180" s="223" t="s">
        <v>595</v>
      </c>
      <c r="M14180" s="223">
        <v>3</v>
      </c>
      <c r="N14180" s="223"/>
      <c r="O14180" s="223"/>
      <c r="P14180" s="223"/>
      <c r="Q14180" s="224"/>
    </row>
    <row r="14181" spans="1:17">
      <c r="A14181" s="221"/>
      <c r="B14181" s="222">
        <v>46156</v>
      </c>
      <c r="C14181" s="223" t="s">
        <v>298</v>
      </c>
      <c r="D14181" s="223" t="s">
        <v>631</v>
      </c>
      <c r="E14181" s="223" t="s">
        <v>318</v>
      </c>
      <c r="F14181" s="223">
        <v>2026</v>
      </c>
      <c r="G14181" s="223">
        <v>1</v>
      </c>
      <c r="H14181" s="223" t="s">
        <v>461</v>
      </c>
      <c r="I14181" s="226" t="s">
        <v>142</v>
      </c>
      <c r="J14181" s="223" t="s">
        <v>462</v>
      </c>
      <c r="K14181" s="223" t="s">
        <v>10</v>
      </c>
      <c r="L14181" s="223" t="s">
        <v>595</v>
      </c>
      <c r="M14181" s="223">
        <v>3</v>
      </c>
      <c r="N14181" s="223"/>
      <c r="O14181" s="223"/>
      <c r="P14181" s="223"/>
      <c r="Q14181" s="224"/>
    </row>
    <row r="14182" spans="1:17">
      <c r="A14182" s="221">
        <v>557</v>
      </c>
      <c r="B14182" s="222">
        <v>46156</v>
      </c>
      <c r="C14182" s="223" t="s">
        <v>298</v>
      </c>
      <c r="D14182" s="223"/>
      <c r="E14182" s="223" t="s">
        <v>318</v>
      </c>
      <c r="F14182" s="223">
        <v>2026</v>
      </c>
      <c r="G14182" s="223"/>
      <c r="H14182" s="223" t="s">
        <v>99</v>
      </c>
      <c r="I14182" s="226" t="s">
        <v>100</v>
      </c>
      <c r="J14182" s="223" t="s">
        <v>373</v>
      </c>
      <c r="K14182" s="223" t="s">
        <v>101</v>
      </c>
      <c r="L14182" s="223" t="s">
        <v>427</v>
      </c>
      <c r="M14182" s="223"/>
      <c r="N14182" s="223"/>
      <c r="O14182" s="223" t="s">
        <v>102</v>
      </c>
      <c r="P14182" s="223"/>
      <c r="Q14182" s="224"/>
    </row>
    <row r="14183" spans="1:17">
      <c r="A14183" s="221">
        <v>558</v>
      </c>
      <c r="B14183" s="222">
        <v>46156</v>
      </c>
      <c r="C14183" s="223" t="s">
        <v>298</v>
      </c>
      <c r="D14183" s="223" t="s">
        <v>532</v>
      </c>
      <c r="E14183" s="223" t="s">
        <v>318</v>
      </c>
      <c r="F14183" s="223">
        <v>2026</v>
      </c>
      <c r="G14183" s="223">
        <v>2.5</v>
      </c>
      <c r="H14183" s="223" t="s">
        <v>99</v>
      </c>
      <c r="I14183" s="226" t="s">
        <v>100</v>
      </c>
      <c r="J14183" s="223" t="s">
        <v>373</v>
      </c>
      <c r="K14183" s="223" t="s">
        <v>10</v>
      </c>
      <c r="L14183" s="223" t="s">
        <v>650</v>
      </c>
      <c r="M14183" s="223"/>
      <c r="N14183" s="223"/>
      <c r="O14183" s="223" t="s">
        <v>29</v>
      </c>
      <c r="P14183" s="223"/>
      <c r="Q14183" s="224"/>
    </row>
    <row r="14184" spans="1:17">
      <c r="A14184" s="221">
        <v>559</v>
      </c>
      <c r="B14184" s="222">
        <v>46156</v>
      </c>
      <c r="C14184" s="223" t="s">
        <v>298</v>
      </c>
      <c r="D14184" s="223"/>
      <c r="E14184" s="223" t="s">
        <v>318</v>
      </c>
      <c r="F14184" s="223"/>
      <c r="G14184" s="223">
        <v>3</v>
      </c>
      <c r="H14184" s="223"/>
      <c r="I14184" s="226"/>
      <c r="J14184" s="223"/>
      <c r="K14184" s="223"/>
      <c r="L14184" s="223" t="s">
        <v>569</v>
      </c>
      <c r="M14184" s="223"/>
      <c r="N14184" s="223"/>
      <c r="O14184" s="223" t="s">
        <v>169</v>
      </c>
      <c r="P14184" s="223"/>
      <c r="Q14184" s="224"/>
    </row>
    <row r="14185" spans="1:17" ht="30.75">
      <c r="A14185" s="221">
        <v>560</v>
      </c>
      <c r="B14185" s="222">
        <v>46157</v>
      </c>
      <c r="C14185" s="223" t="s">
        <v>301</v>
      </c>
      <c r="D14185" s="223" t="s">
        <v>962</v>
      </c>
      <c r="E14185" s="223" t="s">
        <v>318</v>
      </c>
      <c r="F14185" s="223">
        <v>2026</v>
      </c>
      <c r="G14185" s="223">
        <v>1.5</v>
      </c>
      <c r="H14185" s="223" t="s">
        <v>201</v>
      </c>
      <c r="I14185" s="226" t="s">
        <v>202</v>
      </c>
      <c r="J14185" s="223"/>
      <c r="K14185" s="223" t="s">
        <v>101</v>
      </c>
      <c r="L14185" s="223" t="s">
        <v>970</v>
      </c>
      <c r="M14185" s="223">
        <v>1.5</v>
      </c>
      <c r="N14185" s="223"/>
      <c r="O14185" s="223" t="s">
        <v>769</v>
      </c>
      <c r="P14185" s="223"/>
      <c r="Q14185" s="224"/>
    </row>
    <row r="14186" spans="1:17" ht="30.75">
      <c r="A14186" s="221">
        <v>561</v>
      </c>
      <c r="B14186" s="222">
        <v>46157</v>
      </c>
      <c r="C14186" s="223" t="s">
        <v>301</v>
      </c>
      <c r="D14186" s="223" t="s">
        <v>655</v>
      </c>
      <c r="E14186" s="223" t="s">
        <v>318</v>
      </c>
      <c r="F14186" s="223">
        <v>2026</v>
      </c>
      <c r="G14186" s="223">
        <v>1.5</v>
      </c>
      <c r="H14186" s="223" t="s">
        <v>115</v>
      </c>
      <c r="I14186" s="226" t="s">
        <v>437</v>
      </c>
      <c r="J14186" s="223" t="s">
        <v>438</v>
      </c>
      <c r="K14186" s="223" t="s">
        <v>101</v>
      </c>
      <c r="L14186" s="223" t="s">
        <v>724</v>
      </c>
      <c r="M14186" s="223">
        <v>1.5</v>
      </c>
      <c r="N14186" s="223"/>
      <c r="O14186" s="223" t="s">
        <v>164</v>
      </c>
      <c r="P14186" s="223"/>
      <c r="Q14186" s="224"/>
    </row>
    <row r="14187" spans="1:17">
      <c r="A14187" s="221">
        <v>562</v>
      </c>
      <c r="B14187" s="222">
        <v>46157</v>
      </c>
      <c r="C14187" s="223" t="s">
        <v>301</v>
      </c>
      <c r="D14187" s="223" t="s">
        <v>482</v>
      </c>
      <c r="E14187" s="223" t="s">
        <v>318</v>
      </c>
      <c r="F14187" s="223">
        <v>2026</v>
      </c>
      <c r="G14187" s="223">
        <v>2</v>
      </c>
      <c r="H14187" s="223" t="s">
        <v>132</v>
      </c>
      <c r="I14187" s="226" t="s">
        <v>133</v>
      </c>
      <c r="J14187" s="223" t="s">
        <v>360</v>
      </c>
      <c r="K14187" s="223" t="s">
        <v>135</v>
      </c>
      <c r="L14187" s="223" t="s">
        <v>642</v>
      </c>
      <c r="M14187" s="223">
        <v>2</v>
      </c>
      <c r="N14187" s="223"/>
      <c r="O14187" s="223" t="s">
        <v>127</v>
      </c>
      <c r="P14187" s="223"/>
      <c r="Q14187" s="224"/>
    </row>
    <row r="14188" spans="1:17">
      <c r="A14188" s="221">
        <v>563</v>
      </c>
      <c r="B14188" s="222">
        <v>46157</v>
      </c>
      <c r="C14188" s="223" t="s">
        <v>301</v>
      </c>
      <c r="D14188" s="223" t="s">
        <v>497</v>
      </c>
      <c r="E14188" s="223" t="s">
        <v>318</v>
      </c>
      <c r="F14188" s="223">
        <v>2026</v>
      </c>
      <c r="G14188" s="223" t="s">
        <v>498</v>
      </c>
      <c r="H14188" s="223" t="s">
        <v>57</v>
      </c>
      <c r="I14188" s="226" t="s">
        <v>454</v>
      </c>
      <c r="J14188" s="223" t="s">
        <v>311</v>
      </c>
      <c r="K14188" s="223"/>
      <c r="L14188" s="223" t="s">
        <v>709</v>
      </c>
      <c r="M14188" s="223" t="s">
        <v>498</v>
      </c>
      <c r="N14188" s="223"/>
      <c r="O14188" s="223" t="s">
        <v>693</v>
      </c>
      <c r="P14188" s="223" t="s">
        <v>60</v>
      </c>
      <c r="Q14188" s="224"/>
    </row>
    <row r="14189" spans="1:17">
      <c r="A14189" s="221">
        <v>564</v>
      </c>
      <c r="B14189" s="222">
        <v>46157</v>
      </c>
      <c r="C14189" s="223" t="s">
        <v>301</v>
      </c>
      <c r="D14189" s="223" t="s">
        <v>677</v>
      </c>
      <c r="E14189" s="223" t="s">
        <v>318</v>
      </c>
      <c r="F14189" s="223">
        <v>2026</v>
      </c>
      <c r="G14189" s="223">
        <v>4</v>
      </c>
      <c r="H14189" s="223" t="s">
        <v>99</v>
      </c>
      <c r="I14189" s="226" t="s">
        <v>108</v>
      </c>
      <c r="J14189" s="223" t="s">
        <v>366</v>
      </c>
      <c r="K14189" s="223" t="s">
        <v>10</v>
      </c>
      <c r="L14189" s="223" t="s">
        <v>695</v>
      </c>
      <c r="M14189" s="223">
        <v>4</v>
      </c>
      <c r="N14189" s="223"/>
      <c r="O14189" s="223" t="s">
        <v>63</v>
      </c>
      <c r="P14189" s="223"/>
      <c r="Q14189" s="224"/>
    </row>
    <row r="14190" spans="1:17">
      <c r="A14190" s="221">
        <v>565</v>
      </c>
      <c r="B14190" s="222">
        <v>46157</v>
      </c>
      <c r="C14190" s="223" t="s">
        <v>301</v>
      </c>
      <c r="D14190" s="223" t="s">
        <v>667</v>
      </c>
      <c r="E14190" s="223" t="s">
        <v>318</v>
      </c>
      <c r="F14190" s="223">
        <v>2026</v>
      </c>
      <c r="G14190" s="223">
        <v>4</v>
      </c>
      <c r="H14190" s="223" t="s">
        <v>99</v>
      </c>
      <c r="I14190" s="226" t="s">
        <v>108</v>
      </c>
      <c r="J14190" s="223" t="s">
        <v>366</v>
      </c>
      <c r="K14190" s="223" t="s">
        <v>104</v>
      </c>
      <c r="L14190" s="223" t="s">
        <v>695</v>
      </c>
      <c r="M14190" s="223">
        <v>4</v>
      </c>
      <c r="N14190" s="223"/>
      <c r="O14190" s="223" t="s">
        <v>91</v>
      </c>
      <c r="P14190" s="223"/>
      <c r="Q14190" s="224"/>
    </row>
    <row r="14191" spans="1:17">
      <c r="A14191" s="221">
        <v>566</v>
      </c>
      <c r="B14191" s="222">
        <v>46157</v>
      </c>
      <c r="C14191" s="223" t="s">
        <v>301</v>
      </c>
      <c r="D14191" s="223"/>
      <c r="E14191" s="223" t="s">
        <v>318</v>
      </c>
      <c r="F14191" s="223"/>
      <c r="G14191" s="223">
        <v>3</v>
      </c>
      <c r="H14191" s="223"/>
      <c r="I14191" s="226"/>
      <c r="J14191" s="223"/>
      <c r="K14191" s="223"/>
      <c r="L14191" s="223" t="s">
        <v>569</v>
      </c>
      <c r="M14191" s="223"/>
      <c r="N14191" s="223"/>
      <c r="O14191" s="223" t="s">
        <v>169</v>
      </c>
      <c r="P14191" s="223"/>
      <c r="Q14191" s="224"/>
    </row>
    <row r="14192" spans="1:17" ht="30.75">
      <c r="A14192" s="221">
        <v>567</v>
      </c>
      <c r="B14192" s="222">
        <v>46160</v>
      </c>
      <c r="C14192" s="223" t="s">
        <v>302</v>
      </c>
      <c r="D14192" s="223" t="s">
        <v>962</v>
      </c>
      <c r="E14192" s="223" t="s">
        <v>318</v>
      </c>
      <c r="F14192" s="223">
        <v>2026</v>
      </c>
      <c r="G14192" s="223">
        <v>1.5</v>
      </c>
      <c r="H14192" s="223" t="s">
        <v>201</v>
      </c>
      <c r="I14192" s="226" t="s">
        <v>202</v>
      </c>
      <c r="J14192" s="223"/>
      <c r="K14192" s="223" t="s">
        <v>101</v>
      </c>
      <c r="L14192" s="223" t="s">
        <v>971</v>
      </c>
      <c r="M14192" s="223">
        <v>1.5</v>
      </c>
      <c r="N14192" s="223"/>
      <c r="O14192" s="223" t="s">
        <v>769</v>
      </c>
      <c r="P14192" s="223"/>
      <c r="Q14192" s="224"/>
    </row>
    <row r="14193" spans="1:17" ht="30.75">
      <c r="A14193" s="221">
        <v>568</v>
      </c>
      <c r="B14193" s="222">
        <v>46160</v>
      </c>
      <c r="C14193" s="223" t="s">
        <v>302</v>
      </c>
      <c r="D14193" s="223" t="s">
        <v>972</v>
      </c>
      <c r="E14193" s="223" t="s">
        <v>318</v>
      </c>
      <c r="F14193" s="223">
        <v>2026</v>
      </c>
      <c r="G14193" s="223">
        <v>2</v>
      </c>
      <c r="H14193" s="223" t="s">
        <v>196</v>
      </c>
      <c r="I14193" s="226" t="s">
        <v>967</v>
      </c>
      <c r="J14193" s="223" t="s">
        <v>687</v>
      </c>
      <c r="K14193" s="223" t="s">
        <v>101</v>
      </c>
      <c r="L14193" s="223" t="s">
        <v>716</v>
      </c>
      <c r="M14193" s="223">
        <v>2</v>
      </c>
      <c r="N14193" s="223"/>
      <c r="O14193" s="223" t="s">
        <v>78</v>
      </c>
      <c r="P14193" s="223"/>
      <c r="Q14193" s="224"/>
    </row>
    <row r="14194" spans="1:17">
      <c r="A14194" s="221">
        <v>569</v>
      </c>
      <c r="B14194" s="222">
        <v>46160</v>
      </c>
      <c r="C14194" s="223" t="s">
        <v>302</v>
      </c>
      <c r="D14194" s="223" t="s">
        <v>638</v>
      </c>
      <c r="E14194" s="223" t="s">
        <v>318</v>
      </c>
      <c r="F14194" s="223">
        <v>2026</v>
      </c>
      <c r="G14194" s="223">
        <v>2.5</v>
      </c>
      <c r="H14194" s="223" t="s">
        <v>132</v>
      </c>
      <c r="I14194" s="226" t="s">
        <v>183</v>
      </c>
      <c r="J14194" s="223" t="s">
        <v>623</v>
      </c>
      <c r="K14194" s="223" t="s">
        <v>101</v>
      </c>
      <c r="L14194" s="223" t="s">
        <v>772</v>
      </c>
      <c r="M14194" s="223">
        <v>2.5</v>
      </c>
      <c r="N14194" s="223"/>
      <c r="O14194" s="223" t="s">
        <v>164</v>
      </c>
      <c r="P14194" s="223"/>
      <c r="Q14194" s="224"/>
    </row>
    <row r="14195" spans="1:17">
      <c r="A14195" s="221">
        <v>570</v>
      </c>
      <c r="B14195" s="222">
        <v>46160</v>
      </c>
      <c r="C14195" s="223" t="s">
        <v>302</v>
      </c>
      <c r="D14195" s="223" t="s">
        <v>520</v>
      </c>
      <c r="E14195" s="223" t="s">
        <v>318</v>
      </c>
      <c r="F14195" s="223">
        <v>2026</v>
      </c>
      <c r="G14195" s="223">
        <v>3</v>
      </c>
      <c r="H14195" s="223" t="s">
        <v>57</v>
      </c>
      <c r="I14195" s="226" t="s">
        <v>89</v>
      </c>
      <c r="J14195" s="223" t="s">
        <v>311</v>
      </c>
      <c r="K14195" s="223" t="s">
        <v>90</v>
      </c>
      <c r="L14195" s="223" t="s">
        <v>717</v>
      </c>
      <c r="M14195" s="223">
        <v>3</v>
      </c>
      <c r="N14195" s="223"/>
      <c r="O14195" s="223" t="s">
        <v>91</v>
      </c>
      <c r="P14195" s="223"/>
      <c r="Q14195" s="224"/>
    </row>
    <row r="14196" spans="1:17">
      <c r="A14196" s="221">
        <v>571</v>
      </c>
      <c r="B14196" s="222">
        <v>46160</v>
      </c>
      <c r="C14196" s="223" t="s">
        <v>302</v>
      </c>
      <c r="D14196" s="223" t="s">
        <v>477</v>
      </c>
      <c r="E14196" s="223" t="s">
        <v>318</v>
      </c>
      <c r="F14196" s="223">
        <v>2026</v>
      </c>
      <c r="G14196" s="223">
        <v>3</v>
      </c>
      <c r="H14196" s="223" t="s">
        <v>461</v>
      </c>
      <c r="I14196" s="226" t="s">
        <v>136</v>
      </c>
      <c r="J14196" s="223" t="s">
        <v>462</v>
      </c>
      <c r="K14196" s="223" t="s">
        <v>101</v>
      </c>
      <c r="L14196" s="223" t="s">
        <v>718</v>
      </c>
      <c r="M14196" s="223">
        <v>3</v>
      </c>
      <c r="N14196" s="223"/>
      <c r="O14196" s="223" t="s">
        <v>138</v>
      </c>
      <c r="P14196" s="223"/>
      <c r="Q14196" s="224"/>
    </row>
    <row r="14197" spans="1:17">
      <c r="A14197" s="221">
        <v>572</v>
      </c>
      <c r="B14197" s="222">
        <v>46160</v>
      </c>
      <c r="C14197" s="223" t="s">
        <v>302</v>
      </c>
      <c r="D14197" s="223" t="s">
        <v>479</v>
      </c>
      <c r="E14197" s="223" t="s">
        <v>318</v>
      </c>
      <c r="F14197" s="223">
        <v>2026</v>
      </c>
      <c r="G14197" s="223">
        <v>3</v>
      </c>
      <c r="H14197" s="223" t="s">
        <v>461</v>
      </c>
      <c r="I14197" s="226" t="s">
        <v>136</v>
      </c>
      <c r="J14197" s="223" t="s">
        <v>462</v>
      </c>
      <c r="K14197" s="223" t="s">
        <v>10</v>
      </c>
      <c r="L14197" s="223" t="s">
        <v>718</v>
      </c>
      <c r="M14197" s="223">
        <v>3</v>
      </c>
      <c r="N14197" s="223"/>
      <c r="O14197" s="223" t="s">
        <v>138</v>
      </c>
      <c r="P14197" s="223"/>
      <c r="Q14197" s="224"/>
    </row>
    <row r="14198" spans="1:17">
      <c r="A14198" s="221">
        <v>573</v>
      </c>
      <c r="B14198" s="222">
        <v>46160</v>
      </c>
      <c r="C14198" s="223" t="s">
        <v>302</v>
      </c>
      <c r="D14198" s="223"/>
      <c r="E14198" s="223" t="s">
        <v>318</v>
      </c>
      <c r="F14198" s="223">
        <v>2026</v>
      </c>
      <c r="G14198" s="223">
        <v>2</v>
      </c>
      <c r="H14198" s="223" t="s">
        <v>132</v>
      </c>
      <c r="I14198" s="226" t="s">
        <v>133</v>
      </c>
      <c r="J14198" s="223" t="s">
        <v>360</v>
      </c>
      <c r="K14198" s="223" t="s">
        <v>135</v>
      </c>
      <c r="L14198" s="223" t="s">
        <v>473</v>
      </c>
      <c r="M14198" s="223">
        <v>2</v>
      </c>
      <c r="N14198" s="223"/>
      <c r="O14198" s="223" t="s">
        <v>127</v>
      </c>
      <c r="P14198" s="223"/>
      <c r="Q14198" s="224"/>
    </row>
    <row r="14199" spans="1:17">
      <c r="A14199" s="221">
        <v>574</v>
      </c>
      <c r="B14199" s="222">
        <v>46161</v>
      </c>
      <c r="C14199" s="223" t="s">
        <v>289</v>
      </c>
      <c r="D14199" s="223" t="s">
        <v>661</v>
      </c>
      <c r="E14199" s="223" t="s">
        <v>318</v>
      </c>
      <c r="F14199" s="223">
        <v>2026</v>
      </c>
      <c r="G14199" s="223">
        <v>2.5</v>
      </c>
      <c r="H14199" s="223" t="s">
        <v>132</v>
      </c>
      <c r="I14199" s="226" t="s">
        <v>158</v>
      </c>
      <c r="J14199" s="223" t="s">
        <v>360</v>
      </c>
      <c r="K14199" s="223" t="s">
        <v>101</v>
      </c>
      <c r="L14199" s="223" t="s">
        <v>973</v>
      </c>
      <c r="M14199" s="223">
        <v>2.5</v>
      </c>
      <c r="N14199" s="223"/>
      <c r="O14199" s="223" t="s">
        <v>811</v>
      </c>
      <c r="P14199" s="223"/>
      <c r="Q14199" s="224"/>
    </row>
    <row r="14200" spans="1:17" ht="30.75">
      <c r="A14200" s="221">
        <v>575</v>
      </c>
      <c r="B14200" s="222">
        <v>46161</v>
      </c>
      <c r="C14200" s="223" t="s">
        <v>289</v>
      </c>
      <c r="D14200" s="223" t="s">
        <v>972</v>
      </c>
      <c r="E14200" s="223" t="s">
        <v>318</v>
      </c>
      <c r="F14200" s="223">
        <v>2026</v>
      </c>
      <c r="G14200" s="223">
        <v>2</v>
      </c>
      <c r="H14200" s="223" t="s">
        <v>196</v>
      </c>
      <c r="I14200" s="226" t="s">
        <v>967</v>
      </c>
      <c r="J14200" s="223" t="s">
        <v>687</v>
      </c>
      <c r="K14200" s="223" t="s">
        <v>101</v>
      </c>
      <c r="L14200" s="223" t="s">
        <v>721</v>
      </c>
      <c r="M14200" s="223">
        <v>2</v>
      </c>
      <c r="N14200" s="223"/>
      <c r="O14200" s="223" t="s">
        <v>78</v>
      </c>
      <c r="P14200" s="223"/>
      <c r="Q14200" s="224"/>
    </row>
    <row r="14201" spans="1:17" ht="30.75">
      <c r="A14201" s="221">
        <v>576</v>
      </c>
      <c r="B14201" s="222">
        <v>46161</v>
      </c>
      <c r="C14201" s="223" t="s">
        <v>289</v>
      </c>
      <c r="D14201" s="223" t="s">
        <v>655</v>
      </c>
      <c r="E14201" s="223" t="s">
        <v>318</v>
      </c>
      <c r="F14201" s="223">
        <v>2026</v>
      </c>
      <c r="G14201" s="223">
        <v>1.5</v>
      </c>
      <c r="H14201" s="223" t="s">
        <v>115</v>
      </c>
      <c r="I14201" s="226" t="s">
        <v>437</v>
      </c>
      <c r="J14201" s="223" t="s">
        <v>438</v>
      </c>
      <c r="K14201" s="223" t="s">
        <v>101</v>
      </c>
      <c r="L14201" s="223" t="s">
        <v>738</v>
      </c>
      <c r="M14201" s="223">
        <v>1.5</v>
      </c>
      <c r="N14201" s="223"/>
      <c r="O14201" s="223" t="s">
        <v>164</v>
      </c>
      <c r="P14201" s="223"/>
      <c r="Q14201" s="224"/>
    </row>
    <row r="14202" spans="1:17">
      <c r="A14202" s="221">
        <v>577</v>
      </c>
      <c r="B14202" s="222">
        <v>46161</v>
      </c>
      <c r="C14202" s="223" t="s">
        <v>289</v>
      </c>
      <c r="D14202" s="223" t="s">
        <v>477</v>
      </c>
      <c r="E14202" s="223" t="s">
        <v>318</v>
      </c>
      <c r="F14202" s="223">
        <v>2026</v>
      </c>
      <c r="G14202" s="223">
        <v>3</v>
      </c>
      <c r="H14202" s="223" t="s">
        <v>461</v>
      </c>
      <c r="I14202" s="226" t="s">
        <v>142</v>
      </c>
      <c r="J14202" s="223" t="s">
        <v>462</v>
      </c>
      <c r="K14202" s="223" t="s">
        <v>101</v>
      </c>
      <c r="L14202" s="223" t="s">
        <v>722</v>
      </c>
      <c r="M14202" s="223">
        <v>3</v>
      </c>
      <c r="N14202" s="223"/>
      <c r="O14202" s="223" t="s">
        <v>138</v>
      </c>
      <c r="P14202" s="223"/>
      <c r="Q14202" s="224"/>
    </row>
    <row r="14203" spans="1:17">
      <c r="A14203" s="221">
        <v>578</v>
      </c>
      <c r="B14203" s="222">
        <v>46161</v>
      </c>
      <c r="C14203" s="223" t="s">
        <v>289</v>
      </c>
      <c r="D14203" s="223" t="s">
        <v>479</v>
      </c>
      <c r="E14203" s="223" t="s">
        <v>318</v>
      </c>
      <c r="F14203" s="223">
        <v>2026</v>
      </c>
      <c r="G14203" s="223">
        <v>3</v>
      </c>
      <c r="H14203" s="223" t="s">
        <v>461</v>
      </c>
      <c r="I14203" s="226" t="s">
        <v>142</v>
      </c>
      <c r="J14203" s="223" t="s">
        <v>462</v>
      </c>
      <c r="K14203" s="223" t="s">
        <v>10</v>
      </c>
      <c r="L14203" s="223" t="s">
        <v>722</v>
      </c>
      <c r="M14203" s="223">
        <v>3</v>
      </c>
      <c r="N14203" s="223"/>
      <c r="O14203" s="223" t="s">
        <v>102</v>
      </c>
      <c r="P14203" s="223"/>
      <c r="Q14203" s="224"/>
    </row>
    <row r="14204" spans="1:17" ht="30.75">
      <c r="A14204" s="221">
        <v>579</v>
      </c>
      <c r="B14204" s="222">
        <v>46161</v>
      </c>
      <c r="C14204" s="223" t="s">
        <v>289</v>
      </c>
      <c r="D14204" s="223" t="s">
        <v>497</v>
      </c>
      <c r="E14204" s="223" t="s">
        <v>318</v>
      </c>
      <c r="F14204" s="223">
        <v>2026</v>
      </c>
      <c r="G14204" s="223" t="s">
        <v>498</v>
      </c>
      <c r="H14204" s="223" t="s">
        <v>57</v>
      </c>
      <c r="I14204" s="226" t="s">
        <v>454</v>
      </c>
      <c r="J14204" s="223" t="s">
        <v>311</v>
      </c>
      <c r="K14204" s="223"/>
      <c r="L14204" s="226" t="s">
        <v>723</v>
      </c>
      <c r="M14204" s="223" t="s">
        <v>498</v>
      </c>
      <c r="N14204" s="223"/>
      <c r="O14204" s="223" t="s">
        <v>693</v>
      </c>
      <c r="P14204" s="223"/>
      <c r="Q14204" s="224"/>
    </row>
    <row r="14205" spans="1:17">
      <c r="A14205" s="221">
        <v>580</v>
      </c>
      <c r="B14205" s="222">
        <v>46161</v>
      </c>
      <c r="C14205" s="223" t="s">
        <v>289</v>
      </c>
      <c r="D14205" s="223" t="s">
        <v>665</v>
      </c>
      <c r="E14205" s="223" t="s">
        <v>318</v>
      </c>
      <c r="F14205" s="223">
        <v>2026</v>
      </c>
      <c r="G14205" s="223">
        <v>4</v>
      </c>
      <c r="H14205" s="223" t="s">
        <v>99</v>
      </c>
      <c r="I14205" s="226" t="s">
        <v>108</v>
      </c>
      <c r="J14205" s="223" t="s">
        <v>366</v>
      </c>
      <c r="K14205" s="223" t="s">
        <v>101</v>
      </c>
      <c r="L14205" s="223" t="s">
        <v>725</v>
      </c>
      <c r="M14205" s="223">
        <v>4</v>
      </c>
      <c r="N14205" s="223"/>
      <c r="O14205" s="223" t="s">
        <v>112</v>
      </c>
      <c r="P14205" s="223"/>
      <c r="Q14205" s="224"/>
    </row>
    <row r="14206" spans="1:17">
      <c r="A14206" s="221">
        <v>581</v>
      </c>
      <c r="B14206" s="222">
        <v>46161</v>
      </c>
      <c r="C14206" s="223" t="s">
        <v>289</v>
      </c>
      <c r="D14206" s="223" t="s">
        <v>667</v>
      </c>
      <c r="E14206" s="223" t="s">
        <v>318</v>
      </c>
      <c r="F14206" s="223">
        <v>2026</v>
      </c>
      <c r="G14206" s="223">
        <v>4</v>
      </c>
      <c r="H14206" s="223" t="s">
        <v>99</v>
      </c>
      <c r="I14206" s="226" t="s">
        <v>108</v>
      </c>
      <c r="J14206" s="223" t="s">
        <v>366</v>
      </c>
      <c r="K14206" s="223" t="s">
        <v>104</v>
      </c>
      <c r="L14206" s="223" t="s">
        <v>725</v>
      </c>
      <c r="M14206" s="223">
        <v>4</v>
      </c>
      <c r="N14206" s="223"/>
      <c r="O14206" s="223" t="s">
        <v>109</v>
      </c>
      <c r="P14206" s="223"/>
      <c r="Q14206" s="224"/>
    </row>
    <row r="14207" spans="1:17">
      <c r="A14207" s="221">
        <v>582</v>
      </c>
      <c r="B14207" s="222">
        <v>46161</v>
      </c>
      <c r="C14207" s="223" t="s">
        <v>289</v>
      </c>
      <c r="D14207" s="223" t="s">
        <v>456</v>
      </c>
      <c r="E14207" s="223" t="s">
        <v>318</v>
      </c>
      <c r="F14207" s="223">
        <v>2026</v>
      </c>
      <c r="G14207" s="223">
        <v>2.5</v>
      </c>
      <c r="H14207" s="223" t="s">
        <v>99</v>
      </c>
      <c r="I14207" s="226" t="s">
        <v>100</v>
      </c>
      <c r="J14207" s="223" t="s">
        <v>373</v>
      </c>
      <c r="K14207" s="223" t="s">
        <v>101</v>
      </c>
      <c r="L14207" s="223" t="s">
        <v>726</v>
      </c>
      <c r="M14207" s="223">
        <v>2.5</v>
      </c>
      <c r="N14207" s="223"/>
      <c r="O14207" s="223" t="s">
        <v>102</v>
      </c>
      <c r="P14207" s="223"/>
      <c r="Q14207" s="224"/>
    </row>
    <row r="14208" spans="1:17">
      <c r="A14208" s="221">
        <v>583</v>
      </c>
      <c r="B14208" s="222">
        <v>46161</v>
      </c>
      <c r="C14208" s="223" t="s">
        <v>289</v>
      </c>
      <c r="D14208" s="223" t="s">
        <v>532</v>
      </c>
      <c r="E14208" s="223" t="s">
        <v>318</v>
      </c>
      <c r="F14208" s="223">
        <v>2026</v>
      </c>
      <c r="G14208" s="223"/>
      <c r="H14208" s="223" t="s">
        <v>99</v>
      </c>
      <c r="I14208" s="226" t="s">
        <v>100</v>
      </c>
      <c r="J14208" s="223" t="s">
        <v>373</v>
      </c>
      <c r="K14208" s="223" t="s">
        <v>10</v>
      </c>
      <c r="L14208" s="223" t="s">
        <v>668</v>
      </c>
      <c r="M14208" s="223"/>
      <c r="N14208" s="223"/>
      <c r="O14208" s="223" t="s">
        <v>29</v>
      </c>
      <c r="P14208" s="223"/>
      <c r="Q14208" s="224"/>
    </row>
    <row r="14209" spans="1:17">
      <c r="A14209" s="221">
        <v>584</v>
      </c>
      <c r="B14209" s="222">
        <v>46161</v>
      </c>
      <c r="C14209" s="223" t="s">
        <v>289</v>
      </c>
      <c r="D14209" s="223" t="s">
        <v>467</v>
      </c>
      <c r="E14209" s="223" t="s">
        <v>318</v>
      </c>
      <c r="F14209" s="223">
        <v>2026</v>
      </c>
      <c r="G14209" s="223">
        <v>2.5</v>
      </c>
      <c r="H14209" s="223" t="s">
        <v>99</v>
      </c>
      <c r="I14209" s="226" t="s">
        <v>100</v>
      </c>
      <c r="J14209" s="223" t="s">
        <v>373</v>
      </c>
      <c r="K14209" s="223" t="s">
        <v>104</v>
      </c>
      <c r="L14209" s="223" t="s">
        <v>678</v>
      </c>
      <c r="M14209" s="223"/>
      <c r="N14209" s="223"/>
      <c r="O14209" s="223" t="s">
        <v>70</v>
      </c>
      <c r="P14209" s="223"/>
      <c r="Q14209" s="224"/>
    </row>
    <row r="14210" spans="1:17">
      <c r="A14210" s="221">
        <v>585</v>
      </c>
      <c r="B14210" s="222">
        <v>46161</v>
      </c>
      <c r="C14210" s="223" t="s">
        <v>289</v>
      </c>
      <c r="D14210" s="223" t="s">
        <v>430</v>
      </c>
      <c r="E14210" s="223" t="s">
        <v>318</v>
      </c>
      <c r="F14210" s="223">
        <v>2026</v>
      </c>
      <c r="G14210" s="223">
        <v>2.5</v>
      </c>
      <c r="H14210" s="223" t="s">
        <v>99</v>
      </c>
      <c r="I14210" s="226" t="s">
        <v>100</v>
      </c>
      <c r="J14210" s="223" t="s">
        <v>373</v>
      </c>
      <c r="K14210" s="223" t="s">
        <v>106</v>
      </c>
      <c r="L14210" s="223" t="s">
        <v>726</v>
      </c>
      <c r="M14210" s="223">
        <v>2.5</v>
      </c>
      <c r="N14210" s="223"/>
      <c r="O14210" s="223" t="s">
        <v>432</v>
      </c>
      <c r="P14210" s="223"/>
      <c r="Q14210" s="224"/>
    </row>
    <row r="14211" spans="1:17">
      <c r="A14211" s="221">
        <v>586</v>
      </c>
      <c r="B14211" s="222">
        <v>46162</v>
      </c>
      <c r="C14211" s="223" t="s">
        <v>294</v>
      </c>
      <c r="D14211" s="223" t="s">
        <v>661</v>
      </c>
      <c r="E14211" s="223" t="s">
        <v>318</v>
      </c>
      <c r="F14211" s="223">
        <v>2026</v>
      </c>
      <c r="G14211" s="223">
        <v>2.5</v>
      </c>
      <c r="H14211" s="223" t="s">
        <v>132</v>
      </c>
      <c r="I14211" s="226" t="s">
        <v>158</v>
      </c>
      <c r="J14211" s="223" t="s">
        <v>360</v>
      </c>
      <c r="K14211" s="223" t="s">
        <v>101</v>
      </c>
      <c r="L14211" s="223" t="s">
        <v>974</v>
      </c>
      <c r="M14211" s="223">
        <v>2.5</v>
      </c>
      <c r="N14211" s="223"/>
      <c r="O14211" s="223" t="s">
        <v>811</v>
      </c>
      <c r="P14211" s="223"/>
      <c r="Q14211" s="224"/>
    </row>
    <row r="14212" spans="1:17" ht="30.75">
      <c r="A14212" s="221">
        <v>587</v>
      </c>
      <c r="B14212" s="222">
        <v>46162</v>
      </c>
      <c r="C14212" s="223" t="s">
        <v>294</v>
      </c>
      <c r="D14212" s="223" t="s">
        <v>962</v>
      </c>
      <c r="E14212" s="223" t="s">
        <v>318</v>
      </c>
      <c r="F14212" s="223">
        <v>2026</v>
      </c>
      <c r="G14212" s="223">
        <v>1.5</v>
      </c>
      <c r="H14212" s="223" t="s">
        <v>201</v>
      </c>
      <c r="I14212" s="226" t="s">
        <v>202</v>
      </c>
      <c r="J14212" s="223"/>
      <c r="K14212" s="223" t="s">
        <v>101</v>
      </c>
      <c r="L14212" s="223" t="s">
        <v>975</v>
      </c>
      <c r="M14212" s="223">
        <v>1.5</v>
      </c>
      <c r="N14212" s="223"/>
      <c r="O14212" s="223" t="s">
        <v>769</v>
      </c>
      <c r="P14212" s="223"/>
      <c r="Q14212" s="224"/>
    </row>
    <row r="14213" spans="1:17">
      <c r="A14213" s="221">
        <v>588</v>
      </c>
      <c r="B14213" s="222">
        <v>46162</v>
      </c>
      <c r="C14213" s="223" t="s">
        <v>294</v>
      </c>
      <c r="D14213" s="223" t="s">
        <v>728</v>
      </c>
      <c r="E14213" s="223" t="s">
        <v>318</v>
      </c>
      <c r="F14213" s="223">
        <v>2026</v>
      </c>
      <c r="G14213" s="223">
        <v>3</v>
      </c>
      <c r="H14213" s="223" t="s">
        <v>132</v>
      </c>
      <c r="I14213" s="226" t="s">
        <v>184</v>
      </c>
      <c r="J14213" s="223" t="s">
        <v>360</v>
      </c>
      <c r="K14213" s="223" t="s">
        <v>101</v>
      </c>
      <c r="L14213" s="223" t="s">
        <v>729</v>
      </c>
      <c r="M14213" s="223">
        <v>3</v>
      </c>
      <c r="N14213" s="223"/>
      <c r="O14213" s="223" t="s">
        <v>63</v>
      </c>
      <c r="P14213" s="223"/>
      <c r="Q14213" s="224"/>
    </row>
    <row r="14214" spans="1:17">
      <c r="A14214" s="221">
        <v>589</v>
      </c>
      <c r="B14214" s="222">
        <v>46162</v>
      </c>
      <c r="C14214" s="223" t="s">
        <v>294</v>
      </c>
      <c r="D14214" s="223" t="s">
        <v>638</v>
      </c>
      <c r="E14214" s="223" t="s">
        <v>318</v>
      </c>
      <c r="F14214" s="223">
        <v>2026</v>
      </c>
      <c r="G14214" s="223">
        <v>2.5</v>
      </c>
      <c r="H14214" s="223" t="s">
        <v>132</v>
      </c>
      <c r="I14214" s="226" t="s">
        <v>183</v>
      </c>
      <c r="J14214" s="223" t="s">
        <v>623</v>
      </c>
      <c r="K14214" s="223" t="s">
        <v>101</v>
      </c>
      <c r="L14214" s="223" t="s">
        <v>783</v>
      </c>
      <c r="M14214" s="223">
        <v>2.5</v>
      </c>
      <c r="N14214" s="223"/>
      <c r="O14214" s="223" t="s">
        <v>164</v>
      </c>
      <c r="P14214" s="223"/>
      <c r="Q14214" s="224"/>
    </row>
    <row r="14215" spans="1:17">
      <c r="A14215" s="221">
        <v>590</v>
      </c>
      <c r="B14215" s="222">
        <v>46162</v>
      </c>
      <c r="C14215" s="223" t="s">
        <v>294</v>
      </c>
      <c r="D14215" s="223" t="s">
        <v>520</v>
      </c>
      <c r="E14215" s="223" t="s">
        <v>318</v>
      </c>
      <c r="F14215" s="223">
        <v>2026</v>
      </c>
      <c r="G14215" s="223">
        <v>3</v>
      </c>
      <c r="H14215" s="223" t="s">
        <v>57</v>
      </c>
      <c r="I14215" s="226" t="s">
        <v>89</v>
      </c>
      <c r="J14215" s="223" t="s">
        <v>311</v>
      </c>
      <c r="K14215" s="223" t="s">
        <v>90</v>
      </c>
      <c r="L14215" s="223" t="s">
        <v>731</v>
      </c>
      <c r="M14215" s="223">
        <v>3</v>
      </c>
      <c r="N14215" s="223"/>
      <c r="O14215" s="223" t="s">
        <v>91</v>
      </c>
      <c r="P14215" s="223"/>
      <c r="Q14215" s="224"/>
    </row>
    <row r="14216" spans="1:17">
      <c r="A14216" s="221">
        <v>591</v>
      </c>
      <c r="B14216" s="222">
        <v>46162</v>
      </c>
      <c r="C14216" s="223" t="s">
        <v>294</v>
      </c>
      <c r="D14216" s="223" t="s">
        <v>477</v>
      </c>
      <c r="E14216" s="223" t="s">
        <v>318</v>
      </c>
      <c r="F14216" s="223">
        <v>2026</v>
      </c>
      <c r="G14216" s="223">
        <v>3</v>
      </c>
      <c r="H14216" s="223" t="s">
        <v>461</v>
      </c>
      <c r="I14216" s="226" t="s">
        <v>136</v>
      </c>
      <c r="J14216" s="223" t="s">
        <v>462</v>
      </c>
      <c r="K14216" s="223" t="s">
        <v>101</v>
      </c>
      <c r="L14216" s="223" t="s">
        <v>732</v>
      </c>
      <c r="M14216" s="223">
        <v>3</v>
      </c>
      <c r="N14216" s="223"/>
      <c r="O14216" s="223" t="s">
        <v>138</v>
      </c>
      <c r="P14216" s="223"/>
      <c r="Q14216" s="224"/>
    </row>
    <row r="14217" spans="1:17">
      <c r="A14217" s="221">
        <v>592</v>
      </c>
      <c r="B14217" s="222">
        <v>46162</v>
      </c>
      <c r="C14217" s="223" t="s">
        <v>294</v>
      </c>
      <c r="D14217" s="223" t="s">
        <v>479</v>
      </c>
      <c r="E14217" s="223" t="s">
        <v>318</v>
      </c>
      <c r="F14217" s="223">
        <v>2026</v>
      </c>
      <c r="G14217" s="223">
        <v>3</v>
      </c>
      <c r="H14217" s="223" t="s">
        <v>461</v>
      </c>
      <c r="I14217" s="226" t="s">
        <v>136</v>
      </c>
      <c r="J14217" s="223" t="s">
        <v>462</v>
      </c>
      <c r="K14217" s="223" t="s">
        <v>10</v>
      </c>
      <c r="L14217" s="223" t="s">
        <v>732</v>
      </c>
      <c r="M14217" s="223">
        <v>3</v>
      </c>
      <c r="N14217" s="223"/>
      <c r="O14217" s="223" t="s">
        <v>138</v>
      </c>
      <c r="P14217" s="223"/>
      <c r="Q14217" s="224"/>
    </row>
    <row r="14218" spans="1:17">
      <c r="A14218" s="221">
        <v>593</v>
      </c>
      <c r="B14218" s="222">
        <v>46162</v>
      </c>
      <c r="C14218" s="223" t="s">
        <v>294</v>
      </c>
      <c r="D14218" s="223"/>
      <c r="E14218" s="223" t="s">
        <v>318</v>
      </c>
      <c r="F14218" s="223">
        <v>2026</v>
      </c>
      <c r="G14218" s="223">
        <v>2</v>
      </c>
      <c r="H14218" s="223" t="s">
        <v>132</v>
      </c>
      <c r="I14218" s="226" t="s">
        <v>133</v>
      </c>
      <c r="J14218" s="223" t="s">
        <v>360</v>
      </c>
      <c r="K14218" s="223" t="s">
        <v>135</v>
      </c>
      <c r="L14218" s="223" t="s">
        <v>733</v>
      </c>
      <c r="M14218" s="223" t="s">
        <v>615</v>
      </c>
      <c r="N14218" s="223"/>
      <c r="O14218" s="223" t="s">
        <v>127</v>
      </c>
      <c r="P14218" s="223"/>
      <c r="Q14218" s="224"/>
    </row>
    <row r="14219" spans="1:17">
      <c r="A14219" s="221">
        <v>594</v>
      </c>
      <c r="B14219" s="222">
        <v>46163</v>
      </c>
      <c r="C14219" s="223" t="s">
        <v>298</v>
      </c>
      <c r="D14219" s="223" t="s">
        <v>661</v>
      </c>
      <c r="E14219" s="223" t="s">
        <v>318</v>
      </c>
      <c r="F14219" s="223">
        <v>2026</v>
      </c>
      <c r="G14219" s="223">
        <v>2.5</v>
      </c>
      <c r="H14219" s="223" t="s">
        <v>132</v>
      </c>
      <c r="I14219" s="226" t="s">
        <v>158</v>
      </c>
      <c r="J14219" s="223" t="s">
        <v>360</v>
      </c>
      <c r="K14219" s="223" t="s">
        <v>101</v>
      </c>
      <c r="L14219" s="223" t="s">
        <v>976</v>
      </c>
      <c r="M14219" s="223">
        <v>2.5</v>
      </c>
      <c r="N14219" s="223"/>
      <c r="O14219" s="223" t="s">
        <v>811</v>
      </c>
      <c r="P14219" s="223"/>
      <c r="Q14219" s="224"/>
    </row>
    <row r="14220" spans="1:17" ht="30.75">
      <c r="A14220" s="221">
        <v>595</v>
      </c>
      <c r="B14220" s="222">
        <v>46163</v>
      </c>
      <c r="C14220" s="223" t="s">
        <v>298</v>
      </c>
      <c r="D14220" s="223" t="s">
        <v>655</v>
      </c>
      <c r="E14220" s="223" t="s">
        <v>318</v>
      </c>
      <c r="F14220" s="223">
        <v>2026</v>
      </c>
      <c r="G14220" s="223">
        <v>1.5</v>
      </c>
      <c r="H14220" s="223" t="s">
        <v>115</v>
      </c>
      <c r="I14220" s="226" t="s">
        <v>437</v>
      </c>
      <c r="J14220" s="223" t="s">
        <v>438</v>
      </c>
      <c r="K14220" s="223" t="s">
        <v>101</v>
      </c>
      <c r="L14220" s="223" t="s">
        <v>749</v>
      </c>
      <c r="M14220" s="223">
        <v>1.5</v>
      </c>
      <c r="N14220" s="223"/>
      <c r="O14220" s="223" t="s">
        <v>164</v>
      </c>
      <c r="P14220" s="223"/>
      <c r="Q14220" s="224"/>
    </row>
    <row r="14221" spans="1:17">
      <c r="A14221" s="221">
        <v>596</v>
      </c>
      <c r="B14221" s="222">
        <v>46163</v>
      </c>
      <c r="C14221" s="223" t="s">
        <v>298</v>
      </c>
      <c r="D14221" s="223" t="s">
        <v>477</v>
      </c>
      <c r="E14221" s="223" t="s">
        <v>318</v>
      </c>
      <c r="F14221" s="223">
        <v>2026</v>
      </c>
      <c r="G14221" s="223">
        <v>3</v>
      </c>
      <c r="H14221" s="223" t="s">
        <v>461</v>
      </c>
      <c r="I14221" s="226" t="s">
        <v>142</v>
      </c>
      <c r="J14221" s="223" t="s">
        <v>462</v>
      </c>
      <c r="K14221" s="223" t="s">
        <v>101</v>
      </c>
      <c r="L14221" s="223" t="s">
        <v>736</v>
      </c>
      <c r="M14221" s="223">
        <v>3</v>
      </c>
      <c r="N14221" s="223"/>
      <c r="O14221" s="223" t="s">
        <v>179</v>
      </c>
      <c r="P14221" s="223"/>
      <c r="Q14221" s="224"/>
    </row>
    <row r="14222" spans="1:17">
      <c r="A14222" s="221">
        <v>597</v>
      </c>
      <c r="B14222" s="222">
        <v>46163</v>
      </c>
      <c r="C14222" s="223" t="s">
        <v>298</v>
      </c>
      <c r="D14222" s="223" t="s">
        <v>479</v>
      </c>
      <c r="E14222" s="223" t="s">
        <v>318</v>
      </c>
      <c r="F14222" s="223">
        <v>2026</v>
      </c>
      <c r="G14222" s="223">
        <v>3</v>
      </c>
      <c r="H14222" s="223" t="s">
        <v>461</v>
      </c>
      <c r="I14222" s="226" t="s">
        <v>142</v>
      </c>
      <c r="J14222" s="223" t="s">
        <v>462</v>
      </c>
      <c r="K14222" s="223" t="s">
        <v>10</v>
      </c>
      <c r="L14222" s="223" t="s">
        <v>736</v>
      </c>
      <c r="M14222" s="223">
        <v>3</v>
      </c>
      <c r="N14222" s="223"/>
      <c r="O14222" s="223" t="s">
        <v>102</v>
      </c>
      <c r="P14222" s="223"/>
      <c r="Q14222" s="224"/>
    </row>
    <row r="14223" spans="1:17">
      <c r="A14223" s="221">
        <v>598</v>
      </c>
      <c r="B14223" s="222">
        <v>46163</v>
      </c>
      <c r="C14223" s="223" t="s">
        <v>298</v>
      </c>
      <c r="D14223" s="223"/>
      <c r="E14223" s="223" t="s">
        <v>318</v>
      </c>
      <c r="F14223" s="223">
        <v>2026</v>
      </c>
      <c r="G14223" s="223">
        <v>2</v>
      </c>
      <c r="H14223" s="223" t="s">
        <v>132</v>
      </c>
      <c r="I14223" s="226" t="s">
        <v>133</v>
      </c>
      <c r="J14223" s="223" t="s">
        <v>360</v>
      </c>
      <c r="K14223" s="223" t="s">
        <v>135</v>
      </c>
      <c r="L14223" s="223" t="s">
        <v>737</v>
      </c>
      <c r="M14223" s="223"/>
      <c r="N14223" s="223"/>
      <c r="O14223" s="223" t="s">
        <v>127</v>
      </c>
      <c r="P14223" s="223"/>
      <c r="Q14223" s="224"/>
    </row>
    <row r="14224" spans="1:17">
      <c r="A14224" s="221">
        <v>599</v>
      </c>
      <c r="B14224" s="222">
        <v>46163</v>
      </c>
      <c r="C14224" s="223" t="s">
        <v>298</v>
      </c>
      <c r="D14224" s="223" t="s">
        <v>456</v>
      </c>
      <c r="E14224" s="223" t="s">
        <v>318</v>
      </c>
      <c r="F14224" s="223">
        <v>2026</v>
      </c>
      <c r="G14224" s="223">
        <v>2.5</v>
      </c>
      <c r="H14224" s="223" t="s">
        <v>99</v>
      </c>
      <c r="I14224" s="226" t="s">
        <v>100</v>
      </c>
      <c r="J14224" s="223" t="s">
        <v>373</v>
      </c>
      <c r="K14224" s="223" t="s">
        <v>101</v>
      </c>
      <c r="L14224" s="223" t="s">
        <v>739</v>
      </c>
      <c r="M14224" s="223">
        <v>2.5</v>
      </c>
      <c r="N14224" s="223"/>
      <c r="O14224" s="223" t="s">
        <v>102</v>
      </c>
      <c r="P14224" s="223"/>
      <c r="Q14224" s="224"/>
    </row>
    <row r="14225" spans="1:17">
      <c r="A14225" s="221">
        <v>600</v>
      </c>
      <c r="B14225" s="222">
        <v>46163</v>
      </c>
      <c r="C14225" s="223" t="s">
        <v>298</v>
      </c>
      <c r="D14225" s="223" t="s">
        <v>532</v>
      </c>
      <c r="E14225" s="223" t="s">
        <v>318</v>
      </c>
      <c r="F14225" s="223">
        <v>2026</v>
      </c>
      <c r="G14225" s="223">
        <v>2.5</v>
      </c>
      <c r="H14225" s="223" t="s">
        <v>99</v>
      </c>
      <c r="I14225" s="226" t="s">
        <v>100</v>
      </c>
      <c r="J14225" s="223" t="s">
        <v>373</v>
      </c>
      <c r="K14225" s="223" t="s">
        <v>10</v>
      </c>
      <c r="L14225" s="223" t="s">
        <v>678</v>
      </c>
      <c r="M14225" s="223">
        <v>2.5</v>
      </c>
      <c r="N14225" s="223"/>
      <c r="O14225" s="223" t="s">
        <v>29</v>
      </c>
      <c r="P14225" s="223"/>
      <c r="Q14225" s="224"/>
    </row>
    <row r="14226" spans="1:17">
      <c r="A14226" s="221">
        <v>601</v>
      </c>
      <c r="B14226" s="222">
        <v>46163</v>
      </c>
      <c r="C14226" s="223" t="s">
        <v>298</v>
      </c>
      <c r="D14226" s="223" t="s">
        <v>467</v>
      </c>
      <c r="E14226" s="223" t="s">
        <v>318</v>
      </c>
      <c r="F14226" s="223">
        <v>2026</v>
      </c>
      <c r="G14226" s="223">
        <v>2.5</v>
      </c>
      <c r="H14226" s="223" t="s">
        <v>99</v>
      </c>
      <c r="I14226" s="226" t="s">
        <v>100</v>
      </c>
      <c r="J14226" s="223" t="s">
        <v>373</v>
      </c>
      <c r="K14226" s="223" t="s">
        <v>104</v>
      </c>
      <c r="L14226" s="223" t="s">
        <v>696</v>
      </c>
      <c r="M14226" s="223">
        <v>2.5</v>
      </c>
      <c r="N14226" s="223"/>
      <c r="O14226" s="223" t="s">
        <v>70</v>
      </c>
      <c r="P14226" s="223"/>
      <c r="Q14226" s="224"/>
    </row>
    <row r="14227" spans="1:17">
      <c r="A14227" s="221">
        <v>602</v>
      </c>
      <c r="B14227" s="222">
        <v>46163</v>
      </c>
      <c r="C14227" s="223" t="s">
        <v>298</v>
      </c>
      <c r="D14227" s="223" t="s">
        <v>430</v>
      </c>
      <c r="E14227" s="223" t="s">
        <v>318</v>
      </c>
      <c r="F14227" s="223">
        <v>2026</v>
      </c>
      <c r="G14227" s="223">
        <v>2.5</v>
      </c>
      <c r="H14227" s="223" t="s">
        <v>99</v>
      </c>
      <c r="I14227" s="226" t="s">
        <v>100</v>
      </c>
      <c r="J14227" s="223" t="s">
        <v>373</v>
      </c>
      <c r="K14227" s="223" t="s">
        <v>106</v>
      </c>
      <c r="L14227" s="223" t="s">
        <v>739</v>
      </c>
      <c r="M14227" s="223">
        <v>2.5</v>
      </c>
      <c r="N14227" s="223"/>
      <c r="O14227" s="223" t="s">
        <v>432</v>
      </c>
      <c r="P14227" s="223"/>
      <c r="Q14227" s="224"/>
    </row>
    <row r="14228" spans="1:17" ht="30.75">
      <c r="A14228" s="221">
        <v>603</v>
      </c>
      <c r="B14228" s="222">
        <v>46164</v>
      </c>
      <c r="C14228" s="223" t="s">
        <v>301</v>
      </c>
      <c r="D14228" s="223" t="s">
        <v>962</v>
      </c>
      <c r="E14228" s="223" t="s">
        <v>318</v>
      </c>
      <c r="F14228" s="223">
        <v>2026</v>
      </c>
      <c r="G14228" s="223">
        <v>1.5</v>
      </c>
      <c r="H14228" s="223" t="s">
        <v>201</v>
      </c>
      <c r="I14228" s="226" t="s">
        <v>202</v>
      </c>
      <c r="J14228" s="223"/>
      <c r="K14228" s="223" t="s">
        <v>101</v>
      </c>
      <c r="L14228" s="223" t="s">
        <v>977</v>
      </c>
      <c r="M14228" s="223">
        <v>1.5</v>
      </c>
      <c r="N14228" s="223"/>
      <c r="O14228" s="223" t="s">
        <v>769</v>
      </c>
      <c r="P14228" s="223"/>
      <c r="Q14228" s="224"/>
    </row>
    <row r="14229" spans="1:17" ht="30.75">
      <c r="A14229" s="221"/>
      <c r="B14229" s="222">
        <v>46164</v>
      </c>
      <c r="C14229" s="223" t="s">
        <v>301</v>
      </c>
      <c r="D14229" s="223" t="s">
        <v>972</v>
      </c>
      <c r="E14229" s="223" t="s">
        <v>318</v>
      </c>
      <c r="F14229" s="223">
        <v>2026</v>
      </c>
      <c r="G14229" s="223">
        <v>2</v>
      </c>
      <c r="H14229" s="223" t="s">
        <v>196</v>
      </c>
      <c r="I14229" s="226" t="s">
        <v>967</v>
      </c>
      <c r="J14229" s="223" t="s">
        <v>687</v>
      </c>
      <c r="K14229" s="223" t="s">
        <v>101</v>
      </c>
      <c r="L14229" s="223" t="s">
        <v>746</v>
      </c>
      <c r="M14229" s="223">
        <v>2</v>
      </c>
      <c r="N14229" s="223"/>
      <c r="O14229" s="223"/>
      <c r="P14229" s="223"/>
      <c r="Q14229" s="224"/>
    </row>
    <row r="14230" spans="1:17" ht="30.75">
      <c r="A14230" s="221">
        <v>604</v>
      </c>
      <c r="B14230" s="222">
        <v>46164</v>
      </c>
      <c r="C14230" s="223" t="s">
        <v>301</v>
      </c>
      <c r="D14230" s="223" t="s">
        <v>655</v>
      </c>
      <c r="E14230" s="223" t="s">
        <v>318</v>
      </c>
      <c r="F14230" s="223">
        <v>2026</v>
      </c>
      <c r="G14230" s="223">
        <v>1.5</v>
      </c>
      <c r="H14230" s="223" t="s">
        <v>115</v>
      </c>
      <c r="I14230" s="226" t="s">
        <v>437</v>
      </c>
      <c r="J14230" s="223" t="s">
        <v>438</v>
      </c>
      <c r="K14230" s="223" t="s">
        <v>101</v>
      </c>
      <c r="L14230" s="223" t="s">
        <v>754</v>
      </c>
      <c r="M14230" s="223">
        <v>1.5</v>
      </c>
      <c r="N14230" s="223"/>
      <c r="O14230" s="223" t="s">
        <v>164</v>
      </c>
      <c r="P14230" s="223"/>
      <c r="Q14230" s="224"/>
    </row>
    <row r="14231" spans="1:17">
      <c r="A14231" s="221">
        <v>605</v>
      </c>
      <c r="B14231" s="222">
        <v>46164</v>
      </c>
      <c r="C14231" s="223" t="s">
        <v>301</v>
      </c>
      <c r="D14231" s="223"/>
      <c r="E14231" s="223" t="s">
        <v>318</v>
      </c>
      <c r="F14231" s="223">
        <v>2026</v>
      </c>
      <c r="G14231" s="223">
        <v>2</v>
      </c>
      <c r="H14231" s="223" t="s">
        <v>132</v>
      </c>
      <c r="I14231" s="226" t="s">
        <v>133</v>
      </c>
      <c r="J14231" s="223" t="s">
        <v>360</v>
      </c>
      <c r="K14231" s="223" t="s">
        <v>135</v>
      </c>
      <c r="L14231" s="223" t="s">
        <v>747</v>
      </c>
      <c r="M14231" s="223"/>
      <c r="N14231" s="223"/>
      <c r="O14231" s="223" t="s">
        <v>127</v>
      </c>
      <c r="P14231" s="223"/>
      <c r="Q14231" s="224"/>
    </row>
    <row r="14232" spans="1:17" ht="30.75">
      <c r="A14232" s="221">
        <v>606</v>
      </c>
      <c r="B14232" s="222">
        <v>46164</v>
      </c>
      <c r="C14232" s="223" t="s">
        <v>301</v>
      </c>
      <c r="D14232" s="223" t="s">
        <v>497</v>
      </c>
      <c r="E14232" s="223" t="s">
        <v>318</v>
      </c>
      <c r="F14232" s="223">
        <v>2026</v>
      </c>
      <c r="G14232" s="223" t="s">
        <v>498</v>
      </c>
      <c r="H14232" s="223" t="s">
        <v>57</v>
      </c>
      <c r="I14232" s="226" t="s">
        <v>454</v>
      </c>
      <c r="J14232" s="223" t="s">
        <v>311</v>
      </c>
      <c r="K14232" s="223"/>
      <c r="L14232" s="226" t="s">
        <v>748</v>
      </c>
      <c r="M14232" s="223" t="s">
        <v>498</v>
      </c>
      <c r="N14232" s="223"/>
      <c r="O14232" s="223" t="s">
        <v>693</v>
      </c>
      <c r="P14232" s="223"/>
      <c r="Q14232" s="224"/>
    </row>
    <row r="14233" spans="1:17">
      <c r="A14233" s="221">
        <v>607</v>
      </c>
      <c r="B14233" s="222">
        <v>46164</v>
      </c>
      <c r="C14233" s="223" t="s">
        <v>301</v>
      </c>
      <c r="D14233" s="223" t="s">
        <v>677</v>
      </c>
      <c r="E14233" s="223" t="s">
        <v>318</v>
      </c>
      <c r="F14233" s="223">
        <v>2026</v>
      </c>
      <c r="G14233" s="223">
        <v>4</v>
      </c>
      <c r="H14233" s="223" t="s">
        <v>99</v>
      </c>
      <c r="I14233" s="226" t="s">
        <v>108</v>
      </c>
      <c r="J14233" s="223" t="s">
        <v>366</v>
      </c>
      <c r="K14233" s="223" t="s">
        <v>10</v>
      </c>
      <c r="L14233" s="223" t="s">
        <v>725</v>
      </c>
      <c r="M14233" s="223">
        <v>4</v>
      </c>
      <c r="N14233" s="223"/>
      <c r="O14233" s="223" t="s">
        <v>63</v>
      </c>
      <c r="P14233" s="223"/>
      <c r="Q14233" s="224"/>
    </row>
    <row r="14234" spans="1:17">
      <c r="A14234" s="221">
        <v>608</v>
      </c>
      <c r="B14234" s="222">
        <v>46164</v>
      </c>
      <c r="C14234" s="223" t="s">
        <v>301</v>
      </c>
      <c r="D14234" s="223" t="s">
        <v>667</v>
      </c>
      <c r="E14234" s="223" t="s">
        <v>318</v>
      </c>
      <c r="F14234" s="223">
        <v>2026</v>
      </c>
      <c r="G14234" s="223">
        <v>4</v>
      </c>
      <c r="H14234" s="223" t="s">
        <v>99</v>
      </c>
      <c r="I14234" s="226" t="s">
        <v>108</v>
      </c>
      <c r="J14234" s="223" t="s">
        <v>366</v>
      </c>
      <c r="K14234" s="223" t="s">
        <v>104</v>
      </c>
      <c r="L14234" s="223" t="s">
        <v>725</v>
      </c>
      <c r="M14234" s="223">
        <v>4</v>
      </c>
      <c r="N14234" s="223"/>
      <c r="O14234" s="223" t="s">
        <v>91</v>
      </c>
      <c r="P14234" s="223"/>
      <c r="Q14234" s="224"/>
    </row>
    <row r="14235" spans="1:17" ht="30.75">
      <c r="A14235" s="221">
        <v>609</v>
      </c>
      <c r="B14235" s="222">
        <v>46167</v>
      </c>
      <c r="C14235" s="223" t="s">
        <v>302</v>
      </c>
      <c r="D14235" s="223" t="s">
        <v>962</v>
      </c>
      <c r="E14235" s="223" t="s">
        <v>318</v>
      </c>
      <c r="F14235" s="223">
        <v>2026</v>
      </c>
      <c r="G14235" s="223">
        <v>1.5</v>
      </c>
      <c r="H14235" s="223" t="s">
        <v>201</v>
      </c>
      <c r="I14235" s="226" t="s">
        <v>202</v>
      </c>
      <c r="J14235" s="223"/>
      <c r="K14235" s="223" t="s">
        <v>101</v>
      </c>
      <c r="L14235" s="223" t="s">
        <v>978</v>
      </c>
      <c r="M14235" s="223">
        <v>1.5</v>
      </c>
      <c r="N14235" s="223"/>
      <c r="O14235" s="223" t="s">
        <v>769</v>
      </c>
      <c r="P14235" s="223"/>
      <c r="Q14235" s="224"/>
    </row>
    <row r="14236" spans="1:17" ht="30.75">
      <c r="A14236" s="221">
        <v>610</v>
      </c>
      <c r="B14236" s="222">
        <v>46167</v>
      </c>
      <c r="C14236" s="223" t="s">
        <v>302</v>
      </c>
      <c r="D14236" s="223" t="s">
        <v>972</v>
      </c>
      <c r="E14236" s="223" t="s">
        <v>318</v>
      </c>
      <c r="F14236" s="223">
        <v>2026</v>
      </c>
      <c r="G14236" s="223">
        <v>2</v>
      </c>
      <c r="H14236" s="223" t="s">
        <v>196</v>
      </c>
      <c r="I14236" s="226" t="s">
        <v>967</v>
      </c>
      <c r="J14236" s="223" t="s">
        <v>687</v>
      </c>
      <c r="K14236" s="223" t="s">
        <v>101</v>
      </c>
      <c r="L14236" s="223" t="s">
        <v>760</v>
      </c>
      <c r="M14236" s="223">
        <v>2</v>
      </c>
      <c r="N14236" s="223"/>
      <c r="O14236" s="223" t="s">
        <v>109</v>
      </c>
      <c r="P14236" s="223"/>
      <c r="Q14236" s="224"/>
    </row>
    <row r="14237" spans="1:17">
      <c r="A14237" s="221">
        <v>611</v>
      </c>
      <c r="B14237" s="222">
        <v>46167</v>
      </c>
      <c r="C14237" s="223" t="s">
        <v>302</v>
      </c>
      <c r="D14237" s="223"/>
      <c r="E14237" s="223" t="s">
        <v>318</v>
      </c>
      <c r="F14237" s="223">
        <v>2026</v>
      </c>
      <c r="G14237" s="223">
        <v>2</v>
      </c>
      <c r="H14237" s="223" t="s">
        <v>132</v>
      </c>
      <c r="I14237" s="226" t="s">
        <v>133</v>
      </c>
      <c r="J14237" s="223" t="s">
        <v>360</v>
      </c>
      <c r="K14237" s="223" t="s">
        <v>135</v>
      </c>
      <c r="L14237" s="223" t="s">
        <v>751</v>
      </c>
      <c r="M14237" s="223"/>
      <c r="N14237" s="223"/>
      <c r="O14237" s="223" t="s">
        <v>127</v>
      </c>
      <c r="P14237" s="223"/>
      <c r="Q14237" s="224"/>
    </row>
    <row r="14238" spans="1:17">
      <c r="A14238" s="221">
        <v>612</v>
      </c>
      <c r="B14238" s="222">
        <v>46168</v>
      </c>
      <c r="C14238" s="223" t="s">
        <v>289</v>
      </c>
      <c r="D14238" s="223" t="s">
        <v>661</v>
      </c>
      <c r="E14238" s="223" t="s">
        <v>318</v>
      </c>
      <c r="F14238" s="223">
        <v>2026</v>
      </c>
      <c r="G14238" s="223">
        <v>2.5</v>
      </c>
      <c r="H14238" s="223" t="s">
        <v>132</v>
      </c>
      <c r="I14238" s="226" t="s">
        <v>158</v>
      </c>
      <c r="J14238" s="223" t="s">
        <v>360</v>
      </c>
      <c r="K14238" s="223" t="s">
        <v>101</v>
      </c>
      <c r="L14238" s="223" t="s">
        <v>979</v>
      </c>
      <c r="M14238" s="223">
        <v>2.5</v>
      </c>
      <c r="N14238" s="223"/>
      <c r="O14238" s="223" t="s">
        <v>254</v>
      </c>
      <c r="P14238" s="223"/>
      <c r="Q14238" s="224"/>
    </row>
    <row r="14239" spans="1:17" ht="30.75">
      <c r="A14239" s="221">
        <v>613</v>
      </c>
      <c r="B14239" s="222">
        <v>46168</v>
      </c>
      <c r="C14239" s="223" t="s">
        <v>289</v>
      </c>
      <c r="D14239" s="223" t="s">
        <v>972</v>
      </c>
      <c r="E14239" s="223" t="s">
        <v>318</v>
      </c>
      <c r="F14239" s="223">
        <v>2026</v>
      </c>
      <c r="G14239" s="223">
        <v>2</v>
      </c>
      <c r="H14239" s="223" t="s">
        <v>196</v>
      </c>
      <c r="I14239" s="226" t="s">
        <v>967</v>
      </c>
      <c r="J14239" s="223" t="s">
        <v>687</v>
      </c>
      <c r="K14239" s="223" t="s">
        <v>101</v>
      </c>
      <c r="L14239" s="223" t="s">
        <v>771</v>
      </c>
      <c r="M14239" s="223">
        <v>2</v>
      </c>
      <c r="N14239" s="223"/>
      <c r="O14239" s="223" t="s">
        <v>109</v>
      </c>
      <c r="P14239" s="223"/>
      <c r="Q14239" s="224"/>
    </row>
    <row r="14240" spans="1:17" ht="30.75">
      <c r="A14240" s="221">
        <v>614</v>
      </c>
      <c r="B14240" s="222">
        <v>46168</v>
      </c>
      <c r="C14240" s="223" t="s">
        <v>289</v>
      </c>
      <c r="D14240" s="223" t="s">
        <v>655</v>
      </c>
      <c r="E14240" s="223" t="s">
        <v>318</v>
      </c>
      <c r="F14240" s="223">
        <v>2026</v>
      </c>
      <c r="G14240" s="223">
        <v>1.5</v>
      </c>
      <c r="H14240" s="223" t="s">
        <v>115</v>
      </c>
      <c r="I14240" s="226" t="s">
        <v>437</v>
      </c>
      <c r="J14240" s="223" t="s">
        <v>438</v>
      </c>
      <c r="K14240" s="223" t="s">
        <v>101</v>
      </c>
      <c r="L14240" s="223" t="s">
        <v>759</v>
      </c>
      <c r="M14240" s="223">
        <v>1.5</v>
      </c>
      <c r="N14240" s="223"/>
      <c r="O14240" s="223" t="s">
        <v>164</v>
      </c>
      <c r="P14240" s="223"/>
      <c r="Q14240" s="224"/>
    </row>
    <row r="14241" spans="1:17">
      <c r="A14241" s="221">
        <v>615</v>
      </c>
      <c r="B14241" s="222">
        <v>46168</v>
      </c>
      <c r="C14241" s="223" t="s">
        <v>289</v>
      </c>
      <c r="D14241" s="223" t="s">
        <v>477</v>
      </c>
      <c r="E14241" s="223" t="s">
        <v>318</v>
      </c>
      <c r="F14241" s="223">
        <v>2026</v>
      </c>
      <c r="G14241" s="223">
        <v>3</v>
      </c>
      <c r="H14241" s="223" t="s">
        <v>461</v>
      </c>
      <c r="I14241" s="226" t="s">
        <v>142</v>
      </c>
      <c r="J14241" s="223" t="s">
        <v>462</v>
      </c>
      <c r="K14241" s="223" t="s">
        <v>101</v>
      </c>
      <c r="L14241" s="223" t="s">
        <v>753</v>
      </c>
      <c r="M14241" s="223">
        <v>3</v>
      </c>
      <c r="N14241" s="223"/>
      <c r="O14241" s="223" t="s">
        <v>179</v>
      </c>
      <c r="P14241" s="223"/>
      <c r="Q14241" s="224"/>
    </row>
    <row r="14242" spans="1:17">
      <c r="A14242" s="221">
        <v>616</v>
      </c>
      <c r="B14242" s="222">
        <v>46168</v>
      </c>
      <c r="C14242" s="223" t="s">
        <v>289</v>
      </c>
      <c r="D14242" s="223" t="s">
        <v>479</v>
      </c>
      <c r="E14242" s="223" t="s">
        <v>318</v>
      </c>
      <c r="F14242" s="223">
        <v>2026</v>
      </c>
      <c r="G14242" s="223">
        <v>3</v>
      </c>
      <c r="H14242" s="223" t="s">
        <v>461</v>
      </c>
      <c r="I14242" s="226" t="s">
        <v>142</v>
      </c>
      <c r="J14242" s="223" t="s">
        <v>462</v>
      </c>
      <c r="K14242" s="223" t="s">
        <v>10</v>
      </c>
      <c r="L14242" s="223" t="s">
        <v>753</v>
      </c>
      <c r="M14242" s="223">
        <v>3</v>
      </c>
      <c r="N14242" s="223"/>
      <c r="O14242" s="223" t="s">
        <v>102</v>
      </c>
      <c r="P14242" s="223"/>
      <c r="Q14242" s="224"/>
    </row>
    <row r="14243" spans="1:17">
      <c r="A14243" s="221">
        <v>617</v>
      </c>
      <c r="B14243" s="222">
        <v>46168</v>
      </c>
      <c r="C14243" s="223" t="s">
        <v>289</v>
      </c>
      <c r="D14243" s="223" t="s">
        <v>456</v>
      </c>
      <c r="E14243" s="223" t="s">
        <v>318</v>
      </c>
      <c r="F14243" s="223">
        <v>2026</v>
      </c>
      <c r="G14243" s="223">
        <v>2.5</v>
      </c>
      <c r="H14243" s="223" t="s">
        <v>99</v>
      </c>
      <c r="I14243" s="226" t="s">
        <v>100</v>
      </c>
      <c r="J14243" s="223" t="s">
        <v>373</v>
      </c>
      <c r="K14243" s="223" t="s">
        <v>101</v>
      </c>
      <c r="L14243" s="223" t="s">
        <v>755</v>
      </c>
      <c r="M14243" s="223">
        <v>2.5</v>
      </c>
      <c r="N14243" s="223"/>
      <c r="O14243" s="223" t="s">
        <v>102</v>
      </c>
      <c r="P14243" s="223"/>
      <c r="Q14243" s="224"/>
    </row>
    <row r="14244" spans="1:17">
      <c r="A14244" s="221">
        <v>618</v>
      </c>
      <c r="B14244" s="222">
        <v>46168</v>
      </c>
      <c r="C14244" s="223" t="s">
        <v>289</v>
      </c>
      <c r="D14244" s="223" t="s">
        <v>532</v>
      </c>
      <c r="E14244" s="223" t="s">
        <v>318</v>
      </c>
      <c r="F14244" s="223">
        <v>2026</v>
      </c>
      <c r="G14244" s="223">
        <v>2.5</v>
      </c>
      <c r="H14244" s="223" t="s">
        <v>99</v>
      </c>
      <c r="I14244" s="226" t="s">
        <v>100</v>
      </c>
      <c r="J14244" s="223" t="s">
        <v>373</v>
      </c>
      <c r="K14244" s="223" t="s">
        <v>10</v>
      </c>
      <c r="L14244" s="223" t="s">
        <v>696</v>
      </c>
      <c r="M14244" s="223">
        <v>2.5</v>
      </c>
      <c r="N14244" s="223"/>
      <c r="O14244" s="223" t="s">
        <v>29</v>
      </c>
      <c r="P14244" s="223"/>
      <c r="Q14244" s="224"/>
    </row>
    <row r="14245" spans="1:17">
      <c r="A14245" s="221"/>
      <c r="B14245" s="222">
        <v>46168</v>
      </c>
      <c r="C14245" s="223" t="s">
        <v>289</v>
      </c>
      <c r="D14245" s="223"/>
      <c r="E14245" s="223" t="s">
        <v>318</v>
      </c>
      <c r="F14245" s="223">
        <v>2026</v>
      </c>
      <c r="G14245" s="223"/>
      <c r="H14245" s="223" t="s">
        <v>99</v>
      </c>
      <c r="I14245" s="226" t="s">
        <v>100</v>
      </c>
      <c r="J14245" s="223" t="s">
        <v>373</v>
      </c>
      <c r="K14245" s="223" t="s">
        <v>106</v>
      </c>
      <c r="L14245" s="223" t="s">
        <v>427</v>
      </c>
      <c r="M14245" s="223"/>
      <c r="N14245" s="223"/>
      <c r="O14245" s="223"/>
      <c r="P14245" s="223"/>
      <c r="Q14245" s="224"/>
    </row>
    <row r="14246" spans="1:17">
      <c r="A14246" s="221">
        <v>619</v>
      </c>
      <c r="B14246" s="222">
        <v>46169</v>
      </c>
      <c r="C14246" s="223" t="s">
        <v>294</v>
      </c>
      <c r="D14246" s="223" t="s">
        <v>661</v>
      </c>
      <c r="E14246" s="223" t="s">
        <v>318</v>
      </c>
      <c r="F14246" s="223">
        <v>2026</v>
      </c>
      <c r="G14246" s="223">
        <v>2.5</v>
      </c>
      <c r="H14246" s="223" t="s">
        <v>132</v>
      </c>
      <c r="I14246" s="226" t="s">
        <v>158</v>
      </c>
      <c r="J14246" s="223" t="s">
        <v>360</v>
      </c>
      <c r="K14246" s="223" t="s">
        <v>101</v>
      </c>
      <c r="L14246" s="223" t="s">
        <v>980</v>
      </c>
      <c r="M14246" s="223">
        <v>2.5</v>
      </c>
      <c r="N14246" s="223"/>
      <c r="O14246" s="223" t="s">
        <v>811</v>
      </c>
      <c r="P14246" s="223"/>
      <c r="Q14246" s="224"/>
    </row>
    <row r="14247" spans="1:17" ht="30.75">
      <c r="A14247" s="221">
        <v>620</v>
      </c>
      <c r="B14247" s="222">
        <v>46169</v>
      </c>
      <c r="C14247" s="223" t="s">
        <v>294</v>
      </c>
      <c r="D14247" s="223" t="s">
        <v>962</v>
      </c>
      <c r="E14247" s="223" t="s">
        <v>318</v>
      </c>
      <c r="F14247" s="223">
        <v>2026</v>
      </c>
      <c r="G14247" s="223">
        <v>1.5</v>
      </c>
      <c r="H14247" s="223" t="s">
        <v>201</v>
      </c>
      <c r="I14247" s="226" t="s">
        <v>202</v>
      </c>
      <c r="J14247" s="223"/>
      <c r="K14247" s="223" t="s">
        <v>101</v>
      </c>
      <c r="L14247" s="223" t="s">
        <v>981</v>
      </c>
      <c r="M14247" s="223">
        <v>1.5</v>
      </c>
      <c r="N14247" s="223"/>
      <c r="O14247" s="223" t="s">
        <v>769</v>
      </c>
      <c r="P14247" s="223"/>
      <c r="Q14247" s="224"/>
    </row>
    <row r="14248" spans="1:17" ht="30.75">
      <c r="A14248" s="221"/>
      <c r="B14248" s="222">
        <v>46169</v>
      </c>
      <c r="C14248" s="223" t="s">
        <v>294</v>
      </c>
      <c r="D14248" s="223" t="s">
        <v>972</v>
      </c>
      <c r="E14248" s="223" t="s">
        <v>318</v>
      </c>
      <c r="F14248" s="223">
        <v>2026</v>
      </c>
      <c r="G14248" s="223">
        <v>2</v>
      </c>
      <c r="H14248" s="223" t="s">
        <v>196</v>
      </c>
      <c r="I14248" s="226" t="s">
        <v>967</v>
      </c>
      <c r="J14248" s="223" t="s">
        <v>687</v>
      </c>
      <c r="K14248" s="223" t="s">
        <v>101</v>
      </c>
      <c r="L14248" s="223" t="s">
        <v>746</v>
      </c>
      <c r="M14248" s="223">
        <v>2</v>
      </c>
      <c r="N14248" s="223"/>
      <c r="O14248" s="223"/>
      <c r="P14248" s="223"/>
      <c r="Q14248" s="224"/>
    </row>
    <row r="14249" spans="1:17">
      <c r="A14249" s="221">
        <v>621</v>
      </c>
      <c r="B14249" s="222">
        <v>46170</v>
      </c>
      <c r="C14249" s="223" t="s">
        <v>298</v>
      </c>
      <c r="D14249" s="223" t="s">
        <v>661</v>
      </c>
      <c r="E14249" s="223" t="s">
        <v>318</v>
      </c>
      <c r="F14249" s="223">
        <v>2026</v>
      </c>
      <c r="G14249" s="223">
        <v>2.5</v>
      </c>
      <c r="H14249" s="223" t="s">
        <v>132</v>
      </c>
      <c r="I14249" s="226" t="s">
        <v>158</v>
      </c>
      <c r="J14249" s="223" t="s">
        <v>360</v>
      </c>
      <c r="K14249" s="223" t="s">
        <v>101</v>
      </c>
      <c r="L14249" s="223" t="s">
        <v>982</v>
      </c>
      <c r="M14249" s="223">
        <v>2.5</v>
      </c>
      <c r="N14249" s="223"/>
      <c r="O14249" s="223" t="s">
        <v>811</v>
      </c>
      <c r="P14249" s="223"/>
      <c r="Q14249" s="224"/>
    </row>
    <row r="14250" spans="1:17">
      <c r="A14250" s="221"/>
      <c r="B14250" s="222">
        <v>46170</v>
      </c>
      <c r="C14250" s="223" t="s">
        <v>298</v>
      </c>
      <c r="D14250" s="223"/>
      <c r="E14250" s="223" t="s">
        <v>318</v>
      </c>
      <c r="F14250" s="223"/>
      <c r="G14250" s="223"/>
      <c r="H14250" s="223" t="s">
        <v>132</v>
      </c>
      <c r="I14250" s="226" t="s">
        <v>158</v>
      </c>
      <c r="J14250" s="223" t="s">
        <v>360</v>
      </c>
      <c r="K14250" s="223" t="s">
        <v>101</v>
      </c>
      <c r="L14250" s="223" t="s">
        <v>983</v>
      </c>
      <c r="M14250" s="223"/>
      <c r="N14250" s="223"/>
      <c r="O14250" s="223"/>
      <c r="P14250" s="223"/>
      <c r="Q14250" s="224"/>
    </row>
    <row r="14251" spans="1:17">
      <c r="A14251" s="221">
        <v>622</v>
      </c>
      <c r="B14251" s="222">
        <v>46170</v>
      </c>
      <c r="C14251" s="223" t="s">
        <v>298</v>
      </c>
      <c r="D14251" s="223" t="s">
        <v>477</v>
      </c>
      <c r="E14251" s="223" t="s">
        <v>318</v>
      </c>
      <c r="F14251" s="223">
        <v>2026</v>
      </c>
      <c r="G14251" s="223">
        <v>3</v>
      </c>
      <c r="H14251" s="223" t="s">
        <v>461</v>
      </c>
      <c r="I14251" s="226" t="s">
        <v>142</v>
      </c>
      <c r="J14251" s="223" t="s">
        <v>462</v>
      </c>
      <c r="K14251" s="223" t="s">
        <v>101</v>
      </c>
      <c r="L14251" s="223" t="s">
        <v>757</v>
      </c>
      <c r="M14251" s="223">
        <v>3</v>
      </c>
      <c r="N14251" s="223"/>
      <c r="O14251" s="223" t="s">
        <v>179</v>
      </c>
      <c r="P14251" s="223"/>
      <c r="Q14251" s="224"/>
    </row>
    <row r="14252" spans="1:17">
      <c r="A14252" s="221">
        <v>623</v>
      </c>
      <c r="B14252" s="222">
        <v>46170</v>
      </c>
      <c r="C14252" s="223" t="s">
        <v>298</v>
      </c>
      <c r="D14252" s="223" t="s">
        <v>479</v>
      </c>
      <c r="E14252" s="223" t="s">
        <v>318</v>
      </c>
      <c r="F14252" s="223">
        <v>2026</v>
      </c>
      <c r="G14252" s="223">
        <v>3</v>
      </c>
      <c r="H14252" s="223" t="s">
        <v>461</v>
      </c>
      <c r="I14252" s="226" t="s">
        <v>142</v>
      </c>
      <c r="J14252" s="223" t="s">
        <v>462</v>
      </c>
      <c r="K14252" s="223" t="s">
        <v>10</v>
      </c>
      <c r="L14252" s="223" t="s">
        <v>757</v>
      </c>
      <c r="M14252" s="223">
        <v>3</v>
      </c>
      <c r="N14252" s="223"/>
      <c r="O14252" s="223" t="s">
        <v>102</v>
      </c>
      <c r="P14252" s="223"/>
      <c r="Q14252" s="224"/>
    </row>
    <row r="14253" spans="1:17">
      <c r="A14253" s="221">
        <v>624</v>
      </c>
      <c r="B14253" s="222">
        <v>46170</v>
      </c>
      <c r="C14253" s="223" t="s">
        <v>298</v>
      </c>
      <c r="D14253" s="223" t="s">
        <v>456</v>
      </c>
      <c r="E14253" s="223" t="s">
        <v>318</v>
      </c>
      <c r="F14253" s="223">
        <v>2026</v>
      </c>
      <c r="G14253" s="223">
        <v>2.5</v>
      </c>
      <c r="H14253" s="223" t="s">
        <v>99</v>
      </c>
      <c r="I14253" s="226" t="s">
        <v>100</v>
      </c>
      <c r="J14253" s="223" t="s">
        <v>373</v>
      </c>
      <c r="K14253" s="223" t="s">
        <v>101</v>
      </c>
      <c r="L14253" s="223" t="s">
        <v>758</v>
      </c>
      <c r="M14253" s="223">
        <v>2.5</v>
      </c>
      <c r="N14253" s="223"/>
      <c r="O14253" s="223" t="s">
        <v>102</v>
      </c>
      <c r="P14253" s="223"/>
      <c r="Q14253" s="224"/>
    </row>
    <row r="14254" spans="1:17">
      <c r="A14254" s="221">
        <v>625</v>
      </c>
      <c r="B14254" s="222">
        <v>46170</v>
      </c>
      <c r="C14254" s="223" t="s">
        <v>298</v>
      </c>
      <c r="D14254" s="223" t="s">
        <v>532</v>
      </c>
      <c r="E14254" s="223" t="s">
        <v>318</v>
      </c>
      <c r="F14254" s="223">
        <v>2026</v>
      </c>
      <c r="G14254" s="223">
        <v>2.5</v>
      </c>
      <c r="H14254" s="223" t="s">
        <v>99</v>
      </c>
      <c r="I14254" s="226" t="s">
        <v>100</v>
      </c>
      <c r="J14254" s="223" t="s">
        <v>373</v>
      </c>
      <c r="K14254" s="223" t="s">
        <v>10</v>
      </c>
      <c r="L14254" s="223" t="s">
        <v>726</v>
      </c>
      <c r="M14254" s="223">
        <v>2.5</v>
      </c>
      <c r="N14254" s="223"/>
      <c r="O14254" s="223" t="s">
        <v>29</v>
      </c>
      <c r="P14254" s="223"/>
      <c r="Q14254" s="224"/>
    </row>
    <row r="14255" spans="1:17">
      <c r="A14255" s="221">
        <v>626</v>
      </c>
      <c r="B14255" s="222">
        <v>46170</v>
      </c>
      <c r="C14255" s="223" t="s">
        <v>298</v>
      </c>
      <c r="D14255" s="223" t="s">
        <v>467</v>
      </c>
      <c r="E14255" s="223" t="s">
        <v>318</v>
      </c>
      <c r="F14255" s="223">
        <v>2026</v>
      </c>
      <c r="G14255" s="223">
        <v>2.5</v>
      </c>
      <c r="H14255" s="223" t="s">
        <v>99</v>
      </c>
      <c r="I14255" s="226" t="s">
        <v>100</v>
      </c>
      <c r="J14255" s="223" t="s">
        <v>373</v>
      </c>
      <c r="K14255" s="223" t="s">
        <v>104</v>
      </c>
      <c r="L14255" s="223" t="s">
        <v>726</v>
      </c>
      <c r="M14255" s="223">
        <v>2.5</v>
      </c>
      <c r="N14255" s="223"/>
      <c r="O14255" s="223" t="s">
        <v>70</v>
      </c>
      <c r="P14255" s="223"/>
      <c r="Q14255" s="224"/>
    </row>
    <row r="14256" spans="1:17" ht="30.75">
      <c r="A14256" s="221">
        <v>627</v>
      </c>
      <c r="B14256" s="222">
        <v>46171</v>
      </c>
      <c r="C14256" s="223" t="s">
        <v>301</v>
      </c>
      <c r="D14256" s="223" t="s">
        <v>962</v>
      </c>
      <c r="E14256" s="223" t="s">
        <v>318</v>
      </c>
      <c r="F14256" s="223">
        <v>2026</v>
      </c>
      <c r="G14256" s="223">
        <v>1.5</v>
      </c>
      <c r="H14256" s="223" t="s">
        <v>201</v>
      </c>
      <c r="I14256" s="226" t="s">
        <v>202</v>
      </c>
      <c r="J14256" s="223"/>
      <c r="K14256" s="223" t="s">
        <v>101</v>
      </c>
      <c r="L14256" s="223" t="s">
        <v>984</v>
      </c>
      <c r="M14256" s="223">
        <v>1.5</v>
      </c>
      <c r="N14256" s="223"/>
      <c r="O14256" s="223" t="s">
        <v>769</v>
      </c>
      <c r="P14256" s="223"/>
      <c r="Q14256" s="224"/>
    </row>
    <row r="14257" spans="1:17" ht="30.75">
      <c r="A14257" s="221">
        <v>628</v>
      </c>
      <c r="B14257" s="222">
        <v>46171</v>
      </c>
      <c r="C14257" s="223" t="s">
        <v>301</v>
      </c>
      <c r="D14257" s="223" t="s">
        <v>655</v>
      </c>
      <c r="E14257" s="223" t="s">
        <v>318</v>
      </c>
      <c r="F14257" s="223">
        <v>2026</v>
      </c>
      <c r="G14257" s="223">
        <v>1.5</v>
      </c>
      <c r="H14257" s="223" t="s">
        <v>115</v>
      </c>
      <c r="I14257" s="226" t="s">
        <v>437</v>
      </c>
      <c r="J14257" s="223" t="s">
        <v>438</v>
      </c>
      <c r="K14257" s="223" t="s">
        <v>101</v>
      </c>
      <c r="L14257" s="223" t="s">
        <v>777</v>
      </c>
      <c r="M14257" s="223">
        <v>1.5</v>
      </c>
      <c r="N14257" s="223"/>
      <c r="O14257" s="223" t="s">
        <v>164</v>
      </c>
      <c r="P14257" s="223"/>
      <c r="Q14257" s="224"/>
    </row>
    <row r="14258" spans="1:17" ht="30.75">
      <c r="A14258" s="221">
        <v>629</v>
      </c>
      <c r="B14258" s="222">
        <v>46174</v>
      </c>
      <c r="C14258" s="223" t="s">
        <v>302</v>
      </c>
      <c r="D14258" s="223" t="s">
        <v>962</v>
      </c>
      <c r="E14258" s="223" t="s">
        <v>337</v>
      </c>
      <c r="F14258" s="223">
        <v>2026</v>
      </c>
      <c r="G14258" s="223">
        <v>1.5</v>
      </c>
      <c r="H14258" s="223" t="s">
        <v>201</v>
      </c>
      <c r="I14258" s="226" t="s">
        <v>202</v>
      </c>
      <c r="J14258" s="223"/>
      <c r="K14258" s="223" t="s">
        <v>101</v>
      </c>
      <c r="L14258" s="223" t="s">
        <v>985</v>
      </c>
      <c r="M14258" s="223">
        <v>1.5</v>
      </c>
      <c r="N14258" s="223"/>
      <c r="O14258" s="223" t="s">
        <v>769</v>
      </c>
      <c r="P14258" s="223"/>
      <c r="Q14258" s="224"/>
    </row>
    <row r="14259" spans="1:17" ht="30.75">
      <c r="A14259" s="221">
        <v>630</v>
      </c>
      <c r="B14259" s="222">
        <v>46174</v>
      </c>
      <c r="C14259" s="223" t="s">
        <v>302</v>
      </c>
      <c r="D14259" s="223" t="s">
        <v>972</v>
      </c>
      <c r="E14259" s="223" t="s">
        <v>337</v>
      </c>
      <c r="F14259" s="223">
        <v>2026</v>
      </c>
      <c r="G14259" s="223">
        <v>2</v>
      </c>
      <c r="H14259" s="223" t="s">
        <v>196</v>
      </c>
      <c r="I14259" s="226" t="s">
        <v>967</v>
      </c>
      <c r="J14259" s="223" t="s">
        <v>687</v>
      </c>
      <c r="K14259" s="223" t="s">
        <v>101</v>
      </c>
      <c r="L14259" s="223" t="s">
        <v>775</v>
      </c>
      <c r="M14259" s="223">
        <v>2</v>
      </c>
      <c r="N14259" s="223"/>
      <c r="O14259" s="223" t="s">
        <v>109</v>
      </c>
      <c r="P14259" s="223"/>
      <c r="Q14259" s="224"/>
    </row>
    <row r="14260" spans="1:17">
      <c r="A14260" s="221">
        <v>631</v>
      </c>
      <c r="B14260" s="222">
        <v>46174</v>
      </c>
      <c r="C14260" s="223" t="s">
        <v>302</v>
      </c>
      <c r="D14260" s="223" t="s">
        <v>638</v>
      </c>
      <c r="E14260" s="223" t="s">
        <v>337</v>
      </c>
      <c r="F14260" s="223">
        <v>2026</v>
      </c>
      <c r="G14260" s="223">
        <v>2.5</v>
      </c>
      <c r="H14260" s="223" t="s">
        <v>132</v>
      </c>
      <c r="I14260" s="226" t="s">
        <v>183</v>
      </c>
      <c r="J14260" s="223" t="s">
        <v>623</v>
      </c>
      <c r="K14260" s="223" t="s">
        <v>101</v>
      </c>
      <c r="L14260" s="223" t="s">
        <v>783</v>
      </c>
      <c r="M14260" s="223">
        <v>2.5</v>
      </c>
      <c r="N14260" s="223"/>
      <c r="O14260" s="223" t="s">
        <v>164</v>
      </c>
      <c r="P14260" s="223"/>
      <c r="Q14260" s="224"/>
    </row>
    <row r="14261" spans="1:17">
      <c r="A14261" s="221">
        <v>632</v>
      </c>
      <c r="B14261" s="222">
        <v>46174</v>
      </c>
      <c r="C14261" s="223" t="s">
        <v>302</v>
      </c>
      <c r="D14261" s="223" t="s">
        <v>477</v>
      </c>
      <c r="E14261" s="223" t="s">
        <v>337</v>
      </c>
      <c r="F14261" s="223">
        <v>2026</v>
      </c>
      <c r="G14261" s="223">
        <v>3</v>
      </c>
      <c r="H14261" s="223" t="s">
        <v>461</v>
      </c>
      <c r="I14261" s="226" t="s">
        <v>136</v>
      </c>
      <c r="J14261" s="223" t="s">
        <v>462</v>
      </c>
      <c r="K14261" s="223" t="s">
        <v>101</v>
      </c>
      <c r="L14261" s="223" t="s">
        <v>761</v>
      </c>
      <c r="M14261" s="223">
        <v>3</v>
      </c>
      <c r="N14261" s="223"/>
      <c r="O14261" s="223" t="s">
        <v>140</v>
      </c>
      <c r="P14261" s="223"/>
      <c r="Q14261" s="224"/>
    </row>
    <row r="14262" spans="1:17">
      <c r="A14262" s="221">
        <v>633</v>
      </c>
      <c r="B14262" s="222">
        <v>46174</v>
      </c>
      <c r="C14262" s="223" t="s">
        <v>302</v>
      </c>
      <c r="D14262" s="223" t="s">
        <v>479</v>
      </c>
      <c r="E14262" s="223" t="s">
        <v>337</v>
      </c>
      <c r="F14262" s="223">
        <v>2026</v>
      </c>
      <c r="G14262" s="223">
        <v>3</v>
      </c>
      <c r="H14262" s="223" t="s">
        <v>461</v>
      </c>
      <c r="I14262" s="226" t="s">
        <v>136</v>
      </c>
      <c r="J14262" s="223" t="s">
        <v>462</v>
      </c>
      <c r="K14262" s="223" t="s">
        <v>10</v>
      </c>
      <c r="L14262" s="223" t="s">
        <v>761</v>
      </c>
      <c r="M14262" s="223">
        <v>3</v>
      </c>
      <c r="N14262" s="223"/>
      <c r="O14262" s="223" t="s">
        <v>140</v>
      </c>
      <c r="P14262" s="223"/>
      <c r="Q14262" s="224"/>
    </row>
    <row r="14263" spans="1:17" ht="30.75">
      <c r="A14263" s="221">
        <v>634</v>
      </c>
      <c r="B14263" s="222">
        <v>46175</v>
      </c>
      <c r="C14263" s="223" t="s">
        <v>289</v>
      </c>
      <c r="D14263" s="223" t="s">
        <v>972</v>
      </c>
      <c r="E14263" s="223" t="s">
        <v>337</v>
      </c>
      <c r="F14263" s="223">
        <v>2026</v>
      </c>
      <c r="G14263" s="223">
        <v>2</v>
      </c>
      <c r="H14263" s="223" t="s">
        <v>196</v>
      </c>
      <c r="I14263" s="226" t="s">
        <v>967</v>
      </c>
      <c r="J14263" s="223" t="s">
        <v>687</v>
      </c>
      <c r="K14263" s="223" t="s">
        <v>101</v>
      </c>
      <c r="L14263" s="223" t="s">
        <v>782</v>
      </c>
      <c r="M14263" s="223">
        <v>2</v>
      </c>
      <c r="N14263" s="223"/>
      <c r="O14263" s="223" t="s">
        <v>109</v>
      </c>
      <c r="P14263" s="223"/>
      <c r="Q14263" s="224"/>
    </row>
    <row r="14264" spans="1:17" ht="30.75">
      <c r="A14264" s="221"/>
      <c r="B14264" s="222">
        <v>46175</v>
      </c>
      <c r="C14264" s="223" t="s">
        <v>289</v>
      </c>
      <c r="D14264" s="223" t="s">
        <v>524</v>
      </c>
      <c r="E14264" s="223" t="s">
        <v>337</v>
      </c>
      <c r="F14264" s="223">
        <v>2026</v>
      </c>
      <c r="G14264" s="223">
        <v>2.5</v>
      </c>
      <c r="H14264" s="223" t="s">
        <v>115</v>
      </c>
      <c r="I14264" s="226" t="s">
        <v>437</v>
      </c>
      <c r="J14264" s="223" t="s">
        <v>438</v>
      </c>
      <c r="K14264" s="223" t="s">
        <v>101</v>
      </c>
      <c r="L14264" s="223" t="s">
        <v>780</v>
      </c>
      <c r="M14264" s="223">
        <v>2.5</v>
      </c>
      <c r="N14264" s="223"/>
      <c r="O14264" s="223"/>
      <c r="P14264" s="223"/>
      <c r="Q14264" s="224"/>
    </row>
    <row r="14265" spans="1:17">
      <c r="A14265" s="221">
        <v>635</v>
      </c>
      <c r="B14265" s="222">
        <v>46175</v>
      </c>
      <c r="C14265" s="223" t="s">
        <v>289</v>
      </c>
      <c r="D14265" s="223" t="s">
        <v>665</v>
      </c>
      <c r="E14265" s="223" t="s">
        <v>337</v>
      </c>
      <c r="F14265" s="223">
        <v>2026</v>
      </c>
      <c r="G14265" s="223">
        <v>4</v>
      </c>
      <c r="H14265" s="223" t="s">
        <v>99</v>
      </c>
      <c r="I14265" s="226" t="s">
        <v>108</v>
      </c>
      <c r="J14265" s="223" t="s">
        <v>366</v>
      </c>
      <c r="K14265" s="223" t="s">
        <v>101</v>
      </c>
      <c r="L14265" s="223" t="s">
        <v>765</v>
      </c>
      <c r="M14265" s="223">
        <v>4</v>
      </c>
      <c r="N14265" s="223"/>
      <c r="O14265" s="223" t="s">
        <v>112</v>
      </c>
      <c r="P14265" s="223"/>
      <c r="Q14265" s="224"/>
    </row>
    <row r="14266" spans="1:17">
      <c r="A14266" s="221">
        <v>636</v>
      </c>
      <c r="B14266" s="222">
        <v>46175</v>
      </c>
      <c r="C14266" s="223" t="s">
        <v>289</v>
      </c>
      <c r="D14266" s="223" t="s">
        <v>667</v>
      </c>
      <c r="E14266" s="223" t="s">
        <v>337</v>
      </c>
      <c r="F14266" s="223">
        <v>2026</v>
      </c>
      <c r="G14266" s="223">
        <v>4</v>
      </c>
      <c r="H14266" s="223" t="s">
        <v>99</v>
      </c>
      <c r="I14266" s="226" t="s">
        <v>108</v>
      </c>
      <c r="J14266" s="223" t="s">
        <v>366</v>
      </c>
      <c r="K14266" s="223" t="s">
        <v>104</v>
      </c>
      <c r="L14266" s="223" t="s">
        <v>765</v>
      </c>
      <c r="M14266" s="223">
        <v>4</v>
      </c>
      <c r="N14266" s="223"/>
      <c r="O14266" s="223" t="s">
        <v>109</v>
      </c>
      <c r="P14266" s="223"/>
      <c r="Q14266" s="224"/>
    </row>
    <row r="14267" spans="1:17">
      <c r="A14267" s="221">
        <v>637</v>
      </c>
      <c r="B14267" s="222">
        <v>46175</v>
      </c>
      <c r="C14267" s="223" t="s">
        <v>289</v>
      </c>
      <c r="D14267" s="223" t="s">
        <v>456</v>
      </c>
      <c r="E14267" s="223" t="s">
        <v>337</v>
      </c>
      <c r="F14267" s="223">
        <v>2026</v>
      </c>
      <c r="G14267" s="223">
        <v>2.5</v>
      </c>
      <c r="H14267" s="223" t="s">
        <v>99</v>
      </c>
      <c r="I14267" s="226" t="s">
        <v>100</v>
      </c>
      <c r="J14267" s="223" t="s">
        <v>373</v>
      </c>
      <c r="K14267" s="223" t="s">
        <v>101</v>
      </c>
      <c r="L14267" s="223" t="s">
        <v>766</v>
      </c>
      <c r="M14267" s="223">
        <v>2.5</v>
      </c>
      <c r="N14267" s="223"/>
      <c r="O14267" s="223" t="s">
        <v>102</v>
      </c>
      <c r="P14267" s="223"/>
      <c r="Q14267" s="224"/>
    </row>
    <row r="14268" spans="1:17">
      <c r="A14268" s="221">
        <v>638</v>
      </c>
      <c r="B14268" s="222">
        <v>46175</v>
      </c>
      <c r="C14268" s="223" t="s">
        <v>289</v>
      </c>
      <c r="D14268" s="223" t="s">
        <v>532</v>
      </c>
      <c r="E14268" s="223" t="s">
        <v>337</v>
      </c>
      <c r="F14268" s="223">
        <v>2026</v>
      </c>
      <c r="G14268" s="223">
        <v>2.5</v>
      </c>
      <c r="H14268" s="223" t="s">
        <v>99</v>
      </c>
      <c r="I14268" s="226" t="s">
        <v>100</v>
      </c>
      <c r="J14268" s="223" t="s">
        <v>373</v>
      </c>
      <c r="K14268" s="223" t="s">
        <v>10</v>
      </c>
      <c r="L14268" s="223" t="s">
        <v>739</v>
      </c>
      <c r="M14268" s="223"/>
      <c r="N14268" s="223"/>
      <c r="O14268" s="223" t="s">
        <v>29</v>
      </c>
      <c r="P14268" s="223"/>
      <c r="Q14268" s="224"/>
    </row>
    <row r="14269" spans="1:17">
      <c r="A14269" s="221">
        <v>639</v>
      </c>
      <c r="B14269" s="222">
        <v>46175</v>
      </c>
      <c r="C14269" s="223" t="s">
        <v>289</v>
      </c>
      <c r="D14269" s="223" t="s">
        <v>467</v>
      </c>
      <c r="E14269" s="223" t="s">
        <v>337</v>
      </c>
      <c r="F14269" s="223">
        <v>2026</v>
      </c>
      <c r="G14269" s="223">
        <v>2.5</v>
      </c>
      <c r="H14269" s="223" t="s">
        <v>99</v>
      </c>
      <c r="I14269" s="226" t="s">
        <v>100</v>
      </c>
      <c r="J14269" s="223" t="s">
        <v>373</v>
      </c>
      <c r="K14269" s="223" t="s">
        <v>104</v>
      </c>
      <c r="L14269" s="223" t="s">
        <v>739</v>
      </c>
      <c r="M14269" s="223">
        <v>2.5</v>
      </c>
      <c r="N14269" s="223"/>
      <c r="O14269" s="223" t="s">
        <v>70</v>
      </c>
      <c r="P14269" s="223"/>
      <c r="Q14269" s="224"/>
    </row>
    <row r="14270" spans="1:17">
      <c r="A14270" s="221">
        <v>640</v>
      </c>
      <c r="B14270" s="222">
        <v>46175</v>
      </c>
      <c r="C14270" s="223" t="s">
        <v>289</v>
      </c>
      <c r="D14270" s="223" t="s">
        <v>430</v>
      </c>
      <c r="E14270" s="223" t="s">
        <v>337</v>
      </c>
      <c r="F14270" s="223">
        <v>2026</v>
      </c>
      <c r="G14270" s="223">
        <v>2.5</v>
      </c>
      <c r="H14270" s="223" t="s">
        <v>99</v>
      </c>
      <c r="I14270" s="226" t="s">
        <v>100</v>
      </c>
      <c r="J14270" s="223" t="s">
        <v>373</v>
      </c>
      <c r="K14270" s="223" t="s">
        <v>106</v>
      </c>
      <c r="L14270" s="223" t="s">
        <v>755</v>
      </c>
      <c r="M14270" s="223">
        <v>2.5</v>
      </c>
      <c r="N14270" s="223"/>
      <c r="O14270" s="223" t="s">
        <v>432</v>
      </c>
      <c r="P14270" s="223"/>
      <c r="Q14270" s="224"/>
    </row>
    <row r="14271" spans="1:17" ht="30.75">
      <c r="A14271" s="221">
        <v>641</v>
      </c>
      <c r="B14271" s="222">
        <v>46176</v>
      </c>
      <c r="C14271" s="223" t="s">
        <v>294</v>
      </c>
      <c r="D14271" s="223" t="s">
        <v>962</v>
      </c>
      <c r="E14271" s="223" t="s">
        <v>337</v>
      </c>
      <c r="F14271" s="223">
        <v>2026</v>
      </c>
      <c r="G14271" s="223">
        <v>1.5</v>
      </c>
      <c r="H14271" s="223" t="s">
        <v>201</v>
      </c>
      <c r="I14271" s="226" t="s">
        <v>202</v>
      </c>
      <c r="J14271" s="223"/>
      <c r="K14271" s="223" t="s">
        <v>101</v>
      </c>
      <c r="L14271" s="223" t="s">
        <v>986</v>
      </c>
      <c r="M14271" s="223">
        <v>1.5</v>
      </c>
      <c r="N14271" s="223"/>
      <c r="O14271" s="223" t="s">
        <v>769</v>
      </c>
      <c r="P14271" s="223"/>
      <c r="Q14271" s="224"/>
    </row>
    <row r="14272" spans="1:17">
      <c r="A14272" s="221">
        <v>642</v>
      </c>
      <c r="B14272" s="222">
        <v>46176</v>
      </c>
      <c r="C14272" s="223" t="s">
        <v>294</v>
      </c>
      <c r="D14272" s="223" t="s">
        <v>638</v>
      </c>
      <c r="E14272" s="223" t="s">
        <v>337</v>
      </c>
      <c r="F14272" s="223">
        <v>2026</v>
      </c>
      <c r="G14272" s="223">
        <v>2.5</v>
      </c>
      <c r="H14272" s="223" t="s">
        <v>132</v>
      </c>
      <c r="I14272" s="226" t="s">
        <v>183</v>
      </c>
      <c r="J14272" s="223" t="s">
        <v>623</v>
      </c>
      <c r="K14272" s="223" t="s">
        <v>101</v>
      </c>
      <c r="L14272" s="223" t="s">
        <v>802</v>
      </c>
      <c r="M14272" s="223">
        <v>2.5</v>
      </c>
      <c r="N14272" s="223"/>
      <c r="O14272" s="223" t="s">
        <v>164</v>
      </c>
      <c r="P14272" s="223"/>
      <c r="Q14272" s="224"/>
    </row>
    <row r="14273" spans="1:17">
      <c r="A14273" s="221">
        <v>643</v>
      </c>
      <c r="B14273" s="222">
        <v>46176</v>
      </c>
      <c r="C14273" s="223" t="s">
        <v>294</v>
      </c>
      <c r="D14273" s="223" t="s">
        <v>477</v>
      </c>
      <c r="E14273" s="223" t="s">
        <v>337</v>
      </c>
      <c r="F14273" s="223">
        <v>2026</v>
      </c>
      <c r="G14273" s="223">
        <v>3</v>
      </c>
      <c r="H14273" s="223" t="s">
        <v>461</v>
      </c>
      <c r="I14273" s="226" t="s">
        <v>136</v>
      </c>
      <c r="J14273" s="223" t="s">
        <v>462</v>
      </c>
      <c r="K14273" s="223" t="s">
        <v>101</v>
      </c>
      <c r="L14273" s="223" t="s">
        <v>773</v>
      </c>
      <c r="M14273" s="223">
        <v>3</v>
      </c>
      <c r="N14273" s="223"/>
      <c r="O14273" s="223" t="s">
        <v>140</v>
      </c>
      <c r="P14273" s="223"/>
      <c r="Q14273" s="224"/>
    </row>
    <row r="14274" spans="1:17">
      <c r="A14274" s="221">
        <v>644</v>
      </c>
      <c r="B14274" s="222">
        <v>46176</v>
      </c>
      <c r="C14274" s="223" t="s">
        <v>294</v>
      </c>
      <c r="D14274" s="223" t="s">
        <v>479</v>
      </c>
      <c r="E14274" s="223" t="s">
        <v>337</v>
      </c>
      <c r="F14274" s="223">
        <v>2026</v>
      </c>
      <c r="G14274" s="223">
        <v>3</v>
      </c>
      <c r="H14274" s="223" t="s">
        <v>461</v>
      </c>
      <c r="I14274" s="226" t="s">
        <v>136</v>
      </c>
      <c r="J14274" s="223" t="s">
        <v>462</v>
      </c>
      <c r="K14274" s="223" t="s">
        <v>10</v>
      </c>
      <c r="L14274" s="223" t="s">
        <v>773</v>
      </c>
      <c r="M14274" s="223">
        <v>3</v>
      </c>
      <c r="N14274" s="223"/>
      <c r="O14274" s="223" t="s">
        <v>140</v>
      </c>
      <c r="P14274" s="223"/>
      <c r="Q14274" s="224"/>
    </row>
    <row r="14275" spans="1:17">
      <c r="A14275" s="221">
        <v>645</v>
      </c>
      <c r="B14275" s="222">
        <v>46176</v>
      </c>
      <c r="C14275" s="223" t="s">
        <v>294</v>
      </c>
      <c r="D14275" s="223" t="s">
        <v>430</v>
      </c>
      <c r="E14275" s="223" t="s">
        <v>337</v>
      </c>
      <c r="F14275" s="223">
        <v>2026</v>
      </c>
      <c r="G14275" s="223">
        <v>2.5</v>
      </c>
      <c r="H14275" s="223" t="s">
        <v>99</v>
      </c>
      <c r="I14275" s="226" t="s">
        <v>100</v>
      </c>
      <c r="J14275" s="223" t="s">
        <v>373</v>
      </c>
      <c r="K14275" s="223" t="s">
        <v>106</v>
      </c>
      <c r="L14275" s="223" t="s">
        <v>758</v>
      </c>
      <c r="M14275" s="223">
        <v>2.5</v>
      </c>
      <c r="N14275" s="223"/>
      <c r="O14275" s="223" t="s">
        <v>432</v>
      </c>
      <c r="P14275" s="223"/>
      <c r="Q14275" s="224"/>
    </row>
    <row r="14276" spans="1:17" ht="30.75">
      <c r="A14276" s="221">
        <v>646</v>
      </c>
      <c r="B14276" s="222">
        <v>46177</v>
      </c>
      <c r="C14276" s="223" t="s">
        <v>298</v>
      </c>
      <c r="D14276" s="223" t="s">
        <v>972</v>
      </c>
      <c r="E14276" s="223" t="s">
        <v>337</v>
      </c>
      <c r="F14276" s="223">
        <v>2026</v>
      </c>
      <c r="G14276" s="223">
        <v>2</v>
      </c>
      <c r="H14276" s="223" t="s">
        <v>196</v>
      </c>
      <c r="I14276" s="226" t="s">
        <v>967</v>
      </c>
      <c r="J14276" s="223" t="s">
        <v>687</v>
      </c>
      <c r="K14276" s="223" t="s">
        <v>101</v>
      </c>
      <c r="L14276" s="223" t="s">
        <v>786</v>
      </c>
      <c r="M14276" s="223">
        <v>2</v>
      </c>
      <c r="N14276" s="223"/>
      <c r="O14276" s="223" t="s">
        <v>109</v>
      </c>
      <c r="P14276" s="223"/>
      <c r="Q14276" s="224"/>
    </row>
    <row r="14277" spans="1:17" ht="30.75">
      <c r="A14277" s="221"/>
      <c r="B14277" s="222">
        <v>46177</v>
      </c>
      <c r="C14277" s="223" t="s">
        <v>298</v>
      </c>
      <c r="D14277" s="223" t="s">
        <v>655</v>
      </c>
      <c r="E14277" s="223" t="s">
        <v>337</v>
      </c>
      <c r="F14277" s="223">
        <v>2026</v>
      </c>
      <c r="G14277" s="223">
        <v>1.5</v>
      </c>
      <c r="H14277" s="223" t="s">
        <v>115</v>
      </c>
      <c r="I14277" s="226" t="s">
        <v>437</v>
      </c>
      <c r="J14277" s="223" t="s">
        <v>438</v>
      </c>
      <c r="K14277" s="223" t="s">
        <v>101</v>
      </c>
      <c r="L14277" s="223" t="s">
        <v>788</v>
      </c>
      <c r="M14277" s="223">
        <v>1.5</v>
      </c>
      <c r="N14277" s="223"/>
      <c r="O14277" s="223"/>
      <c r="P14277" s="223"/>
      <c r="Q14277" s="224"/>
    </row>
    <row r="14278" spans="1:17">
      <c r="A14278" s="221">
        <v>647</v>
      </c>
      <c r="B14278" s="222">
        <v>46177</v>
      </c>
      <c r="C14278" s="223" t="s">
        <v>298</v>
      </c>
      <c r="D14278" s="223" t="s">
        <v>477</v>
      </c>
      <c r="E14278" s="223" t="s">
        <v>337</v>
      </c>
      <c r="F14278" s="223">
        <v>2026</v>
      </c>
      <c r="G14278" s="223">
        <v>3</v>
      </c>
      <c r="H14278" s="223" t="s">
        <v>461</v>
      </c>
      <c r="I14278" s="226" t="s">
        <v>142</v>
      </c>
      <c r="J14278" s="223" t="s">
        <v>462</v>
      </c>
      <c r="K14278" s="223" t="s">
        <v>101</v>
      </c>
      <c r="L14278" s="223" t="s">
        <v>776</v>
      </c>
      <c r="M14278" s="223">
        <v>3</v>
      </c>
      <c r="N14278" s="223"/>
      <c r="O14278" s="223" t="s">
        <v>179</v>
      </c>
      <c r="P14278" s="223"/>
      <c r="Q14278" s="224"/>
    </row>
    <row r="14279" spans="1:17">
      <c r="A14279" s="221">
        <v>648</v>
      </c>
      <c r="B14279" s="222">
        <v>46177</v>
      </c>
      <c r="C14279" s="223" t="s">
        <v>298</v>
      </c>
      <c r="D14279" s="223" t="s">
        <v>479</v>
      </c>
      <c r="E14279" s="223" t="s">
        <v>337</v>
      </c>
      <c r="F14279" s="223">
        <v>2026</v>
      </c>
      <c r="G14279" s="223">
        <v>3</v>
      </c>
      <c r="H14279" s="223" t="s">
        <v>461</v>
      </c>
      <c r="I14279" s="226" t="s">
        <v>142</v>
      </c>
      <c r="J14279" s="223" t="s">
        <v>462</v>
      </c>
      <c r="K14279" s="223" t="s">
        <v>10</v>
      </c>
      <c r="L14279" s="223" t="s">
        <v>776</v>
      </c>
      <c r="M14279" s="223">
        <v>3</v>
      </c>
      <c r="N14279" s="223"/>
      <c r="O14279" s="223" t="s">
        <v>102</v>
      </c>
      <c r="P14279" s="223"/>
      <c r="Q14279" s="224"/>
    </row>
    <row r="14280" spans="1:17">
      <c r="A14280" s="221">
        <v>649</v>
      </c>
      <c r="B14280" s="222">
        <v>46177</v>
      </c>
      <c r="C14280" s="223" t="s">
        <v>298</v>
      </c>
      <c r="D14280" s="223" t="s">
        <v>456</v>
      </c>
      <c r="E14280" s="223" t="s">
        <v>337</v>
      </c>
      <c r="F14280" s="223">
        <v>2026</v>
      </c>
      <c r="G14280" s="223">
        <v>2.5</v>
      </c>
      <c r="H14280" s="223" t="s">
        <v>99</v>
      </c>
      <c r="I14280" s="226" t="s">
        <v>100</v>
      </c>
      <c r="J14280" s="223" t="s">
        <v>373</v>
      </c>
      <c r="K14280" s="223" t="s">
        <v>101</v>
      </c>
      <c r="L14280" s="223" t="s">
        <v>778</v>
      </c>
      <c r="M14280" s="223">
        <v>2.5</v>
      </c>
      <c r="N14280" s="223"/>
      <c r="O14280" s="223" t="s">
        <v>102</v>
      </c>
      <c r="P14280" s="223"/>
      <c r="Q14280" s="224"/>
    </row>
    <row r="14281" spans="1:17">
      <c r="A14281" s="221">
        <v>650</v>
      </c>
      <c r="B14281" s="222">
        <v>46177</v>
      </c>
      <c r="C14281" s="223" t="s">
        <v>298</v>
      </c>
      <c r="D14281" s="223"/>
      <c r="E14281" s="223" t="s">
        <v>337</v>
      </c>
      <c r="F14281" s="223">
        <v>2026</v>
      </c>
      <c r="G14281" s="223"/>
      <c r="H14281" s="223" t="s">
        <v>99</v>
      </c>
      <c r="I14281" s="226" t="s">
        <v>100</v>
      </c>
      <c r="J14281" s="223" t="s">
        <v>373</v>
      </c>
      <c r="K14281" s="223" t="s">
        <v>10</v>
      </c>
      <c r="L14281" s="223" t="s">
        <v>427</v>
      </c>
      <c r="M14281" s="223">
        <v>2.5</v>
      </c>
      <c r="N14281" s="223"/>
      <c r="O14281" s="223" t="s">
        <v>29</v>
      </c>
      <c r="P14281" s="223"/>
      <c r="Q14281" s="224"/>
    </row>
    <row r="14282" spans="1:17">
      <c r="A14282" s="221">
        <v>651</v>
      </c>
      <c r="B14282" s="222">
        <v>46177</v>
      </c>
      <c r="C14282" s="223" t="s">
        <v>298</v>
      </c>
      <c r="D14282" s="223" t="s">
        <v>467</v>
      </c>
      <c r="E14282" s="223" t="s">
        <v>337</v>
      </c>
      <c r="F14282" s="223">
        <v>2026</v>
      </c>
      <c r="G14282" s="223"/>
      <c r="H14282" s="223" t="s">
        <v>99</v>
      </c>
      <c r="I14282" s="226" t="s">
        <v>100</v>
      </c>
      <c r="J14282" s="223" t="s">
        <v>373</v>
      </c>
      <c r="K14282" s="223" t="s">
        <v>104</v>
      </c>
      <c r="L14282" s="223" t="s">
        <v>755</v>
      </c>
      <c r="M14282" s="223"/>
      <c r="N14282" s="223"/>
      <c r="O14282" s="223" t="s">
        <v>70</v>
      </c>
      <c r="P14282" s="223"/>
      <c r="Q14282" s="224"/>
    </row>
    <row r="14283" spans="1:17" ht="30.75">
      <c r="A14283" s="221">
        <v>652</v>
      </c>
      <c r="B14283" s="222">
        <v>46178</v>
      </c>
      <c r="C14283" s="223" t="s">
        <v>301</v>
      </c>
      <c r="D14283" s="223" t="s">
        <v>962</v>
      </c>
      <c r="E14283" s="223" t="s">
        <v>337</v>
      </c>
      <c r="F14283" s="223">
        <v>2026</v>
      </c>
      <c r="G14283" s="223">
        <v>1.5</v>
      </c>
      <c r="H14283" s="223" t="s">
        <v>201</v>
      </c>
      <c r="I14283" s="226" t="s">
        <v>202</v>
      </c>
      <c r="J14283" s="223"/>
      <c r="K14283" s="223" t="s">
        <v>101</v>
      </c>
      <c r="L14283" s="223" t="s">
        <v>987</v>
      </c>
      <c r="M14283" s="223">
        <v>1.5</v>
      </c>
      <c r="N14283" s="223"/>
      <c r="O14283" s="223" t="s">
        <v>769</v>
      </c>
      <c r="P14283" s="223"/>
      <c r="Q14283" s="224"/>
    </row>
    <row r="14284" spans="1:17" ht="30.75">
      <c r="A14284" s="221"/>
      <c r="B14284" s="222">
        <v>46178</v>
      </c>
      <c r="C14284" s="223" t="s">
        <v>301</v>
      </c>
      <c r="D14284" s="223" t="s">
        <v>655</v>
      </c>
      <c r="E14284" s="223" t="s">
        <v>337</v>
      </c>
      <c r="F14284" s="223">
        <v>2026</v>
      </c>
      <c r="G14284" s="223">
        <v>1.5</v>
      </c>
      <c r="H14284" s="223" t="s">
        <v>115</v>
      </c>
      <c r="I14284" s="226" t="s">
        <v>437</v>
      </c>
      <c r="J14284" s="223" t="s">
        <v>438</v>
      </c>
      <c r="K14284" s="223" t="s">
        <v>101</v>
      </c>
      <c r="L14284" s="223" t="s">
        <v>796</v>
      </c>
      <c r="M14284" s="223">
        <v>1.5</v>
      </c>
      <c r="N14284" s="223"/>
      <c r="O14284" s="223"/>
      <c r="P14284" s="223"/>
      <c r="Q14284" s="224"/>
    </row>
    <row r="14285" spans="1:17">
      <c r="A14285" s="221">
        <v>653</v>
      </c>
      <c r="B14285" s="222">
        <v>46178</v>
      </c>
      <c r="C14285" s="223" t="s">
        <v>301</v>
      </c>
      <c r="D14285" s="223" t="s">
        <v>677</v>
      </c>
      <c r="E14285" s="223" t="s">
        <v>337</v>
      </c>
      <c r="F14285" s="223">
        <v>2026</v>
      </c>
      <c r="G14285" s="223">
        <v>4</v>
      </c>
      <c r="H14285" s="223" t="s">
        <v>99</v>
      </c>
      <c r="I14285" s="226" t="s">
        <v>108</v>
      </c>
      <c r="J14285" s="223" t="s">
        <v>366</v>
      </c>
      <c r="K14285" s="223" t="s">
        <v>10</v>
      </c>
      <c r="L14285" s="223" t="s">
        <v>765</v>
      </c>
      <c r="M14285" s="223">
        <v>4</v>
      </c>
      <c r="N14285" s="223"/>
      <c r="O14285" s="223" t="s">
        <v>63</v>
      </c>
      <c r="P14285" s="223"/>
      <c r="Q14285" s="224"/>
    </row>
    <row r="14286" spans="1:17">
      <c r="A14286" s="221">
        <v>654</v>
      </c>
      <c r="B14286" s="222">
        <v>46178</v>
      </c>
      <c r="C14286" s="223" t="s">
        <v>301</v>
      </c>
      <c r="D14286" s="223" t="s">
        <v>667</v>
      </c>
      <c r="E14286" s="223" t="s">
        <v>337</v>
      </c>
      <c r="F14286" s="223">
        <v>2026</v>
      </c>
      <c r="G14286" s="223">
        <v>4</v>
      </c>
      <c r="H14286" s="223" t="s">
        <v>99</v>
      </c>
      <c r="I14286" s="226" t="s">
        <v>108</v>
      </c>
      <c r="J14286" s="223" t="s">
        <v>366</v>
      </c>
      <c r="K14286" s="223" t="s">
        <v>104</v>
      </c>
      <c r="L14286" s="223" t="s">
        <v>765</v>
      </c>
      <c r="M14286" s="223">
        <v>4</v>
      </c>
      <c r="N14286" s="223"/>
      <c r="O14286" s="223" t="s">
        <v>91</v>
      </c>
      <c r="P14286" s="223"/>
      <c r="Q14286" s="224"/>
    </row>
    <row r="14287" spans="1:17" ht="30.75">
      <c r="A14287" s="221">
        <v>655</v>
      </c>
      <c r="B14287" s="222">
        <v>46181</v>
      </c>
      <c r="C14287" s="223" t="s">
        <v>302</v>
      </c>
      <c r="D14287" s="223" t="s">
        <v>962</v>
      </c>
      <c r="E14287" s="223" t="s">
        <v>337</v>
      </c>
      <c r="F14287" s="223">
        <v>2026</v>
      </c>
      <c r="G14287" s="223">
        <v>1.5</v>
      </c>
      <c r="H14287" s="223" t="s">
        <v>201</v>
      </c>
      <c r="I14287" s="226" t="s">
        <v>202</v>
      </c>
      <c r="J14287" s="223"/>
      <c r="K14287" s="223" t="s">
        <v>101</v>
      </c>
      <c r="L14287" s="223" t="s">
        <v>988</v>
      </c>
      <c r="M14287" s="223">
        <v>1.5</v>
      </c>
      <c r="N14287" s="223"/>
      <c r="O14287" s="223" t="s">
        <v>881</v>
      </c>
      <c r="P14287" s="223"/>
      <c r="Q14287" s="224"/>
    </row>
    <row r="14288" spans="1:17" ht="30.75">
      <c r="A14288" s="221">
        <v>656</v>
      </c>
      <c r="B14288" s="222">
        <v>46181</v>
      </c>
      <c r="C14288" s="223" t="s">
        <v>302</v>
      </c>
      <c r="D14288" s="223" t="s">
        <v>972</v>
      </c>
      <c r="E14288" s="223" t="s">
        <v>337</v>
      </c>
      <c r="F14288" s="223">
        <v>2026</v>
      </c>
      <c r="G14288" s="223">
        <v>2</v>
      </c>
      <c r="H14288" s="223" t="s">
        <v>196</v>
      </c>
      <c r="I14288" s="226" t="s">
        <v>967</v>
      </c>
      <c r="J14288" s="223" t="s">
        <v>687</v>
      </c>
      <c r="K14288" s="223" t="s">
        <v>101</v>
      </c>
      <c r="L14288" s="223" t="s">
        <v>793</v>
      </c>
      <c r="M14288" s="223">
        <v>2</v>
      </c>
      <c r="N14288" s="223"/>
      <c r="O14288" s="223" t="s">
        <v>109</v>
      </c>
      <c r="P14288" s="223"/>
      <c r="Q14288" s="224"/>
    </row>
    <row r="14289" spans="1:17">
      <c r="A14289" s="221">
        <v>657</v>
      </c>
      <c r="B14289" s="222">
        <v>46181</v>
      </c>
      <c r="C14289" s="223" t="s">
        <v>302</v>
      </c>
      <c r="D14289" s="223" t="s">
        <v>638</v>
      </c>
      <c r="E14289" s="223" t="s">
        <v>337</v>
      </c>
      <c r="F14289" s="223">
        <v>2026</v>
      </c>
      <c r="G14289" s="223">
        <v>2.5</v>
      </c>
      <c r="H14289" s="223" t="s">
        <v>132</v>
      </c>
      <c r="I14289" s="226" t="s">
        <v>183</v>
      </c>
      <c r="J14289" s="223" t="s">
        <v>623</v>
      </c>
      <c r="K14289" s="223" t="s">
        <v>101</v>
      </c>
      <c r="L14289" s="223" t="s">
        <v>802</v>
      </c>
      <c r="M14289" s="223">
        <v>2.5</v>
      </c>
      <c r="N14289" s="223"/>
      <c r="O14289" s="223" t="s">
        <v>164</v>
      </c>
      <c r="P14289" s="223"/>
      <c r="Q14289" s="224"/>
    </row>
    <row r="14290" spans="1:17">
      <c r="A14290" s="221">
        <v>658</v>
      </c>
      <c r="B14290" s="222">
        <v>46181</v>
      </c>
      <c r="C14290" s="223" t="s">
        <v>302</v>
      </c>
      <c r="D14290" s="223" t="s">
        <v>477</v>
      </c>
      <c r="E14290" s="223" t="s">
        <v>337</v>
      </c>
      <c r="F14290" s="223">
        <v>2026</v>
      </c>
      <c r="G14290" s="223">
        <v>3</v>
      </c>
      <c r="H14290" s="223" t="s">
        <v>461</v>
      </c>
      <c r="I14290" s="226" t="s">
        <v>136</v>
      </c>
      <c r="J14290" s="223" t="s">
        <v>462</v>
      </c>
      <c r="K14290" s="223" t="s">
        <v>101</v>
      </c>
      <c r="L14290" s="223" t="s">
        <v>784</v>
      </c>
      <c r="M14290" s="223">
        <v>3</v>
      </c>
      <c r="N14290" s="223"/>
      <c r="O14290" s="223" t="s">
        <v>140</v>
      </c>
      <c r="P14290" s="223"/>
      <c r="Q14290" s="224"/>
    </row>
    <row r="14291" spans="1:17">
      <c r="A14291" s="221">
        <v>659</v>
      </c>
      <c r="B14291" s="222">
        <v>46181</v>
      </c>
      <c r="C14291" s="223" t="s">
        <v>302</v>
      </c>
      <c r="D14291" s="223" t="s">
        <v>479</v>
      </c>
      <c r="E14291" s="223" t="s">
        <v>337</v>
      </c>
      <c r="F14291" s="223">
        <v>2026</v>
      </c>
      <c r="G14291" s="223">
        <v>3</v>
      </c>
      <c r="H14291" s="223" t="s">
        <v>461</v>
      </c>
      <c r="I14291" s="226" t="s">
        <v>136</v>
      </c>
      <c r="J14291" s="223" t="s">
        <v>462</v>
      </c>
      <c r="K14291" s="223" t="s">
        <v>10</v>
      </c>
      <c r="L14291" s="223" t="s">
        <v>784</v>
      </c>
      <c r="M14291" s="223">
        <v>3</v>
      </c>
      <c r="N14291" s="223"/>
      <c r="O14291" s="223" t="s">
        <v>140</v>
      </c>
      <c r="P14291" s="223"/>
      <c r="Q14291" s="224"/>
    </row>
    <row r="14292" spans="1:17" ht="30.75">
      <c r="A14292" s="221"/>
      <c r="B14292" s="222">
        <v>46182</v>
      </c>
      <c r="C14292" s="223" t="s">
        <v>289</v>
      </c>
      <c r="D14292" s="223" t="s">
        <v>524</v>
      </c>
      <c r="E14292" s="223" t="s">
        <v>337</v>
      </c>
      <c r="F14292" s="223">
        <v>2026</v>
      </c>
      <c r="G14292" s="223">
        <v>2.5</v>
      </c>
      <c r="H14292" s="223" t="s">
        <v>115</v>
      </c>
      <c r="I14292" s="226" t="s">
        <v>437</v>
      </c>
      <c r="J14292" s="223" t="s">
        <v>438</v>
      </c>
      <c r="K14292" s="223" t="s">
        <v>101</v>
      </c>
      <c r="L14292" s="223" t="s">
        <v>799</v>
      </c>
      <c r="M14292" s="223">
        <v>2.5</v>
      </c>
      <c r="N14292" s="223"/>
      <c r="O14292" s="223"/>
      <c r="P14292" s="223"/>
      <c r="Q14292" s="224"/>
    </row>
    <row r="14293" spans="1:17">
      <c r="A14293" s="221">
        <v>660</v>
      </c>
      <c r="B14293" s="222">
        <v>46182</v>
      </c>
      <c r="C14293" s="223" t="s">
        <v>289</v>
      </c>
      <c r="D14293" s="223" t="s">
        <v>477</v>
      </c>
      <c r="E14293" s="223" t="s">
        <v>337</v>
      </c>
      <c r="F14293" s="223">
        <v>2026</v>
      </c>
      <c r="G14293" s="223">
        <v>3</v>
      </c>
      <c r="H14293" s="223" t="s">
        <v>461</v>
      </c>
      <c r="I14293" s="226" t="s">
        <v>142</v>
      </c>
      <c r="J14293" s="223" t="s">
        <v>462</v>
      </c>
      <c r="K14293" s="223" t="s">
        <v>101</v>
      </c>
      <c r="L14293" s="223" t="s">
        <v>787</v>
      </c>
      <c r="M14293" s="223">
        <v>3</v>
      </c>
      <c r="N14293" s="223"/>
      <c r="O14293" s="223" t="s">
        <v>138</v>
      </c>
      <c r="P14293" s="223"/>
      <c r="Q14293" s="224"/>
    </row>
    <row r="14294" spans="1:17">
      <c r="A14294" s="221">
        <v>661</v>
      </c>
      <c r="B14294" s="222">
        <v>46182</v>
      </c>
      <c r="C14294" s="223" t="s">
        <v>289</v>
      </c>
      <c r="D14294" s="223" t="s">
        <v>479</v>
      </c>
      <c r="E14294" s="223" t="s">
        <v>337</v>
      </c>
      <c r="F14294" s="223">
        <v>2026</v>
      </c>
      <c r="G14294" s="223">
        <v>3</v>
      </c>
      <c r="H14294" s="223" t="s">
        <v>461</v>
      </c>
      <c r="I14294" s="226" t="s">
        <v>142</v>
      </c>
      <c r="J14294" s="223" t="s">
        <v>462</v>
      </c>
      <c r="K14294" s="223" t="s">
        <v>10</v>
      </c>
      <c r="L14294" s="223" t="s">
        <v>787</v>
      </c>
      <c r="M14294" s="223"/>
      <c r="N14294" s="223"/>
      <c r="O14294" s="223" t="s">
        <v>102</v>
      </c>
      <c r="P14294" s="223"/>
      <c r="Q14294" s="224"/>
    </row>
    <row r="14295" spans="1:17">
      <c r="A14295" s="221">
        <v>662</v>
      </c>
      <c r="B14295" s="222">
        <v>46182</v>
      </c>
      <c r="C14295" s="223" t="s">
        <v>289</v>
      </c>
      <c r="D14295" s="223" t="s">
        <v>456</v>
      </c>
      <c r="E14295" s="223" t="s">
        <v>337</v>
      </c>
      <c r="F14295" s="223">
        <v>2026</v>
      </c>
      <c r="G14295" s="223">
        <v>2.5</v>
      </c>
      <c r="H14295" s="223" t="s">
        <v>99</v>
      </c>
      <c r="I14295" s="226" t="s">
        <v>100</v>
      </c>
      <c r="J14295" s="223" t="s">
        <v>373</v>
      </c>
      <c r="K14295" s="223" t="s">
        <v>101</v>
      </c>
      <c r="L14295" s="223" t="s">
        <v>789</v>
      </c>
      <c r="M14295" s="223">
        <v>2.5</v>
      </c>
      <c r="N14295" s="223"/>
      <c r="O14295" s="223" t="s">
        <v>102</v>
      </c>
      <c r="P14295" s="223"/>
      <c r="Q14295" s="224"/>
    </row>
    <row r="14296" spans="1:17">
      <c r="A14296" s="221">
        <v>663</v>
      </c>
      <c r="B14296" s="222">
        <v>46182</v>
      </c>
      <c r="C14296" s="223" t="s">
        <v>289</v>
      </c>
      <c r="D14296" s="223" t="s">
        <v>532</v>
      </c>
      <c r="E14296" s="223" t="s">
        <v>337</v>
      </c>
      <c r="F14296" s="223">
        <v>2026</v>
      </c>
      <c r="G14296" s="223">
        <v>2.5</v>
      </c>
      <c r="H14296" s="223" t="s">
        <v>99</v>
      </c>
      <c r="I14296" s="226" t="s">
        <v>100</v>
      </c>
      <c r="J14296" s="223" t="s">
        <v>373</v>
      </c>
      <c r="K14296" s="223" t="s">
        <v>10</v>
      </c>
      <c r="L14296" s="223" t="s">
        <v>755</v>
      </c>
      <c r="M14296" s="223">
        <v>2.5</v>
      </c>
      <c r="N14296" s="223"/>
      <c r="O14296" s="223" t="s">
        <v>29</v>
      </c>
      <c r="P14296" s="223"/>
      <c r="Q14296" s="224"/>
    </row>
    <row r="14297" spans="1:17">
      <c r="A14297" s="221">
        <v>664</v>
      </c>
      <c r="B14297" s="222">
        <v>46182</v>
      </c>
      <c r="C14297" s="223" t="s">
        <v>289</v>
      </c>
      <c r="D14297" s="223" t="s">
        <v>467</v>
      </c>
      <c r="E14297" s="223" t="s">
        <v>337</v>
      </c>
      <c r="F14297" s="223">
        <v>2026</v>
      </c>
      <c r="G14297" s="223">
        <v>2.5</v>
      </c>
      <c r="H14297" s="223" t="s">
        <v>99</v>
      </c>
      <c r="I14297" s="226" t="s">
        <v>100</v>
      </c>
      <c r="J14297" s="223" t="s">
        <v>373</v>
      </c>
      <c r="K14297" s="223" t="s">
        <v>104</v>
      </c>
      <c r="L14297" s="223" t="s">
        <v>758</v>
      </c>
      <c r="M14297" s="223">
        <v>2.5</v>
      </c>
      <c r="N14297" s="223"/>
      <c r="O14297" s="223" t="s">
        <v>70</v>
      </c>
      <c r="P14297" s="223"/>
      <c r="Q14297" s="224"/>
    </row>
    <row r="14298" spans="1:17">
      <c r="A14298" s="221">
        <v>665</v>
      </c>
      <c r="B14298" s="222">
        <v>46182</v>
      </c>
      <c r="C14298" s="223" t="s">
        <v>289</v>
      </c>
      <c r="D14298" s="223" t="s">
        <v>430</v>
      </c>
      <c r="E14298" s="223" t="s">
        <v>337</v>
      </c>
      <c r="F14298" s="223">
        <v>2026</v>
      </c>
      <c r="G14298" s="223">
        <v>2.5</v>
      </c>
      <c r="H14298" s="223" t="s">
        <v>99</v>
      </c>
      <c r="I14298" s="226" t="s">
        <v>100</v>
      </c>
      <c r="J14298" s="223" t="s">
        <v>373</v>
      </c>
      <c r="K14298" s="223" t="s">
        <v>106</v>
      </c>
      <c r="L14298" s="223" t="s">
        <v>766</v>
      </c>
      <c r="M14298" s="223">
        <v>2.5</v>
      </c>
      <c r="N14298" s="223"/>
      <c r="O14298" s="223" t="s">
        <v>432</v>
      </c>
      <c r="P14298" s="223"/>
      <c r="Q14298" s="224"/>
    </row>
    <row r="14299" spans="1:17" ht="30.75">
      <c r="A14299" s="221">
        <v>666</v>
      </c>
      <c r="B14299" s="222">
        <v>46183</v>
      </c>
      <c r="C14299" s="223" t="s">
        <v>294</v>
      </c>
      <c r="D14299" s="223" t="s">
        <v>962</v>
      </c>
      <c r="E14299" s="223" t="s">
        <v>337</v>
      </c>
      <c r="F14299" s="223">
        <v>2026</v>
      </c>
      <c r="G14299" s="223">
        <v>1.5</v>
      </c>
      <c r="H14299" s="223" t="s">
        <v>201</v>
      </c>
      <c r="I14299" s="226" t="s">
        <v>202</v>
      </c>
      <c r="J14299" s="223"/>
      <c r="K14299" s="223" t="s">
        <v>101</v>
      </c>
      <c r="L14299" s="223" t="s">
        <v>989</v>
      </c>
      <c r="M14299" s="223">
        <v>1.5</v>
      </c>
      <c r="N14299" s="223"/>
      <c r="O14299" s="223" t="s">
        <v>881</v>
      </c>
      <c r="P14299" s="223"/>
      <c r="Q14299" s="224"/>
    </row>
    <row r="14300" spans="1:17" ht="30.75">
      <c r="A14300" s="221"/>
      <c r="B14300" s="222">
        <v>46183</v>
      </c>
      <c r="C14300" s="223" t="s">
        <v>294</v>
      </c>
      <c r="D14300" s="223" t="s">
        <v>972</v>
      </c>
      <c r="E14300" s="223" t="s">
        <v>337</v>
      </c>
      <c r="F14300" s="223">
        <v>2026</v>
      </c>
      <c r="G14300" s="223">
        <v>2</v>
      </c>
      <c r="H14300" s="223" t="s">
        <v>196</v>
      </c>
      <c r="I14300" s="226" t="s">
        <v>967</v>
      </c>
      <c r="J14300" s="223" t="s">
        <v>687</v>
      </c>
      <c r="K14300" s="223" t="s">
        <v>101</v>
      </c>
      <c r="L14300" s="223" t="s">
        <v>746</v>
      </c>
      <c r="M14300" s="223">
        <v>2</v>
      </c>
      <c r="N14300" s="223"/>
      <c r="O14300" s="223"/>
      <c r="P14300" s="223"/>
      <c r="Q14300" s="224"/>
    </row>
    <row r="14301" spans="1:17">
      <c r="A14301" s="221">
        <v>667</v>
      </c>
      <c r="B14301" s="222">
        <v>46183</v>
      </c>
      <c r="C14301" s="223" t="s">
        <v>294</v>
      </c>
      <c r="D14301" s="223" t="s">
        <v>638</v>
      </c>
      <c r="E14301" s="223" t="s">
        <v>337</v>
      </c>
      <c r="F14301" s="223">
        <v>2026</v>
      </c>
      <c r="G14301" s="223">
        <v>2.5</v>
      </c>
      <c r="H14301" s="223" t="s">
        <v>132</v>
      </c>
      <c r="I14301" s="226" t="s">
        <v>183</v>
      </c>
      <c r="J14301" s="223" t="s">
        <v>623</v>
      </c>
      <c r="K14301" s="223" t="s">
        <v>101</v>
      </c>
      <c r="L14301" s="223" t="s">
        <v>812</v>
      </c>
      <c r="M14301" s="223">
        <v>2.5</v>
      </c>
      <c r="N14301" s="223"/>
      <c r="O14301" s="223" t="s">
        <v>164</v>
      </c>
      <c r="P14301" s="223"/>
      <c r="Q14301" s="224"/>
    </row>
    <row r="14302" spans="1:17">
      <c r="A14302" s="221"/>
      <c r="B14302" s="222">
        <v>46183</v>
      </c>
      <c r="C14302" s="223" t="s">
        <v>294</v>
      </c>
      <c r="D14302" s="223" t="s">
        <v>477</v>
      </c>
      <c r="E14302" s="223" t="s">
        <v>337</v>
      </c>
      <c r="F14302" s="223">
        <v>2026</v>
      </c>
      <c r="G14302" s="223"/>
      <c r="H14302" s="223" t="s">
        <v>461</v>
      </c>
      <c r="I14302" s="226" t="s">
        <v>136</v>
      </c>
      <c r="J14302" s="223" t="s">
        <v>462</v>
      </c>
      <c r="K14302" s="223" t="s">
        <v>101</v>
      </c>
      <c r="L14302" s="223" t="s">
        <v>391</v>
      </c>
      <c r="M14302" s="223"/>
      <c r="N14302" s="223"/>
      <c r="O14302" s="223"/>
      <c r="P14302" s="223"/>
      <c r="Q14302" s="224"/>
    </row>
    <row r="14303" spans="1:17">
      <c r="A14303" s="221"/>
      <c r="B14303" s="222">
        <v>46183</v>
      </c>
      <c r="C14303" s="223" t="s">
        <v>294</v>
      </c>
      <c r="D14303" s="223" t="s">
        <v>479</v>
      </c>
      <c r="E14303" s="223" t="s">
        <v>337</v>
      </c>
      <c r="F14303" s="223">
        <v>2026</v>
      </c>
      <c r="G14303" s="223"/>
      <c r="H14303" s="223" t="s">
        <v>461</v>
      </c>
      <c r="I14303" s="226" t="s">
        <v>136</v>
      </c>
      <c r="J14303" s="223" t="s">
        <v>462</v>
      </c>
      <c r="K14303" s="223" t="s">
        <v>10</v>
      </c>
      <c r="L14303" s="223" t="s">
        <v>391</v>
      </c>
      <c r="M14303" s="223"/>
      <c r="N14303" s="223"/>
      <c r="O14303" s="223"/>
      <c r="P14303" s="223"/>
      <c r="Q14303" s="224"/>
    </row>
    <row r="14304" spans="1:17" ht="30.75">
      <c r="A14304" s="221"/>
      <c r="B14304" s="222">
        <v>46184</v>
      </c>
      <c r="C14304" s="223" t="s">
        <v>298</v>
      </c>
      <c r="D14304" s="223" t="s">
        <v>795</v>
      </c>
      <c r="E14304" s="223" t="s">
        <v>337</v>
      </c>
      <c r="F14304" s="223">
        <v>2026</v>
      </c>
      <c r="G14304" s="223">
        <v>2</v>
      </c>
      <c r="H14304" s="223" t="s">
        <v>115</v>
      </c>
      <c r="I14304" s="226" t="s">
        <v>437</v>
      </c>
      <c r="J14304" s="223" t="s">
        <v>438</v>
      </c>
      <c r="K14304" s="223" t="s">
        <v>101</v>
      </c>
      <c r="L14304" s="223" t="s">
        <v>990</v>
      </c>
      <c r="M14304" s="223">
        <v>2</v>
      </c>
      <c r="N14304" s="223"/>
      <c r="O14304" s="223"/>
      <c r="P14304" s="223"/>
      <c r="Q14304" s="224"/>
    </row>
    <row r="14305" spans="1:17">
      <c r="A14305" s="221">
        <v>668</v>
      </c>
      <c r="B14305" s="222">
        <v>46184</v>
      </c>
      <c r="C14305" s="223" t="s">
        <v>298</v>
      </c>
      <c r="D14305" s="223" t="s">
        <v>477</v>
      </c>
      <c r="E14305" s="223" t="s">
        <v>337</v>
      </c>
      <c r="F14305" s="223">
        <v>2026</v>
      </c>
      <c r="G14305" s="223">
        <v>3</v>
      </c>
      <c r="H14305" s="223" t="s">
        <v>461</v>
      </c>
      <c r="I14305" s="226" t="s">
        <v>142</v>
      </c>
      <c r="J14305" s="223" t="s">
        <v>462</v>
      </c>
      <c r="K14305" s="223" t="s">
        <v>101</v>
      </c>
      <c r="L14305" s="223" t="s">
        <v>794</v>
      </c>
      <c r="M14305" s="223">
        <v>3</v>
      </c>
      <c r="N14305" s="223"/>
      <c r="O14305" s="223" t="s">
        <v>138</v>
      </c>
      <c r="P14305" s="223"/>
      <c r="Q14305" s="224"/>
    </row>
    <row r="14306" spans="1:17">
      <c r="A14306" s="221">
        <v>669</v>
      </c>
      <c r="B14306" s="222">
        <v>46184</v>
      </c>
      <c r="C14306" s="223" t="s">
        <v>298</v>
      </c>
      <c r="D14306" s="223" t="s">
        <v>479</v>
      </c>
      <c r="E14306" s="223" t="s">
        <v>337</v>
      </c>
      <c r="F14306" s="223">
        <v>2026</v>
      </c>
      <c r="G14306" s="223">
        <v>3</v>
      </c>
      <c r="H14306" s="223" t="s">
        <v>461</v>
      </c>
      <c r="I14306" s="226" t="s">
        <v>142</v>
      </c>
      <c r="J14306" s="223" t="s">
        <v>462</v>
      </c>
      <c r="K14306" s="223" t="s">
        <v>10</v>
      </c>
      <c r="L14306" s="223" t="s">
        <v>794</v>
      </c>
      <c r="M14306" s="223">
        <v>3</v>
      </c>
      <c r="N14306" s="223"/>
      <c r="O14306" s="223" t="s">
        <v>102</v>
      </c>
      <c r="P14306" s="223" t="s">
        <v>82</v>
      </c>
      <c r="Q14306" s="224"/>
    </row>
    <row r="14307" spans="1:17">
      <c r="A14307" s="221">
        <v>670</v>
      </c>
      <c r="B14307" s="222">
        <v>46184</v>
      </c>
      <c r="C14307" s="223" t="s">
        <v>298</v>
      </c>
      <c r="D14307" s="223" t="s">
        <v>456</v>
      </c>
      <c r="E14307" s="223" t="s">
        <v>337</v>
      </c>
      <c r="F14307" s="223">
        <v>2026</v>
      </c>
      <c r="G14307" s="223">
        <v>2.5</v>
      </c>
      <c r="H14307" s="223" t="s">
        <v>99</v>
      </c>
      <c r="I14307" s="226" t="s">
        <v>100</v>
      </c>
      <c r="J14307" s="223" t="s">
        <v>373</v>
      </c>
      <c r="K14307" s="223" t="s">
        <v>101</v>
      </c>
      <c r="L14307" s="223" t="s">
        <v>797</v>
      </c>
      <c r="M14307" s="223">
        <v>2.5</v>
      </c>
      <c r="N14307" s="223"/>
      <c r="O14307" s="223" t="s">
        <v>102</v>
      </c>
      <c r="P14307" s="223"/>
      <c r="Q14307" s="224"/>
    </row>
    <row r="14308" spans="1:17">
      <c r="A14308" s="221">
        <v>671</v>
      </c>
      <c r="B14308" s="222">
        <v>46184</v>
      </c>
      <c r="C14308" s="223" t="s">
        <v>298</v>
      </c>
      <c r="D14308" s="223" t="s">
        <v>532</v>
      </c>
      <c r="E14308" s="223" t="s">
        <v>337</v>
      </c>
      <c r="F14308" s="223">
        <v>2026</v>
      </c>
      <c r="G14308" s="223">
        <v>2.5</v>
      </c>
      <c r="H14308" s="223" t="s">
        <v>99</v>
      </c>
      <c r="I14308" s="226" t="s">
        <v>100</v>
      </c>
      <c r="J14308" s="223" t="s">
        <v>373</v>
      </c>
      <c r="K14308" s="223" t="s">
        <v>10</v>
      </c>
      <c r="L14308" s="223" t="s">
        <v>758</v>
      </c>
      <c r="M14308" s="223">
        <v>2.5</v>
      </c>
      <c r="N14308" s="223"/>
      <c r="O14308" s="223" t="s">
        <v>29</v>
      </c>
      <c r="P14308" s="223"/>
      <c r="Q14308" s="224"/>
    </row>
    <row r="14309" spans="1:17">
      <c r="A14309" s="221">
        <v>672</v>
      </c>
      <c r="B14309" s="222">
        <v>46184</v>
      </c>
      <c r="C14309" s="223" t="s">
        <v>298</v>
      </c>
      <c r="D14309" s="223" t="s">
        <v>467</v>
      </c>
      <c r="E14309" s="223" t="s">
        <v>337</v>
      </c>
      <c r="F14309" s="223">
        <v>2026</v>
      </c>
      <c r="G14309" s="223">
        <v>2.5</v>
      </c>
      <c r="H14309" s="223" t="s">
        <v>99</v>
      </c>
      <c r="I14309" s="226" t="s">
        <v>100</v>
      </c>
      <c r="J14309" s="223" t="s">
        <v>373</v>
      </c>
      <c r="K14309" s="223" t="s">
        <v>104</v>
      </c>
      <c r="L14309" s="223" t="s">
        <v>766</v>
      </c>
      <c r="M14309" s="223">
        <v>2.5</v>
      </c>
      <c r="N14309" s="223"/>
      <c r="O14309" s="223" t="s">
        <v>70</v>
      </c>
      <c r="P14309" s="223"/>
      <c r="Q14309" s="224"/>
    </row>
    <row r="14310" spans="1:17">
      <c r="A14310" s="221">
        <v>673</v>
      </c>
      <c r="B14310" s="222">
        <v>46184</v>
      </c>
      <c r="C14310" s="223" t="s">
        <v>298</v>
      </c>
      <c r="D14310" s="223" t="s">
        <v>430</v>
      </c>
      <c r="E14310" s="223" t="s">
        <v>337</v>
      </c>
      <c r="F14310" s="223">
        <v>2026</v>
      </c>
      <c r="G14310" s="223">
        <v>2.5</v>
      </c>
      <c r="H14310" s="223" t="s">
        <v>99</v>
      </c>
      <c r="I14310" s="226" t="s">
        <v>100</v>
      </c>
      <c r="J14310" s="223" t="s">
        <v>373</v>
      </c>
      <c r="K14310" s="223" t="s">
        <v>106</v>
      </c>
      <c r="L14310" s="223" t="s">
        <v>778</v>
      </c>
      <c r="M14310" s="223">
        <v>2.5</v>
      </c>
      <c r="N14310" s="223"/>
      <c r="O14310" s="223" t="s">
        <v>432</v>
      </c>
      <c r="P14310" s="223"/>
      <c r="Q14310" s="224"/>
    </row>
    <row r="14311" spans="1:17" ht="30.75">
      <c r="A14311" s="221">
        <v>674</v>
      </c>
      <c r="B14311" s="222">
        <v>46185</v>
      </c>
      <c r="C14311" s="223" t="s">
        <v>301</v>
      </c>
      <c r="D14311" s="223" t="s">
        <v>962</v>
      </c>
      <c r="E14311" s="223" t="s">
        <v>337</v>
      </c>
      <c r="F14311" s="223">
        <v>2026</v>
      </c>
      <c r="G14311" s="223">
        <v>1.5</v>
      </c>
      <c r="H14311" s="223" t="s">
        <v>201</v>
      </c>
      <c r="I14311" s="226" t="s">
        <v>202</v>
      </c>
      <c r="J14311" s="223"/>
      <c r="K14311" s="223" t="s">
        <v>101</v>
      </c>
      <c r="L14311" s="223" t="s">
        <v>991</v>
      </c>
      <c r="M14311" s="223">
        <v>1.5</v>
      </c>
      <c r="N14311" s="223"/>
      <c r="O14311" s="223" t="s">
        <v>881</v>
      </c>
      <c r="P14311" s="223"/>
      <c r="Q14311" s="224"/>
    </row>
    <row r="14312" spans="1:17" ht="30.75">
      <c r="A14312" s="221"/>
      <c r="B14312" s="222">
        <v>46185</v>
      </c>
      <c r="C14312" s="223" t="s">
        <v>301</v>
      </c>
      <c r="D14312" s="223" t="s">
        <v>655</v>
      </c>
      <c r="E14312" s="223" t="s">
        <v>337</v>
      </c>
      <c r="F14312" s="223">
        <v>2026</v>
      </c>
      <c r="G14312" s="223">
        <v>1.5</v>
      </c>
      <c r="H14312" s="223" t="s">
        <v>115</v>
      </c>
      <c r="I14312" s="226" t="s">
        <v>437</v>
      </c>
      <c r="J14312" s="223" t="s">
        <v>438</v>
      </c>
      <c r="K14312" s="223" t="s">
        <v>101</v>
      </c>
      <c r="L14312" s="223" t="s">
        <v>815</v>
      </c>
      <c r="M14312" s="223">
        <v>1.5</v>
      </c>
      <c r="N14312" s="223"/>
      <c r="O14312" s="223"/>
      <c r="P14312" s="223"/>
      <c r="Q14312" s="224"/>
    </row>
    <row r="14313" spans="1:17" ht="30.75">
      <c r="A14313" s="221">
        <v>675</v>
      </c>
      <c r="B14313" s="222">
        <v>46188</v>
      </c>
      <c r="C14313" s="223" t="s">
        <v>302</v>
      </c>
      <c r="D14313" s="223" t="s">
        <v>962</v>
      </c>
      <c r="E14313" s="223" t="s">
        <v>337</v>
      </c>
      <c r="F14313" s="223">
        <v>2026</v>
      </c>
      <c r="G14313" s="223">
        <v>1.5</v>
      </c>
      <c r="H14313" s="223" t="s">
        <v>201</v>
      </c>
      <c r="I14313" s="226" t="s">
        <v>202</v>
      </c>
      <c r="J14313" s="223"/>
      <c r="K14313" s="223" t="s">
        <v>101</v>
      </c>
      <c r="L14313" s="223" t="s">
        <v>992</v>
      </c>
      <c r="M14313" s="223">
        <v>1.5</v>
      </c>
      <c r="N14313" s="223"/>
      <c r="O14313" s="223" t="s">
        <v>881</v>
      </c>
      <c r="P14313" s="223"/>
      <c r="Q14313" s="224"/>
    </row>
    <row r="14314" spans="1:17" ht="30.75">
      <c r="A14314" s="221">
        <v>676</v>
      </c>
      <c r="B14314" s="222">
        <v>46188</v>
      </c>
      <c r="C14314" s="223" t="s">
        <v>302</v>
      </c>
      <c r="D14314" s="223" t="s">
        <v>972</v>
      </c>
      <c r="E14314" s="223" t="s">
        <v>337</v>
      </c>
      <c r="F14314" s="223">
        <v>2026</v>
      </c>
      <c r="G14314" s="223">
        <v>2</v>
      </c>
      <c r="H14314" s="223" t="s">
        <v>196</v>
      </c>
      <c r="I14314" s="226" t="s">
        <v>967</v>
      </c>
      <c r="J14314" s="223" t="s">
        <v>687</v>
      </c>
      <c r="K14314" s="223" t="s">
        <v>101</v>
      </c>
      <c r="L14314" s="223" t="s">
        <v>801</v>
      </c>
      <c r="M14314" s="223">
        <v>2</v>
      </c>
      <c r="N14314" s="223"/>
      <c r="O14314" s="223" t="s">
        <v>91</v>
      </c>
      <c r="P14314" s="223"/>
      <c r="Q14314" s="224"/>
    </row>
    <row r="14315" spans="1:17">
      <c r="A14315" s="221">
        <v>677</v>
      </c>
      <c r="B14315" s="222">
        <v>46188</v>
      </c>
      <c r="C14315" s="223" t="s">
        <v>302</v>
      </c>
      <c r="D14315" s="223" t="s">
        <v>638</v>
      </c>
      <c r="E14315" s="223" t="s">
        <v>337</v>
      </c>
      <c r="F14315" s="223">
        <v>2026</v>
      </c>
      <c r="G14315" s="223">
        <v>2.5</v>
      </c>
      <c r="H14315" s="223" t="s">
        <v>132</v>
      </c>
      <c r="I14315" s="226" t="s">
        <v>183</v>
      </c>
      <c r="J14315" s="223" t="s">
        <v>623</v>
      </c>
      <c r="K14315" s="223" t="s">
        <v>101</v>
      </c>
      <c r="L14315" s="223" t="s">
        <v>823</v>
      </c>
      <c r="M14315" s="223">
        <v>2.5</v>
      </c>
      <c r="N14315" s="223"/>
      <c r="O14315" s="223" t="s">
        <v>164</v>
      </c>
      <c r="P14315" s="223"/>
      <c r="Q14315" s="224"/>
    </row>
    <row r="14316" spans="1:17">
      <c r="A14316" s="221"/>
      <c r="B14316" s="222">
        <v>46188</v>
      </c>
      <c r="C14316" s="223" t="s">
        <v>302</v>
      </c>
      <c r="D14316" s="223"/>
      <c r="E14316" s="223" t="s">
        <v>337</v>
      </c>
      <c r="F14316" s="223">
        <v>2026</v>
      </c>
      <c r="G14316" s="223">
        <v>3</v>
      </c>
      <c r="H14316" s="223" t="s">
        <v>461</v>
      </c>
      <c r="I14316" s="226" t="s">
        <v>136</v>
      </c>
      <c r="J14316" s="223" t="s">
        <v>462</v>
      </c>
      <c r="K14316" s="223" t="s">
        <v>101</v>
      </c>
      <c r="L14316" s="223" t="s">
        <v>803</v>
      </c>
      <c r="M14316" s="223">
        <v>3</v>
      </c>
      <c r="N14316" s="223"/>
      <c r="O14316" s="223"/>
      <c r="P14316" s="223"/>
      <c r="Q14316" s="224"/>
    </row>
    <row r="14317" spans="1:17">
      <c r="A14317" s="221"/>
      <c r="B14317" s="222">
        <v>46188</v>
      </c>
      <c r="C14317" s="223" t="s">
        <v>302</v>
      </c>
      <c r="D14317" s="223"/>
      <c r="E14317" s="223" t="s">
        <v>337</v>
      </c>
      <c r="F14317" s="223">
        <v>2026</v>
      </c>
      <c r="G14317" s="223"/>
      <c r="H14317" s="223" t="s">
        <v>461</v>
      </c>
      <c r="I14317" s="226" t="s">
        <v>136</v>
      </c>
      <c r="J14317" s="223" t="s">
        <v>462</v>
      </c>
      <c r="K14317" s="223" t="s">
        <v>10</v>
      </c>
      <c r="L14317" s="223" t="s">
        <v>803</v>
      </c>
      <c r="M14317" s="223">
        <v>3</v>
      </c>
      <c r="N14317" s="223"/>
      <c r="O14317" s="223"/>
      <c r="P14317" s="223"/>
      <c r="Q14317" s="224"/>
    </row>
    <row r="14318" spans="1:17" ht="30.75">
      <c r="A14318" s="221">
        <v>678</v>
      </c>
      <c r="B14318" s="222">
        <v>46189</v>
      </c>
      <c r="C14318" s="223" t="s">
        <v>289</v>
      </c>
      <c r="D14318" s="223" t="s">
        <v>972</v>
      </c>
      <c r="E14318" s="223" t="s">
        <v>337</v>
      </c>
      <c r="F14318" s="223">
        <v>2026</v>
      </c>
      <c r="G14318" s="223">
        <v>2</v>
      </c>
      <c r="H14318" s="223" t="s">
        <v>196</v>
      </c>
      <c r="I14318" s="226" t="s">
        <v>967</v>
      </c>
      <c r="J14318" s="223" t="s">
        <v>687</v>
      </c>
      <c r="K14318" s="223" t="s">
        <v>101</v>
      </c>
      <c r="L14318" s="223" t="s">
        <v>805</v>
      </c>
      <c r="M14318" s="223">
        <v>2</v>
      </c>
      <c r="N14318" s="223"/>
      <c r="O14318" s="223" t="s">
        <v>91</v>
      </c>
      <c r="P14318" s="223"/>
      <c r="Q14318" s="224"/>
    </row>
    <row r="14319" spans="1:17" ht="30.75">
      <c r="A14319" s="221"/>
      <c r="B14319" s="222">
        <v>46189</v>
      </c>
      <c r="C14319" s="223" t="s">
        <v>289</v>
      </c>
      <c r="D14319" s="223" t="s">
        <v>655</v>
      </c>
      <c r="E14319" s="223" t="s">
        <v>337</v>
      </c>
      <c r="F14319" s="223">
        <v>2026</v>
      </c>
      <c r="G14319" s="223">
        <v>1.5</v>
      </c>
      <c r="H14319" s="223" t="s">
        <v>115</v>
      </c>
      <c r="I14319" s="226" t="s">
        <v>437</v>
      </c>
      <c r="J14319" s="223" t="s">
        <v>438</v>
      </c>
      <c r="K14319" s="223" t="s">
        <v>101</v>
      </c>
      <c r="L14319" s="223" t="s">
        <v>815</v>
      </c>
      <c r="M14319" s="223">
        <v>1.5</v>
      </c>
      <c r="N14319" s="223"/>
      <c r="O14319" s="223"/>
      <c r="P14319" s="223"/>
      <c r="Q14319" s="224"/>
    </row>
    <row r="14320" spans="1:17">
      <c r="A14320" s="221">
        <v>679</v>
      </c>
      <c r="B14320" s="222">
        <v>46189</v>
      </c>
      <c r="C14320" s="223" t="s">
        <v>289</v>
      </c>
      <c r="D14320" s="223" t="s">
        <v>477</v>
      </c>
      <c r="E14320" s="223" t="s">
        <v>337</v>
      </c>
      <c r="F14320" s="223">
        <v>2026</v>
      </c>
      <c r="G14320" s="223">
        <v>3</v>
      </c>
      <c r="H14320" s="223" t="s">
        <v>461</v>
      </c>
      <c r="I14320" s="226" t="s">
        <v>142</v>
      </c>
      <c r="J14320" s="223" t="s">
        <v>462</v>
      </c>
      <c r="K14320" s="223" t="s">
        <v>101</v>
      </c>
      <c r="L14320" s="223" t="s">
        <v>806</v>
      </c>
      <c r="M14320" s="223">
        <v>3</v>
      </c>
      <c r="N14320" s="223"/>
      <c r="O14320" s="223" t="s">
        <v>179</v>
      </c>
      <c r="P14320" s="223"/>
      <c r="Q14320" s="224"/>
    </row>
    <row r="14321" spans="1:17">
      <c r="A14321" s="221">
        <v>680</v>
      </c>
      <c r="B14321" s="222">
        <v>46189</v>
      </c>
      <c r="C14321" s="223" t="s">
        <v>289</v>
      </c>
      <c r="D14321" s="223" t="s">
        <v>479</v>
      </c>
      <c r="E14321" s="223" t="s">
        <v>337</v>
      </c>
      <c r="F14321" s="223">
        <v>2026</v>
      </c>
      <c r="G14321" s="223">
        <v>3</v>
      </c>
      <c r="H14321" s="223" t="s">
        <v>461</v>
      </c>
      <c r="I14321" s="226" t="s">
        <v>142</v>
      </c>
      <c r="J14321" s="223" t="s">
        <v>462</v>
      </c>
      <c r="K14321" s="223" t="s">
        <v>10</v>
      </c>
      <c r="L14321" s="223" t="s">
        <v>806</v>
      </c>
      <c r="M14321" s="223"/>
      <c r="N14321" s="223"/>
      <c r="O14321" s="223" t="s">
        <v>102</v>
      </c>
      <c r="P14321" s="223" t="s">
        <v>138</v>
      </c>
      <c r="Q14321" s="224"/>
    </row>
    <row r="14322" spans="1:17">
      <c r="A14322" s="221">
        <v>681</v>
      </c>
      <c r="B14322" s="222">
        <v>46189</v>
      </c>
      <c r="C14322" s="223" t="s">
        <v>289</v>
      </c>
      <c r="D14322" s="223" t="s">
        <v>456</v>
      </c>
      <c r="E14322" s="223" t="s">
        <v>337</v>
      </c>
      <c r="F14322" s="223">
        <v>2026</v>
      </c>
      <c r="G14322" s="223">
        <v>2.5</v>
      </c>
      <c r="H14322" s="223" t="s">
        <v>99</v>
      </c>
      <c r="I14322" s="226" t="s">
        <v>100</v>
      </c>
      <c r="J14322" s="223" t="s">
        <v>373</v>
      </c>
      <c r="K14322" s="223" t="s">
        <v>101</v>
      </c>
      <c r="L14322" s="223" t="s">
        <v>808</v>
      </c>
      <c r="M14322" s="223">
        <v>2.5</v>
      </c>
      <c r="N14322" s="223"/>
      <c r="O14322" s="223" t="s">
        <v>102</v>
      </c>
      <c r="P14322" s="223"/>
      <c r="Q14322" s="224"/>
    </row>
    <row r="14323" spans="1:17">
      <c r="A14323" s="221">
        <v>682</v>
      </c>
      <c r="B14323" s="222">
        <v>46189</v>
      </c>
      <c r="C14323" s="223" t="s">
        <v>289</v>
      </c>
      <c r="D14323" s="223" t="s">
        <v>532</v>
      </c>
      <c r="E14323" s="223" t="s">
        <v>337</v>
      </c>
      <c r="F14323" s="223">
        <v>2026</v>
      </c>
      <c r="G14323" s="223">
        <v>2.5</v>
      </c>
      <c r="H14323" s="223" t="s">
        <v>99</v>
      </c>
      <c r="I14323" s="226" t="s">
        <v>100</v>
      </c>
      <c r="J14323" s="223" t="s">
        <v>373</v>
      </c>
      <c r="K14323" s="223" t="s">
        <v>10</v>
      </c>
      <c r="L14323" s="223" t="s">
        <v>766</v>
      </c>
      <c r="M14323" s="223">
        <v>2.5</v>
      </c>
      <c r="N14323" s="223"/>
      <c r="O14323" s="223" t="s">
        <v>29</v>
      </c>
      <c r="P14323" s="223"/>
      <c r="Q14323" s="224"/>
    </row>
    <row r="14324" spans="1:17">
      <c r="A14324" s="221">
        <v>683</v>
      </c>
      <c r="B14324" s="222">
        <v>46189</v>
      </c>
      <c r="C14324" s="223" t="s">
        <v>289</v>
      </c>
      <c r="D14324" s="223" t="s">
        <v>467</v>
      </c>
      <c r="E14324" s="223" t="s">
        <v>337</v>
      </c>
      <c r="F14324" s="223">
        <v>2026</v>
      </c>
      <c r="G14324" s="223">
        <v>2.5</v>
      </c>
      <c r="H14324" s="223" t="s">
        <v>99</v>
      </c>
      <c r="I14324" s="226" t="s">
        <v>100</v>
      </c>
      <c r="J14324" s="223" t="s">
        <v>373</v>
      </c>
      <c r="K14324" s="223" t="s">
        <v>104</v>
      </c>
      <c r="L14324" s="223" t="s">
        <v>778</v>
      </c>
      <c r="M14324" s="223">
        <v>2.5</v>
      </c>
      <c r="N14324" s="223"/>
      <c r="O14324" s="223" t="s">
        <v>432</v>
      </c>
      <c r="P14324" s="223"/>
      <c r="Q14324" s="224"/>
    </row>
    <row r="14325" spans="1:17">
      <c r="A14325" s="221">
        <v>684</v>
      </c>
      <c r="B14325" s="222">
        <v>46189</v>
      </c>
      <c r="C14325" s="223" t="s">
        <v>289</v>
      </c>
      <c r="D14325" s="223" t="s">
        <v>430</v>
      </c>
      <c r="E14325" s="223" t="s">
        <v>337</v>
      </c>
      <c r="F14325" s="223">
        <v>2026</v>
      </c>
      <c r="G14325" s="223">
        <v>2.5</v>
      </c>
      <c r="H14325" s="223" t="s">
        <v>99</v>
      </c>
      <c r="I14325" s="226" t="s">
        <v>100</v>
      </c>
      <c r="J14325" s="223" t="s">
        <v>373</v>
      </c>
      <c r="K14325" s="223" t="s">
        <v>106</v>
      </c>
      <c r="L14325" s="223" t="s">
        <v>789</v>
      </c>
      <c r="M14325" s="223">
        <v>2.5</v>
      </c>
      <c r="N14325" s="223"/>
      <c r="O14325" s="223" t="s">
        <v>432</v>
      </c>
      <c r="P14325" s="223"/>
      <c r="Q14325" s="224"/>
    </row>
    <row r="14326" spans="1:17" ht="30.75">
      <c r="A14326" s="221">
        <v>685</v>
      </c>
      <c r="B14326" s="222">
        <v>46190</v>
      </c>
      <c r="C14326" s="223" t="s">
        <v>294</v>
      </c>
      <c r="D14326" s="223" t="s">
        <v>962</v>
      </c>
      <c r="E14326" s="223" t="s">
        <v>337</v>
      </c>
      <c r="F14326" s="223">
        <v>2026</v>
      </c>
      <c r="G14326" s="223">
        <v>1.5</v>
      </c>
      <c r="H14326" s="223" t="s">
        <v>201</v>
      </c>
      <c r="I14326" s="226" t="s">
        <v>202</v>
      </c>
      <c r="J14326" s="223"/>
      <c r="K14326" s="223" t="s">
        <v>101</v>
      </c>
      <c r="L14326" s="223" t="s">
        <v>993</v>
      </c>
      <c r="M14326" s="223">
        <v>1.5</v>
      </c>
      <c r="N14326" s="223"/>
      <c r="O14326" s="223" t="s">
        <v>881</v>
      </c>
      <c r="P14326" s="223"/>
      <c r="Q14326" s="224"/>
    </row>
    <row r="14327" spans="1:17">
      <c r="A14327" s="221">
        <v>686</v>
      </c>
      <c r="B14327" s="222">
        <v>46190</v>
      </c>
      <c r="C14327" s="223" t="s">
        <v>294</v>
      </c>
      <c r="D14327" s="223" t="s">
        <v>638</v>
      </c>
      <c r="E14327" s="223" t="s">
        <v>337</v>
      </c>
      <c r="F14327" s="223">
        <v>2026</v>
      </c>
      <c r="G14327" s="223">
        <v>2.5</v>
      </c>
      <c r="H14327" s="223" t="s">
        <v>132</v>
      </c>
      <c r="I14327" s="226" t="s">
        <v>183</v>
      </c>
      <c r="J14327" s="223" t="s">
        <v>623</v>
      </c>
      <c r="K14327" s="223" t="s">
        <v>101</v>
      </c>
      <c r="L14327" s="223" t="s">
        <v>823</v>
      </c>
      <c r="M14327" s="223">
        <v>2.5</v>
      </c>
      <c r="N14327" s="223"/>
      <c r="O14327" s="223" t="s">
        <v>164</v>
      </c>
      <c r="P14327" s="223"/>
      <c r="Q14327" s="224"/>
    </row>
    <row r="14328" spans="1:17" ht="30.75">
      <c r="A14328" s="221">
        <v>687</v>
      </c>
      <c r="B14328" s="222">
        <v>46191</v>
      </c>
      <c r="C14328" s="223" t="s">
        <v>298</v>
      </c>
      <c r="D14328" s="223" t="s">
        <v>972</v>
      </c>
      <c r="E14328" s="223" t="s">
        <v>337</v>
      </c>
      <c r="F14328" s="223">
        <v>2026</v>
      </c>
      <c r="G14328" s="223">
        <v>2</v>
      </c>
      <c r="H14328" s="223" t="s">
        <v>196</v>
      </c>
      <c r="I14328" s="226" t="s">
        <v>967</v>
      </c>
      <c r="J14328" s="223" t="s">
        <v>687</v>
      </c>
      <c r="K14328" s="223" t="s">
        <v>101</v>
      </c>
      <c r="L14328" s="223" t="s">
        <v>814</v>
      </c>
      <c r="M14328" s="223">
        <v>2</v>
      </c>
      <c r="N14328" s="223"/>
      <c r="O14328" s="223" t="s">
        <v>91</v>
      </c>
      <c r="P14328" s="223"/>
      <c r="Q14328" s="224"/>
    </row>
    <row r="14329" spans="1:17" ht="30.75">
      <c r="A14329" s="221"/>
      <c r="B14329" s="222">
        <v>46191</v>
      </c>
      <c r="C14329" s="223" t="s">
        <v>298</v>
      </c>
      <c r="D14329" s="223" t="s">
        <v>655</v>
      </c>
      <c r="E14329" s="223" t="s">
        <v>337</v>
      </c>
      <c r="F14329" s="223">
        <v>2026</v>
      </c>
      <c r="G14329" s="223">
        <v>1.5</v>
      </c>
      <c r="H14329" s="223" t="s">
        <v>115</v>
      </c>
      <c r="I14329" s="226" t="s">
        <v>437</v>
      </c>
      <c r="J14329" s="223" t="s">
        <v>438</v>
      </c>
      <c r="K14329" s="223" t="s">
        <v>101</v>
      </c>
      <c r="L14329" s="223" t="s">
        <v>832</v>
      </c>
      <c r="M14329" s="223">
        <v>1.5</v>
      </c>
      <c r="N14329" s="223"/>
      <c r="O14329" s="223"/>
      <c r="P14329" s="223"/>
      <c r="Q14329" s="224"/>
    </row>
    <row r="14330" spans="1:17">
      <c r="A14330" s="221"/>
      <c r="B14330" s="222">
        <v>46191</v>
      </c>
      <c r="C14330" s="223" t="s">
        <v>298</v>
      </c>
      <c r="D14330" s="223" t="s">
        <v>477</v>
      </c>
      <c r="E14330" s="223" t="s">
        <v>337</v>
      </c>
      <c r="F14330" s="223">
        <v>2026</v>
      </c>
      <c r="G14330" s="223"/>
      <c r="H14330" s="223" t="s">
        <v>461</v>
      </c>
      <c r="I14330" s="226" t="s">
        <v>142</v>
      </c>
      <c r="J14330" s="223" t="s">
        <v>462</v>
      </c>
      <c r="K14330" s="223" t="s">
        <v>101</v>
      </c>
      <c r="L14330" s="223" t="s">
        <v>391</v>
      </c>
      <c r="M14330" s="223"/>
      <c r="N14330" s="223"/>
      <c r="O14330" s="223"/>
      <c r="P14330" s="223"/>
      <c r="Q14330" s="224"/>
    </row>
    <row r="14331" spans="1:17">
      <c r="A14331" s="221"/>
      <c r="B14331" s="222">
        <v>46191</v>
      </c>
      <c r="C14331" s="223" t="s">
        <v>298</v>
      </c>
      <c r="D14331" s="223" t="s">
        <v>479</v>
      </c>
      <c r="E14331" s="223" t="s">
        <v>337</v>
      </c>
      <c r="F14331" s="223">
        <v>2026</v>
      </c>
      <c r="G14331" s="223">
        <v>3</v>
      </c>
      <c r="H14331" s="223" t="s">
        <v>461</v>
      </c>
      <c r="I14331" s="226" t="s">
        <v>142</v>
      </c>
      <c r="J14331" s="223" t="s">
        <v>462</v>
      </c>
      <c r="K14331" s="223" t="s">
        <v>10</v>
      </c>
      <c r="L14331" s="223" t="s">
        <v>391</v>
      </c>
      <c r="M14331" s="223"/>
      <c r="N14331" s="223"/>
      <c r="O14331" s="223"/>
      <c r="P14331" s="223"/>
      <c r="Q14331" s="224"/>
    </row>
    <row r="14332" spans="1:17">
      <c r="A14332" s="221">
        <v>688</v>
      </c>
      <c r="B14332" s="222">
        <v>46191</v>
      </c>
      <c r="C14332" s="223" t="s">
        <v>298</v>
      </c>
      <c r="D14332" s="223" t="s">
        <v>456</v>
      </c>
      <c r="E14332" s="223" t="s">
        <v>337</v>
      </c>
      <c r="F14332" s="223">
        <v>2026</v>
      </c>
      <c r="G14332" s="223">
        <v>2.5</v>
      </c>
      <c r="H14332" s="223" t="s">
        <v>99</v>
      </c>
      <c r="I14332" s="226" t="s">
        <v>100</v>
      </c>
      <c r="J14332" s="223" t="s">
        <v>373</v>
      </c>
      <c r="K14332" s="223" t="s">
        <v>101</v>
      </c>
      <c r="L14332" s="223" t="s">
        <v>816</v>
      </c>
      <c r="M14332" s="223">
        <v>2.5</v>
      </c>
      <c r="N14332" s="223"/>
      <c r="O14332" s="223" t="s">
        <v>102</v>
      </c>
      <c r="P14332" s="223"/>
      <c r="Q14332" s="224"/>
    </row>
    <row r="14333" spans="1:17">
      <c r="A14333" s="221">
        <v>689</v>
      </c>
      <c r="B14333" s="222">
        <v>46191</v>
      </c>
      <c r="C14333" s="223" t="s">
        <v>298</v>
      </c>
      <c r="D14333" s="223" t="s">
        <v>532</v>
      </c>
      <c r="E14333" s="223" t="s">
        <v>337</v>
      </c>
      <c r="F14333" s="223">
        <v>2026</v>
      </c>
      <c r="G14333" s="223">
        <v>2.5</v>
      </c>
      <c r="H14333" s="223" t="s">
        <v>99</v>
      </c>
      <c r="I14333" s="226" t="s">
        <v>100</v>
      </c>
      <c r="J14333" s="223" t="s">
        <v>373</v>
      </c>
      <c r="K14333" s="223" t="s">
        <v>10</v>
      </c>
      <c r="L14333" s="223" t="s">
        <v>778</v>
      </c>
      <c r="M14333" s="223">
        <v>2.5</v>
      </c>
      <c r="N14333" s="223"/>
      <c r="O14333" s="223" t="s">
        <v>29</v>
      </c>
      <c r="P14333" s="223"/>
      <c r="Q14333" s="224"/>
    </row>
    <row r="14334" spans="1:17">
      <c r="A14334" s="221">
        <v>690</v>
      </c>
      <c r="B14334" s="222">
        <v>46191</v>
      </c>
      <c r="C14334" s="223" t="s">
        <v>298</v>
      </c>
      <c r="D14334" s="223" t="s">
        <v>467</v>
      </c>
      <c r="E14334" s="223" t="s">
        <v>337</v>
      </c>
      <c r="F14334" s="223">
        <v>2026</v>
      </c>
      <c r="G14334" s="223">
        <v>2.5</v>
      </c>
      <c r="H14334" s="223" t="s">
        <v>99</v>
      </c>
      <c r="I14334" s="226" t="s">
        <v>100</v>
      </c>
      <c r="J14334" s="223" t="s">
        <v>373</v>
      </c>
      <c r="K14334" s="223" t="s">
        <v>104</v>
      </c>
      <c r="L14334" s="223" t="s">
        <v>789</v>
      </c>
      <c r="M14334" s="223">
        <v>2.5</v>
      </c>
      <c r="N14334" s="223"/>
      <c r="O14334" s="223" t="s">
        <v>432</v>
      </c>
      <c r="P14334" s="223"/>
      <c r="Q14334" s="224"/>
    </row>
    <row r="14335" spans="1:17">
      <c r="A14335" s="221">
        <v>691</v>
      </c>
      <c r="B14335" s="222">
        <v>46191</v>
      </c>
      <c r="C14335" s="223" t="s">
        <v>298</v>
      </c>
      <c r="D14335" s="223" t="s">
        <v>430</v>
      </c>
      <c r="E14335" s="223" t="s">
        <v>337</v>
      </c>
      <c r="F14335" s="223">
        <v>2026</v>
      </c>
      <c r="G14335" s="223">
        <v>2.5</v>
      </c>
      <c r="H14335" s="223" t="s">
        <v>99</v>
      </c>
      <c r="I14335" s="226" t="s">
        <v>100</v>
      </c>
      <c r="J14335" s="223" t="s">
        <v>373</v>
      </c>
      <c r="K14335" s="223" t="s">
        <v>106</v>
      </c>
      <c r="L14335" s="223" t="s">
        <v>797</v>
      </c>
      <c r="M14335" s="223">
        <v>2.5</v>
      </c>
      <c r="N14335" s="223"/>
      <c r="O14335" s="223" t="s">
        <v>432</v>
      </c>
      <c r="P14335" s="223"/>
      <c r="Q14335" s="224"/>
    </row>
    <row r="14336" spans="1:17" ht="30.75">
      <c r="A14336" s="221">
        <v>692</v>
      </c>
      <c r="B14336" s="222">
        <v>46192</v>
      </c>
      <c r="C14336" s="223" t="s">
        <v>301</v>
      </c>
      <c r="D14336" s="223" t="s">
        <v>962</v>
      </c>
      <c r="E14336" s="223" t="s">
        <v>337</v>
      </c>
      <c r="F14336" s="223">
        <v>2026</v>
      </c>
      <c r="G14336" s="223">
        <v>1.5</v>
      </c>
      <c r="H14336" s="223" t="s">
        <v>201</v>
      </c>
      <c r="I14336" s="226" t="s">
        <v>202</v>
      </c>
      <c r="J14336" s="223"/>
      <c r="K14336" s="223" t="s">
        <v>101</v>
      </c>
      <c r="L14336" s="223" t="s">
        <v>994</v>
      </c>
      <c r="M14336" s="223">
        <v>1.5</v>
      </c>
      <c r="N14336" s="223"/>
      <c r="O14336" s="223" t="s">
        <v>881</v>
      </c>
      <c r="P14336" s="223"/>
      <c r="Q14336" s="224"/>
    </row>
    <row r="14337" spans="1:17" ht="30.75">
      <c r="A14337" s="221">
        <v>693</v>
      </c>
      <c r="B14337" s="222">
        <v>46195</v>
      </c>
      <c r="C14337" s="223" t="s">
        <v>302</v>
      </c>
      <c r="D14337" s="223" t="s">
        <v>962</v>
      </c>
      <c r="E14337" s="223" t="s">
        <v>337</v>
      </c>
      <c r="F14337" s="223">
        <v>2026</v>
      </c>
      <c r="G14337" s="223">
        <v>1.5</v>
      </c>
      <c r="H14337" s="223" t="s">
        <v>201</v>
      </c>
      <c r="I14337" s="226" t="s">
        <v>202</v>
      </c>
      <c r="J14337" s="223"/>
      <c r="K14337" s="223" t="s">
        <v>101</v>
      </c>
      <c r="L14337" s="223" t="s">
        <v>995</v>
      </c>
      <c r="M14337" s="223">
        <v>1.5</v>
      </c>
      <c r="N14337" s="223"/>
      <c r="O14337" s="223" t="s">
        <v>881</v>
      </c>
      <c r="P14337" s="223"/>
      <c r="Q14337" s="224"/>
    </row>
    <row r="14338" spans="1:17" ht="30.75">
      <c r="A14338" s="221">
        <v>694</v>
      </c>
      <c r="B14338" s="222">
        <v>46195</v>
      </c>
      <c r="C14338" s="223" t="s">
        <v>302</v>
      </c>
      <c r="D14338" s="223" t="s">
        <v>972</v>
      </c>
      <c r="E14338" s="223" t="s">
        <v>337</v>
      </c>
      <c r="F14338" s="223">
        <v>2026</v>
      </c>
      <c r="G14338" s="223">
        <v>2</v>
      </c>
      <c r="H14338" s="223" t="s">
        <v>196</v>
      </c>
      <c r="I14338" s="226" t="s">
        <v>967</v>
      </c>
      <c r="J14338" s="223" t="s">
        <v>687</v>
      </c>
      <c r="K14338" s="223" t="s">
        <v>101</v>
      </c>
      <c r="L14338" s="223" t="s">
        <v>822</v>
      </c>
      <c r="M14338" s="223">
        <v>2</v>
      </c>
      <c r="N14338" s="223"/>
      <c r="O14338" s="223" t="s">
        <v>91</v>
      </c>
      <c r="P14338" s="223"/>
      <c r="Q14338" s="224"/>
    </row>
    <row r="14339" spans="1:17">
      <c r="A14339" s="221">
        <v>695</v>
      </c>
      <c r="B14339" s="222">
        <v>46195</v>
      </c>
      <c r="C14339" s="223" t="s">
        <v>302</v>
      </c>
      <c r="D14339" s="223" t="s">
        <v>638</v>
      </c>
      <c r="E14339" s="223" t="s">
        <v>337</v>
      </c>
      <c r="F14339" s="223">
        <v>2026</v>
      </c>
      <c r="G14339" s="223">
        <v>2.5</v>
      </c>
      <c r="H14339" s="223" t="s">
        <v>132</v>
      </c>
      <c r="I14339" s="226" t="s">
        <v>183</v>
      </c>
      <c r="J14339" s="223" t="s">
        <v>623</v>
      </c>
      <c r="K14339" s="223" t="s">
        <v>101</v>
      </c>
      <c r="L14339" s="223" t="s">
        <v>838</v>
      </c>
      <c r="M14339" s="223">
        <v>2.5</v>
      </c>
      <c r="N14339" s="223"/>
      <c r="O14339" s="223" t="s">
        <v>164</v>
      </c>
      <c r="P14339" s="223"/>
      <c r="Q14339" s="224"/>
    </row>
    <row r="14340" spans="1:17" ht="30.75">
      <c r="A14340" s="221">
        <v>696</v>
      </c>
      <c r="B14340" s="222">
        <v>46196</v>
      </c>
      <c r="C14340" s="223" t="s">
        <v>289</v>
      </c>
      <c r="D14340" s="223" t="s">
        <v>972</v>
      </c>
      <c r="E14340" s="223" t="s">
        <v>337</v>
      </c>
      <c r="F14340" s="223">
        <v>2026</v>
      </c>
      <c r="G14340" s="223">
        <v>2</v>
      </c>
      <c r="H14340" s="223" t="s">
        <v>196</v>
      </c>
      <c r="I14340" s="226" t="s">
        <v>967</v>
      </c>
      <c r="J14340" s="223" t="s">
        <v>687</v>
      </c>
      <c r="K14340" s="223" t="s">
        <v>101</v>
      </c>
      <c r="L14340" s="223" t="s">
        <v>825</v>
      </c>
      <c r="M14340" s="223">
        <v>2</v>
      </c>
      <c r="N14340" s="223"/>
      <c r="O14340" s="223" t="s">
        <v>91</v>
      </c>
      <c r="P14340" s="223"/>
      <c r="Q14340" s="224"/>
    </row>
    <row r="14341" spans="1:17" ht="30.75">
      <c r="A14341" s="221"/>
      <c r="B14341" s="222">
        <v>46196</v>
      </c>
      <c r="C14341" s="223" t="s">
        <v>289</v>
      </c>
      <c r="D14341" s="223" t="s">
        <v>655</v>
      </c>
      <c r="E14341" s="223" t="s">
        <v>337</v>
      </c>
      <c r="F14341" s="223">
        <v>2026</v>
      </c>
      <c r="G14341" s="223">
        <v>1.5</v>
      </c>
      <c r="H14341" s="223" t="s">
        <v>115</v>
      </c>
      <c r="I14341" s="226" t="s">
        <v>437</v>
      </c>
      <c r="J14341" s="223" t="s">
        <v>438</v>
      </c>
      <c r="K14341" s="223" t="s">
        <v>101</v>
      </c>
      <c r="L14341" s="223" t="s">
        <v>835</v>
      </c>
      <c r="M14341" s="223">
        <v>1.5</v>
      </c>
      <c r="N14341" s="223"/>
      <c r="O14341" s="223"/>
      <c r="P14341" s="223"/>
      <c r="Q14341" s="224"/>
    </row>
    <row r="14342" spans="1:17">
      <c r="A14342" s="221">
        <v>697</v>
      </c>
      <c r="B14342" s="222">
        <v>46196</v>
      </c>
      <c r="C14342" s="223" t="s">
        <v>289</v>
      </c>
      <c r="D14342" s="223" t="s">
        <v>477</v>
      </c>
      <c r="E14342" s="223" t="s">
        <v>337</v>
      </c>
      <c r="F14342" s="223">
        <v>2026</v>
      </c>
      <c r="G14342" s="223"/>
      <c r="H14342" s="223" t="s">
        <v>461</v>
      </c>
      <c r="I14342" s="226" t="s">
        <v>142</v>
      </c>
      <c r="J14342" s="223" t="s">
        <v>462</v>
      </c>
      <c r="K14342" s="223" t="s">
        <v>101</v>
      </c>
      <c r="L14342" s="223" t="s">
        <v>803</v>
      </c>
      <c r="M14342" s="223">
        <v>3</v>
      </c>
      <c r="N14342" s="223"/>
      <c r="O14342" s="223" t="s">
        <v>179</v>
      </c>
      <c r="P14342" s="223" t="s">
        <v>82</v>
      </c>
      <c r="Q14342" s="224"/>
    </row>
    <row r="14343" spans="1:17">
      <c r="A14343" s="221">
        <v>698</v>
      </c>
      <c r="B14343" s="222">
        <v>46196</v>
      </c>
      <c r="C14343" s="223" t="s">
        <v>289</v>
      </c>
      <c r="D14343" s="223" t="s">
        <v>479</v>
      </c>
      <c r="E14343" s="223" t="s">
        <v>337</v>
      </c>
      <c r="F14343" s="223">
        <v>2026</v>
      </c>
      <c r="G14343" s="223">
        <v>3</v>
      </c>
      <c r="H14343" s="223" t="s">
        <v>461</v>
      </c>
      <c r="I14343" s="226" t="s">
        <v>142</v>
      </c>
      <c r="J14343" s="223" t="s">
        <v>462</v>
      </c>
      <c r="K14343" s="223" t="s">
        <v>10</v>
      </c>
      <c r="L14343" s="223" t="s">
        <v>803</v>
      </c>
      <c r="M14343" s="223"/>
      <c r="N14343" s="223"/>
      <c r="O14343" s="223" t="s">
        <v>102</v>
      </c>
      <c r="P14343" s="223" t="s">
        <v>138</v>
      </c>
      <c r="Q14343" s="224"/>
    </row>
    <row r="14344" spans="1:17">
      <c r="A14344" s="221">
        <v>699</v>
      </c>
      <c r="B14344" s="222">
        <v>46196</v>
      </c>
      <c r="C14344" s="223" t="s">
        <v>289</v>
      </c>
      <c r="D14344" s="223" t="s">
        <v>827</v>
      </c>
      <c r="E14344" s="223" t="s">
        <v>337</v>
      </c>
      <c r="F14344" s="223">
        <v>2026</v>
      </c>
      <c r="G14344" s="223">
        <v>2.5</v>
      </c>
      <c r="H14344" s="223" t="s">
        <v>99</v>
      </c>
      <c r="I14344" s="226" t="s">
        <v>100</v>
      </c>
      <c r="J14344" s="223" t="s">
        <v>373</v>
      </c>
      <c r="K14344" s="223" t="s">
        <v>101</v>
      </c>
      <c r="L14344" s="223" t="s">
        <v>828</v>
      </c>
      <c r="M14344" s="223">
        <v>2.5</v>
      </c>
      <c r="N14344" s="223"/>
      <c r="O14344" s="223" t="s">
        <v>102</v>
      </c>
      <c r="P14344" s="223"/>
      <c r="Q14344" s="224"/>
    </row>
    <row r="14345" spans="1:17">
      <c r="A14345" s="221">
        <v>700</v>
      </c>
      <c r="B14345" s="222">
        <v>46196</v>
      </c>
      <c r="C14345" s="223" t="s">
        <v>289</v>
      </c>
      <c r="D14345" s="223" t="s">
        <v>532</v>
      </c>
      <c r="E14345" s="223" t="s">
        <v>337</v>
      </c>
      <c r="F14345" s="223">
        <v>2026</v>
      </c>
      <c r="G14345" s="223">
        <v>2.5</v>
      </c>
      <c r="H14345" s="223" t="s">
        <v>99</v>
      </c>
      <c r="I14345" s="226" t="s">
        <v>100</v>
      </c>
      <c r="J14345" s="223" t="s">
        <v>373</v>
      </c>
      <c r="K14345" s="223" t="s">
        <v>10</v>
      </c>
      <c r="L14345" s="223" t="s">
        <v>789</v>
      </c>
      <c r="M14345" s="223">
        <v>2.5</v>
      </c>
      <c r="N14345" s="223"/>
      <c r="O14345" s="223" t="s">
        <v>29</v>
      </c>
      <c r="P14345" s="223"/>
      <c r="Q14345" s="224"/>
    </row>
    <row r="14346" spans="1:17">
      <c r="A14346" s="221">
        <v>701</v>
      </c>
      <c r="B14346" s="222">
        <v>46196</v>
      </c>
      <c r="C14346" s="223" t="s">
        <v>289</v>
      </c>
      <c r="D14346" s="223" t="s">
        <v>467</v>
      </c>
      <c r="E14346" s="223" t="s">
        <v>337</v>
      </c>
      <c r="F14346" s="223">
        <v>2026</v>
      </c>
      <c r="G14346" s="223">
        <v>2.5</v>
      </c>
      <c r="H14346" s="223" t="s">
        <v>99</v>
      </c>
      <c r="I14346" s="226" t="s">
        <v>100</v>
      </c>
      <c r="J14346" s="223" t="s">
        <v>373</v>
      </c>
      <c r="K14346" s="223" t="s">
        <v>104</v>
      </c>
      <c r="L14346" s="223" t="s">
        <v>797</v>
      </c>
      <c r="M14346" s="223">
        <v>2.5</v>
      </c>
      <c r="N14346" s="223"/>
      <c r="O14346" s="223" t="s">
        <v>70</v>
      </c>
      <c r="P14346" s="223"/>
      <c r="Q14346" s="224"/>
    </row>
    <row r="14347" spans="1:17">
      <c r="A14347" s="221">
        <v>702</v>
      </c>
      <c r="B14347" s="222">
        <v>46196</v>
      </c>
      <c r="C14347" s="223" t="s">
        <v>289</v>
      </c>
      <c r="D14347" s="223" t="s">
        <v>430</v>
      </c>
      <c r="E14347" s="223" t="s">
        <v>337</v>
      </c>
      <c r="F14347" s="223">
        <v>2026</v>
      </c>
      <c r="G14347" s="223">
        <v>2.5</v>
      </c>
      <c r="H14347" s="223" t="s">
        <v>99</v>
      </c>
      <c r="I14347" s="226" t="s">
        <v>100</v>
      </c>
      <c r="J14347" s="223" t="s">
        <v>373</v>
      </c>
      <c r="K14347" s="223" t="s">
        <v>106</v>
      </c>
      <c r="L14347" s="223" t="s">
        <v>829</v>
      </c>
      <c r="M14347" s="223">
        <v>2.5</v>
      </c>
      <c r="N14347" s="223"/>
      <c r="O14347" s="223" t="s">
        <v>432</v>
      </c>
      <c r="P14347" s="223"/>
      <c r="Q14347" s="224"/>
    </row>
    <row r="14348" spans="1:17" ht="30.75">
      <c r="A14348" s="221">
        <v>703</v>
      </c>
      <c r="B14348" s="222">
        <v>46197</v>
      </c>
      <c r="C14348" s="223" t="s">
        <v>294</v>
      </c>
      <c r="D14348" s="223" t="s">
        <v>962</v>
      </c>
      <c r="E14348" s="223" t="s">
        <v>337</v>
      </c>
      <c r="F14348" s="223">
        <v>2026</v>
      </c>
      <c r="G14348" s="223">
        <v>1.5</v>
      </c>
      <c r="H14348" s="223" t="s">
        <v>201</v>
      </c>
      <c r="I14348" s="226" t="s">
        <v>202</v>
      </c>
      <c r="J14348" s="223"/>
      <c r="K14348" s="223" t="s">
        <v>101</v>
      </c>
      <c r="L14348" s="223" t="s">
        <v>996</v>
      </c>
      <c r="M14348" s="223">
        <v>1.5</v>
      </c>
      <c r="N14348" s="223"/>
      <c r="O14348" s="223" t="s">
        <v>881</v>
      </c>
      <c r="P14348" s="223"/>
      <c r="Q14348" s="224"/>
    </row>
    <row r="14349" spans="1:17">
      <c r="A14349" s="221">
        <v>704</v>
      </c>
      <c r="B14349" s="222">
        <v>46197</v>
      </c>
      <c r="C14349" s="223" t="s">
        <v>294</v>
      </c>
      <c r="D14349" s="223" t="s">
        <v>638</v>
      </c>
      <c r="E14349" s="223" t="s">
        <v>337</v>
      </c>
      <c r="F14349" s="223">
        <v>2026</v>
      </c>
      <c r="G14349" s="223">
        <v>2.5</v>
      </c>
      <c r="H14349" s="223" t="s">
        <v>132</v>
      </c>
      <c r="I14349" s="226" t="s">
        <v>183</v>
      </c>
      <c r="J14349" s="223" t="s">
        <v>623</v>
      </c>
      <c r="K14349" s="223" t="s">
        <v>101</v>
      </c>
      <c r="L14349" s="223" t="s">
        <v>838</v>
      </c>
      <c r="M14349" s="223">
        <v>2.5</v>
      </c>
      <c r="N14349" s="223"/>
      <c r="O14349" s="223" t="s">
        <v>164</v>
      </c>
      <c r="P14349" s="223"/>
      <c r="Q14349" s="224"/>
    </row>
    <row r="14350" spans="1:17" ht="30.75">
      <c r="A14350" s="221"/>
      <c r="B14350" s="222">
        <v>46198</v>
      </c>
      <c r="C14350" s="223" t="s">
        <v>298</v>
      </c>
      <c r="D14350" s="223" t="s">
        <v>655</v>
      </c>
      <c r="E14350" s="223" t="s">
        <v>337</v>
      </c>
      <c r="F14350" s="223">
        <v>2026</v>
      </c>
      <c r="G14350" s="223">
        <v>1.5</v>
      </c>
      <c r="H14350" s="223" t="s">
        <v>115</v>
      </c>
      <c r="I14350" s="226" t="s">
        <v>437</v>
      </c>
      <c r="J14350" s="223" t="s">
        <v>438</v>
      </c>
      <c r="K14350" s="223" t="s">
        <v>101</v>
      </c>
      <c r="L14350" s="223" t="s">
        <v>835</v>
      </c>
      <c r="M14350" s="223">
        <v>1.5</v>
      </c>
      <c r="N14350" s="223"/>
      <c r="O14350" s="223"/>
      <c r="P14350" s="223"/>
      <c r="Q14350" s="224"/>
    </row>
    <row r="14351" spans="1:17">
      <c r="A14351" s="221">
        <v>705</v>
      </c>
      <c r="B14351" s="222">
        <v>46198</v>
      </c>
      <c r="C14351" s="223" t="s">
        <v>298</v>
      </c>
      <c r="D14351" s="223" t="s">
        <v>456</v>
      </c>
      <c r="E14351" s="223" t="s">
        <v>337</v>
      </c>
      <c r="F14351" s="223">
        <v>2026</v>
      </c>
      <c r="G14351" s="223">
        <v>2.5</v>
      </c>
      <c r="H14351" s="223" t="s">
        <v>99</v>
      </c>
      <c r="I14351" s="226" t="s">
        <v>100</v>
      </c>
      <c r="J14351" s="223" t="s">
        <v>373</v>
      </c>
      <c r="K14351" s="223" t="s">
        <v>101</v>
      </c>
      <c r="L14351" s="223" t="s">
        <v>833</v>
      </c>
      <c r="M14351" s="223">
        <v>2.5</v>
      </c>
      <c r="N14351" s="223"/>
      <c r="O14351" s="223" t="s">
        <v>102</v>
      </c>
      <c r="P14351" s="223"/>
      <c r="Q14351" s="224"/>
    </row>
    <row r="14352" spans="1:17">
      <c r="A14352" s="221">
        <v>706</v>
      </c>
      <c r="B14352" s="222">
        <v>46198</v>
      </c>
      <c r="C14352" s="223" t="s">
        <v>298</v>
      </c>
      <c r="D14352" s="223" t="s">
        <v>532</v>
      </c>
      <c r="E14352" s="223" t="s">
        <v>337</v>
      </c>
      <c r="F14352" s="223">
        <v>2026</v>
      </c>
      <c r="G14352" s="223">
        <v>2.5</v>
      </c>
      <c r="H14352" s="223" t="s">
        <v>99</v>
      </c>
      <c r="I14352" s="226" t="s">
        <v>100</v>
      </c>
      <c r="J14352" s="223" t="s">
        <v>373</v>
      </c>
      <c r="K14352" s="223" t="s">
        <v>10</v>
      </c>
      <c r="L14352" s="223" t="s">
        <v>797</v>
      </c>
      <c r="M14352" s="223">
        <v>2.5</v>
      </c>
      <c r="N14352" s="223"/>
      <c r="O14352" s="223" t="s">
        <v>29</v>
      </c>
      <c r="P14352" s="223"/>
      <c r="Q14352" s="224"/>
    </row>
    <row r="14353" spans="1:17">
      <c r="A14353" s="221"/>
      <c r="B14353" s="222">
        <v>46198</v>
      </c>
      <c r="C14353" s="223" t="s">
        <v>298</v>
      </c>
      <c r="D14353" s="223"/>
      <c r="E14353" s="223" t="s">
        <v>337</v>
      </c>
      <c r="F14353" s="223">
        <v>2026</v>
      </c>
      <c r="G14353" s="223">
        <v>2.5</v>
      </c>
      <c r="H14353" s="223" t="s">
        <v>99</v>
      </c>
      <c r="I14353" s="226" t="s">
        <v>100</v>
      </c>
      <c r="J14353" s="223" t="s">
        <v>373</v>
      </c>
      <c r="K14353" s="223" t="s">
        <v>104</v>
      </c>
      <c r="L14353" s="223" t="s">
        <v>427</v>
      </c>
      <c r="M14353" s="223">
        <v>2.5</v>
      </c>
      <c r="N14353" s="223"/>
      <c r="O14353" s="223"/>
      <c r="P14353" s="223"/>
      <c r="Q14353" s="224"/>
    </row>
    <row r="14354" spans="1:17">
      <c r="A14354" s="221">
        <v>707</v>
      </c>
      <c r="B14354" s="222">
        <v>46198</v>
      </c>
      <c r="C14354" s="223" t="s">
        <v>298</v>
      </c>
      <c r="D14354" s="223" t="s">
        <v>430</v>
      </c>
      <c r="E14354" s="223" t="s">
        <v>337</v>
      </c>
      <c r="F14354" s="223">
        <v>2026</v>
      </c>
      <c r="G14354" s="223">
        <v>2.5</v>
      </c>
      <c r="H14354" s="223" t="s">
        <v>99</v>
      </c>
      <c r="I14354" s="226" t="s">
        <v>100</v>
      </c>
      <c r="J14354" s="223" t="s">
        <v>373</v>
      </c>
      <c r="K14354" s="223" t="s">
        <v>106</v>
      </c>
      <c r="L14354" s="223" t="s">
        <v>816</v>
      </c>
      <c r="M14354" s="223">
        <v>2.5</v>
      </c>
      <c r="N14354" s="223"/>
      <c r="O14354" s="223" t="s">
        <v>432</v>
      </c>
      <c r="P14354" s="223"/>
      <c r="Q14354" s="224"/>
    </row>
    <row r="14355" spans="1:17" ht="30.75">
      <c r="A14355" s="221">
        <v>708</v>
      </c>
      <c r="B14355" s="222">
        <v>46199</v>
      </c>
      <c r="C14355" s="223" t="s">
        <v>301</v>
      </c>
      <c r="D14355" s="223" t="s">
        <v>962</v>
      </c>
      <c r="E14355" s="223" t="s">
        <v>337</v>
      </c>
      <c r="F14355" s="223">
        <v>2026</v>
      </c>
      <c r="G14355" s="223">
        <v>1.5</v>
      </c>
      <c r="H14355" s="223" t="s">
        <v>201</v>
      </c>
      <c r="I14355" s="226" t="s">
        <v>202</v>
      </c>
      <c r="J14355" s="223"/>
      <c r="K14355" s="223" t="s">
        <v>101</v>
      </c>
      <c r="L14355" s="223" t="s">
        <v>913</v>
      </c>
      <c r="M14355" s="223">
        <v>1.5</v>
      </c>
      <c r="N14355" s="223"/>
      <c r="O14355" s="223" t="s">
        <v>881</v>
      </c>
      <c r="P14355" s="223"/>
      <c r="Q14355" s="224"/>
    </row>
    <row r="14356" spans="1:17" ht="30.75">
      <c r="A14356" s="221"/>
      <c r="B14356" s="222">
        <v>46199</v>
      </c>
      <c r="C14356" s="223" t="s">
        <v>301</v>
      </c>
      <c r="D14356" s="223" t="s">
        <v>972</v>
      </c>
      <c r="E14356" s="223" t="s">
        <v>337</v>
      </c>
      <c r="F14356" s="223">
        <v>2026</v>
      </c>
      <c r="G14356" s="223">
        <v>2</v>
      </c>
      <c r="H14356" s="223" t="s">
        <v>196</v>
      </c>
      <c r="I14356" s="226" t="s">
        <v>967</v>
      </c>
      <c r="J14356" s="223" t="s">
        <v>687</v>
      </c>
      <c r="K14356" s="223" t="s">
        <v>101</v>
      </c>
      <c r="L14356" s="223" t="s">
        <v>746</v>
      </c>
      <c r="M14356" s="223">
        <v>2</v>
      </c>
      <c r="N14356" s="223"/>
      <c r="O14356" s="223"/>
      <c r="P14356" s="223"/>
      <c r="Q14356" s="224"/>
    </row>
    <row r="14357" spans="1:17" ht="30.75">
      <c r="A14357" s="221"/>
      <c r="B14357" s="222">
        <v>46199</v>
      </c>
      <c r="C14357" s="223" t="s">
        <v>301</v>
      </c>
      <c r="D14357" s="223" t="s">
        <v>655</v>
      </c>
      <c r="E14357" s="223" t="s">
        <v>337</v>
      </c>
      <c r="F14357" s="223">
        <v>2026</v>
      </c>
      <c r="G14357" s="223">
        <v>1.5</v>
      </c>
      <c r="H14357" s="223" t="s">
        <v>115</v>
      </c>
      <c r="I14357" s="226" t="s">
        <v>437</v>
      </c>
      <c r="J14357" s="223" t="s">
        <v>438</v>
      </c>
      <c r="K14357" s="223" t="s">
        <v>101</v>
      </c>
      <c r="L14357" s="223" t="s">
        <v>835</v>
      </c>
      <c r="M14357" s="223">
        <v>1.5</v>
      </c>
      <c r="N14357" s="223"/>
      <c r="O14357" s="223"/>
      <c r="P14357" s="223"/>
      <c r="Q14357" s="224"/>
    </row>
    <row r="14358" spans="1:17" ht="30.75">
      <c r="A14358" s="221">
        <v>709</v>
      </c>
      <c r="B14358" s="222">
        <v>46202</v>
      </c>
      <c r="C14358" s="223" t="s">
        <v>302</v>
      </c>
      <c r="D14358" s="223" t="s">
        <v>962</v>
      </c>
      <c r="E14358" s="223" t="s">
        <v>337</v>
      </c>
      <c r="F14358" s="223">
        <v>2026</v>
      </c>
      <c r="G14358" s="223">
        <v>1.5</v>
      </c>
      <c r="H14358" s="223" t="s">
        <v>201</v>
      </c>
      <c r="I14358" s="226" t="s">
        <v>202</v>
      </c>
      <c r="J14358" s="223"/>
      <c r="K14358" s="223" t="s">
        <v>101</v>
      </c>
      <c r="L14358" s="223" t="s">
        <v>918</v>
      </c>
      <c r="M14358" s="223">
        <v>1.5</v>
      </c>
      <c r="N14358" s="223"/>
      <c r="O14358" s="223" t="s">
        <v>881</v>
      </c>
      <c r="P14358" s="223"/>
      <c r="Q14358" s="224"/>
    </row>
    <row r="14359" spans="1:17" ht="30.75">
      <c r="A14359" s="221">
        <v>710</v>
      </c>
      <c r="B14359" s="222">
        <v>46202</v>
      </c>
      <c r="C14359" s="223" t="s">
        <v>302</v>
      </c>
      <c r="D14359" s="223" t="s">
        <v>972</v>
      </c>
      <c r="E14359" s="223" t="s">
        <v>337</v>
      </c>
      <c r="F14359" s="223">
        <v>2026</v>
      </c>
      <c r="G14359" s="223">
        <v>2</v>
      </c>
      <c r="H14359" s="223" t="s">
        <v>196</v>
      </c>
      <c r="I14359" s="226" t="s">
        <v>967</v>
      </c>
      <c r="J14359" s="223" t="s">
        <v>687</v>
      </c>
      <c r="K14359" s="223" t="s">
        <v>101</v>
      </c>
      <c r="L14359" s="223" t="s">
        <v>837</v>
      </c>
      <c r="M14359" s="223">
        <v>2</v>
      </c>
      <c r="N14359" s="223"/>
      <c r="O14359" s="223" t="s">
        <v>91</v>
      </c>
      <c r="P14359" s="223"/>
      <c r="Q14359" s="224"/>
    </row>
    <row r="14360" spans="1:17">
      <c r="A14360" s="221">
        <v>711</v>
      </c>
      <c r="B14360" s="222">
        <v>46202</v>
      </c>
      <c r="C14360" s="223" t="s">
        <v>302</v>
      </c>
      <c r="D14360" s="223" t="s">
        <v>851</v>
      </c>
      <c r="E14360" s="223" t="s">
        <v>337</v>
      </c>
      <c r="F14360" s="223">
        <v>2026</v>
      </c>
      <c r="G14360" s="223">
        <v>1.5</v>
      </c>
      <c r="H14360" s="223" t="s">
        <v>132</v>
      </c>
      <c r="I14360" s="226" t="s">
        <v>183</v>
      </c>
      <c r="J14360" s="223" t="s">
        <v>623</v>
      </c>
      <c r="K14360" s="223" t="s">
        <v>101</v>
      </c>
      <c r="L14360" s="223" t="s">
        <v>997</v>
      </c>
      <c r="M14360" s="223">
        <v>1.5</v>
      </c>
      <c r="N14360" s="223"/>
      <c r="O14360" s="223" t="s">
        <v>164</v>
      </c>
      <c r="P14360" s="223"/>
      <c r="Q14360" s="224"/>
    </row>
    <row r="14361" spans="1:17" ht="30.75">
      <c r="A14361" s="221">
        <v>712</v>
      </c>
      <c r="B14361" s="222">
        <v>46203</v>
      </c>
      <c r="C14361" s="223" t="s">
        <v>289</v>
      </c>
      <c r="D14361" s="223" t="s">
        <v>972</v>
      </c>
      <c r="E14361" s="223" t="s">
        <v>337</v>
      </c>
      <c r="F14361" s="223">
        <v>2026</v>
      </c>
      <c r="G14361" s="223">
        <v>2</v>
      </c>
      <c r="H14361" s="223" t="s">
        <v>196</v>
      </c>
      <c r="I14361" s="226" t="s">
        <v>967</v>
      </c>
      <c r="J14361" s="223" t="s">
        <v>687</v>
      </c>
      <c r="K14361" s="223" t="s">
        <v>101</v>
      </c>
      <c r="L14361" s="223" t="s">
        <v>840</v>
      </c>
      <c r="M14361" s="223">
        <v>2</v>
      </c>
      <c r="N14361" s="223"/>
      <c r="O14361" s="223" t="s">
        <v>91</v>
      </c>
      <c r="P14361" s="223"/>
      <c r="Q14361" s="224"/>
    </row>
    <row r="14362" spans="1:17" ht="30.75">
      <c r="A14362" s="221"/>
      <c r="B14362" s="222">
        <v>46203</v>
      </c>
      <c r="C14362" s="223" t="s">
        <v>289</v>
      </c>
      <c r="D14362" s="223" t="s">
        <v>655</v>
      </c>
      <c r="E14362" s="223" t="s">
        <v>337</v>
      </c>
      <c r="F14362" s="223">
        <v>2026</v>
      </c>
      <c r="G14362" s="223">
        <v>1.5</v>
      </c>
      <c r="H14362" s="223" t="s">
        <v>115</v>
      </c>
      <c r="I14362" s="226" t="s">
        <v>437</v>
      </c>
      <c r="J14362" s="223" t="s">
        <v>438</v>
      </c>
      <c r="K14362" s="223" t="s">
        <v>101</v>
      </c>
      <c r="L14362" s="223" t="s">
        <v>835</v>
      </c>
      <c r="M14362" s="223">
        <v>1.5</v>
      </c>
      <c r="N14362" s="223"/>
      <c r="O14362" s="223"/>
      <c r="P14362" s="223"/>
      <c r="Q14362" s="224"/>
    </row>
    <row r="14363" spans="1:17">
      <c r="A14363" s="221">
        <v>713</v>
      </c>
      <c r="B14363" s="222">
        <v>46203</v>
      </c>
      <c r="C14363" s="223" t="s">
        <v>289</v>
      </c>
      <c r="D14363" s="223" t="s">
        <v>827</v>
      </c>
      <c r="E14363" s="223" t="s">
        <v>337</v>
      </c>
      <c r="F14363" s="223">
        <v>2026</v>
      </c>
      <c r="G14363" s="223">
        <v>2.5</v>
      </c>
      <c r="H14363" s="223" t="s">
        <v>99</v>
      </c>
      <c r="I14363" s="226" t="s">
        <v>100</v>
      </c>
      <c r="J14363" s="223" t="s">
        <v>373</v>
      </c>
      <c r="K14363" s="223" t="s">
        <v>101</v>
      </c>
      <c r="L14363" s="223" t="s">
        <v>845</v>
      </c>
      <c r="M14363" s="223">
        <v>2.5</v>
      </c>
      <c r="N14363" s="223"/>
      <c r="O14363" s="223" t="s">
        <v>102</v>
      </c>
      <c r="P14363" s="223"/>
      <c r="Q14363" s="224"/>
    </row>
    <row r="14364" spans="1:17">
      <c r="A14364" s="221">
        <v>714</v>
      </c>
      <c r="B14364" s="222">
        <v>46203</v>
      </c>
      <c r="C14364" s="223" t="s">
        <v>289</v>
      </c>
      <c r="D14364" s="223" t="s">
        <v>532</v>
      </c>
      <c r="E14364" s="223" t="s">
        <v>337</v>
      </c>
      <c r="F14364" s="223">
        <v>2026</v>
      </c>
      <c r="G14364" s="223">
        <v>2.5</v>
      </c>
      <c r="H14364" s="223" t="s">
        <v>99</v>
      </c>
      <c r="I14364" s="226" t="s">
        <v>100</v>
      </c>
      <c r="J14364" s="223" t="s">
        <v>373</v>
      </c>
      <c r="K14364" s="223" t="s">
        <v>10</v>
      </c>
      <c r="L14364" s="223" t="s">
        <v>829</v>
      </c>
      <c r="M14364" s="223">
        <v>2.5</v>
      </c>
      <c r="N14364" s="223"/>
      <c r="O14364" s="223" t="s">
        <v>29</v>
      </c>
      <c r="P14364" s="223"/>
      <c r="Q14364" s="224"/>
    </row>
    <row r="14365" spans="1:17">
      <c r="A14365" s="221">
        <v>715</v>
      </c>
      <c r="B14365" s="222">
        <v>46203</v>
      </c>
      <c r="C14365" s="223" t="s">
        <v>289</v>
      </c>
      <c r="D14365" s="223" t="s">
        <v>467</v>
      </c>
      <c r="E14365" s="223" t="s">
        <v>337</v>
      </c>
      <c r="F14365" s="223">
        <v>2026</v>
      </c>
      <c r="G14365" s="223">
        <v>2.5</v>
      </c>
      <c r="H14365" s="223" t="s">
        <v>99</v>
      </c>
      <c r="I14365" s="226" t="s">
        <v>100</v>
      </c>
      <c r="J14365" s="223" t="s">
        <v>373</v>
      </c>
      <c r="K14365" s="223" t="s">
        <v>104</v>
      </c>
      <c r="L14365" s="223" t="s">
        <v>808</v>
      </c>
      <c r="M14365" s="223">
        <v>2.5</v>
      </c>
      <c r="N14365" s="223"/>
      <c r="O14365" s="223" t="s">
        <v>70</v>
      </c>
      <c r="P14365" s="223"/>
      <c r="Q14365" s="224"/>
    </row>
    <row r="14366" spans="1:17">
      <c r="A14366" s="221"/>
      <c r="B14366" s="222">
        <v>46203</v>
      </c>
      <c r="C14366" s="223" t="s">
        <v>289</v>
      </c>
      <c r="D14366" s="223"/>
      <c r="E14366" s="223" t="s">
        <v>337</v>
      </c>
      <c r="F14366" s="223">
        <v>2026</v>
      </c>
      <c r="G14366" s="223"/>
      <c r="H14366" s="223" t="s">
        <v>99</v>
      </c>
      <c r="I14366" s="226" t="s">
        <v>100</v>
      </c>
      <c r="J14366" s="223" t="s">
        <v>373</v>
      </c>
      <c r="K14366" s="223" t="s">
        <v>106</v>
      </c>
      <c r="L14366" s="223" t="s">
        <v>427</v>
      </c>
      <c r="M14366" s="223"/>
      <c r="N14366" s="223"/>
      <c r="O14366" s="223"/>
      <c r="P14366" s="223"/>
      <c r="Q14366" s="224"/>
    </row>
    <row r="14367" spans="1:17">
      <c r="A14367" s="221">
        <v>716</v>
      </c>
      <c r="B14367" s="222">
        <v>46204</v>
      </c>
      <c r="C14367" s="223" t="s">
        <v>294</v>
      </c>
      <c r="D14367" s="223" t="s">
        <v>638</v>
      </c>
      <c r="E14367" s="223" t="s">
        <v>338</v>
      </c>
      <c r="F14367" s="223">
        <v>2026</v>
      </c>
      <c r="G14367" s="223">
        <v>2.5</v>
      </c>
      <c r="H14367" s="223" t="s">
        <v>132</v>
      </c>
      <c r="I14367" s="226" t="s">
        <v>183</v>
      </c>
      <c r="J14367" s="223" t="s">
        <v>623</v>
      </c>
      <c r="K14367" s="223" t="s">
        <v>101</v>
      </c>
      <c r="L14367" s="223" t="s">
        <v>859</v>
      </c>
      <c r="M14367" s="223">
        <v>2.5</v>
      </c>
      <c r="N14367" s="223"/>
      <c r="O14367" s="223" t="s">
        <v>164</v>
      </c>
      <c r="P14367" s="223"/>
      <c r="Q14367" s="224"/>
    </row>
    <row r="14368" spans="1:17">
      <c r="A14368" s="221">
        <v>717</v>
      </c>
      <c r="B14368" s="222">
        <v>46204</v>
      </c>
      <c r="C14368" s="223" t="s">
        <v>294</v>
      </c>
      <c r="D14368" s="223" t="s">
        <v>430</v>
      </c>
      <c r="E14368" s="223" t="s">
        <v>338</v>
      </c>
      <c r="F14368" s="223">
        <v>2026</v>
      </c>
      <c r="G14368" s="223">
        <v>2.5</v>
      </c>
      <c r="H14368" s="223" t="s">
        <v>99</v>
      </c>
      <c r="I14368" s="226" t="s">
        <v>100</v>
      </c>
      <c r="J14368" s="223" t="s">
        <v>373</v>
      </c>
      <c r="K14368" s="223" t="s">
        <v>106</v>
      </c>
      <c r="L14368" s="223" t="s">
        <v>828</v>
      </c>
      <c r="M14368" s="223">
        <v>2.5</v>
      </c>
      <c r="N14368" s="223"/>
      <c r="O14368" s="223" t="s">
        <v>432</v>
      </c>
      <c r="P14368" s="223"/>
      <c r="Q14368" s="224"/>
    </row>
    <row r="14369" spans="1:17" ht="30.75">
      <c r="A14369" s="221">
        <v>718</v>
      </c>
      <c r="B14369" s="222">
        <v>46205</v>
      </c>
      <c r="C14369" s="223" t="s">
        <v>298</v>
      </c>
      <c r="D14369" s="223" t="s">
        <v>972</v>
      </c>
      <c r="E14369" s="223" t="s">
        <v>338</v>
      </c>
      <c r="F14369" s="223">
        <v>2026</v>
      </c>
      <c r="G14369" s="223">
        <v>2</v>
      </c>
      <c r="H14369" s="223" t="s">
        <v>196</v>
      </c>
      <c r="I14369" s="226" t="s">
        <v>967</v>
      </c>
      <c r="J14369" s="223" t="s">
        <v>687</v>
      </c>
      <c r="K14369" s="223" t="s">
        <v>101</v>
      </c>
      <c r="L14369" s="223" t="s">
        <v>848</v>
      </c>
      <c r="M14369" s="223">
        <v>2</v>
      </c>
      <c r="N14369" s="223"/>
      <c r="O14369" s="223" t="s">
        <v>91</v>
      </c>
      <c r="P14369" s="223"/>
      <c r="Q14369" s="224"/>
    </row>
    <row r="14370" spans="1:17" ht="30.75">
      <c r="A14370" s="221"/>
      <c r="B14370" s="222">
        <v>46205</v>
      </c>
      <c r="C14370" s="223" t="s">
        <v>298</v>
      </c>
      <c r="D14370" s="223" t="s">
        <v>655</v>
      </c>
      <c r="E14370" s="223" t="s">
        <v>338</v>
      </c>
      <c r="F14370" s="223">
        <v>2026</v>
      </c>
      <c r="G14370" s="223">
        <v>1.5</v>
      </c>
      <c r="H14370" s="223" t="s">
        <v>115</v>
      </c>
      <c r="I14370" s="226" t="s">
        <v>437</v>
      </c>
      <c r="J14370" s="223" t="s">
        <v>438</v>
      </c>
      <c r="K14370" s="223" t="s">
        <v>101</v>
      </c>
      <c r="L14370" s="223" t="s">
        <v>854</v>
      </c>
      <c r="M14370" s="223">
        <v>1.5</v>
      </c>
      <c r="N14370" s="223"/>
      <c r="O14370" s="223"/>
      <c r="P14370" s="223"/>
      <c r="Q14370" s="224"/>
    </row>
    <row r="14371" spans="1:17">
      <c r="A14371" s="221">
        <v>719</v>
      </c>
      <c r="B14371" s="222">
        <v>46205</v>
      </c>
      <c r="C14371" s="223" t="s">
        <v>298</v>
      </c>
      <c r="D14371" s="223"/>
      <c r="E14371" s="223" t="s">
        <v>338</v>
      </c>
      <c r="F14371" s="223">
        <v>2026</v>
      </c>
      <c r="G14371" s="223"/>
      <c r="H14371" s="223" t="s">
        <v>99</v>
      </c>
      <c r="I14371" s="226" t="s">
        <v>100</v>
      </c>
      <c r="J14371" s="223" t="s">
        <v>373</v>
      </c>
      <c r="K14371" s="223" t="s">
        <v>101</v>
      </c>
      <c r="L14371" s="223" t="s">
        <v>427</v>
      </c>
      <c r="M14371" s="223"/>
      <c r="N14371" s="223"/>
      <c r="O14371" s="223" t="s">
        <v>102</v>
      </c>
      <c r="P14371" s="223"/>
      <c r="Q14371" s="224"/>
    </row>
    <row r="14372" spans="1:17">
      <c r="A14372" s="221">
        <v>720</v>
      </c>
      <c r="B14372" s="222">
        <v>46205</v>
      </c>
      <c r="C14372" s="223" t="s">
        <v>298</v>
      </c>
      <c r="D14372" s="223" t="s">
        <v>467</v>
      </c>
      <c r="E14372" s="223" t="s">
        <v>338</v>
      </c>
      <c r="F14372" s="223">
        <v>2026</v>
      </c>
      <c r="G14372" s="223">
        <v>2.5</v>
      </c>
      <c r="H14372" s="223" t="s">
        <v>99</v>
      </c>
      <c r="I14372" s="226" t="s">
        <v>100</v>
      </c>
      <c r="J14372" s="223" t="s">
        <v>373</v>
      </c>
      <c r="K14372" s="223" t="s">
        <v>104</v>
      </c>
      <c r="L14372" s="223" t="s">
        <v>816</v>
      </c>
      <c r="M14372" s="223">
        <v>2.5</v>
      </c>
      <c r="N14372" s="223"/>
      <c r="O14372" s="223" t="s">
        <v>70</v>
      </c>
      <c r="P14372" s="223"/>
      <c r="Q14372" s="224"/>
    </row>
    <row r="14373" spans="1:17" ht="30.75">
      <c r="A14373" s="221"/>
      <c r="B14373" s="222">
        <v>46206</v>
      </c>
      <c r="C14373" s="223" t="s">
        <v>301</v>
      </c>
      <c r="D14373" s="223" t="s">
        <v>655</v>
      </c>
      <c r="E14373" s="223" t="s">
        <v>338</v>
      </c>
      <c r="F14373" s="223">
        <v>2026</v>
      </c>
      <c r="G14373" s="223">
        <v>1.5</v>
      </c>
      <c r="H14373" s="223" t="s">
        <v>115</v>
      </c>
      <c r="I14373" s="226" t="s">
        <v>437</v>
      </c>
      <c r="J14373" s="223" t="s">
        <v>438</v>
      </c>
      <c r="K14373" s="223" t="s">
        <v>101</v>
      </c>
      <c r="L14373" s="223" t="s">
        <v>861</v>
      </c>
      <c r="M14373" s="223">
        <v>1.5</v>
      </c>
      <c r="N14373" s="223"/>
      <c r="O14373" s="223"/>
      <c r="P14373" s="223"/>
      <c r="Q14373" s="224"/>
    </row>
    <row r="14374" spans="1:17">
      <c r="A14374" s="221">
        <v>721</v>
      </c>
      <c r="B14374" s="222">
        <v>46209</v>
      </c>
      <c r="C14374" s="223" t="s">
        <v>302</v>
      </c>
      <c r="D14374" s="223" t="s">
        <v>638</v>
      </c>
      <c r="E14374" s="223" t="s">
        <v>338</v>
      </c>
      <c r="F14374" s="223">
        <v>2026</v>
      </c>
      <c r="G14374" s="223">
        <v>2.5</v>
      </c>
      <c r="H14374" s="223" t="s">
        <v>132</v>
      </c>
      <c r="I14374" s="226" t="s">
        <v>183</v>
      </c>
      <c r="J14374" s="223" t="s">
        <v>623</v>
      </c>
      <c r="K14374" s="223" t="s">
        <v>101</v>
      </c>
      <c r="L14374" s="223" t="s">
        <v>866</v>
      </c>
      <c r="M14374" s="223">
        <v>2.5</v>
      </c>
      <c r="N14374" s="223"/>
      <c r="O14374" s="223" t="s">
        <v>164</v>
      </c>
      <c r="P14374" s="223"/>
      <c r="Q14374" s="224"/>
    </row>
    <row r="14375" spans="1:17" ht="30.75">
      <c r="A14375" s="221"/>
      <c r="B14375" s="222">
        <v>46210</v>
      </c>
      <c r="C14375" s="223" t="s">
        <v>289</v>
      </c>
      <c r="D14375" s="223" t="s">
        <v>655</v>
      </c>
      <c r="E14375" s="223" t="s">
        <v>338</v>
      </c>
      <c r="F14375" s="223">
        <v>2026</v>
      </c>
      <c r="G14375" s="223">
        <v>1.5</v>
      </c>
      <c r="H14375" s="223" t="s">
        <v>115</v>
      </c>
      <c r="I14375" s="226" t="s">
        <v>437</v>
      </c>
      <c r="J14375" s="223" t="s">
        <v>438</v>
      </c>
      <c r="K14375" s="223" t="s">
        <v>101</v>
      </c>
      <c r="L14375" s="223" t="s">
        <v>864</v>
      </c>
      <c r="M14375" s="223">
        <v>1.5</v>
      </c>
      <c r="N14375" s="223"/>
      <c r="O14375" s="223"/>
      <c r="P14375" s="223"/>
      <c r="Q14375" s="224"/>
    </row>
    <row r="14376" spans="1:17">
      <c r="A14376" s="221">
        <v>722</v>
      </c>
      <c r="B14376" s="222">
        <v>46210</v>
      </c>
      <c r="C14376" s="223" t="s">
        <v>289</v>
      </c>
      <c r="D14376" s="223" t="s">
        <v>827</v>
      </c>
      <c r="E14376" s="223" t="s">
        <v>338</v>
      </c>
      <c r="F14376" s="223">
        <v>2026</v>
      </c>
      <c r="G14376" s="223">
        <v>1.5</v>
      </c>
      <c r="H14376" s="223" t="s">
        <v>99</v>
      </c>
      <c r="I14376" s="226" t="s">
        <v>100</v>
      </c>
      <c r="J14376" s="223" t="s">
        <v>373</v>
      </c>
      <c r="K14376" s="223" t="s">
        <v>101</v>
      </c>
      <c r="L14376" s="223" t="s">
        <v>856</v>
      </c>
      <c r="M14376" s="223">
        <v>1.5</v>
      </c>
      <c r="N14376" s="223"/>
      <c r="O14376" s="223" t="s">
        <v>102</v>
      </c>
      <c r="P14376" s="223"/>
      <c r="Q14376" s="224"/>
    </row>
    <row r="14377" spans="1:17">
      <c r="A14377" s="221">
        <v>723</v>
      </c>
      <c r="B14377" s="222">
        <v>46210</v>
      </c>
      <c r="C14377" s="223" t="s">
        <v>289</v>
      </c>
      <c r="D14377" s="223" t="s">
        <v>532</v>
      </c>
      <c r="E14377" s="223" t="s">
        <v>338</v>
      </c>
      <c r="F14377" s="223">
        <v>2026</v>
      </c>
      <c r="G14377" s="223">
        <v>2.5</v>
      </c>
      <c r="H14377" s="223" t="s">
        <v>99</v>
      </c>
      <c r="I14377" s="226" t="s">
        <v>100</v>
      </c>
      <c r="J14377" s="223" t="s">
        <v>373</v>
      </c>
      <c r="K14377" s="223" t="s">
        <v>10</v>
      </c>
      <c r="L14377" s="223" t="s">
        <v>816</v>
      </c>
      <c r="M14377" s="223"/>
      <c r="N14377" s="223"/>
      <c r="O14377" s="223" t="s">
        <v>29</v>
      </c>
      <c r="P14377" s="223"/>
      <c r="Q14377" s="224"/>
    </row>
    <row r="14378" spans="1:17">
      <c r="A14378" s="221">
        <v>724</v>
      </c>
      <c r="B14378" s="222">
        <v>46210</v>
      </c>
      <c r="C14378" s="223" t="s">
        <v>289</v>
      </c>
      <c r="D14378" s="223" t="s">
        <v>467</v>
      </c>
      <c r="E14378" s="223" t="s">
        <v>338</v>
      </c>
      <c r="F14378" s="223">
        <v>2026</v>
      </c>
      <c r="G14378" s="223"/>
      <c r="H14378" s="223" t="s">
        <v>99</v>
      </c>
      <c r="I14378" s="226" t="s">
        <v>100</v>
      </c>
      <c r="J14378" s="223" t="s">
        <v>373</v>
      </c>
      <c r="K14378" s="223" t="s">
        <v>104</v>
      </c>
      <c r="L14378" s="223" t="s">
        <v>828</v>
      </c>
      <c r="M14378" s="223"/>
      <c r="N14378" s="223"/>
      <c r="O14378" s="223" t="s">
        <v>432</v>
      </c>
      <c r="P14378" s="223"/>
      <c r="Q14378" s="224"/>
    </row>
    <row r="14379" spans="1:17">
      <c r="A14379" s="221">
        <v>725</v>
      </c>
      <c r="B14379" s="222">
        <v>46210</v>
      </c>
      <c r="C14379" s="223" t="s">
        <v>289</v>
      </c>
      <c r="D14379" s="223" t="s">
        <v>430</v>
      </c>
      <c r="E14379" s="223" t="s">
        <v>338</v>
      </c>
      <c r="F14379" s="223">
        <v>2026</v>
      </c>
      <c r="G14379" s="223">
        <v>2.5</v>
      </c>
      <c r="H14379" s="223" t="s">
        <v>99</v>
      </c>
      <c r="I14379" s="226" t="s">
        <v>100</v>
      </c>
      <c r="J14379" s="223" t="s">
        <v>373</v>
      </c>
      <c r="K14379" s="223" t="s">
        <v>106</v>
      </c>
      <c r="L14379" s="223" t="s">
        <v>833</v>
      </c>
      <c r="M14379" s="223">
        <v>2.5</v>
      </c>
      <c r="N14379" s="223"/>
      <c r="O14379" s="223" t="s">
        <v>432</v>
      </c>
      <c r="P14379" s="223"/>
      <c r="Q14379" s="224"/>
    </row>
    <row r="14380" spans="1:17" ht="30.75">
      <c r="A14380" s="221"/>
      <c r="B14380" s="222">
        <v>46211</v>
      </c>
      <c r="C14380" s="223" t="s">
        <v>294</v>
      </c>
      <c r="D14380" s="223" t="s">
        <v>972</v>
      </c>
      <c r="E14380" s="223" t="s">
        <v>338</v>
      </c>
      <c r="F14380" s="223">
        <v>2026</v>
      </c>
      <c r="G14380" s="223">
        <v>2</v>
      </c>
      <c r="H14380" s="223" t="s">
        <v>196</v>
      </c>
      <c r="I14380" s="226" t="s">
        <v>967</v>
      </c>
      <c r="J14380" s="223" t="s">
        <v>687</v>
      </c>
      <c r="K14380" s="223" t="s">
        <v>101</v>
      </c>
      <c r="L14380" s="223" t="s">
        <v>746</v>
      </c>
      <c r="M14380" s="223">
        <v>2</v>
      </c>
      <c r="N14380" s="223"/>
      <c r="O14380" s="223"/>
      <c r="P14380" s="223"/>
      <c r="Q14380" s="224"/>
    </row>
    <row r="14381" spans="1:17">
      <c r="A14381" s="221">
        <v>726</v>
      </c>
      <c r="B14381" s="222">
        <v>46211</v>
      </c>
      <c r="C14381" s="223" t="s">
        <v>294</v>
      </c>
      <c r="D14381" s="223" t="s">
        <v>638</v>
      </c>
      <c r="E14381" s="223" t="s">
        <v>338</v>
      </c>
      <c r="F14381" s="223">
        <v>2026</v>
      </c>
      <c r="G14381" s="223">
        <v>2.5</v>
      </c>
      <c r="H14381" s="223" t="s">
        <v>132</v>
      </c>
      <c r="I14381" s="226" t="s">
        <v>183</v>
      </c>
      <c r="J14381" s="223" t="s">
        <v>623</v>
      </c>
      <c r="K14381" s="223" t="s">
        <v>101</v>
      </c>
      <c r="L14381" s="223" t="s">
        <v>866</v>
      </c>
      <c r="M14381" s="223">
        <v>2.5</v>
      </c>
      <c r="N14381" s="223"/>
      <c r="O14381" s="223" t="s">
        <v>164</v>
      </c>
      <c r="P14381" s="223"/>
      <c r="Q14381" s="224"/>
    </row>
    <row r="14382" spans="1:17" ht="30.75">
      <c r="A14382" s="221"/>
      <c r="B14382" s="222">
        <v>46212</v>
      </c>
      <c r="C14382" s="223" t="s">
        <v>298</v>
      </c>
      <c r="D14382" s="223" t="s">
        <v>655</v>
      </c>
      <c r="E14382" s="223" t="s">
        <v>338</v>
      </c>
      <c r="F14382" s="223">
        <v>2026</v>
      </c>
      <c r="G14382" s="223">
        <v>1.5</v>
      </c>
      <c r="H14382" s="223" t="s">
        <v>115</v>
      </c>
      <c r="I14382" s="226" t="s">
        <v>437</v>
      </c>
      <c r="J14382" s="223" t="s">
        <v>438</v>
      </c>
      <c r="K14382" s="223" t="s">
        <v>101</v>
      </c>
      <c r="L14382" s="223" t="s">
        <v>869</v>
      </c>
      <c r="M14382" s="223">
        <v>1.5</v>
      </c>
      <c r="N14382" s="223"/>
      <c r="O14382" s="223"/>
      <c r="P14382" s="223"/>
      <c r="Q14382" s="224"/>
    </row>
    <row r="14383" spans="1:17">
      <c r="A14383" s="221">
        <v>727</v>
      </c>
      <c r="B14383" s="222">
        <v>46212</v>
      </c>
      <c r="C14383" s="223" t="s">
        <v>298</v>
      </c>
      <c r="D14383" s="223" t="s">
        <v>827</v>
      </c>
      <c r="E14383" s="223" t="s">
        <v>338</v>
      </c>
      <c r="F14383" s="223">
        <v>2026</v>
      </c>
      <c r="G14383" s="223">
        <v>1.5</v>
      </c>
      <c r="H14383" s="223" t="s">
        <v>99</v>
      </c>
      <c r="I14383" s="226" t="s">
        <v>100</v>
      </c>
      <c r="J14383" s="223" t="s">
        <v>373</v>
      </c>
      <c r="K14383" s="223" t="s">
        <v>101</v>
      </c>
      <c r="L14383" s="223" t="s">
        <v>862</v>
      </c>
      <c r="M14383" s="223">
        <v>1.5</v>
      </c>
      <c r="N14383" s="223"/>
      <c r="O14383" s="223" t="s">
        <v>102</v>
      </c>
      <c r="P14383" s="223"/>
      <c r="Q14383" s="224"/>
    </row>
    <row r="14384" spans="1:17">
      <c r="A14384" s="221">
        <v>728</v>
      </c>
      <c r="B14384" s="222">
        <v>46212</v>
      </c>
      <c r="C14384" s="223" t="s">
        <v>298</v>
      </c>
      <c r="D14384" s="223"/>
      <c r="E14384" s="223" t="s">
        <v>338</v>
      </c>
      <c r="F14384" s="223">
        <v>2026</v>
      </c>
      <c r="G14384" s="223"/>
      <c r="H14384" s="223" t="s">
        <v>99</v>
      </c>
      <c r="I14384" s="226" t="s">
        <v>100</v>
      </c>
      <c r="J14384" s="223" t="s">
        <v>373</v>
      </c>
      <c r="K14384" s="223" t="s">
        <v>10</v>
      </c>
      <c r="L14384" s="223" t="s">
        <v>427</v>
      </c>
      <c r="M14384" s="223">
        <v>2.5</v>
      </c>
      <c r="N14384" s="223"/>
      <c r="O14384" s="223" t="s">
        <v>29</v>
      </c>
      <c r="P14384" s="223"/>
      <c r="Q14384" s="224"/>
    </row>
    <row r="14385" spans="1:17">
      <c r="A14385" s="221">
        <v>729</v>
      </c>
      <c r="B14385" s="222">
        <v>46212</v>
      </c>
      <c r="C14385" s="223" t="s">
        <v>298</v>
      </c>
      <c r="D14385" s="223" t="s">
        <v>467</v>
      </c>
      <c r="E14385" s="223" t="s">
        <v>338</v>
      </c>
      <c r="F14385" s="223">
        <v>2026</v>
      </c>
      <c r="G14385" s="223">
        <v>2.5</v>
      </c>
      <c r="H14385" s="223" t="s">
        <v>99</v>
      </c>
      <c r="I14385" s="226" t="s">
        <v>100</v>
      </c>
      <c r="J14385" s="223" t="s">
        <v>373</v>
      </c>
      <c r="K14385" s="223" t="s">
        <v>104</v>
      </c>
      <c r="L14385" s="223" t="s">
        <v>833</v>
      </c>
      <c r="M14385" s="223">
        <v>2.5</v>
      </c>
      <c r="N14385" s="223"/>
      <c r="O14385" s="223" t="s">
        <v>70</v>
      </c>
      <c r="P14385" s="223"/>
      <c r="Q14385" s="224"/>
    </row>
    <row r="14386" spans="1:17">
      <c r="A14386" s="221">
        <v>730</v>
      </c>
      <c r="B14386" s="222">
        <v>46212</v>
      </c>
      <c r="C14386" s="223" t="s">
        <v>298</v>
      </c>
      <c r="D14386" s="223" t="s">
        <v>430</v>
      </c>
      <c r="E14386" s="223" t="s">
        <v>338</v>
      </c>
      <c r="F14386" s="223">
        <v>2026</v>
      </c>
      <c r="G14386" s="223">
        <v>2.5</v>
      </c>
      <c r="H14386" s="223" t="s">
        <v>99</v>
      </c>
      <c r="I14386" s="226" t="s">
        <v>100</v>
      </c>
      <c r="J14386" s="223" t="s">
        <v>373</v>
      </c>
      <c r="K14386" s="223" t="s">
        <v>106</v>
      </c>
      <c r="L14386" s="223" t="s">
        <v>845</v>
      </c>
      <c r="M14386" s="223">
        <v>2.5</v>
      </c>
      <c r="N14386" s="223"/>
      <c r="O14386" s="223" t="s">
        <v>432</v>
      </c>
      <c r="P14386" s="223"/>
      <c r="Q14386" s="224"/>
    </row>
    <row r="14387" spans="1:17" ht="30.75">
      <c r="A14387" s="221"/>
      <c r="B14387" s="222">
        <v>46213</v>
      </c>
      <c r="C14387" s="223" t="s">
        <v>301</v>
      </c>
      <c r="D14387" s="223" t="s">
        <v>655</v>
      </c>
      <c r="E14387" s="223" t="s">
        <v>338</v>
      </c>
      <c r="F14387" s="223">
        <v>2026</v>
      </c>
      <c r="G14387" s="223">
        <v>1.5</v>
      </c>
      <c r="H14387" s="223" t="s">
        <v>115</v>
      </c>
      <c r="I14387" s="226" t="s">
        <v>437</v>
      </c>
      <c r="J14387" s="223" t="s">
        <v>438</v>
      </c>
      <c r="K14387" s="223" t="s">
        <v>101</v>
      </c>
      <c r="L14387" s="223" t="s">
        <v>876</v>
      </c>
      <c r="M14387" s="223">
        <v>1.5</v>
      </c>
      <c r="N14387" s="223"/>
      <c r="O14387" s="223"/>
      <c r="P14387" s="223"/>
      <c r="Q14387" s="224"/>
    </row>
    <row r="14388" spans="1:17" ht="30.75">
      <c r="A14388" s="221">
        <v>731</v>
      </c>
      <c r="B14388" s="222">
        <v>46216</v>
      </c>
      <c r="C14388" s="223" t="s">
        <v>302</v>
      </c>
      <c r="D14388" s="223" t="s">
        <v>972</v>
      </c>
      <c r="E14388" s="223" t="s">
        <v>338</v>
      </c>
      <c r="F14388" s="223">
        <v>2026</v>
      </c>
      <c r="G14388" s="223">
        <v>2</v>
      </c>
      <c r="H14388" s="223" t="s">
        <v>196</v>
      </c>
      <c r="I14388" s="226" t="s">
        <v>967</v>
      </c>
      <c r="J14388" s="223" t="s">
        <v>687</v>
      </c>
      <c r="K14388" s="223" t="s">
        <v>101</v>
      </c>
      <c r="L14388" s="223" t="s">
        <v>865</v>
      </c>
      <c r="M14388" s="223">
        <v>2</v>
      </c>
      <c r="N14388" s="223"/>
      <c r="O14388" s="223" t="s">
        <v>254</v>
      </c>
      <c r="P14388" s="223"/>
      <c r="Q14388" s="224"/>
    </row>
    <row r="14389" spans="1:17">
      <c r="A14389" s="221">
        <v>732</v>
      </c>
      <c r="B14389" s="222">
        <v>46216</v>
      </c>
      <c r="C14389" s="223" t="s">
        <v>302</v>
      </c>
      <c r="D14389" s="223" t="s">
        <v>638</v>
      </c>
      <c r="E14389" s="223" t="s">
        <v>338</v>
      </c>
      <c r="F14389" s="223">
        <v>2026</v>
      </c>
      <c r="G14389" s="223">
        <v>2.5</v>
      </c>
      <c r="H14389" s="223" t="s">
        <v>132</v>
      </c>
      <c r="I14389" s="226" t="s">
        <v>183</v>
      </c>
      <c r="J14389" s="223" t="s">
        <v>623</v>
      </c>
      <c r="K14389" s="223" t="s">
        <v>101</v>
      </c>
      <c r="L14389" s="223" t="s">
        <v>883</v>
      </c>
      <c r="M14389" s="223">
        <v>2.5</v>
      </c>
      <c r="N14389" s="223"/>
      <c r="O14389" s="223" t="s">
        <v>164</v>
      </c>
      <c r="P14389" s="223"/>
      <c r="Q14389" s="224"/>
    </row>
    <row r="14390" spans="1:17">
      <c r="A14390" s="221">
        <v>733</v>
      </c>
      <c r="B14390" s="222">
        <v>46216</v>
      </c>
      <c r="C14390" s="223" t="s">
        <v>302</v>
      </c>
      <c r="D14390" s="223" t="s">
        <v>430</v>
      </c>
      <c r="E14390" s="223" t="s">
        <v>338</v>
      </c>
      <c r="F14390" s="223">
        <v>2026</v>
      </c>
      <c r="G14390" s="223">
        <v>1.5</v>
      </c>
      <c r="H14390" s="223" t="s">
        <v>99</v>
      </c>
      <c r="I14390" s="226" t="s">
        <v>100</v>
      </c>
      <c r="J14390" s="223" t="s">
        <v>373</v>
      </c>
      <c r="K14390" s="223" t="s">
        <v>106</v>
      </c>
      <c r="L14390" s="223" t="s">
        <v>856</v>
      </c>
      <c r="M14390" s="223">
        <v>1.5</v>
      </c>
      <c r="N14390" s="223"/>
      <c r="O14390" s="223" t="s">
        <v>432</v>
      </c>
      <c r="P14390" s="223"/>
      <c r="Q14390" s="224"/>
    </row>
    <row r="14391" spans="1:17" ht="30.75">
      <c r="A14391" s="221">
        <v>734</v>
      </c>
      <c r="B14391" s="222">
        <v>46217</v>
      </c>
      <c r="C14391" s="223" t="s">
        <v>289</v>
      </c>
      <c r="D14391" s="223" t="s">
        <v>972</v>
      </c>
      <c r="E14391" s="223" t="s">
        <v>338</v>
      </c>
      <c r="F14391" s="223">
        <v>2026</v>
      </c>
      <c r="G14391" s="223">
        <v>2</v>
      </c>
      <c r="H14391" s="223" t="s">
        <v>196</v>
      </c>
      <c r="I14391" s="226" t="s">
        <v>967</v>
      </c>
      <c r="J14391" s="223" t="s">
        <v>687</v>
      </c>
      <c r="K14391" s="223" t="s">
        <v>101</v>
      </c>
      <c r="L14391" s="223" t="s">
        <v>868</v>
      </c>
      <c r="M14391" s="223">
        <v>2</v>
      </c>
      <c r="N14391" s="223"/>
      <c r="O14391" s="223" t="s">
        <v>254</v>
      </c>
      <c r="P14391" s="223"/>
      <c r="Q14391" s="224"/>
    </row>
    <row r="14392" spans="1:17" ht="30.75">
      <c r="A14392" s="221"/>
      <c r="B14392" s="222">
        <v>46217</v>
      </c>
      <c r="C14392" s="223" t="s">
        <v>289</v>
      </c>
      <c r="D14392" s="223" t="s">
        <v>524</v>
      </c>
      <c r="E14392" s="223" t="s">
        <v>338</v>
      </c>
      <c r="F14392" s="223">
        <v>2026</v>
      </c>
      <c r="G14392" s="223">
        <v>2.5</v>
      </c>
      <c r="H14392" s="223" t="s">
        <v>115</v>
      </c>
      <c r="I14392" s="226" t="s">
        <v>437</v>
      </c>
      <c r="J14392" s="223" t="s">
        <v>438</v>
      </c>
      <c r="K14392" s="223" t="s">
        <v>101</v>
      </c>
      <c r="L14392" s="223" t="s">
        <v>879</v>
      </c>
      <c r="M14392" s="223">
        <v>2.5</v>
      </c>
      <c r="N14392" s="223"/>
      <c r="O14392" s="223"/>
      <c r="P14392" s="223"/>
      <c r="Q14392" s="224"/>
    </row>
    <row r="14393" spans="1:17">
      <c r="A14393" s="221">
        <v>735</v>
      </c>
      <c r="B14393" s="222">
        <v>46217</v>
      </c>
      <c r="C14393" s="223" t="s">
        <v>289</v>
      </c>
      <c r="D14393" s="223" t="s">
        <v>456</v>
      </c>
      <c r="E14393" s="223" t="s">
        <v>338</v>
      </c>
      <c r="F14393" s="223">
        <v>2026</v>
      </c>
      <c r="G14393" s="223">
        <v>1.5</v>
      </c>
      <c r="H14393" s="223" t="s">
        <v>99</v>
      </c>
      <c r="I14393" s="226" t="s">
        <v>100</v>
      </c>
      <c r="J14393" s="223" t="s">
        <v>373</v>
      </c>
      <c r="K14393" s="223" t="s">
        <v>101</v>
      </c>
      <c r="L14393" s="223" t="s">
        <v>871</v>
      </c>
      <c r="M14393" s="223">
        <v>1.5</v>
      </c>
      <c r="N14393" s="223"/>
      <c r="O14393" s="223" t="s">
        <v>102</v>
      </c>
      <c r="P14393" s="223"/>
      <c r="Q14393" s="224"/>
    </row>
    <row r="14394" spans="1:17">
      <c r="A14394" s="221">
        <v>736</v>
      </c>
      <c r="B14394" s="222">
        <v>46217</v>
      </c>
      <c r="C14394" s="223" t="s">
        <v>289</v>
      </c>
      <c r="D14394" s="223" t="s">
        <v>532</v>
      </c>
      <c r="E14394" s="223" t="s">
        <v>338</v>
      </c>
      <c r="F14394" s="223">
        <v>2026</v>
      </c>
      <c r="G14394" s="223">
        <v>2.5</v>
      </c>
      <c r="H14394" s="223" t="s">
        <v>99</v>
      </c>
      <c r="I14394" s="226" t="s">
        <v>100</v>
      </c>
      <c r="J14394" s="223" t="s">
        <v>373</v>
      </c>
      <c r="K14394" s="223" t="s">
        <v>10</v>
      </c>
      <c r="L14394" s="223" t="s">
        <v>828</v>
      </c>
      <c r="M14394" s="223">
        <v>2.5</v>
      </c>
      <c r="N14394" s="223"/>
      <c r="O14394" s="223" t="s">
        <v>29</v>
      </c>
      <c r="P14394" s="223"/>
      <c r="Q14394" s="224"/>
    </row>
    <row r="14395" spans="1:17">
      <c r="A14395" s="221">
        <v>737</v>
      </c>
      <c r="B14395" s="222">
        <v>46218</v>
      </c>
      <c r="C14395" s="223" t="s">
        <v>294</v>
      </c>
      <c r="D14395" s="223" t="s">
        <v>638</v>
      </c>
      <c r="E14395" s="223" t="s">
        <v>338</v>
      </c>
      <c r="F14395" s="223">
        <v>2026</v>
      </c>
      <c r="G14395" s="223">
        <v>2.5</v>
      </c>
      <c r="H14395" s="223" t="s">
        <v>132</v>
      </c>
      <c r="I14395" s="226" t="s">
        <v>183</v>
      </c>
      <c r="J14395" s="223" t="s">
        <v>623</v>
      </c>
      <c r="K14395" s="223" t="s">
        <v>101</v>
      </c>
      <c r="L14395" s="223" t="s">
        <v>883</v>
      </c>
      <c r="M14395" s="223">
        <v>2.5</v>
      </c>
      <c r="N14395" s="223"/>
      <c r="O14395" s="223" t="s">
        <v>164</v>
      </c>
      <c r="P14395" s="223"/>
      <c r="Q14395" s="224"/>
    </row>
    <row r="14396" spans="1:17" ht="30.75">
      <c r="A14396" s="221">
        <v>738</v>
      </c>
      <c r="B14396" s="222">
        <v>46219</v>
      </c>
      <c r="C14396" s="223" t="s">
        <v>298</v>
      </c>
      <c r="D14396" s="223" t="s">
        <v>972</v>
      </c>
      <c r="E14396" s="223" t="s">
        <v>338</v>
      </c>
      <c r="F14396" s="223">
        <v>2026</v>
      </c>
      <c r="G14396" s="223">
        <v>2</v>
      </c>
      <c r="H14396" s="223" t="s">
        <v>196</v>
      </c>
      <c r="I14396" s="226" t="s">
        <v>967</v>
      </c>
      <c r="J14396" s="223" t="s">
        <v>687</v>
      </c>
      <c r="K14396" s="223" t="s">
        <v>101</v>
      </c>
      <c r="L14396" s="223" t="s">
        <v>875</v>
      </c>
      <c r="M14396" s="223">
        <v>2</v>
      </c>
      <c r="N14396" s="223"/>
      <c r="O14396" s="223" t="s">
        <v>254</v>
      </c>
      <c r="P14396" s="223"/>
      <c r="Q14396" s="224"/>
    </row>
    <row r="14397" spans="1:17" ht="30.75">
      <c r="A14397" s="221"/>
      <c r="B14397" s="222">
        <v>46219</v>
      </c>
      <c r="C14397" s="223" t="s">
        <v>298</v>
      </c>
      <c r="D14397" s="223" t="s">
        <v>655</v>
      </c>
      <c r="E14397" s="223" t="s">
        <v>338</v>
      </c>
      <c r="F14397" s="223">
        <v>2026</v>
      </c>
      <c r="G14397" s="223">
        <v>1.5</v>
      </c>
      <c r="H14397" s="223" t="s">
        <v>115</v>
      </c>
      <c r="I14397" s="226" t="s">
        <v>437</v>
      </c>
      <c r="J14397" s="223" t="s">
        <v>438</v>
      </c>
      <c r="K14397" s="223" t="s">
        <v>101</v>
      </c>
      <c r="L14397" s="223" t="s">
        <v>886</v>
      </c>
      <c r="M14397" s="223">
        <v>1.5</v>
      </c>
      <c r="N14397" s="223"/>
      <c r="O14397" s="223"/>
      <c r="P14397" s="223"/>
      <c r="Q14397" s="224"/>
    </row>
    <row r="14398" spans="1:17">
      <c r="A14398" s="221">
        <v>739</v>
      </c>
      <c r="B14398" s="222">
        <v>46219</v>
      </c>
      <c r="C14398" s="223" t="s">
        <v>298</v>
      </c>
      <c r="D14398" s="223" t="s">
        <v>456</v>
      </c>
      <c r="E14398" s="223" t="s">
        <v>338</v>
      </c>
      <c r="F14398" s="223">
        <v>2026</v>
      </c>
      <c r="G14398" s="223">
        <v>1.5</v>
      </c>
      <c r="H14398" s="223" t="s">
        <v>99</v>
      </c>
      <c r="I14398" s="226" t="s">
        <v>100</v>
      </c>
      <c r="J14398" s="223" t="s">
        <v>373</v>
      </c>
      <c r="K14398" s="223" t="s">
        <v>101</v>
      </c>
      <c r="L14398" s="223" t="s">
        <v>877</v>
      </c>
      <c r="M14398" s="223">
        <v>1.5</v>
      </c>
      <c r="N14398" s="223"/>
      <c r="O14398" s="223" t="s">
        <v>102</v>
      </c>
      <c r="P14398" s="223"/>
      <c r="Q14398" s="224"/>
    </row>
    <row r="14399" spans="1:17">
      <c r="A14399" s="221">
        <v>740</v>
      </c>
      <c r="B14399" s="222">
        <v>46219</v>
      </c>
      <c r="C14399" s="223" t="s">
        <v>298</v>
      </c>
      <c r="D14399" s="223" t="s">
        <v>532</v>
      </c>
      <c r="E14399" s="223" t="s">
        <v>338</v>
      </c>
      <c r="F14399" s="223">
        <v>2026</v>
      </c>
      <c r="G14399" s="223">
        <v>2.5</v>
      </c>
      <c r="H14399" s="223" t="s">
        <v>99</v>
      </c>
      <c r="I14399" s="226" t="s">
        <v>100</v>
      </c>
      <c r="J14399" s="223" t="s">
        <v>373</v>
      </c>
      <c r="K14399" s="223" t="s">
        <v>10</v>
      </c>
      <c r="L14399" s="223" t="s">
        <v>833</v>
      </c>
      <c r="M14399" s="223">
        <v>2.5</v>
      </c>
      <c r="N14399" s="223"/>
      <c r="O14399" s="223" t="s">
        <v>29</v>
      </c>
      <c r="P14399" s="223"/>
      <c r="Q14399" s="224"/>
    </row>
    <row r="14400" spans="1:17">
      <c r="A14400" s="221">
        <v>741</v>
      </c>
      <c r="B14400" s="222">
        <v>46219</v>
      </c>
      <c r="C14400" s="223" t="s">
        <v>298</v>
      </c>
      <c r="D14400" s="223" t="s">
        <v>467</v>
      </c>
      <c r="E14400" s="223" t="s">
        <v>338</v>
      </c>
      <c r="F14400" s="223">
        <v>2026</v>
      </c>
      <c r="G14400" s="223">
        <v>2.5</v>
      </c>
      <c r="H14400" s="223" t="s">
        <v>99</v>
      </c>
      <c r="I14400" s="226" t="s">
        <v>100</v>
      </c>
      <c r="J14400" s="223" t="s">
        <v>373</v>
      </c>
      <c r="K14400" s="223" t="s">
        <v>104</v>
      </c>
      <c r="L14400" s="223" t="s">
        <v>845</v>
      </c>
      <c r="M14400" s="223">
        <v>2.5</v>
      </c>
      <c r="N14400" s="223"/>
      <c r="O14400" s="223" t="s">
        <v>70</v>
      </c>
      <c r="P14400" s="223"/>
      <c r="Q14400" s="224"/>
    </row>
    <row r="14401" spans="1:17">
      <c r="A14401" s="221">
        <v>742</v>
      </c>
      <c r="B14401" s="222">
        <v>46219</v>
      </c>
      <c r="C14401" s="223" t="s">
        <v>298</v>
      </c>
      <c r="D14401" s="223" t="s">
        <v>430</v>
      </c>
      <c r="E14401" s="223" t="s">
        <v>338</v>
      </c>
      <c r="F14401" s="223">
        <v>2026</v>
      </c>
      <c r="G14401" s="223">
        <v>1.5</v>
      </c>
      <c r="H14401" s="223" t="s">
        <v>99</v>
      </c>
      <c r="I14401" s="226" t="s">
        <v>100</v>
      </c>
      <c r="J14401" s="223" t="s">
        <v>373</v>
      </c>
      <c r="K14401" s="223" t="s">
        <v>106</v>
      </c>
      <c r="L14401" s="223" t="s">
        <v>862</v>
      </c>
      <c r="M14401" s="223">
        <v>1.5</v>
      </c>
      <c r="N14401" s="223"/>
      <c r="O14401" s="223" t="s">
        <v>432</v>
      </c>
      <c r="P14401" s="223"/>
      <c r="Q14401" s="224"/>
    </row>
    <row r="14402" spans="1:17" ht="30.75">
      <c r="A14402" s="221"/>
      <c r="B14402" s="222">
        <v>46220</v>
      </c>
      <c r="C14402" s="223" t="s">
        <v>301</v>
      </c>
      <c r="D14402" s="223" t="s">
        <v>655</v>
      </c>
      <c r="E14402" s="223" t="s">
        <v>338</v>
      </c>
      <c r="F14402" s="223">
        <v>2026</v>
      </c>
      <c r="G14402" s="223">
        <v>1.5</v>
      </c>
      <c r="H14402" s="223" t="s">
        <v>115</v>
      </c>
      <c r="I14402" s="226" t="s">
        <v>437</v>
      </c>
      <c r="J14402" s="223" t="s">
        <v>438</v>
      </c>
      <c r="K14402" s="223" t="s">
        <v>101</v>
      </c>
      <c r="L14402" s="223" t="s">
        <v>893</v>
      </c>
      <c r="M14402" s="223">
        <v>1.5</v>
      </c>
      <c r="N14402" s="223"/>
      <c r="O14402" s="223"/>
      <c r="P14402" s="223"/>
      <c r="Q14402" s="224"/>
    </row>
    <row r="14403" spans="1:17" ht="30.75">
      <c r="A14403" s="221">
        <v>743</v>
      </c>
      <c r="B14403" s="222">
        <v>46223</v>
      </c>
      <c r="C14403" s="223" t="s">
        <v>302</v>
      </c>
      <c r="D14403" s="223" t="s">
        <v>972</v>
      </c>
      <c r="E14403" s="223" t="s">
        <v>338</v>
      </c>
      <c r="F14403" s="223">
        <v>2026</v>
      </c>
      <c r="G14403" s="223">
        <v>2</v>
      </c>
      <c r="H14403" s="223" t="s">
        <v>196</v>
      </c>
      <c r="I14403" s="226" t="s">
        <v>967</v>
      </c>
      <c r="J14403" s="223" t="s">
        <v>687</v>
      </c>
      <c r="K14403" s="223" t="s">
        <v>101</v>
      </c>
      <c r="L14403" s="223" t="s">
        <v>882</v>
      </c>
      <c r="M14403" s="223">
        <v>2</v>
      </c>
      <c r="N14403" s="223"/>
      <c r="O14403" s="223" t="s">
        <v>254</v>
      </c>
      <c r="P14403" s="223"/>
      <c r="Q14403" s="224"/>
    </row>
    <row r="14404" spans="1:17">
      <c r="A14404" s="221">
        <v>744</v>
      </c>
      <c r="B14404" s="222">
        <v>46223</v>
      </c>
      <c r="C14404" s="223" t="s">
        <v>302</v>
      </c>
      <c r="D14404" s="223" t="s">
        <v>638</v>
      </c>
      <c r="E14404" s="223" t="s">
        <v>338</v>
      </c>
      <c r="F14404" s="223">
        <v>2026</v>
      </c>
      <c r="G14404" s="223">
        <v>2.5</v>
      </c>
      <c r="H14404" s="223" t="s">
        <v>132</v>
      </c>
      <c r="I14404" s="226" t="s">
        <v>183</v>
      </c>
      <c r="J14404" s="223" t="s">
        <v>623</v>
      </c>
      <c r="K14404" s="223" t="s">
        <v>101</v>
      </c>
      <c r="L14404" s="223" t="s">
        <v>891</v>
      </c>
      <c r="M14404" s="223">
        <v>2.5</v>
      </c>
      <c r="N14404" s="223"/>
      <c r="O14404" s="223" t="s">
        <v>164</v>
      </c>
      <c r="P14404" s="223"/>
      <c r="Q14404" s="224"/>
    </row>
    <row r="14405" spans="1:17" ht="30.75">
      <c r="A14405" s="221">
        <v>745</v>
      </c>
      <c r="B14405" s="222">
        <v>46224</v>
      </c>
      <c r="C14405" s="223" t="s">
        <v>289</v>
      </c>
      <c r="D14405" s="223" t="s">
        <v>972</v>
      </c>
      <c r="E14405" s="223" t="s">
        <v>338</v>
      </c>
      <c r="F14405" s="223">
        <v>2026</v>
      </c>
      <c r="G14405" s="223">
        <v>2</v>
      </c>
      <c r="H14405" s="223" t="s">
        <v>196</v>
      </c>
      <c r="I14405" s="226" t="s">
        <v>967</v>
      </c>
      <c r="J14405" s="223" t="s">
        <v>687</v>
      </c>
      <c r="K14405" s="223" t="s">
        <v>101</v>
      </c>
      <c r="L14405" s="223" t="s">
        <v>885</v>
      </c>
      <c r="M14405" s="223">
        <v>2</v>
      </c>
      <c r="N14405" s="223"/>
      <c r="O14405" s="223" t="s">
        <v>254</v>
      </c>
      <c r="P14405" s="223"/>
      <c r="Q14405" s="224"/>
    </row>
    <row r="14406" spans="1:17" ht="30.75">
      <c r="A14406" s="221"/>
      <c r="B14406" s="222">
        <v>46224</v>
      </c>
      <c r="C14406" s="223" t="s">
        <v>289</v>
      </c>
      <c r="D14406" s="223" t="s">
        <v>524</v>
      </c>
      <c r="E14406" s="223" t="s">
        <v>338</v>
      </c>
      <c r="F14406" s="223">
        <v>2026</v>
      </c>
      <c r="G14406" s="223">
        <v>2.5</v>
      </c>
      <c r="H14406" s="223" t="s">
        <v>115</v>
      </c>
      <c r="I14406" s="226" t="s">
        <v>437</v>
      </c>
      <c r="J14406" s="223" t="s">
        <v>438</v>
      </c>
      <c r="K14406" s="223" t="s">
        <v>101</v>
      </c>
      <c r="L14406" s="223" t="s">
        <v>896</v>
      </c>
      <c r="M14406" s="223">
        <v>2.5</v>
      </c>
      <c r="N14406" s="223"/>
      <c r="O14406" s="223"/>
      <c r="P14406" s="223"/>
      <c r="Q14406" s="224"/>
    </row>
    <row r="14407" spans="1:17">
      <c r="A14407" s="221">
        <v>746</v>
      </c>
      <c r="B14407" s="222">
        <v>46224</v>
      </c>
      <c r="C14407" s="223" t="s">
        <v>289</v>
      </c>
      <c r="D14407" s="223"/>
      <c r="E14407" s="223" t="s">
        <v>338</v>
      </c>
      <c r="F14407" s="223">
        <v>2026</v>
      </c>
      <c r="G14407" s="223">
        <v>2.5</v>
      </c>
      <c r="H14407" s="223" t="s">
        <v>99</v>
      </c>
      <c r="I14407" s="226" t="s">
        <v>100</v>
      </c>
      <c r="J14407" s="223" t="s">
        <v>373</v>
      </c>
      <c r="K14407" s="223" t="s">
        <v>101</v>
      </c>
      <c r="L14407" s="223" t="s">
        <v>888</v>
      </c>
      <c r="M14407" s="223">
        <v>2.5</v>
      </c>
      <c r="N14407" s="223"/>
      <c r="O14407" s="223" t="s">
        <v>102</v>
      </c>
      <c r="P14407" s="223"/>
      <c r="Q14407" s="224"/>
    </row>
    <row r="14408" spans="1:17">
      <c r="A14408" s="221">
        <v>747</v>
      </c>
      <c r="B14408" s="222">
        <v>46224</v>
      </c>
      <c r="C14408" s="223" t="s">
        <v>289</v>
      </c>
      <c r="D14408" s="223" t="s">
        <v>532</v>
      </c>
      <c r="E14408" s="223" t="s">
        <v>338</v>
      </c>
      <c r="F14408" s="223">
        <v>2026</v>
      </c>
      <c r="G14408" s="223">
        <v>2.5</v>
      </c>
      <c r="H14408" s="223" t="s">
        <v>99</v>
      </c>
      <c r="I14408" s="226" t="s">
        <v>100</v>
      </c>
      <c r="J14408" s="223" t="s">
        <v>373</v>
      </c>
      <c r="K14408" s="223" t="s">
        <v>10</v>
      </c>
      <c r="L14408" s="223" t="s">
        <v>845</v>
      </c>
      <c r="M14408" s="223">
        <v>1.5</v>
      </c>
      <c r="N14408" s="223"/>
      <c r="O14408" s="223" t="s">
        <v>29</v>
      </c>
      <c r="P14408" s="223"/>
      <c r="Q14408" s="224"/>
    </row>
    <row r="14409" spans="1:17">
      <c r="A14409" s="221">
        <v>748</v>
      </c>
      <c r="B14409" s="222">
        <v>46224</v>
      </c>
      <c r="C14409" s="223" t="s">
        <v>289</v>
      </c>
      <c r="D14409" s="223" t="s">
        <v>467</v>
      </c>
      <c r="E14409" s="223" t="s">
        <v>338</v>
      </c>
      <c r="F14409" s="223">
        <v>2026</v>
      </c>
      <c r="G14409" s="223">
        <v>2.5</v>
      </c>
      <c r="H14409" s="223" t="s">
        <v>99</v>
      </c>
      <c r="I14409" s="226" t="s">
        <v>100</v>
      </c>
      <c r="J14409" s="223" t="s">
        <v>373</v>
      </c>
      <c r="K14409" s="223" t="s">
        <v>104</v>
      </c>
      <c r="L14409" s="223" t="s">
        <v>856</v>
      </c>
      <c r="M14409" s="223">
        <v>2.5</v>
      </c>
      <c r="N14409" s="223"/>
      <c r="O14409" s="223" t="s">
        <v>70</v>
      </c>
      <c r="P14409" s="223"/>
      <c r="Q14409" s="224"/>
    </row>
    <row r="14410" spans="1:17">
      <c r="A14410" s="221">
        <v>749</v>
      </c>
      <c r="B14410" s="222">
        <v>46224</v>
      </c>
      <c r="C14410" s="223" t="s">
        <v>289</v>
      </c>
      <c r="D14410" s="223" t="s">
        <v>430</v>
      </c>
      <c r="E14410" s="223" t="s">
        <v>338</v>
      </c>
      <c r="F14410" s="223">
        <v>2026</v>
      </c>
      <c r="G14410" s="223">
        <v>1.5</v>
      </c>
      <c r="H14410" s="223" t="s">
        <v>99</v>
      </c>
      <c r="I14410" s="226" t="s">
        <v>100</v>
      </c>
      <c r="J14410" s="223" t="s">
        <v>373</v>
      </c>
      <c r="K14410" s="223" t="s">
        <v>106</v>
      </c>
      <c r="L14410" s="223" t="s">
        <v>871</v>
      </c>
      <c r="M14410" s="223">
        <v>1.5</v>
      </c>
      <c r="N14410" s="223"/>
      <c r="O14410" s="223" t="s">
        <v>432</v>
      </c>
      <c r="P14410" s="223"/>
      <c r="Q14410" s="224"/>
    </row>
    <row r="14411" spans="1:17">
      <c r="A14411" s="221">
        <v>750</v>
      </c>
      <c r="B14411" s="222">
        <v>46225</v>
      </c>
      <c r="C14411" s="223" t="s">
        <v>294</v>
      </c>
      <c r="D14411" s="223" t="s">
        <v>638</v>
      </c>
      <c r="E14411" s="223" t="s">
        <v>338</v>
      </c>
      <c r="F14411" s="223">
        <v>2026</v>
      </c>
      <c r="G14411" s="223">
        <v>2.5</v>
      </c>
      <c r="H14411" s="223" t="s">
        <v>132</v>
      </c>
      <c r="I14411" s="226" t="s">
        <v>183</v>
      </c>
      <c r="J14411" s="223" t="s">
        <v>623</v>
      </c>
      <c r="K14411" s="223" t="s">
        <v>101</v>
      </c>
      <c r="L14411" s="223" t="s">
        <v>891</v>
      </c>
      <c r="M14411" s="223">
        <v>2.5</v>
      </c>
      <c r="N14411" s="223"/>
      <c r="O14411" s="223" t="s">
        <v>164</v>
      </c>
      <c r="P14411" s="223"/>
      <c r="Q14411" s="224"/>
    </row>
    <row r="14412" spans="1:17">
      <c r="A14412" s="221">
        <v>751</v>
      </c>
      <c r="B14412" s="222">
        <v>46225</v>
      </c>
      <c r="C14412" s="223" t="s">
        <v>294</v>
      </c>
      <c r="D14412" s="223" t="s">
        <v>430</v>
      </c>
      <c r="E14412" s="223" t="s">
        <v>338</v>
      </c>
      <c r="F14412" s="223">
        <v>2026</v>
      </c>
      <c r="G14412" s="223">
        <v>1.5</v>
      </c>
      <c r="H14412" s="223" t="s">
        <v>99</v>
      </c>
      <c r="I14412" s="226" t="s">
        <v>100</v>
      </c>
      <c r="J14412" s="223" t="s">
        <v>373</v>
      </c>
      <c r="K14412" s="223" t="s">
        <v>106</v>
      </c>
      <c r="L14412" s="223" t="s">
        <v>877</v>
      </c>
      <c r="M14412" s="223">
        <v>1.5</v>
      </c>
      <c r="N14412" s="223"/>
      <c r="O14412" s="223" t="s">
        <v>432</v>
      </c>
      <c r="P14412" s="223"/>
      <c r="Q14412" s="224"/>
    </row>
    <row r="14413" spans="1:17" ht="30.75">
      <c r="A14413" s="221"/>
      <c r="B14413" s="222">
        <v>46226</v>
      </c>
      <c r="C14413" s="223" t="s">
        <v>298</v>
      </c>
      <c r="D14413" s="223" t="s">
        <v>524</v>
      </c>
      <c r="E14413" s="223" t="s">
        <v>338</v>
      </c>
      <c r="F14413" s="223">
        <v>2026</v>
      </c>
      <c r="G14413" s="223">
        <v>2.5</v>
      </c>
      <c r="H14413" s="223" t="s">
        <v>115</v>
      </c>
      <c r="I14413" s="226" t="s">
        <v>437</v>
      </c>
      <c r="J14413" s="223" t="s">
        <v>438</v>
      </c>
      <c r="K14413" s="223" t="s">
        <v>101</v>
      </c>
      <c r="L14413" s="223" t="s">
        <v>901</v>
      </c>
      <c r="M14413" s="223">
        <v>2.5</v>
      </c>
      <c r="N14413" s="223"/>
      <c r="O14413" s="223"/>
      <c r="P14413" s="223"/>
      <c r="Q14413" s="224"/>
    </row>
    <row r="14414" spans="1:17">
      <c r="A14414" s="221">
        <v>752</v>
      </c>
      <c r="B14414" s="222">
        <v>46226</v>
      </c>
      <c r="C14414" s="223" t="s">
        <v>298</v>
      </c>
      <c r="D14414" s="223"/>
      <c r="E14414" s="223" t="s">
        <v>338</v>
      </c>
      <c r="F14414" s="223">
        <v>2026</v>
      </c>
      <c r="G14414" s="223">
        <v>2.5</v>
      </c>
      <c r="H14414" s="223" t="s">
        <v>99</v>
      </c>
      <c r="I14414" s="226" t="s">
        <v>100</v>
      </c>
      <c r="J14414" s="223" t="s">
        <v>373</v>
      </c>
      <c r="K14414" s="223" t="s">
        <v>101</v>
      </c>
      <c r="L14414" s="223" t="s">
        <v>888</v>
      </c>
      <c r="M14414" s="223">
        <v>2.5</v>
      </c>
      <c r="N14414" s="223"/>
      <c r="O14414" s="223" t="s">
        <v>102</v>
      </c>
      <c r="P14414" s="223"/>
      <c r="Q14414" s="224"/>
    </row>
    <row r="14415" spans="1:17">
      <c r="A14415" s="221">
        <v>753</v>
      </c>
      <c r="B14415" s="222">
        <v>46226</v>
      </c>
      <c r="C14415" s="223" t="s">
        <v>298</v>
      </c>
      <c r="D14415" s="223" t="s">
        <v>532</v>
      </c>
      <c r="E14415" s="223" t="s">
        <v>338</v>
      </c>
      <c r="F14415" s="223">
        <v>2026</v>
      </c>
      <c r="G14415" s="223">
        <v>1.5</v>
      </c>
      <c r="H14415" s="223" t="s">
        <v>99</v>
      </c>
      <c r="I14415" s="226" t="s">
        <v>100</v>
      </c>
      <c r="J14415" s="223" t="s">
        <v>373</v>
      </c>
      <c r="K14415" s="223" t="s">
        <v>10</v>
      </c>
      <c r="L14415" s="223" t="s">
        <v>856</v>
      </c>
      <c r="M14415" s="223">
        <v>1.5</v>
      </c>
      <c r="N14415" s="223"/>
      <c r="O14415" s="223" t="s">
        <v>29</v>
      </c>
      <c r="P14415" s="223"/>
      <c r="Q14415" s="224"/>
    </row>
    <row r="14416" spans="1:17">
      <c r="A14416" s="221">
        <v>754</v>
      </c>
      <c r="B14416" s="222">
        <v>46226</v>
      </c>
      <c r="C14416" s="223" t="s">
        <v>298</v>
      </c>
      <c r="D14416" s="223" t="s">
        <v>467</v>
      </c>
      <c r="E14416" s="223" t="s">
        <v>338</v>
      </c>
      <c r="F14416" s="223">
        <v>2026</v>
      </c>
      <c r="G14416" s="223">
        <v>1.5</v>
      </c>
      <c r="H14416" s="223" t="s">
        <v>99</v>
      </c>
      <c r="I14416" s="226" t="s">
        <v>100</v>
      </c>
      <c r="J14416" s="223" t="s">
        <v>373</v>
      </c>
      <c r="K14416" s="223" t="s">
        <v>104</v>
      </c>
      <c r="L14416" s="223" t="s">
        <v>862</v>
      </c>
      <c r="M14416" s="223">
        <v>1.5</v>
      </c>
      <c r="N14416" s="223"/>
      <c r="O14416" s="223" t="s">
        <v>70</v>
      </c>
      <c r="P14416" s="223"/>
      <c r="Q14416" s="224"/>
    </row>
    <row r="14417" spans="1:17" ht="30.75">
      <c r="A14417" s="221"/>
      <c r="B14417" s="222">
        <v>46227</v>
      </c>
      <c r="C14417" s="223" t="s">
        <v>301</v>
      </c>
      <c r="D14417" s="223" t="s">
        <v>972</v>
      </c>
      <c r="E14417" s="223" t="s">
        <v>338</v>
      </c>
      <c r="F14417" s="223">
        <v>2026</v>
      </c>
      <c r="G14417" s="223">
        <v>2</v>
      </c>
      <c r="H14417" s="223" t="s">
        <v>196</v>
      </c>
      <c r="I14417" s="226" t="s">
        <v>967</v>
      </c>
      <c r="J14417" s="223" t="s">
        <v>687</v>
      </c>
      <c r="K14417" s="223" t="s">
        <v>101</v>
      </c>
      <c r="L14417" s="223" t="s">
        <v>746</v>
      </c>
      <c r="M14417" s="223">
        <v>2</v>
      </c>
      <c r="N14417" s="223"/>
      <c r="O14417" s="223"/>
      <c r="P14417" s="223"/>
      <c r="Q14417" s="224"/>
    </row>
    <row r="14418" spans="1:17" ht="30.75">
      <c r="A14418" s="221"/>
      <c r="B14418" s="222">
        <v>46227</v>
      </c>
      <c r="C14418" s="223" t="s">
        <v>301</v>
      </c>
      <c r="D14418" s="223" t="s">
        <v>895</v>
      </c>
      <c r="E14418" s="223" t="s">
        <v>338</v>
      </c>
      <c r="F14418" s="223">
        <v>2026</v>
      </c>
      <c r="G14418" s="223">
        <v>3</v>
      </c>
      <c r="H14418" s="223" t="s">
        <v>115</v>
      </c>
      <c r="I14418" s="226" t="s">
        <v>437</v>
      </c>
      <c r="J14418" s="223" t="s">
        <v>438</v>
      </c>
      <c r="K14418" s="223" t="s">
        <v>101</v>
      </c>
      <c r="L14418" s="223" t="s">
        <v>998</v>
      </c>
      <c r="M14418" s="223">
        <v>3</v>
      </c>
      <c r="N14418" s="223"/>
      <c r="O14418" s="223"/>
      <c r="P14418" s="223"/>
      <c r="Q14418" s="224"/>
    </row>
    <row r="14419" spans="1:17" ht="30.75">
      <c r="A14419" s="221">
        <v>755</v>
      </c>
      <c r="B14419" s="222">
        <v>46230</v>
      </c>
      <c r="C14419" s="223" t="s">
        <v>302</v>
      </c>
      <c r="D14419" s="223" t="s">
        <v>972</v>
      </c>
      <c r="E14419" s="223" t="s">
        <v>338</v>
      </c>
      <c r="F14419" s="223">
        <v>2026</v>
      </c>
      <c r="G14419" s="223">
        <v>2</v>
      </c>
      <c r="H14419" s="223" t="s">
        <v>196</v>
      </c>
      <c r="I14419" s="226" t="s">
        <v>967</v>
      </c>
      <c r="J14419" s="223" t="s">
        <v>687</v>
      </c>
      <c r="K14419" s="223" t="s">
        <v>101</v>
      </c>
      <c r="L14419" s="223" t="s">
        <v>898</v>
      </c>
      <c r="M14419" s="223">
        <v>2</v>
      </c>
      <c r="N14419" s="223"/>
      <c r="O14419" s="223" t="s">
        <v>254</v>
      </c>
      <c r="P14419" s="223"/>
      <c r="Q14419" s="224"/>
    </row>
    <row r="14420" spans="1:17">
      <c r="A14420" s="221">
        <v>756</v>
      </c>
      <c r="B14420" s="222">
        <v>46230</v>
      </c>
      <c r="C14420" s="223" t="s">
        <v>302</v>
      </c>
      <c r="D14420" s="223" t="s">
        <v>638</v>
      </c>
      <c r="E14420" s="223" t="s">
        <v>338</v>
      </c>
      <c r="F14420" s="223">
        <v>2026</v>
      </c>
      <c r="G14420" s="223">
        <v>2.5</v>
      </c>
      <c r="H14420" s="223" t="s">
        <v>132</v>
      </c>
      <c r="I14420" s="226" t="s">
        <v>183</v>
      </c>
      <c r="J14420" s="223" t="s">
        <v>623</v>
      </c>
      <c r="K14420" s="223" t="s">
        <v>101</v>
      </c>
      <c r="L14420" s="223" t="s">
        <v>903</v>
      </c>
      <c r="M14420" s="223">
        <v>2.5</v>
      </c>
      <c r="N14420" s="223"/>
      <c r="O14420" s="223" t="s">
        <v>164</v>
      </c>
      <c r="P14420" s="223"/>
      <c r="Q14420" s="224"/>
    </row>
    <row r="14421" spans="1:17" ht="30.75">
      <c r="A14421" s="221">
        <v>757</v>
      </c>
      <c r="B14421" s="222">
        <v>46231</v>
      </c>
      <c r="C14421" s="223" t="s">
        <v>289</v>
      </c>
      <c r="D14421" s="223" t="s">
        <v>972</v>
      </c>
      <c r="E14421" s="223" t="s">
        <v>338</v>
      </c>
      <c r="F14421" s="223">
        <v>2026</v>
      </c>
      <c r="G14421" s="223">
        <v>2</v>
      </c>
      <c r="H14421" s="223" t="s">
        <v>196</v>
      </c>
      <c r="I14421" s="226" t="s">
        <v>967</v>
      </c>
      <c r="J14421" s="223" t="s">
        <v>687</v>
      </c>
      <c r="K14421" s="223" t="s">
        <v>101</v>
      </c>
      <c r="L14421" s="223" t="s">
        <v>900</v>
      </c>
      <c r="M14421" s="223">
        <v>2</v>
      </c>
      <c r="N14421" s="223"/>
      <c r="O14421" s="223" t="s">
        <v>254</v>
      </c>
      <c r="P14421" s="223"/>
      <c r="Q14421" s="224"/>
    </row>
    <row r="14422" spans="1:17" ht="30.75">
      <c r="A14422" s="221"/>
      <c r="B14422" s="222">
        <v>46231</v>
      </c>
      <c r="C14422" s="223" t="s">
        <v>289</v>
      </c>
      <c r="D14422" s="223" t="s">
        <v>655</v>
      </c>
      <c r="E14422" s="223" t="s">
        <v>338</v>
      </c>
      <c r="F14422" s="223">
        <v>2026</v>
      </c>
      <c r="G14422" s="223">
        <v>1.5</v>
      </c>
      <c r="H14422" s="223" t="s">
        <v>115</v>
      </c>
      <c r="I14422" s="226" t="s">
        <v>437</v>
      </c>
      <c r="J14422" s="223" t="s">
        <v>438</v>
      </c>
      <c r="K14422" s="223" t="s">
        <v>101</v>
      </c>
      <c r="L14422" s="223" t="s">
        <v>910</v>
      </c>
      <c r="M14422" s="223">
        <v>1.5</v>
      </c>
      <c r="N14422" s="223"/>
      <c r="O14422" s="223"/>
      <c r="P14422" s="223"/>
      <c r="Q14422" s="224"/>
    </row>
    <row r="14423" spans="1:17">
      <c r="A14423" s="221">
        <v>758</v>
      </c>
      <c r="B14423" s="222">
        <v>46231</v>
      </c>
      <c r="C14423" s="223" t="s">
        <v>289</v>
      </c>
      <c r="D14423" s="223" t="s">
        <v>532</v>
      </c>
      <c r="E14423" s="223" t="s">
        <v>338</v>
      </c>
      <c r="F14423" s="223">
        <v>2026</v>
      </c>
      <c r="G14423" s="223">
        <v>1.5</v>
      </c>
      <c r="H14423" s="223" t="s">
        <v>99</v>
      </c>
      <c r="I14423" s="226" t="s">
        <v>100</v>
      </c>
      <c r="J14423" s="223" t="s">
        <v>373</v>
      </c>
      <c r="K14423" s="223" t="s">
        <v>10</v>
      </c>
      <c r="L14423" s="223" t="s">
        <v>862</v>
      </c>
      <c r="M14423" s="223">
        <v>1.5</v>
      </c>
      <c r="N14423" s="223"/>
      <c r="O14423" s="223" t="s">
        <v>29</v>
      </c>
      <c r="P14423" s="223"/>
      <c r="Q14423" s="224"/>
    </row>
    <row r="14424" spans="1:17">
      <c r="A14424" s="221"/>
      <c r="B14424" s="222">
        <v>46231</v>
      </c>
      <c r="C14424" s="223" t="s">
        <v>289</v>
      </c>
      <c r="D14424" s="223"/>
      <c r="E14424" s="223" t="s">
        <v>338</v>
      </c>
      <c r="F14424" s="223">
        <v>2026</v>
      </c>
      <c r="G14424" s="223">
        <v>1.5</v>
      </c>
      <c r="H14424" s="223" t="s">
        <v>99</v>
      </c>
      <c r="I14424" s="226" t="s">
        <v>100</v>
      </c>
      <c r="J14424" s="223" t="s">
        <v>373</v>
      </c>
      <c r="K14424" s="223" t="s">
        <v>104</v>
      </c>
      <c r="L14424" s="223" t="s">
        <v>427</v>
      </c>
      <c r="M14424" s="223">
        <v>1.5</v>
      </c>
      <c r="N14424" s="223"/>
      <c r="O14424" s="223"/>
      <c r="P14424" s="223"/>
      <c r="Q14424" s="224"/>
    </row>
    <row r="14425" spans="1:17">
      <c r="A14425" s="221"/>
      <c r="B14425" s="222">
        <v>46231</v>
      </c>
      <c r="C14425" s="223" t="s">
        <v>289</v>
      </c>
      <c r="D14425" s="223"/>
      <c r="E14425" s="223" t="s">
        <v>338</v>
      </c>
      <c r="F14425" s="223">
        <v>2026</v>
      </c>
      <c r="G14425" s="223">
        <v>2.5</v>
      </c>
      <c r="H14425" s="223" t="s">
        <v>99</v>
      </c>
      <c r="I14425" s="226" t="s">
        <v>100</v>
      </c>
      <c r="J14425" s="223" t="s">
        <v>373</v>
      </c>
      <c r="K14425" s="223" t="s">
        <v>106</v>
      </c>
      <c r="L14425" s="223" t="s">
        <v>888</v>
      </c>
      <c r="M14425" s="223">
        <v>2.5</v>
      </c>
      <c r="N14425" s="223"/>
      <c r="O14425" s="223"/>
      <c r="P14425" s="223"/>
      <c r="Q14425" s="224"/>
    </row>
    <row r="14426" spans="1:17">
      <c r="A14426" s="221">
        <v>759</v>
      </c>
      <c r="B14426" s="222">
        <v>46232</v>
      </c>
      <c r="C14426" s="223" t="s">
        <v>294</v>
      </c>
      <c r="D14426" s="223" t="s">
        <v>638</v>
      </c>
      <c r="E14426" s="223" t="s">
        <v>338</v>
      </c>
      <c r="F14426" s="223">
        <v>2026</v>
      </c>
      <c r="G14426" s="223">
        <v>2.5</v>
      </c>
      <c r="H14426" s="223" t="s">
        <v>132</v>
      </c>
      <c r="I14426" s="226" t="s">
        <v>183</v>
      </c>
      <c r="J14426" s="223" t="s">
        <v>623</v>
      </c>
      <c r="K14426" s="223" t="s">
        <v>101</v>
      </c>
      <c r="L14426" s="223" t="s">
        <v>907</v>
      </c>
      <c r="M14426" s="223">
        <v>2.5</v>
      </c>
      <c r="N14426" s="223"/>
      <c r="O14426" s="223" t="s">
        <v>164</v>
      </c>
      <c r="P14426" s="223"/>
      <c r="Q14426" s="224"/>
    </row>
    <row r="14427" spans="1:17">
      <c r="A14427" s="221">
        <v>760</v>
      </c>
      <c r="B14427" s="222">
        <v>46233</v>
      </c>
      <c r="C14427" s="223" t="s">
        <v>298</v>
      </c>
      <c r="D14427" s="223" t="s">
        <v>532</v>
      </c>
      <c r="E14427" s="223" t="s">
        <v>338</v>
      </c>
      <c r="F14427" s="223">
        <v>2026</v>
      </c>
      <c r="G14427" s="223">
        <v>1.5</v>
      </c>
      <c r="H14427" s="223" t="s">
        <v>99</v>
      </c>
      <c r="I14427" s="226" t="s">
        <v>100</v>
      </c>
      <c r="J14427" s="223" t="s">
        <v>373</v>
      </c>
      <c r="K14427" s="223" t="s">
        <v>10</v>
      </c>
      <c r="L14427" s="223" t="s">
        <v>871</v>
      </c>
      <c r="M14427" s="223">
        <v>1.5</v>
      </c>
      <c r="N14427" s="223"/>
      <c r="O14427" s="223" t="s">
        <v>29</v>
      </c>
      <c r="P14427" s="223"/>
      <c r="Q14427" s="224"/>
    </row>
    <row r="14428" spans="1:17">
      <c r="A14428" s="221">
        <v>761</v>
      </c>
      <c r="B14428" s="222">
        <v>46233</v>
      </c>
      <c r="C14428" s="223" t="s">
        <v>298</v>
      </c>
      <c r="D14428" s="223" t="s">
        <v>467</v>
      </c>
      <c r="E14428" s="223" t="s">
        <v>338</v>
      </c>
      <c r="F14428" s="223">
        <v>2026</v>
      </c>
      <c r="G14428" s="223">
        <v>1.5</v>
      </c>
      <c r="H14428" s="223" t="s">
        <v>99</v>
      </c>
      <c r="I14428" s="226" t="s">
        <v>100</v>
      </c>
      <c r="J14428" s="223" t="s">
        <v>373</v>
      </c>
      <c r="K14428" s="223" t="s">
        <v>104</v>
      </c>
      <c r="L14428" s="223" t="s">
        <v>871</v>
      </c>
      <c r="M14428" s="223">
        <v>1.5</v>
      </c>
      <c r="N14428" s="223"/>
      <c r="O14428" s="223" t="s">
        <v>70</v>
      </c>
      <c r="P14428" s="223"/>
      <c r="Q14428" s="224"/>
    </row>
    <row r="14429" spans="1:17">
      <c r="A14429" s="221"/>
      <c r="B14429" s="222">
        <v>46233</v>
      </c>
      <c r="C14429" s="223" t="s">
        <v>298</v>
      </c>
      <c r="D14429" s="223"/>
      <c r="E14429" s="223" t="s">
        <v>338</v>
      </c>
      <c r="F14429" s="223">
        <v>2026</v>
      </c>
      <c r="G14429" s="223">
        <v>2.5</v>
      </c>
      <c r="H14429" s="223" t="s">
        <v>99</v>
      </c>
      <c r="I14429" s="226" t="s">
        <v>100</v>
      </c>
      <c r="J14429" s="223" t="s">
        <v>373</v>
      </c>
      <c r="K14429" s="223" t="s">
        <v>106</v>
      </c>
      <c r="L14429" s="223" t="s">
        <v>888</v>
      </c>
      <c r="M14429" s="223">
        <v>2.5</v>
      </c>
      <c r="N14429" s="223"/>
      <c r="O14429" s="223"/>
      <c r="P14429" s="223"/>
      <c r="Q14429" s="224"/>
    </row>
    <row r="14430" spans="1:17" ht="30.75">
      <c r="A14430" s="221"/>
      <c r="B14430" s="222">
        <v>46234</v>
      </c>
      <c r="C14430" s="223" t="s">
        <v>301</v>
      </c>
      <c r="D14430" s="223" t="s">
        <v>655</v>
      </c>
      <c r="E14430" s="223" t="s">
        <v>338</v>
      </c>
      <c r="F14430" s="223">
        <v>2026</v>
      </c>
      <c r="G14430" s="223">
        <v>1.5</v>
      </c>
      <c r="H14430" s="223" t="s">
        <v>115</v>
      </c>
      <c r="I14430" s="226" t="s">
        <v>437</v>
      </c>
      <c r="J14430" s="223" t="s">
        <v>438</v>
      </c>
      <c r="K14430" s="223" t="s">
        <v>101</v>
      </c>
      <c r="L14430" s="223" t="s">
        <v>917</v>
      </c>
      <c r="M14430" s="223">
        <v>1.5</v>
      </c>
      <c r="N14430" s="223"/>
      <c r="O14430" s="223"/>
      <c r="P14430" s="223"/>
      <c r="Q14430" s="224"/>
    </row>
    <row r="14431" spans="1:17" ht="30.75">
      <c r="A14431" s="221">
        <v>762</v>
      </c>
      <c r="B14431" s="222">
        <v>46237</v>
      </c>
      <c r="C14431" s="223" t="s">
        <v>302</v>
      </c>
      <c r="D14431" s="223" t="s">
        <v>972</v>
      </c>
      <c r="E14431" s="223" t="s">
        <v>342</v>
      </c>
      <c r="F14431" s="223">
        <v>2026</v>
      </c>
      <c r="G14431" s="223">
        <v>2</v>
      </c>
      <c r="H14431" s="223" t="s">
        <v>196</v>
      </c>
      <c r="I14431" s="226" t="s">
        <v>967</v>
      </c>
      <c r="J14431" s="223" t="s">
        <v>687</v>
      </c>
      <c r="K14431" s="223" t="s">
        <v>101</v>
      </c>
      <c r="L14431" s="223" t="s">
        <v>906</v>
      </c>
      <c r="M14431" s="223">
        <v>2</v>
      </c>
      <c r="N14431" s="223"/>
      <c r="O14431" s="223" t="s">
        <v>881</v>
      </c>
      <c r="P14431" s="223"/>
      <c r="Q14431" s="224"/>
    </row>
    <row r="14432" spans="1:17" ht="45.75">
      <c r="A14432" s="221">
        <v>763</v>
      </c>
      <c r="B14432" s="222">
        <v>46237</v>
      </c>
      <c r="C14432" s="223" t="s">
        <v>302</v>
      </c>
      <c r="D14432" s="223" t="s">
        <v>638</v>
      </c>
      <c r="E14432" s="223" t="s">
        <v>342</v>
      </c>
      <c r="F14432" s="223">
        <v>2026</v>
      </c>
      <c r="G14432" s="223">
        <v>2.5</v>
      </c>
      <c r="H14432" s="223" t="s">
        <v>132</v>
      </c>
      <c r="I14432" s="226" t="s">
        <v>183</v>
      </c>
      <c r="J14432" s="223" t="s">
        <v>623</v>
      </c>
      <c r="K14432" s="223" t="s">
        <v>101</v>
      </c>
      <c r="L14432" s="226" t="s">
        <v>915</v>
      </c>
      <c r="M14432" s="223">
        <v>2.5</v>
      </c>
      <c r="N14432" s="223"/>
      <c r="O14432" s="223" t="s">
        <v>164</v>
      </c>
      <c r="P14432" s="223"/>
      <c r="Q14432" s="224"/>
    </row>
    <row r="14433" spans="1:17" ht="30.75">
      <c r="A14433" s="221">
        <v>764</v>
      </c>
      <c r="B14433" s="222">
        <v>46238</v>
      </c>
      <c r="C14433" s="223" t="s">
        <v>289</v>
      </c>
      <c r="D14433" s="223" t="s">
        <v>972</v>
      </c>
      <c r="E14433" s="223" t="s">
        <v>342</v>
      </c>
      <c r="F14433" s="223">
        <v>2026</v>
      </c>
      <c r="G14433" s="223">
        <v>2</v>
      </c>
      <c r="H14433" s="223" t="s">
        <v>196</v>
      </c>
      <c r="I14433" s="226" t="s">
        <v>967</v>
      </c>
      <c r="J14433" s="223" t="s">
        <v>687</v>
      </c>
      <c r="K14433" s="223" t="s">
        <v>101</v>
      </c>
      <c r="L14433" s="223" t="s">
        <v>909</v>
      </c>
      <c r="M14433" s="223">
        <v>2</v>
      </c>
      <c r="N14433" s="223"/>
      <c r="O14433" s="223" t="s">
        <v>881</v>
      </c>
      <c r="P14433" s="223"/>
      <c r="Q14433" s="224"/>
    </row>
    <row r="14434" spans="1:17" ht="30.75">
      <c r="A14434" s="221"/>
      <c r="B14434" s="222">
        <v>46238</v>
      </c>
      <c r="C14434" s="223" t="s">
        <v>289</v>
      </c>
      <c r="D14434" s="223" t="s">
        <v>655</v>
      </c>
      <c r="E14434" s="223" t="s">
        <v>342</v>
      </c>
      <c r="F14434" s="223">
        <v>2026</v>
      </c>
      <c r="G14434" s="223">
        <v>1.5</v>
      </c>
      <c r="H14434" s="223" t="s">
        <v>115</v>
      </c>
      <c r="I14434" s="226" t="s">
        <v>437</v>
      </c>
      <c r="J14434" s="223" t="s">
        <v>438</v>
      </c>
      <c r="K14434" s="223" t="s">
        <v>101</v>
      </c>
      <c r="L14434" s="223" t="s">
        <v>919</v>
      </c>
      <c r="M14434" s="223">
        <v>1.5</v>
      </c>
      <c r="N14434" s="223"/>
      <c r="O14434" s="223"/>
      <c r="P14434" s="223"/>
      <c r="Q14434" s="224"/>
    </row>
    <row r="14435" spans="1:17">
      <c r="A14435" s="221">
        <v>765</v>
      </c>
      <c r="B14435" s="222">
        <v>46238</v>
      </c>
      <c r="C14435" s="223" t="s">
        <v>289</v>
      </c>
      <c r="D14435" s="223" t="s">
        <v>532</v>
      </c>
      <c r="E14435" s="223" t="s">
        <v>342</v>
      </c>
      <c r="F14435" s="223">
        <v>2026</v>
      </c>
      <c r="G14435" s="223">
        <v>1.5</v>
      </c>
      <c r="H14435" s="223" t="s">
        <v>99</v>
      </c>
      <c r="I14435" s="226" t="s">
        <v>100</v>
      </c>
      <c r="J14435" s="223" t="s">
        <v>373</v>
      </c>
      <c r="K14435" s="223" t="s">
        <v>10</v>
      </c>
      <c r="L14435" s="223" t="s">
        <v>877</v>
      </c>
      <c r="M14435" s="223">
        <v>2.5</v>
      </c>
      <c r="N14435" s="223"/>
      <c r="O14435" s="223" t="s">
        <v>29</v>
      </c>
      <c r="P14435" s="223"/>
      <c r="Q14435" s="224"/>
    </row>
    <row r="14436" spans="1:17">
      <c r="A14436" s="221">
        <v>766</v>
      </c>
      <c r="B14436" s="222">
        <v>46238</v>
      </c>
      <c r="C14436" s="223" t="s">
        <v>289</v>
      </c>
      <c r="D14436" s="223" t="s">
        <v>467</v>
      </c>
      <c r="E14436" s="223" t="s">
        <v>342</v>
      </c>
      <c r="F14436" s="223">
        <v>2026</v>
      </c>
      <c r="G14436" s="223">
        <v>1.5</v>
      </c>
      <c r="H14436" s="223" t="s">
        <v>99</v>
      </c>
      <c r="I14436" s="226" t="s">
        <v>100</v>
      </c>
      <c r="J14436" s="223" t="s">
        <v>373</v>
      </c>
      <c r="K14436" s="223" t="s">
        <v>104</v>
      </c>
      <c r="L14436" s="223" t="s">
        <v>877</v>
      </c>
      <c r="M14436" s="223">
        <v>1.5</v>
      </c>
      <c r="N14436" s="223"/>
      <c r="O14436" s="223" t="s">
        <v>70</v>
      </c>
      <c r="P14436" s="223"/>
      <c r="Q14436" s="224"/>
    </row>
    <row r="14437" spans="1:17">
      <c r="A14437" s="221"/>
      <c r="B14437" s="222">
        <v>46238</v>
      </c>
      <c r="C14437" s="223" t="s">
        <v>289</v>
      </c>
      <c r="D14437" s="223"/>
      <c r="E14437" s="223" t="s">
        <v>342</v>
      </c>
      <c r="F14437" s="223">
        <v>2026</v>
      </c>
      <c r="G14437" s="223"/>
      <c r="H14437" s="223" t="s">
        <v>99</v>
      </c>
      <c r="I14437" s="226" t="s">
        <v>100</v>
      </c>
      <c r="J14437" s="223" t="s">
        <v>373</v>
      </c>
      <c r="K14437" s="223" t="s">
        <v>106</v>
      </c>
      <c r="L14437" s="223" t="s">
        <v>427</v>
      </c>
      <c r="M14437" s="223"/>
      <c r="N14437" s="223"/>
      <c r="O14437" s="223"/>
      <c r="P14437" s="223"/>
      <c r="Q14437" s="224"/>
    </row>
    <row r="14438" spans="1:17">
      <c r="A14438" s="221">
        <v>767</v>
      </c>
      <c r="B14438" s="222">
        <v>46239</v>
      </c>
      <c r="C14438" s="223" t="s">
        <v>294</v>
      </c>
      <c r="D14438" s="223" t="s">
        <v>638</v>
      </c>
      <c r="E14438" s="223" t="s">
        <v>342</v>
      </c>
      <c r="F14438" s="223">
        <v>2026</v>
      </c>
      <c r="G14438" s="223">
        <v>2.5</v>
      </c>
      <c r="H14438" s="223" t="s">
        <v>132</v>
      </c>
      <c r="I14438" s="226" t="s">
        <v>183</v>
      </c>
      <c r="J14438" s="223" t="s">
        <v>623</v>
      </c>
      <c r="K14438" s="223" t="s">
        <v>101</v>
      </c>
      <c r="L14438" s="223" t="s">
        <v>930</v>
      </c>
      <c r="M14438" s="223">
        <v>2.5</v>
      </c>
      <c r="N14438" s="223"/>
      <c r="O14438" s="223" t="s">
        <v>164</v>
      </c>
      <c r="P14438" s="223"/>
      <c r="Q14438" s="224"/>
    </row>
    <row r="14439" spans="1:17">
      <c r="A14439" s="221">
        <v>768</v>
      </c>
      <c r="B14439" s="222">
        <v>46240</v>
      </c>
      <c r="C14439" s="223" t="s">
        <v>298</v>
      </c>
      <c r="D14439" s="223" t="s">
        <v>456</v>
      </c>
      <c r="E14439" s="223" t="s">
        <v>342</v>
      </c>
      <c r="F14439" s="223"/>
      <c r="G14439" s="223"/>
      <c r="H14439" s="223"/>
      <c r="I14439" s="226" t="s">
        <v>100</v>
      </c>
      <c r="J14439" s="223"/>
      <c r="K14439" s="223"/>
      <c r="L14439" s="223" t="s">
        <v>668</v>
      </c>
      <c r="M14439" s="223"/>
      <c r="N14439" s="223"/>
      <c r="O14439" s="223" t="s">
        <v>102</v>
      </c>
      <c r="P14439" s="223"/>
      <c r="Q14439" s="224"/>
    </row>
    <row r="14440" spans="1:17">
      <c r="A14440" s="221">
        <v>769</v>
      </c>
      <c r="B14440" s="222">
        <v>46240</v>
      </c>
      <c r="C14440" s="223" t="s">
        <v>298</v>
      </c>
      <c r="D14440" s="223" t="s">
        <v>532</v>
      </c>
      <c r="E14440" s="223" t="s">
        <v>342</v>
      </c>
      <c r="F14440" s="223">
        <v>2026</v>
      </c>
      <c r="G14440" s="223">
        <v>2.5</v>
      </c>
      <c r="H14440" s="223" t="s">
        <v>99</v>
      </c>
      <c r="I14440" s="226" t="s">
        <v>100</v>
      </c>
      <c r="J14440" s="223" t="s">
        <v>373</v>
      </c>
      <c r="K14440" s="223" t="s">
        <v>10</v>
      </c>
      <c r="L14440" s="223" t="s">
        <v>888</v>
      </c>
      <c r="M14440" s="223">
        <v>2.5</v>
      </c>
      <c r="N14440" s="223"/>
      <c r="O14440" s="223" t="s">
        <v>29</v>
      </c>
      <c r="P14440" s="223"/>
      <c r="Q14440" s="224"/>
    </row>
    <row r="14441" spans="1:17">
      <c r="A14441" s="221"/>
      <c r="B14441" s="222">
        <v>46240</v>
      </c>
      <c r="C14441" s="223" t="s">
        <v>298</v>
      </c>
      <c r="D14441" s="223"/>
      <c r="E14441" s="223" t="s">
        <v>342</v>
      </c>
      <c r="F14441" s="223">
        <v>2026</v>
      </c>
      <c r="G14441" s="223">
        <v>2.5</v>
      </c>
      <c r="H14441" s="223" t="s">
        <v>99</v>
      </c>
      <c r="I14441" s="226" t="s">
        <v>100</v>
      </c>
      <c r="J14441" s="223" t="s">
        <v>373</v>
      </c>
      <c r="K14441" s="223" t="s">
        <v>104</v>
      </c>
      <c r="L14441" s="223" t="s">
        <v>888</v>
      </c>
      <c r="M14441" s="223">
        <v>2.5</v>
      </c>
      <c r="N14441" s="223"/>
      <c r="O14441" s="223"/>
      <c r="P14441" s="223"/>
      <c r="Q14441" s="224"/>
    </row>
    <row r="14442" spans="1:17">
      <c r="A14442" s="221">
        <v>770</v>
      </c>
      <c r="B14442" s="222">
        <v>46240</v>
      </c>
      <c r="C14442" s="223" t="s">
        <v>298</v>
      </c>
      <c r="D14442" s="223" t="s">
        <v>430</v>
      </c>
      <c r="E14442" s="223" t="s">
        <v>342</v>
      </c>
      <c r="F14442" s="223">
        <v>2026</v>
      </c>
      <c r="G14442" s="223"/>
      <c r="H14442" s="223" t="s">
        <v>99</v>
      </c>
      <c r="I14442" s="226" t="s">
        <v>100</v>
      </c>
      <c r="J14442" s="223" t="s">
        <v>373</v>
      </c>
      <c r="K14442" s="223" t="s">
        <v>106</v>
      </c>
      <c r="L14442" s="223" t="s">
        <v>668</v>
      </c>
      <c r="M14442" s="223"/>
      <c r="N14442" s="223"/>
      <c r="O14442" s="223" t="s">
        <v>432</v>
      </c>
      <c r="P14442" s="223"/>
      <c r="Q14442" s="224"/>
    </row>
    <row r="14443" spans="1:17" ht="30.75">
      <c r="A14443" s="221"/>
      <c r="B14443" s="222">
        <v>46241</v>
      </c>
      <c r="C14443" s="223" t="s">
        <v>301</v>
      </c>
      <c r="D14443" s="223" t="s">
        <v>972</v>
      </c>
      <c r="E14443" s="223" t="s">
        <v>342</v>
      </c>
      <c r="F14443" s="223">
        <v>2026</v>
      </c>
      <c r="G14443" s="223">
        <v>2</v>
      </c>
      <c r="H14443" s="223" t="s">
        <v>196</v>
      </c>
      <c r="I14443" s="226" t="s">
        <v>967</v>
      </c>
      <c r="J14443" s="223" t="s">
        <v>687</v>
      </c>
      <c r="K14443" s="223" t="s">
        <v>101</v>
      </c>
      <c r="L14443" s="223" t="s">
        <v>746</v>
      </c>
      <c r="M14443" s="223">
        <v>2</v>
      </c>
      <c r="N14443" s="223"/>
      <c r="O14443" s="223"/>
      <c r="P14443" s="223"/>
      <c r="Q14443" s="224"/>
    </row>
    <row r="14444" spans="1:17" ht="30.75">
      <c r="A14444" s="221">
        <v>771</v>
      </c>
      <c r="B14444" s="222">
        <v>46244</v>
      </c>
      <c r="C14444" s="223" t="s">
        <v>302</v>
      </c>
      <c r="D14444" s="223" t="s">
        <v>972</v>
      </c>
      <c r="E14444" s="223" t="s">
        <v>342</v>
      </c>
      <c r="F14444" s="223">
        <v>2026</v>
      </c>
      <c r="G14444" s="223">
        <v>2</v>
      </c>
      <c r="H14444" s="223" t="s">
        <v>196</v>
      </c>
      <c r="I14444" s="226" t="s">
        <v>967</v>
      </c>
      <c r="J14444" s="223" t="s">
        <v>687</v>
      </c>
      <c r="K14444" s="223" t="s">
        <v>101</v>
      </c>
      <c r="L14444" s="223" t="s">
        <v>920</v>
      </c>
      <c r="M14444" s="223">
        <v>2</v>
      </c>
      <c r="N14444" s="223"/>
      <c r="O14444" s="223" t="s">
        <v>881</v>
      </c>
      <c r="P14444" s="223"/>
      <c r="Q14444" s="224"/>
    </row>
    <row r="14445" spans="1:17">
      <c r="A14445" s="221">
        <v>772</v>
      </c>
      <c r="B14445" s="222">
        <v>46244</v>
      </c>
      <c r="C14445" s="223" t="s">
        <v>302</v>
      </c>
      <c r="D14445" s="223" t="s">
        <v>638</v>
      </c>
      <c r="E14445" s="223" t="s">
        <v>342</v>
      </c>
      <c r="F14445" s="223">
        <v>2026</v>
      </c>
      <c r="G14445" s="223">
        <v>2.5</v>
      </c>
      <c r="H14445" s="223" t="s">
        <v>132</v>
      </c>
      <c r="I14445" s="226" t="s">
        <v>183</v>
      </c>
      <c r="J14445" s="223" t="s">
        <v>623</v>
      </c>
      <c r="K14445" s="223" t="s">
        <v>101</v>
      </c>
      <c r="L14445" s="223" t="s">
        <v>999</v>
      </c>
      <c r="M14445" s="223">
        <v>2.5</v>
      </c>
      <c r="N14445" s="223"/>
      <c r="O14445" s="223" t="s">
        <v>164</v>
      </c>
      <c r="P14445" s="223"/>
      <c r="Q14445" s="224"/>
    </row>
    <row r="14446" spans="1:17" ht="30.75">
      <c r="A14446" s="221">
        <v>773</v>
      </c>
      <c r="B14446" s="222">
        <v>46245</v>
      </c>
      <c r="C14446" s="223" t="s">
        <v>289</v>
      </c>
      <c r="D14446" s="223" t="s">
        <v>972</v>
      </c>
      <c r="E14446" s="223" t="s">
        <v>342</v>
      </c>
      <c r="F14446" s="223">
        <v>2026</v>
      </c>
      <c r="G14446" s="223">
        <v>2</v>
      </c>
      <c r="H14446" s="223" t="s">
        <v>196</v>
      </c>
      <c r="I14446" s="226" t="s">
        <v>967</v>
      </c>
      <c r="J14446" s="223" t="s">
        <v>687</v>
      </c>
      <c r="K14446" s="223" t="s">
        <v>101</v>
      </c>
      <c r="L14446" s="223" t="s">
        <v>922</v>
      </c>
      <c r="M14446" s="223">
        <v>2</v>
      </c>
      <c r="N14446" s="223"/>
      <c r="O14446" s="223" t="s">
        <v>881</v>
      </c>
      <c r="P14446" s="223"/>
      <c r="Q14446" s="224"/>
    </row>
    <row r="14447" spans="1:17">
      <c r="A14447" s="221">
        <v>774</v>
      </c>
      <c r="B14447" s="222">
        <v>46245</v>
      </c>
      <c r="C14447" s="223" t="s">
        <v>289</v>
      </c>
      <c r="D14447" s="223" t="s">
        <v>456</v>
      </c>
      <c r="E14447" s="223" t="s">
        <v>342</v>
      </c>
      <c r="F14447" s="223"/>
      <c r="G14447" s="223"/>
      <c r="H14447" s="223"/>
      <c r="I14447" s="226" t="s">
        <v>100</v>
      </c>
      <c r="J14447" s="223"/>
      <c r="K14447" s="223"/>
      <c r="L14447" s="223" t="s">
        <v>923</v>
      </c>
      <c r="M14447" s="223"/>
      <c r="N14447" s="223"/>
      <c r="O14447" s="223" t="s">
        <v>102</v>
      </c>
      <c r="P14447" s="223"/>
      <c r="Q14447" s="224"/>
    </row>
    <row r="14448" spans="1:17">
      <c r="A14448" s="221">
        <v>775</v>
      </c>
      <c r="B14448" s="222">
        <v>46245</v>
      </c>
      <c r="C14448" s="223" t="s">
        <v>289</v>
      </c>
      <c r="D14448" s="223" t="s">
        <v>532</v>
      </c>
      <c r="E14448" s="223" t="s">
        <v>342</v>
      </c>
      <c r="F14448" s="223">
        <v>2026</v>
      </c>
      <c r="G14448" s="223">
        <v>2.5</v>
      </c>
      <c r="H14448" s="223" t="s">
        <v>99</v>
      </c>
      <c r="I14448" s="226" t="s">
        <v>100</v>
      </c>
      <c r="J14448" s="223" t="s">
        <v>373</v>
      </c>
      <c r="K14448" s="223" t="s">
        <v>10</v>
      </c>
      <c r="L14448" s="223" t="s">
        <v>888</v>
      </c>
      <c r="M14448" s="223"/>
      <c r="N14448" s="223"/>
      <c r="O14448" s="223" t="s">
        <v>29</v>
      </c>
      <c r="P14448" s="223"/>
      <c r="Q14448" s="224"/>
    </row>
    <row r="14449" spans="1:17">
      <c r="A14449" s="221"/>
      <c r="B14449" s="222">
        <v>46245</v>
      </c>
      <c r="C14449" s="223" t="s">
        <v>289</v>
      </c>
      <c r="D14449" s="223"/>
      <c r="E14449" s="223" t="s">
        <v>342</v>
      </c>
      <c r="F14449" s="223">
        <v>2026</v>
      </c>
      <c r="G14449" s="223">
        <v>2.5</v>
      </c>
      <c r="H14449" s="223" t="s">
        <v>99</v>
      </c>
      <c r="I14449" s="226" t="s">
        <v>100</v>
      </c>
      <c r="J14449" s="223" t="s">
        <v>373</v>
      </c>
      <c r="K14449" s="223" t="s">
        <v>104</v>
      </c>
      <c r="L14449" s="223" t="s">
        <v>888</v>
      </c>
      <c r="M14449" s="223">
        <v>2.5</v>
      </c>
      <c r="N14449" s="223"/>
      <c r="O14449" s="223"/>
      <c r="P14449" s="223"/>
      <c r="Q14449" s="224"/>
    </row>
    <row r="14450" spans="1:17">
      <c r="A14450" s="221"/>
      <c r="B14450" s="222">
        <v>46245</v>
      </c>
      <c r="C14450" s="223" t="s">
        <v>289</v>
      </c>
      <c r="D14450" s="223" t="s">
        <v>430</v>
      </c>
      <c r="E14450" s="223" t="s">
        <v>342</v>
      </c>
      <c r="F14450" s="223">
        <v>2026</v>
      </c>
      <c r="G14450" s="223"/>
      <c r="H14450" s="223" t="s">
        <v>99</v>
      </c>
      <c r="I14450" s="226" t="s">
        <v>100</v>
      </c>
      <c r="J14450" s="223" t="s">
        <v>373</v>
      </c>
      <c r="K14450" s="223" t="s">
        <v>104</v>
      </c>
      <c r="L14450" s="223" t="s">
        <v>923</v>
      </c>
      <c r="M14450" s="223"/>
      <c r="N14450" s="223"/>
      <c r="O14450" s="223"/>
      <c r="P14450" s="223"/>
      <c r="Q14450" s="224"/>
    </row>
    <row r="14451" spans="1:17">
      <c r="A14451" s="221">
        <v>776</v>
      </c>
      <c r="B14451" s="222">
        <v>46245</v>
      </c>
      <c r="C14451" s="223" t="s">
        <v>289</v>
      </c>
      <c r="D14451" s="223" t="s">
        <v>430</v>
      </c>
      <c r="E14451" s="223" t="s">
        <v>342</v>
      </c>
      <c r="F14451" s="223">
        <v>2026</v>
      </c>
      <c r="G14451" s="223"/>
      <c r="H14451" s="223" t="s">
        <v>99</v>
      </c>
      <c r="I14451" s="226" t="s">
        <v>100</v>
      </c>
      <c r="J14451" s="223" t="s">
        <v>373</v>
      </c>
      <c r="K14451" s="223" t="s">
        <v>106</v>
      </c>
      <c r="L14451" s="223" t="s">
        <v>923</v>
      </c>
      <c r="M14451" s="223"/>
      <c r="N14451" s="223"/>
      <c r="O14451" s="223" t="s">
        <v>432</v>
      </c>
      <c r="P14451" s="223"/>
      <c r="Q14451" s="224"/>
    </row>
    <row r="14452" spans="1:17" ht="30.75">
      <c r="A14452" s="221">
        <v>777</v>
      </c>
      <c r="B14452" s="222">
        <v>46247</v>
      </c>
      <c r="C14452" s="223" t="s">
        <v>298</v>
      </c>
      <c r="D14452" s="223" t="s">
        <v>972</v>
      </c>
      <c r="E14452" s="223" t="s">
        <v>342</v>
      </c>
      <c r="F14452" s="223">
        <v>2026</v>
      </c>
      <c r="G14452" s="223">
        <v>2</v>
      </c>
      <c r="H14452" s="223" t="s">
        <v>196</v>
      </c>
      <c r="I14452" s="226" t="s">
        <v>967</v>
      </c>
      <c r="J14452" s="223" t="s">
        <v>687</v>
      </c>
      <c r="K14452" s="223" t="s">
        <v>101</v>
      </c>
      <c r="L14452" s="223" t="s">
        <v>926</v>
      </c>
      <c r="M14452" s="223">
        <v>2</v>
      </c>
      <c r="N14452" s="223"/>
      <c r="O14452" s="223" t="s">
        <v>881</v>
      </c>
      <c r="P14452" s="223"/>
      <c r="Q14452" s="224"/>
    </row>
    <row r="14453" spans="1:17">
      <c r="A14453" s="221"/>
      <c r="B14453" s="222">
        <v>46247</v>
      </c>
      <c r="C14453" s="223" t="s">
        <v>298</v>
      </c>
      <c r="D14453" s="223" t="s">
        <v>467</v>
      </c>
      <c r="E14453" s="223" t="s">
        <v>342</v>
      </c>
      <c r="F14453" s="223">
        <v>2026</v>
      </c>
      <c r="G14453" s="223"/>
      <c r="H14453" s="223" t="s">
        <v>99</v>
      </c>
      <c r="I14453" s="226" t="s">
        <v>100</v>
      </c>
      <c r="J14453" s="223" t="s">
        <v>373</v>
      </c>
      <c r="K14453" s="223" t="s">
        <v>104</v>
      </c>
      <c r="L14453" s="223" t="s">
        <v>668</v>
      </c>
      <c r="M14453" s="223"/>
      <c r="N14453" s="223"/>
      <c r="O14453" s="223"/>
      <c r="P14453" s="223"/>
      <c r="Q14453" s="224"/>
    </row>
    <row r="14454" spans="1:17" ht="30.75">
      <c r="A14454" s="221">
        <v>778</v>
      </c>
      <c r="B14454" s="222">
        <v>46251</v>
      </c>
      <c r="C14454" s="223" t="s">
        <v>302</v>
      </c>
      <c r="D14454" s="223" t="s">
        <v>972</v>
      </c>
      <c r="E14454" s="223" t="s">
        <v>342</v>
      </c>
      <c r="F14454" s="223">
        <v>2026</v>
      </c>
      <c r="G14454" s="223">
        <v>2</v>
      </c>
      <c r="H14454" s="223" t="s">
        <v>196</v>
      </c>
      <c r="I14454" s="226" t="s">
        <v>967</v>
      </c>
      <c r="J14454" s="223" t="s">
        <v>687</v>
      </c>
      <c r="K14454" s="223" t="s">
        <v>101</v>
      </c>
      <c r="L14454" s="223" t="s">
        <v>927</v>
      </c>
      <c r="M14454" s="223">
        <v>2</v>
      </c>
      <c r="N14454" s="223"/>
      <c r="O14454" s="223" t="s">
        <v>881</v>
      </c>
      <c r="P14454" s="223"/>
      <c r="Q14454" s="224"/>
    </row>
    <row r="14455" spans="1:17" ht="30.75">
      <c r="A14455" s="221">
        <v>779</v>
      </c>
      <c r="B14455" s="222">
        <v>46252</v>
      </c>
      <c r="C14455" s="223" t="s">
        <v>289</v>
      </c>
      <c r="D14455" s="223" t="s">
        <v>972</v>
      </c>
      <c r="E14455" s="223" t="s">
        <v>342</v>
      </c>
      <c r="F14455" s="223">
        <v>2026</v>
      </c>
      <c r="G14455" s="223">
        <v>2</v>
      </c>
      <c r="H14455" s="223" t="s">
        <v>196</v>
      </c>
      <c r="I14455" s="226" t="s">
        <v>967</v>
      </c>
      <c r="J14455" s="223" t="s">
        <v>687</v>
      </c>
      <c r="K14455" s="223" t="s">
        <v>101</v>
      </c>
      <c r="L14455" s="223" t="s">
        <v>928</v>
      </c>
      <c r="M14455" s="223">
        <v>2</v>
      </c>
      <c r="N14455" s="223"/>
      <c r="O14455" s="223" t="s">
        <v>881</v>
      </c>
      <c r="P14455" s="223"/>
      <c r="Q14455" s="224"/>
    </row>
    <row r="14456" spans="1:17">
      <c r="A14456" s="221">
        <v>780</v>
      </c>
      <c r="B14456" s="222">
        <v>46252</v>
      </c>
      <c r="C14456" s="223" t="s">
        <v>289</v>
      </c>
      <c r="D14456" s="223"/>
      <c r="E14456" s="223" t="s">
        <v>342</v>
      </c>
      <c r="F14456" s="223"/>
      <c r="G14456" s="223"/>
      <c r="H14456" s="223"/>
      <c r="I14456" s="226"/>
      <c r="J14456" s="223"/>
      <c r="K14456" s="223"/>
      <c r="L14456" s="223" t="s">
        <v>427</v>
      </c>
      <c r="M14456" s="223"/>
      <c r="N14456" s="223"/>
      <c r="O14456" s="223" t="s">
        <v>29</v>
      </c>
      <c r="P14456" s="223"/>
      <c r="Q14456" s="224"/>
    </row>
    <row r="14457" spans="1:17">
      <c r="A14457" s="221"/>
      <c r="B14457" s="222">
        <v>46252</v>
      </c>
      <c r="C14457" s="223" t="s">
        <v>289</v>
      </c>
      <c r="D14457" s="223" t="s">
        <v>467</v>
      </c>
      <c r="E14457" s="223" t="s">
        <v>342</v>
      </c>
      <c r="F14457" s="223">
        <v>2026</v>
      </c>
      <c r="G14457" s="223"/>
      <c r="H14457" s="223" t="s">
        <v>99</v>
      </c>
      <c r="I14457" s="226" t="s">
        <v>100</v>
      </c>
      <c r="J14457" s="223" t="s">
        <v>373</v>
      </c>
      <c r="K14457" s="223" t="s">
        <v>104</v>
      </c>
      <c r="L14457" s="223" t="s">
        <v>923</v>
      </c>
      <c r="M14457" s="223"/>
      <c r="N14457" s="223"/>
      <c r="O14457" s="223"/>
      <c r="P14457" s="223"/>
      <c r="Q14457" s="224"/>
    </row>
    <row r="14458" spans="1:17" ht="30.75">
      <c r="A14458" s="221">
        <v>781</v>
      </c>
      <c r="B14458" s="222">
        <v>46254</v>
      </c>
      <c r="C14458" s="223" t="s">
        <v>298</v>
      </c>
      <c r="D14458" s="223" t="s">
        <v>972</v>
      </c>
      <c r="E14458" s="223" t="s">
        <v>342</v>
      </c>
      <c r="F14458" s="223">
        <v>2026</v>
      </c>
      <c r="G14458" s="223">
        <v>2</v>
      </c>
      <c r="H14458" s="223" t="s">
        <v>196</v>
      </c>
      <c r="I14458" s="226" t="s">
        <v>967</v>
      </c>
      <c r="J14458" s="223" t="s">
        <v>687</v>
      </c>
      <c r="K14458" s="223" t="s">
        <v>101</v>
      </c>
      <c r="L14458" s="223" t="s">
        <v>932</v>
      </c>
      <c r="M14458" s="223">
        <v>2</v>
      </c>
      <c r="N14458" s="223"/>
      <c r="O14458" s="223" t="s">
        <v>881</v>
      </c>
      <c r="P14458" s="223"/>
      <c r="Q14458" s="224"/>
    </row>
    <row r="14459" spans="1:17" ht="30.75">
      <c r="A14459" s="221"/>
      <c r="B14459" s="222">
        <v>46255</v>
      </c>
      <c r="C14459" s="223" t="s">
        <v>301</v>
      </c>
      <c r="D14459" s="223" t="s">
        <v>972</v>
      </c>
      <c r="E14459" s="223" t="s">
        <v>342</v>
      </c>
      <c r="F14459" s="223">
        <v>2026</v>
      </c>
      <c r="G14459" s="223">
        <v>2</v>
      </c>
      <c r="H14459" s="223" t="s">
        <v>196</v>
      </c>
      <c r="I14459" s="226" t="s">
        <v>967</v>
      </c>
      <c r="J14459" s="223" t="s">
        <v>687</v>
      </c>
      <c r="K14459" s="223" t="s">
        <v>101</v>
      </c>
      <c r="L14459" s="223" t="s">
        <v>746</v>
      </c>
      <c r="M14459" s="223">
        <v>2</v>
      </c>
      <c r="N14459" s="223"/>
      <c r="O14459" s="223"/>
      <c r="P14459" s="223"/>
      <c r="Q14459" s="224"/>
    </row>
    <row r="14460" spans="1:17" ht="30.75">
      <c r="A14460" s="221">
        <v>782</v>
      </c>
      <c r="B14460" s="222">
        <v>46258</v>
      </c>
      <c r="C14460" s="223" t="s">
        <v>302</v>
      </c>
      <c r="D14460" s="223" t="s">
        <v>972</v>
      </c>
      <c r="E14460" s="223" t="s">
        <v>342</v>
      </c>
      <c r="F14460" s="223">
        <v>2026</v>
      </c>
      <c r="G14460" s="223">
        <v>2</v>
      </c>
      <c r="H14460" s="223" t="s">
        <v>196</v>
      </c>
      <c r="I14460" s="226" t="s">
        <v>967</v>
      </c>
      <c r="J14460" s="223" t="s">
        <v>687</v>
      </c>
      <c r="K14460" s="223" t="s">
        <v>101</v>
      </c>
      <c r="L14460" s="223" t="s">
        <v>933</v>
      </c>
      <c r="M14460" s="223">
        <v>2</v>
      </c>
      <c r="N14460" s="223"/>
      <c r="O14460" s="223" t="s">
        <v>91</v>
      </c>
      <c r="P14460" s="223"/>
      <c r="Q14460" s="224"/>
    </row>
    <row r="14461" spans="1:17" ht="30.75">
      <c r="A14461" s="221">
        <v>783</v>
      </c>
      <c r="B14461" s="222">
        <v>46259</v>
      </c>
      <c r="C14461" s="223" t="s">
        <v>289</v>
      </c>
      <c r="D14461" s="223" t="s">
        <v>972</v>
      </c>
      <c r="E14461" s="223" t="s">
        <v>342</v>
      </c>
      <c r="F14461" s="223">
        <v>2026</v>
      </c>
      <c r="G14461" s="223">
        <v>2</v>
      </c>
      <c r="H14461" s="223" t="s">
        <v>196</v>
      </c>
      <c r="I14461" s="226" t="s">
        <v>967</v>
      </c>
      <c r="J14461" s="223" t="s">
        <v>687</v>
      </c>
      <c r="K14461" s="223" t="s">
        <v>101</v>
      </c>
      <c r="L14461" s="223" t="s">
        <v>936</v>
      </c>
      <c r="M14461" s="223">
        <v>2</v>
      </c>
      <c r="N14461" s="223"/>
      <c r="O14461" s="223" t="s">
        <v>91</v>
      </c>
      <c r="P14461" s="223"/>
      <c r="Q14461" s="224"/>
    </row>
    <row r="14462" spans="1:17">
      <c r="A14462" s="221">
        <v>784</v>
      </c>
      <c r="B14462" s="222">
        <v>46259</v>
      </c>
      <c r="C14462" s="223" t="s">
        <v>289</v>
      </c>
      <c r="D14462" s="223" t="s">
        <v>532</v>
      </c>
      <c r="E14462" s="223" t="s">
        <v>342</v>
      </c>
      <c r="F14462" s="223"/>
      <c r="G14462" s="223"/>
      <c r="H14462" s="223"/>
      <c r="I14462" s="226"/>
      <c r="J14462" s="223"/>
      <c r="K14462" s="223"/>
      <c r="L14462" s="223" t="s">
        <v>668</v>
      </c>
      <c r="M14462" s="223"/>
      <c r="N14462" s="223"/>
      <c r="O14462" s="223" t="s">
        <v>29</v>
      </c>
      <c r="P14462" s="223"/>
      <c r="Q14462" s="224"/>
    </row>
    <row r="14463" spans="1:17">
      <c r="A14463" s="221"/>
      <c r="B14463" s="222">
        <v>46261</v>
      </c>
      <c r="C14463" s="223" t="s">
        <v>298</v>
      </c>
      <c r="D14463" s="223" t="s">
        <v>532</v>
      </c>
      <c r="E14463" s="223" t="s">
        <v>342</v>
      </c>
      <c r="F14463" s="223"/>
      <c r="G14463" s="223"/>
      <c r="H14463" s="223"/>
      <c r="I14463" s="226"/>
      <c r="J14463" s="223"/>
      <c r="K14463" s="223"/>
      <c r="L14463" s="223" t="s">
        <v>923</v>
      </c>
      <c r="M14463" s="223"/>
      <c r="N14463" s="223"/>
      <c r="O14463" s="223"/>
      <c r="P14463" s="223"/>
      <c r="Q14463" s="224"/>
    </row>
    <row r="14464" spans="1:17" ht="30.75">
      <c r="A14464" s="221">
        <v>785</v>
      </c>
      <c r="B14464" s="222">
        <v>46265</v>
      </c>
      <c r="C14464" s="223" t="s">
        <v>302</v>
      </c>
      <c r="D14464" s="223" t="s">
        <v>972</v>
      </c>
      <c r="E14464" s="223" t="s">
        <v>342</v>
      </c>
      <c r="F14464" s="223">
        <v>2026</v>
      </c>
      <c r="G14464" s="223">
        <v>2</v>
      </c>
      <c r="H14464" s="223" t="s">
        <v>196</v>
      </c>
      <c r="I14464" s="226" t="s">
        <v>967</v>
      </c>
      <c r="J14464" s="223" t="s">
        <v>687</v>
      </c>
      <c r="K14464" s="223" t="s">
        <v>101</v>
      </c>
      <c r="L14464" s="223" t="s">
        <v>938</v>
      </c>
      <c r="M14464" s="223">
        <v>2</v>
      </c>
      <c r="N14464" s="223"/>
      <c r="O14464" s="223" t="s">
        <v>91</v>
      </c>
      <c r="P14464" s="223"/>
      <c r="Q14464" s="224"/>
    </row>
    <row r="14465" spans="1:17" ht="30.75">
      <c r="A14465" s="221">
        <v>786</v>
      </c>
      <c r="B14465" s="222">
        <v>46266</v>
      </c>
      <c r="C14465" s="223" t="s">
        <v>289</v>
      </c>
      <c r="D14465" s="223" t="s">
        <v>972</v>
      </c>
      <c r="E14465" s="223" t="s">
        <v>345</v>
      </c>
      <c r="F14465" s="223">
        <v>2026</v>
      </c>
      <c r="G14465" s="223">
        <v>2</v>
      </c>
      <c r="H14465" s="223" t="s">
        <v>196</v>
      </c>
      <c r="I14465" s="226" t="s">
        <v>967</v>
      </c>
      <c r="J14465" s="223" t="s">
        <v>687</v>
      </c>
      <c r="K14465" s="223" t="s">
        <v>101</v>
      </c>
      <c r="L14465" s="223" t="s">
        <v>939</v>
      </c>
      <c r="M14465" s="223">
        <v>2</v>
      </c>
      <c r="N14465" s="223"/>
      <c r="O14465" s="223" t="s">
        <v>91</v>
      </c>
      <c r="P14465" s="223"/>
      <c r="Q14465" s="224"/>
    </row>
    <row r="14466" spans="1:17" ht="30.75">
      <c r="A14466" s="221"/>
      <c r="B14466" s="222">
        <v>46269</v>
      </c>
      <c r="C14466" s="223" t="s">
        <v>301</v>
      </c>
      <c r="D14466" s="223" t="s">
        <v>972</v>
      </c>
      <c r="E14466" s="223" t="s">
        <v>345</v>
      </c>
      <c r="F14466" s="223">
        <v>2026</v>
      </c>
      <c r="G14466" s="223">
        <v>2</v>
      </c>
      <c r="H14466" s="223" t="s">
        <v>196</v>
      </c>
      <c r="I14466" s="226" t="s">
        <v>967</v>
      </c>
      <c r="J14466" s="223" t="s">
        <v>687</v>
      </c>
      <c r="K14466" s="223" t="s">
        <v>101</v>
      </c>
      <c r="L14466" s="223" t="s">
        <v>746</v>
      </c>
      <c r="M14466" s="223">
        <v>2</v>
      </c>
      <c r="N14466" s="223"/>
      <c r="O14466" s="223"/>
      <c r="P14466" s="223"/>
      <c r="Q14466" s="224"/>
    </row>
    <row r="14467" spans="1:17" ht="30.75">
      <c r="A14467" s="221">
        <v>787</v>
      </c>
      <c r="B14467" s="222">
        <v>46272</v>
      </c>
      <c r="C14467" s="223" t="s">
        <v>302</v>
      </c>
      <c r="D14467" s="223" t="s">
        <v>972</v>
      </c>
      <c r="E14467" s="223" t="s">
        <v>345</v>
      </c>
      <c r="F14467" s="223">
        <v>2026</v>
      </c>
      <c r="G14467" s="223">
        <v>2</v>
      </c>
      <c r="H14467" s="223" t="s">
        <v>196</v>
      </c>
      <c r="I14467" s="226" t="s">
        <v>967</v>
      </c>
      <c r="J14467" s="223" t="s">
        <v>687</v>
      </c>
      <c r="K14467" s="223" t="s">
        <v>101</v>
      </c>
      <c r="L14467" s="223" t="s">
        <v>941</v>
      </c>
      <c r="M14467" s="223">
        <v>2</v>
      </c>
      <c r="N14467" s="223"/>
      <c r="O14467" s="223" t="s">
        <v>91</v>
      </c>
      <c r="P14467" s="223"/>
      <c r="Q14467" s="224"/>
    </row>
    <row r="14468" spans="1:17" ht="30.75">
      <c r="A14468" s="221">
        <v>788</v>
      </c>
      <c r="B14468" s="222">
        <v>46273</v>
      </c>
      <c r="C14468" s="223" t="s">
        <v>289</v>
      </c>
      <c r="D14468" s="223" t="s">
        <v>972</v>
      </c>
      <c r="E14468" s="223" t="s">
        <v>345</v>
      </c>
      <c r="F14468" s="223">
        <v>2026</v>
      </c>
      <c r="G14468" s="223">
        <v>2</v>
      </c>
      <c r="H14468" s="223" t="s">
        <v>196</v>
      </c>
      <c r="I14468" s="226" t="s">
        <v>967</v>
      </c>
      <c r="J14468" s="223" t="s">
        <v>687</v>
      </c>
      <c r="K14468" s="223" t="s">
        <v>101</v>
      </c>
      <c r="L14468" s="223" t="s">
        <v>942</v>
      </c>
      <c r="M14468" s="223">
        <v>2</v>
      </c>
      <c r="N14468" s="223"/>
      <c r="O14468" s="223" t="s">
        <v>91</v>
      </c>
      <c r="P14468" s="223"/>
      <c r="Q14468" s="224"/>
    </row>
    <row r="14469" spans="1:17" ht="30.75">
      <c r="A14469" s="221">
        <v>789</v>
      </c>
      <c r="B14469" s="222">
        <v>46280</v>
      </c>
      <c r="C14469" s="223" t="s">
        <v>289</v>
      </c>
      <c r="D14469" s="223" t="s">
        <v>972</v>
      </c>
      <c r="E14469" s="223" t="s">
        <v>345</v>
      </c>
      <c r="F14469" s="223">
        <v>2026</v>
      </c>
      <c r="G14469" s="223">
        <v>2</v>
      </c>
      <c r="H14469" s="223" t="s">
        <v>196</v>
      </c>
      <c r="I14469" s="226" t="s">
        <v>967</v>
      </c>
      <c r="J14469" s="223" t="s">
        <v>687</v>
      </c>
      <c r="K14469" s="223" t="s">
        <v>101</v>
      </c>
      <c r="L14469" s="223" t="s">
        <v>944</v>
      </c>
      <c r="M14469" s="223">
        <v>2</v>
      </c>
      <c r="N14469" s="223"/>
      <c r="O14469" s="223" t="s">
        <v>12</v>
      </c>
      <c r="P14469" s="223"/>
      <c r="Q14469" s="224"/>
    </row>
    <row r="14470" spans="1:17" ht="30.75">
      <c r="A14470" s="221">
        <v>790</v>
      </c>
      <c r="B14470" s="222">
        <v>46282</v>
      </c>
      <c r="C14470" s="223" t="s">
        <v>298</v>
      </c>
      <c r="D14470" s="223" t="s">
        <v>972</v>
      </c>
      <c r="E14470" s="223" t="s">
        <v>345</v>
      </c>
      <c r="F14470" s="223">
        <v>2026</v>
      </c>
      <c r="G14470" s="223">
        <v>2</v>
      </c>
      <c r="H14470" s="223" t="s">
        <v>196</v>
      </c>
      <c r="I14470" s="226" t="s">
        <v>967</v>
      </c>
      <c r="J14470" s="223" t="s">
        <v>687</v>
      </c>
      <c r="K14470" s="223" t="s">
        <v>101</v>
      </c>
      <c r="L14470" s="223" t="s">
        <v>945</v>
      </c>
      <c r="M14470" s="223">
        <v>2</v>
      </c>
      <c r="N14470" s="223"/>
      <c r="O14470" s="223" t="s">
        <v>12</v>
      </c>
      <c r="P14470" s="223"/>
      <c r="Q14470" s="224"/>
    </row>
    <row r="14471" spans="1:17" ht="30.75">
      <c r="A14471" s="221"/>
      <c r="B14471" s="222">
        <v>46283</v>
      </c>
      <c r="C14471" s="223" t="s">
        <v>301</v>
      </c>
      <c r="D14471" s="223" t="s">
        <v>972</v>
      </c>
      <c r="E14471" s="223" t="s">
        <v>345</v>
      </c>
      <c r="F14471" s="223">
        <v>2026</v>
      </c>
      <c r="G14471" s="223">
        <v>2</v>
      </c>
      <c r="H14471" s="223" t="s">
        <v>196</v>
      </c>
      <c r="I14471" s="226" t="s">
        <v>967</v>
      </c>
      <c r="J14471" s="223" t="s">
        <v>687</v>
      </c>
      <c r="K14471" s="223" t="s">
        <v>101</v>
      </c>
      <c r="L14471" s="223" t="s">
        <v>746</v>
      </c>
      <c r="M14471" s="223">
        <v>2</v>
      </c>
      <c r="N14471" s="223"/>
      <c r="O14471" s="223"/>
      <c r="P14471" s="223"/>
      <c r="Q14471" s="224"/>
    </row>
    <row r="14472" spans="1:17" ht="30.75">
      <c r="A14472" s="221">
        <v>791</v>
      </c>
      <c r="B14472" s="222">
        <v>46286</v>
      </c>
      <c r="C14472" s="223" t="s">
        <v>302</v>
      </c>
      <c r="D14472" s="223" t="s">
        <v>972</v>
      </c>
      <c r="E14472" s="223" t="s">
        <v>345</v>
      </c>
      <c r="F14472" s="223">
        <v>2026</v>
      </c>
      <c r="G14472" s="223">
        <v>2</v>
      </c>
      <c r="H14472" s="223" t="s">
        <v>196</v>
      </c>
      <c r="I14472" s="226" t="s">
        <v>967</v>
      </c>
      <c r="J14472" s="223" t="s">
        <v>687</v>
      </c>
      <c r="K14472" s="223" t="s">
        <v>101</v>
      </c>
      <c r="L14472" s="223" t="s">
        <v>946</v>
      </c>
      <c r="M14472" s="223">
        <v>2</v>
      </c>
      <c r="N14472" s="223"/>
      <c r="O14472" s="223" t="s">
        <v>12</v>
      </c>
      <c r="P14472" s="223"/>
      <c r="Q14472" s="224"/>
    </row>
    <row r="14473" spans="1:17" ht="30.75">
      <c r="A14473" s="221">
        <v>792</v>
      </c>
      <c r="B14473" s="222">
        <v>46287</v>
      </c>
      <c r="C14473" s="223" t="s">
        <v>289</v>
      </c>
      <c r="D14473" s="223" t="s">
        <v>972</v>
      </c>
      <c r="E14473" s="223" t="s">
        <v>345</v>
      </c>
      <c r="F14473" s="223">
        <v>2026</v>
      </c>
      <c r="G14473" s="223">
        <v>2</v>
      </c>
      <c r="H14473" s="223" t="s">
        <v>196</v>
      </c>
      <c r="I14473" s="226" t="s">
        <v>967</v>
      </c>
      <c r="J14473" s="223" t="s">
        <v>687</v>
      </c>
      <c r="K14473" s="223" t="s">
        <v>101</v>
      </c>
      <c r="L14473" s="223" t="s">
        <v>947</v>
      </c>
      <c r="M14473" s="223">
        <v>2</v>
      </c>
      <c r="N14473" s="223"/>
      <c r="O14473" s="223" t="s">
        <v>12</v>
      </c>
      <c r="P14473" s="223"/>
      <c r="Q14473" s="224"/>
    </row>
    <row r="14474" spans="1:17" ht="30.75">
      <c r="A14474" s="221">
        <v>793</v>
      </c>
      <c r="B14474" s="222">
        <v>46289</v>
      </c>
      <c r="C14474" s="223" t="s">
        <v>298</v>
      </c>
      <c r="D14474" s="223" t="s">
        <v>972</v>
      </c>
      <c r="E14474" s="223" t="s">
        <v>345</v>
      </c>
      <c r="F14474" s="223">
        <v>2026</v>
      </c>
      <c r="G14474" s="223">
        <v>2</v>
      </c>
      <c r="H14474" s="223" t="s">
        <v>196</v>
      </c>
      <c r="I14474" s="226" t="s">
        <v>967</v>
      </c>
      <c r="J14474" s="223" t="s">
        <v>687</v>
      </c>
      <c r="K14474" s="223" t="s">
        <v>101</v>
      </c>
      <c r="L14474" s="223" t="s">
        <v>948</v>
      </c>
      <c r="M14474" s="223">
        <v>2</v>
      </c>
      <c r="N14474" s="223"/>
      <c r="O14474" s="223" t="s">
        <v>12</v>
      </c>
      <c r="P14474" s="223"/>
      <c r="Q14474" s="224"/>
    </row>
    <row r="14475" spans="1:17" ht="30.75">
      <c r="A14475" s="221">
        <v>794</v>
      </c>
      <c r="B14475" s="222">
        <v>46293</v>
      </c>
      <c r="C14475" s="223" t="s">
        <v>302</v>
      </c>
      <c r="D14475" s="223" t="s">
        <v>972</v>
      </c>
      <c r="E14475" s="223" t="s">
        <v>345</v>
      </c>
      <c r="F14475" s="223">
        <v>2026</v>
      </c>
      <c r="G14475" s="223">
        <v>2</v>
      </c>
      <c r="H14475" s="223" t="s">
        <v>196</v>
      </c>
      <c r="I14475" s="226" t="s">
        <v>967</v>
      </c>
      <c r="J14475" s="223" t="s">
        <v>687</v>
      </c>
      <c r="K14475" s="223" t="s">
        <v>101</v>
      </c>
      <c r="L14475" s="223" t="s">
        <v>949</v>
      </c>
      <c r="M14475" s="223">
        <v>2</v>
      </c>
      <c r="N14475" s="223"/>
      <c r="O14475" s="223" t="s">
        <v>12</v>
      </c>
      <c r="P14475" s="223"/>
      <c r="Q14475" s="224"/>
    </row>
    <row r="14476" spans="1:17" ht="30.75">
      <c r="A14476" s="221">
        <v>795</v>
      </c>
      <c r="B14476" s="222">
        <v>46294</v>
      </c>
      <c r="C14476" s="223" t="s">
        <v>289</v>
      </c>
      <c r="D14476" s="223" t="s">
        <v>972</v>
      </c>
      <c r="E14476" s="223" t="s">
        <v>345</v>
      </c>
      <c r="F14476" s="223">
        <v>2026</v>
      </c>
      <c r="G14476" s="223">
        <v>2</v>
      </c>
      <c r="H14476" s="223" t="s">
        <v>196</v>
      </c>
      <c r="I14476" s="226" t="s">
        <v>967</v>
      </c>
      <c r="J14476" s="223" t="s">
        <v>687</v>
      </c>
      <c r="K14476" s="223" t="s">
        <v>101</v>
      </c>
      <c r="L14476" s="223" t="s">
        <v>950</v>
      </c>
      <c r="M14476" s="223">
        <v>2</v>
      </c>
      <c r="N14476" s="223"/>
      <c r="O14476" s="223" t="s">
        <v>12</v>
      </c>
      <c r="P14476" s="223"/>
      <c r="Q14476" s="224"/>
    </row>
    <row r="14477" spans="1:17">
      <c r="A14477" s="221"/>
      <c r="B14477" s="222"/>
      <c r="C14477" s="223"/>
      <c r="D14477" s="223"/>
      <c r="E14477" s="223">
        <v>45748</v>
      </c>
      <c r="F14477" s="223"/>
      <c r="G14477" s="223"/>
      <c r="H14477" s="223" t="s">
        <v>16</v>
      </c>
      <c r="I14477" s="226"/>
      <c r="J14477" s="223"/>
      <c r="K14477" s="223" t="s">
        <v>18</v>
      </c>
      <c r="L14477" s="223"/>
      <c r="M14477" s="223"/>
      <c r="N14477" s="223"/>
      <c r="O14477" s="223"/>
      <c r="P14477" s="223"/>
      <c r="Q14477" s="224"/>
    </row>
    <row r="14478" spans="1:17">
      <c r="A14478" s="221"/>
      <c r="B14478" s="222"/>
      <c r="C14478" s="223"/>
      <c r="D14478" s="223"/>
      <c r="E14478" s="223">
        <v>45748</v>
      </c>
      <c r="F14478" s="223"/>
      <c r="G14478" s="223"/>
      <c r="H14478" s="223" t="s">
        <v>16</v>
      </c>
      <c r="I14478" s="226"/>
      <c r="J14478" s="223"/>
      <c r="K14478" s="223" t="s">
        <v>18</v>
      </c>
      <c r="L14478" s="223"/>
      <c r="M14478" s="223"/>
      <c r="N14478" s="223"/>
      <c r="O14478" s="223"/>
      <c r="P14478" s="223"/>
      <c r="Q14478" s="224"/>
    </row>
    <row r="14479" spans="1:17">
      <c r="A14479" s="221"/>
      <c r="B14479" s="222"/>
      <c r="C14479" s="223"/>
      <c r="D14479" s="223"/>
      <c r="E14479" s="223">
        <v>45778</v>
      </c>
      <c r="F14479" s="223"/>
      <c r="G14479" s="223"/>
      <c r="H14479" s="223" t="s">
        <v>16</v>
      </c>
      <c r="I14479" s="226"/>
      <c r="J14479" s="223"/>
      <c r="K14479" s="223" t="s">
        <v>27</v>
      </c>
      <c r="L14479" s="223"/>
      <c r="M14479" s="223"/>
      <c r="N14479" s="223"/>
      <c r="O14479" s="223"/>
      <c r="P14479" s="223"/>
      <c r="Q14479" s="224"/>
    </row>
    <row r="14480" spans="1:17">
      <c r="A14480" s="221"/>
      <c r="B14480" s="222"/>
      <c r="C14480" s="223"/>
      <c r="D14480" s="223"/>
      <c r="E14480" s="223">
        <v>45778</v>
      </c>
      <c r="F14480" s="223"/>
      <c r="G14480" s="223"/>
      <c r="H14480" s="223" t="s">
        <v>16</v>
      </c>
      <c r="I14480" s="226"/>
      <c r="J14480" s="223"/>
      <c r="K14480" s="223" t="s">
        <v>27</v>
      </c>
      <c r="L14480" s="223"/>
      <c r="M14480" s="223"/>
      <c r="N14480" s="223"/>
      <c r="O14480" s="223"/>
      <c r="P14480" s="223"/>
      <c r="Q14480" s="224"/>
    </row>
    <row r="14481" spans="1:17">
      <c r="A14481" s="221"/>
      <c r="B14481" s="222"/>
      <c r="C14481" s="223"/>
      <c r="D14481" s="223"/>
      <c r="E14481" s="223">
        <v>45778</v>
      </c>
      <c r="F14481" s="223"/>
      <c r="G14481" s="223"/>
      <c r="H14481" s="223" t="s">
        <v>16</v>
      </c>
      <c r="I14481" s="226"/>
      <c r="J14481" s="223"/>
      <c r="K14481" s="223" t="s">
        <v>30</v>
      </c>
      <c r="L14481" s="223"/>
      <c r="M14481" s="223"/>
      <c r="N14481" s="223"/>
      <c r="O14481" s="223"/>
      <c r="P14481" s="223"/>
      <c r="Q14481" s="224"/>
    </row>
    <row r="14482" spans="1:17">
      <c r="A14482" s="221"/>
      <c r="B14482" s="222"/>
      <c r="C14482" s="223"/>
      <c r="D14482" s="223"/>
      <c r="E14482" s="223">
        <v>45778</v>
      </c>
      <c r="F14482" s="223"/>
      <c r="G14482" s="223"/>
      <c r="H14482" s="223" t="s">
        <v>16</v>
      </c>
      <c r="I14482" s="226"/>
      <c r="J14482" s="223"/>
      <c r="K14482" s="223" t="s">
        <v>30</v>
      </c>
      <c r="L14482" s="223"/>
      <c r="M14482" s="223"/>
      <c r="N14482" s="223"/>
      <c r="O14482" s="223"/>
      <c r="P14482" s="223"/>
      <c r="Q14482" s="224"/>
    </row>
    <row r="14483" spans="1:17">
      <c r="A14483" s="221"/>
      <c r="B14483" s="222"/>
      <c r="C14483" s="223"/>
      <c r="D14483" s="223"/>
      <c r="E14483" s="223">
        <v>45809</v>
      </c>
      <c r="F14483" s="223"/>
      <c r="G14483" s="223"/>
      <c r="H14483" s="223" t="s">
        <v>16</v>
      </c>
      <c r="I14483" s="226"/>
      <c r="J14483" s="223"/>
      <c r="K14483" s="223" t="s">
        <v>31</v>
      </c>
      <c r="L14483" s="223"/>
      <c r="M14483" s="223"/>
      <c r="N14483" s="223"/>
      <c r="O14483" s="223"/>
      <c r="P14483" s="223"/>
      <c r="Q14483" s="224"/>
    </row>
    <row r="14484" spans="1:17">
      <c r="A14484" s="221"/>
      <c r="B14484" s="222"/>
      <c r="C14484" s="223"/>
      <c r="D14484" s="223"/>
      <c r="E14484" s="223">
        <v>45809</v>
      </c>
      <c r="F14484" s="223"/>
      <c r="G14484" s="223"/>
      <c r="H14484" s="223" t="s">
        <v>16</v>
      </c>
      <c r="I14484" s="226"/>
      <c r="J14484" s="223"/>
      <c r="K14484" s="223" t="s">
        <v>31</v>
      </c>
      <c r="L14484" s="223"/>
      <c r="M14484" s="223"/>
      <c r="N14484" s="223"/>
      <c r="O14484" s="223"/>
      <c r="P14484" s="223"/>
      <c r="Q14484" s="224"/>
    </row>
    <row r="14485" spans="1:17">
      <c r="A14485" s="221"/>
      <c r="B14485" s="222"/>
      <c r="C14485" s="223"/>
      <c r="D14485" s="223"/>
      <c r="E14485" s="223">
        <v>45809</v>
      </c>
      <c r="F14485" s="223"/>
      <c r="G14485" s="223"/>
      <c r="H14485" s="223" t="s">
        <v>16</v>
      </c>
      <c r="I14485" s="226"/>
      <c r="J14485" s="223"/>
      <c r="K14485" s="223" t="s">
        <v>32</v>
      </c>
      <c r="L14485" s="223"/>
      <c r="M14485" s="223"/>
      <c r="N14485" s="223"/>
      <c r="O14485" s="223"/>
      <c r="P14485" s="223"/>
      <c r="Q14485" s="224"/>
    </row>
    <row r="14486" spans="1:17">
      <c r="A14486" s="221"/>
      <c r="B14486" s="222"/>
      <c r="C14486" s="223"/>
      <c r="D14486" s="223"/>
      <c r="E14486" s="223">
        <v>45809</v>
      </c>
      <c r="F14486" s="223"/>
      <c r="G14486" s="223"/>
      <c r="H14486" s="223" t="s">
        <v>16</v>
      </c>
      <c r="I14486" s="226"/>
      <c r="J14486" s="223"/>
      <c r="K14486" s="223" t="s">
        <v>32</v>
      </c>
      <c r="L14486" s="223"/>
      <c r="M14486" s="223"/>
      <c r="N14486" s="223"/>
      <c r="O14486" s="223"/>
      <c r="P14486" s="223"/>
      <c r="Q14486" s="224"/>
    </row>
    <row r="14487" spans="1:17">
      <c r="A14487" s="221"/>
      <c r="B14487" s="222"/>
      <c r="C14487" s="223"/>
      <c r="D14487" s="223"/>
      <c r="E14487" s="223">
        <v>45839</v>
      </c>
      <c r="F14487" s="223"/>
      <c r="G14487" s="223"/>
      <c r="H14487" s="223" t="s">
        <v>16</v>
      </c>
      <c r="I14487" s="226"/>
      <c r="J14487" s="223"/>
      <c r="K14487" s="223" t="s">
        <v>34</v>
      </c>
      <c r="L14487" s="223"/>
      <c r="M14487" s="223"/>
      <c r="N14487" s="223"/>
      <c r="O14487" s="223"/>
      <c r="P14487" s="223"/>
      <c r="Q14487" s="224"/>
    </row>
    <row r="14488" spans="1:17">
      <c r="A14488" s="221"/>
      <c r="B14488" s="222"/>
      <c r="C14488" s="223"/>
      <c r="D14488" s="223"/>
      <c r="E14488" s="223">
        <v>45839</v>
      </c>
      <c r="F14488" s="223"/>
      <c r="G14488" s="223"/>
      <c r="H14488" s="223" t="s">
        <v>16</v>
      </c>
      <c r="I14488" s="226"/>
      <c r="J14488" s="223"/>
      <c r="K14488" s="223" t="s">
        <v>34</v>
      </c>
      <c r="L14488" s="223"/>
      <c r="M14488" s="223"/>
      <c r="N14488" s="223"/>
      <c r="O14488" s="223"/>
      <c r="P14488" s="223"/>
      <c r="Q14488" s="224"/>
    </row>
    <row r="14489" spans="1:17">
      <c r="A14489" s="221"/>
      <c r="B14489" s="222"/>
      <c r="C14489" s="223"/>
      <c r="D14489" s="223"/>
      <c r="E14489" s="223">
        <v>45839</v>
      </c>
      <c r="F14489" s="223"/>
      <c r="G14489" s="223"/>
      <c r="H14489" s="223" t="s">
        <v>16</v>
      </c>
      <c r="I14489" s="226"/>
      <c r="J14489" s="223"/>
      <c r="K14489" s="223" t="s">
        <v>35</v>
      </c>
      <c r="L14489" s="223"/>
      <c r="M14489" s="223"/>
      <c r="N14489" s="223"/>
      <c r="O14489" s="223"/>
      <c r="P14489" s="223"/>
      <c r="Q14489" s="224"/>
    </row>
    <row r="14490" spans="1:17">
      <c r="A14490" s="221"/>
      <c r="B14490" s="222"/>
      <c r="C14490" s="223"/>
      <c r="D14490" s="223"/>
      <c r="E14490" s="223">
        <v>45839</v>
      </c>
      <c r="F14490" s="223"/>
      <c r="G14490" s="223"/>
      <c r="H14490" s="223" t="s">
        <v>16</v>
      </c>
      <c r="I14490" s="226"/>
      <c r="J14490" s="223"/>
      <c r="K14490" s="223" t="s">
        <v>35</v>
      </c>
      <c r="L14490" s="223"/>
      <c r="M14490" s="223"/>
      <c r="N14490" s="223"/>
      <c r="O14490" s="223"/>
      <c r="P14490" s="223"/>
      <c r="Q14490" s="224"/>
    </row>
    <row r="14491" spans="1:17">
      <c r="A14491" s="221"/>
      <c r="B14491" s="222"/>
      <c r="C14491" s="223"/>
      <c r="D14491" s="223"/>
      <c r="E14491" s="223">
        <v>45870</v>
      </c>
      <c r="F14491" s="223"/>
      <c r="G14491" s="223"/>
      <c r="H14491" s="223" t="s">
        <v>16</v>
      </c>
      <c r="I14491" s="226"/>
      <c r="J14491" s="223"/>
      <c r="K14491" s="223" t="s">
        <v>37</v>
      </c>
      <c r="L14491" s="223"/>
      <c r="M14491" s="223"/>
      <c r="N14491" s="223"/>
      <c r="O14491" s="223"/>
      <c r="P14491" s="223"/>
      <c r="Q14491" s="224"/>
    </row>
    <row r="14492" spans="1:17">
      <c r="A14492" s="221"/>
      <c r="B14492" s="222"/>
      <c r="C14492" s="223"/>
      <c r="D14492" s="223"/>
      <c r="E14492" s="223">
        <v>45870</v>
      </c>
      <c r="F14492" s="223"/>
      <c r="G14492" s="223"/>
      <c r="H14492" s="223" t="s">
        <v>16</v>
      </c>
      <c r="I14492" s="226"/>
      <c r="J14492" s="223"/>
      <c r="K14492" s="223" t="s">
        <v>38</v>
      </c>
      <c r="L14492" s="223"/>
      <c r="M14492" s="223"/>
      <c r="N14492" s="223"/>
      <c r="O14492" s="223"/>
      <c r="P14492" s="223"/>
      <c r="Q14492" s="224"/>
    </row>
    <row r="14493" spans="1:17">
      <c r="A14493" s="221"/>
      <c r="B14493" s="222"/>
      <c r="C14493" s="223"/>
      <c r="D14493" s="223"/>
      <c r="E14493" s="223">
        <v>45870</v>
      </c>
      <c r="F14493" s="223"/>
      <c r="G14493" s="223"/>
      <c r="H14493" s="223" t="s">
        <v>16</v>
      </c>
      <c r="I14493" s="226"/>
      <c r="J14493" s="223"/>
      <c r="K14493" s="223" t="s">
        <v>38</v>
      </c>
      <c r="L14493" s="223"/>
      <c r="M14493" s="223"/>
      <c r="N14493" s="223"/>
      <c r="O14493" s="223"/>
      <c r="P14493" s="223"/>
      <c r="Q14493" s="224"/>
    </row>
    <row r="14494" spans="1:17">
      <c r="A14494" s="221"/>
      <c r="B14494" s="222"/>
      <c r="C14494" s="223"/>
      <c r="D14494" s="223"/>
      <c r="E14494" s="223">
        <v>45870</v>
      </c>
      <c r="F14494" s="223"/>
      <c r="G14494" s="223"/>
      <c r="H14494" s="223" t="s">
        <v>16</v>
      </c>
      <c r="I14494" s="226"/>
      <c r="J14494" s="223"/>
      <c r="K14494" s="223" t="s">
        <v>39</v>
      </c>
      <c r="L14494" s="223"/>
      <c r="M14494" s="223"/>
      <c r="N14494" s="223"/>
      <c r="O14494" s="223"/>
      <c r="P14494" s="223"/>
      <c r="Q14494" s="224"/>
    </row>
    <row r="14495" spans="1:17">
      <c r="A14495" s="221"/>
      <c r="B14495" s="222"/>
      <c r="C14495" s="223"/>
      <c r="D14495" s="223"/>
      <c r="E14495" s="223">
        <v>45870</v>
      </c>
      <c r="F14495" s="223"/>
      <c r="G14495" s="223"/>
      <c r="H14495" s="223" t="s">
        <v>16</v>
      </c>
      <c r="I14495" s="226"/>
      <c r="J14495" s="223"/>
      <c r="K14495" s="223" t="s">
        <v>39</v>
      </c>
      <c r="L14495" s="223"/>
      <c r="M14495" s="223"/>
      <c r="N14495" s="223"/>
      <c r="O14495" s="223"/>
      <c r="P14495" s="223"/>
      <c r="Q14495" s="224"/>
    </row>
    <row r="14496" spans="1:17">
      <c r="A14496" s="221"/>
      <c r="B14496" s="222"/>
      <c r="C14496" s="223"/>
      <c r="D14496" s="223"/>
      <c r="E14496" s="223">
        <v>45901</v>
      </c>
      <c r="F14496" s="223"/>
      <c r="G14496" s="223"/>
      <c r="H14496" s="223" t="s">
        <v>16</v>
      </c>
      <c r="I14496" s="226"/>
      <c r="J14496" s="223"/>
      <c r="K14496" s="223" t="s">
        <v>37</v>
      </c>
      <c r="L14496" s="223"/>
      <c r="M14496" s="223"/>
      <c r="N14496" s="223"/>
      <c r="O14496" s="223"/>
      <c r="P14496" s="223"/>
      <c r="Q14496" s="224"/>
    </row>
    <row r="14497" spans="1:17">
      <c r="A14497" s="221"/>
      <c r="B14497" s="222"/>
      <c r="C14497" s="223"/>
      <c r="D14497" s="223"/>
      <c r="E14497" s="223">
        <v>45901</v>
      </c>
      <c r="F14497" s="223"/>
      <c r="G14497" s="223"/>
      <c r="H14497" s="223" t="s">
        <v>16</v>
      </c>
      <c r="I14497" s="226"/>
      <c r="J14497" s="223"/>
      <c r="K14497" s="223" t="s">
        <v>43</v>
      </c>
      <c r="L14497" s="223"/>
      <c r="M14497" s="223"/>
      <c r="N14497" s="223"/>
      <c r="O14497" s="223"/>
      <c r="P14497" s="223"/>
      <c r="Q14497" s="224"/>
    </row>
    <row r="14498" spans="1:17">
      <c r="A14498" s="221"/>
      <c r="B14498" s="222"/>
      <c r="C14498" s="223"/>
      <c r="D14498" s="223"/>
      <c r="E14498" s="223">
        <v>45901</v>
      </c>
      <c r="F14498" s="223"/>
      <c r="G14498" s="223"/>
      <c r="H14498" s="223" t="s">
        <v>16</v>
      </c>
      <c r="I14498" s="226"/>
      <c r="J14498" s="223"/>
      <c r="K14498" s="223" t="s">
        <v>45</v>
      </c>
      <c r="L14498" s="223"/>
      <c r="M14498" s="223"/>
      <c r="N14498" s="223"/>
      <c r="O14498" s="223"/>
      <c r="P14498" s="223"/>
      <c r="Q14498" s="224"/>
    </row>
    <row r="14499" spans="1:17">
      <c r="A14499" s="221"/>
      <c r="B14499" s="222"/>
      <c r="C14499" s="223"/>
      <c r="D14499" s="223"/>
      <c r="E14499" s="223">
        <v>45901</v>
      </c>
      <c r="F14499" s="223"/>
      <c r="G14499" s="223"/>
      <c r="H14499" s="223" t="s">
        <v>16</v>
      </c>
      <c r="I14499" s="226"/>
      <c r="J14499" s="223"/>
      <c r="K14499" s="223" t="s">
        <v>45</v>
      </c>
      <c r="L14499" s="223"/>
      <c r="M14499" s="223"/>
      <c r="N14499" s="223"/>
      <c r="O14499" s="223"/>
      <c r="P14499" s="223"/>
      <c r="Q14499" s="224"/>
    </row>
    <row r="14500" spans="1:17">
      <c r="A14500" s="221"/>
      <c r="B14500" s="222"/>
      <c r="C14500" s="223"/>
      <c r="D14500" s="223"/>
      <c r="E14500" s="223">
        <v>45931</v>
      </c>
      <c r="F14500" s="223"/>
      <c r="G14500" s="223"/>
      <c r="H14500" s="223" t="s">
        <v>16</v>
      </c>
      <c r="I14500" s="226"/>
      <c r="J14500" s="223"/>
      <c r="K14500" s="223" t="s">
        <v>48</v>
      </c>
      <c r="L14500" s="223"/>
      <c r="M14500" s="223"/>
      <c r="N14500" s="223"/>
      <c r="O14500" s="223"/>
      <c r="P14500" s="223"/>
      <c r="Q14500" s="224"/>
    </row>
    <row r="14501" spans="1:17">
      <c r="A14501" s="221"/>
      <c r="B14501" s="222"/>
      <c r="C14501" s="223"/>
      <c r="D14501" s="223"/>
      <c r="E14501" s="223">
        <v>45931</v>
      </c>
      <c r="F14501" s="223"/>
      <c r="G14501" s="223"/>
      <c r="H14501" s="223" t="s">
        <v>16</v>
      </c>
      <c r="I14501" s="226"/>
      <c r="J14501" s="223"/>
      <c r="K14501" s="223" t="s">
        <v>50</v>
      </c>
      <c r="L14501" s="223"/>
      <c r="M14501" s="223"/>
      <c r="N14501" s="223"/>
      <c r="O14501" s="223"/>
      <c r="P14501" s="223"/>
      <c r="Q14501" s="224"/>
    </row>
    <row r="14502" spans="1:17">
      <c r="A14502" s="221"/>
      <c r="B14502" s="222"/>
      <c r="C14502" s="223"/>
      <c r="D14502" s="223"/>
      <c r="E14502" s="223">
        <v>45962</v>
      </c>
      <c r="F14502" s="223"/>
      <c r="G14502" s="223"/>
      <c r="H14502" s="223" t="s">
        <v>16</v>
      </c>
      <c r="I14502" s="226"/>
      <c r="J14502" s="223"/>
      <c r="K14502" s="223" t="s">
        <v>43</v>
      </c>
      <c r="L14502" s="223"/>
      <c r="M14502" s="223"/>
      <c r="N14502" s="223"/>
      <c r="O14502" s="223"/>
      <c r="P14502" s="223"/>
      <c r="Q14502" s="224"/>
    </row>
    <row r="14503" spans="1:17">
      <c r="A14503" s="221"/>
      <c r="B14503" s="222"/>
      <c r="C14503" s="223"/>
      <c r="D14503" s="223"/>
      <c r="E14503" s="223">
        <v>45962</v>
      </c>
      <c r="F14503" s="223"/>
      <c r="G14503" s="223"/>
      <c r="H14503" s="223" t="s">
        <v>16</v>
      </c>
      <c r="I14503" s="226"/>
      <c r="J14503" s="223"/>
      <c r="K14503" s="223" t="s">
        <v>50</v>
      </c>
      <c r="L14503" s="223"/>
      <c r="M14503" s="223"/>
      <c r="N14503" s="223"/>
      <c r="O14503" s="223"/>
      <c r="P14503" s="223"/>
      <c r="Q14503" s="224"/>
    </row>
    <row r="14504" spans="1:17">
      <c r="A14504" s="221"/>
      <c r="B14504" s="222"/>
      <c r="C14504" s="223"/>
      <c r="D14504" s="223"/>
      <c r="E14504" s="223">
        <v>45992</v>
      </c>
      <c r="F14504" s="223"/>
      <c r="G14504" s="223"/>
      <c r="H14504" s="223" t="s">
        <v>16</v>
      </c>
      <c r="I14504" s="226"/>
      <c r="J14504" s="223"/>
      <c r="K14504" s="223" t="s">
        <v>53</v>
      </c>
      <c r="L14504" s="223"/>
      <c r="M14504" s="223"/>
      <c r="N14504" s="223"/>
      <c r="O14504" s="223"/>
      <c r="P14504" s="223"/>
      <c r="Q14504" s="224"/>
    </row>
    <row r="14505" spans="1:17">
      <c r="A14505" s="221"/>
      <c r="B14505" s="222"/>
      <c r="C14505" s="223"/>
      <c r="D14505" s="223"/>
      <c r="E14505" s="223">
        <v>45992</v>
      </c>
      <c r="F14505" s="223"/>
      <c r="G14505" s="223"/>
      <c r="H14505" s="223" t="s">
        <v>16</v>
      </c>
      <c r="I14505" s="226"/>
      <c r="J14505" s="223"/>
      <c r="K14505" s="223" t="s">
        <v>55</v>
      </c>
      <c r="L14505" s="223"/>
      <c r="M14505" s="223"/>
      <c r="N14505" s="223"/>
      <c r="O14505" s="223"/>
      <c r="P14505" s="223"/>
      <c r="Q14505" s="224"/>
    </row>
    <row r="14506" spans="1:17">
      <c r="A14506" s="221"/>
      <c r="B14506" s="222"/>
      <c r="C14506" s="223"/>
      <c r="D14506" s="223"/>
      <c r="E14506" s="223">
        <v>46023</v>
      </c>
      <c r="F14506" s="223"/>
      <c r="G14506" s="223"/>
      <c r="H14506" s="223" t="s">
        <v>57</v>
      </c>
      <c r="I14506" s="226"/>
      <c r="J14506" s="223"/>
      <c r="K14506" s="223"/>
      <c r="L14506" s="223"/>
      <c r="M14506" s="223"/>
      <c r="N14506" s="223"/>
      <c r="O14506" s="223"/>
      <c r="P14506" s="223"/>
      <c r="Q14506" s="224"/>
    </row>
    <row r="14507" spans="1:17">
      <c r="A14507" s="221"/>
      <c r="B14507" s="222"/>
      <c r="C14507" s="223"/>
      <c r="D14507" s="223"/>
      <c r="E14507" s="223">
        <v>46023</v>
      </c>
      <c r="F14507" s="223"/>
      <c r="G14507" s="223"/>
      <c r="H14507" s="223" t="s">
        <v>61</v>
      </c>
      <c r="I14507" s="226"/>
      <c r="J14507" s="223"/>
      <c r="K14507" s="223" t="s">
        <v>34</v>
      </c>
      <c r="L14507" s="223"/>
      <c r="M14507" s="223"/>
      <c r="N14507" s="223"/>
      <c r="O14507" s="223"/>
      <c r="P14507" s="223"/>
      <c r="Q14507" s="224"/>
    </row>
    <row r="14508" spans="1:17">
      <c r="A14508" s="221"/>
      <c r="B14508" s="222"/>
      <c r="C14508" s="223"/>
      <c r="D14508" s="223"/>
      <c r="E14508" s="223">
        <v>46023</v>
      </c>
      <c r="F14508" s="223"/>
      <c r="G14508" s="223"/>
      <c r="H14508" s="223" t="s">
        <v>61</v>
      </c>
      <c r="I14508" s="226"/>
      <c r="J14508" s="223"/>
      <c r="K14508" s="223" t="s">
        <v>34</v>
      </c>
      <c r="L14508" s="223"/>
      <c r="M14508" s="223"/>
      <c r="N14508" s="223"/>
      <c r="O14508" s="223"/>
      <c r="P14508" s="223"/>
      <c r="Q14508" s="224"/>
    </row>
    <row r="14509" spans="1:17">
      <c r="A14509" s="221"/>
      <c r="B14509" s="222"/>
      <c r="C14509" s="223"/>
      <c r="D14509" s="223"/>
      <c r="E14509" s="223">
        <v>46023</v>
      </c>
      <c r="F14509" s="223"/>
      <c r="G14509" s="223"/>
      <c r="H14509" s="223" t="s">
        <v>61</v>
      </c>
      <c r="I14509" s="226"/>
      <c r="J14509" s="223"/>
      <c r="K14509" s="223" t="s">
        <v>35</v>
      </c>
      <c r="L14509" s="223"/>
      <c r="M14509" s="223"/>
      <c r="N14509" s="223"/>
      <c r="O14509" s="223"/>
      <c r="P14509" s="223"/>
      <c r="Q14509" s="224"/>
    </row>
    <row r="14510" spans="1:17">
      <c r="A14510" s="221"/>
      <c r="B14510" s="222"/>
      <c r="C14510" s="223"/>
      <c r="D14510" s="223"/>
      <c r="E14510" s="223">
        <v>46023</v>
      </c>
      <c r="F14510" s="223"/>
      <c r="G14510" s="223"/>
      <c r="H14510" s="223" t="s">
        <v>61</v>
      </c>
      <c r="I14510" s="226"/>
      <c r="J14510" s="223"/>
      <c r="K14510" s="223" t="s">
        <v>35</v>
      </c>
      <c r="L14510" s="223"/>
      <c r="M14510" s="223"/>
      <c r="N14510" s="223"/>
      <c r="O14510" s="223"/>
      <c r="P14510" s="223"/>
      <c r="Q14510" s="224"/>
    </row>
    <row r="14511" spans="1:17">
      <c r="A14511" s="221"/>
      <c r="B14511" s="222"/>
      <c r="C14511" s="223"/>
      <c r="D14511" s="223"/>
      <c r="E14511" s="223">
        <v>46023</v>
      </c>
      <c r="F14511" s="223"/>
      <c r="G14511" s="223"/>
      <c r="H14511" s="223" t="s">
        <v>16</v>
      </c>
      <c r="I14511" s="226"/>
      <c r="J14511" s="223"/>
      <c r="K14511" s="223" t="s">
        <v>55</v>
      </c>
      <c r="L14511" s="223"/>
      <c r="M14511" s="223"/>
      <c r="N14511" s="223"/>
      <c r="O14511" s="223"/>
      <c r="P14511" s="223"/>
      <c r="Q14511" s="224"/>
    </row>
    <row r="14512" spans="1:17">
      <c r="A14512" s="221"/>
      <c r="B14512" s="222"/>
      <c r="C14512" s="223"/>
      <c r="D14512" s="223"/>
      <c r="E14512" s="223">
        <v>46054</v>
      </c>
      <c r="F14512" s="223"/>
      <c r="G14512" s="223"/>
      <c r="H14512" s="223" t="s">
        <v>57</v>
      </c>
      <c r="I14512" s="226"/>
      <c r="J14512" s="223"/>
      <c r="K14512" s="223"/>
      <c r="L14512" s="223"/>
      <c r="M14512" s="223"/>
      <c r="N14512" s="223"/>
      <c r="O14512" s="223"/>
      <c r="P14512" s="223"/>
      <c r="Q14512" s="224"/>
    </row>
    <row r="14513" spans="1:17">
      <c r="A14513" s="221"/>
      <c r="B14513" s="222"/>
      <c r="C14513" s="223"/>
      <c r="D14513" s="223"/>
      <c r="E14513" s="223">
        <v>46054</v>
      </c>
      <c r="F14513" s="223"/>
      <c r="G14513" s="223"/>
      <c r="H14513" s="223" t="s">
        <v>57</v>
      </c>
      <c r="I14513" s="226"/>
      <c r="J14513" s="223"/>
      <c r="K14513" s="223"/>
      <c r="L14513" s="223"/>
      <c r="M14513" s="223"/>
      <c r="N14513" s="223"/>
      <c r="O14513" s="223"/>
      <c r="P14513" s="223"/>
      <c r="Q14513" s="224"/>
    </row>
    <row r="14514" spans="1:17">
      <c r="A14514" s="221"/>
      <c r="B14514" s="222"/>
      <c r="C14514" s="223"/>
      <c r="D14514" s="223"/>
      <c r="E14514" s="223">
        <v>46054</v>
      </c>
      <c r="F14514" s="223"/>
      <c r="G14514" s="223"/>
      <c r="H14514" s="223" t="s">
        <v>57</v>
      </c>
      <c r="I14514" s="226"/>
      <c r="J14514" s="223"/>
      <c r="K14514" s="223"/>
      <c r="L14514" s="223"/>
      <c r="M14514" s="223"/>
      <c r="N14514" s="223"/>
      <c r="O14514" s="223"/>
      <c r="P14514" s="223"/>
      <c r="Q14514" s="224"/>
    </row>
    <row r="14515" spans="1:17">
      <c r="A14515" s="221"/>
      <c r="B14515" s="222"/>
      <c r="C14515" s="223"/>
      <c r="D14515" s="223"/>
      <c r="E14515" s="223">
        <v>46054</v>
      </c>
      <c r="F14515" s="223"/>
      <c r="G14515" s="223"/>
      <c r="H14515" s="223" t="s">
        <v>57</v>
      </c>
      <c r="I14515" s="226"/>
      <c r="J14515" s="223"/>
      <c r="K14515" s="223"/>
      <c r="L14515" s="223"/>
      <c r="M14515" s="223"/>
      <c r="N14515" s="223"/>
      <c r="O14515" s="223"/>
      <c r="P14515" s="223"/>
      <c r="Q14515" s="224"/>
    </row>
    <row r="14516" spans="1:17">
      <c r="A14516" s="221"/>
      <c r="B14516" s="222"/>
      <c r="C14516" s="223"/>
      <c r="D14516" s="223"/>
      <c r="E14516" s="223">
        <v>46054</v>
      </c>
      <c r="F14516" s="223"/>
      <c r="G14516" s="223"/>
      <c r="H14516" s="223" t="s">
        <v>57</v>
      </c>
      <c r="I14516" s="226"/>
      <c r="J14516" s="223"/>
      <c r="K14516" s="223"/>
      <c r="L14516" s="223"/>
      <c r="M14516" s="223"/>
      <c r="N14516" s="223"/>
      <c r="O14516" s="223"/>
      <c r="P14516" s="223"/>
      <c r="Q14516" s="224"/>
    </row>
    <row r="14517" spans="1:17">
      <c r="A14517" s="221"/>
      <c r="B14517" s="222"/>
      <c r="C14517" s="223"/>
      <c r="D14517" s="223"/>
      <c r="E14517" s="223">
        <v>46054</v>
      </c>
      <c r="F14517" s="223"/>
      <c r="G14517" s="223"/>
      <c r="H14517" s="223" t="s">
        <v>76</v>
      </c>
      <c r="I14517" s="226"/>
      <c r="J14517" s="223"/>
      <c r="K14517" s="223"/>
      <c r="L14517" s="223"/>
      <c r="M14517" s="223"/>
      <c r="N14517" s="223"/>
      <c r="O14517" s="223"/>
      <c r="P14517" s="223"/>
      <c r="Q14517" s="224"/>
    </row>
    <row r="14518" spans="1:17">
      <c r="A14518" s="221"/>
      <c r="B14518" s="222"/>
      <c r="C14518" s="223"/>
      <c r="D14518" s="223"/>
      <c r="E14518" s="223">
        <v>46054</v>
      </c>
      <c r="F14518" s="223"/>
      <c r="G14518" s="223"/>
      <c r="H14518" s="223" t="s">
        <v>80</v>
      </c>
      <c r="I14518" s="226"/>
      <c r="J14518" s="223"/>
      <c r="K14518" s="223"/>
      <c r="L14518" s="223"/>
      <c r="M14518" s="223"/>
      <c r="N14518" s="223"/>
      <c r="O14518" s="223"/>
      <c r="P14518" s="223"/>
      <c r="Q14518" s="224"/>
    </row>
    <row r="14519" spans="1:17">
      <c r="A14519" s="221"/>
      <c r="B14519" s="222"/>
      <c r="C14519" s="223"/>
      <c r="D14519" s="223"/>
      <c r="E14519" s="223">
        <v>46054</v>
      </c>
      <c r="F14519" s="223"/>
      <c r="G14519" s="223"/>
      <c r="H14519" s="223" t="s">
        <v>80</v>
      </c>
      <c r="I14519" s="226"/>
      <c r="J14519" s="223"/>
      <c r="K14519" s="223"/>
      <c r="L14519" s="223"/>
      <c r="M14519" s="223"/>
      <c r="N14519" s="223"/>
      <c r="O14519" s="223"/>
      <c r="P14519" s="223"/>
      <c r="Q14519" s="224"/>
    </row>
    <row r="14520" spans="1:17">
      <c r="A14520" s="221"/>
      <c r="B14520" s="222"/>
      <c r="C14520" s="223"/>
      <c r="D14520" s="223"/>
      <c r="E14520" s="223">
        <v>46054</v>
      </c>
      <c r="F14520" s="223"/>
      <c r="G14520" s="223"/>
      <c r="H14520" s="223" t="s">
        <v>61</v>
      </c>
      <c r="I14520" s="226"/>
      <c r="J14520" s="223"/>
      <c r="K14520" s="223" t="s">
        <v>34</v>
      </c>
      <c r="L14520" s="223"/>
      <c r="M14520" s="223"/>
      <c r="N14520" s="223"/>
      <c r="O14520" s="223"/>
      <c r="P14520" s="223"/>
      <c r="Q14520" s="224"/>
    </row>
    <row r="14521" spans="1:17">
      <c r="A14521" s="221"/>
      <c r="B14521" s="222"/>
      <c r="C14521" s="223"/>
      <c r="D14521" s="223"/>
      <c r="E14521" s="223">
        <v>46054</v>
      </c>
      <c r="F14521" s="223"/>
      <c r="G14521" s="223"/>
      <c r="H14521" s="223" t="s">
        <v>61</v>
      </c>
      <c r="I14521" s="226"/>
      <c r="J14521" s="223"/>
      <c r="K14521" s="223" t="s">
        <v>35</v>
      </c>
      <c r="L14521" s="223"/>
      <c r="M14521" s="223"/>
      <c r="N14521" s="223"/>
      <c r="O14521" s="223"/>
      <c r="P14521" s="223"/>
      <c r="Q14521" s="224"/>
    </row>
    <row r="14522" spans="1:17">
      <c r="A14522" s="221"/>
      <c r="B14522" s="222"/>
      <c r="C14522" s="223"/>
      <c r="D14522" s="223"/>
      <c r="E14522" s="223">
        <v>46054</v>
      </c>
      <c r="F14522" s="223"/>
      <c r="G14522" s="223"/>
      <c r="H14522" s="223" t="s">
        <v>61</v>
      </c>
      <c r="I14522" s="226"/>
      <c r="J14522" s="223"/>
      <c r="K14522" s="223" t="s">
        <v>35</v>
      </c>
      <c r="L14522" s="223"/>
      <c r="M14522" s="223"/>
      <c r="N14522" s="223"/>
      <c r="O14522" s="223"/>
      <c r="P14522" s="223"/>
      <c r="Q14522" s="224"/>
    </row>
    <row r="14523" spans="1:17">
      <c r="A14523" s="221"/>
      <c r="B14523" s="222"/>
      <c r="C14523" s="223"/>
      <c r="D14523" s="223"/>
      <c r="E14523" s="223">
        <v>46054</v>
      </c>
      <c r="F14523" s="223"/>
      <c r="G14523" s="223"/>
      <c r="H14523" s="223" t="s">
        <v>61</v>
      </c>
      <c r="I14523" s="226"/>
      <c r="J14523" s="223"/>
      <c r="K14523" s="223" t="s">
        <v>37</v>
      </c>
      <c r="L14523" s="223"/>
      <c r="M14523" s="223"/>
      <c r="N14523" s="223"/>
      <c r="O14523" s="223"/>
      <c r="P14523" s="223"/>
      <c r="Q14523" s="224"/>
    </row>
    <row r="14524" spans="1:17">
      <c r="A14524" s="221"/>
      <c r="B14524" s="222"/>
      <c r="C14524" s="223"/>
      <c r="D14524" s="223"/>
      <c r="E14524" s="223">
        <v>46054</v>
      </c>
      <c r="F14524" s="223"/>
      <c r="G14524" s="223"/>
      <c r="H14524" s="223" t="s">
        <v>61</v>
      </c>
      <c r="I14524" s="226"/>
      <c r="J14524" s="223"/>
      <c r="K14524" s="223" t="s">
        <v>38</v>
      </c>
      <c r="L14524" s="223"/>
      <c r="M14524" s="223"/>
      <c r="N14524" s="223"/>
      <c r="O14524" s="223"/>
      <c r="P14524" s="223"/>
      <c r="Q14524" s="224"/>
    </row>
    <row r="14525" spans="1:17">
      <c r="A14525" s="221"/>
      <c r="B14525" s="222"/>
      <c r="C14525" s="223"/>
      <c r="D14525" s="223"/>
      <c r="E14525" s="223">
        <v>46082</v>
      </c>
      <c r="F14525" s="223"/>
      <c r="G14525" s="223"/>
      <c r="H14525" s="223" t="s">
        <v>57</v>
      </c>
      <c r="I14525" s="226"/>
      <c r="J14525" s="223"/>
      <c r="K14525" s="223" t="s">
        <v>90</v>
      </c>
      <c r="L14525" s="223"/>
      <c r="M14525" s="223"/>
      <c r="N14525" s="223"/>
      <c r="O14525" s="223"/>
      <c r="P14525" s="223"/>
      <c r="Q14525" s="224"/>
    </row>
    <row r="14526" spans="1:17">
      <c r="A14526" s="221"/>
      <c r="B14526" s="222"/>
      <c r="C14526" s="223"/>
      <c r="D14526" s="223"/>
      <c r="E14526" s="223">
        <v>46082</v>
      </c>
      <c r="F14526" s="223"/>
      <c r="G14526" s="223"/>
      <c r="H14526" s="223" t="s">
        <v>57</v>
      </c>
      <c r="I14526" s="226"/>
      <c r="J14526" s="223"/>
      <c r="K14526" s="223" t="s">
        <v>90</v>
      </c>
      <c r="L14526" s="223"/>
      <c r="M14526" s="223"/>
      <c r="N14526" s="223"/>
      <c r="O14526" s="223"/>
      <c r="P14526" s="223"/>
      <c r="Q14526" s="224"/>
    </row>
    <row r="14527" spans="1:17">
      <c r="A14527" s="221"/>
      <c r="B14527" s="222"/>
      <c r="C14527" s="223"/>
      <c r="D14527" s="223"/>
      <c r="E14527" s="223">
        <v>46082</v>
      </c>
      <c r="F14527" s="223"/>
      <c r="G14527" s="223"/>
      <c r="H14527" s="223" t="s">
        <v>57</v>
      </c>
      <c r="I14527" s="226"/>
      <c r="J14527" s="223"/>
      <c r="K14527" s="223"/>
      <c r="L14527" s="223"/>
      <c r="M14527" s="223"/>
      <c r="N14527" s="223"/>
      <c r="O14527" s="223"/>
      <c r="P14527" s="223"/>
      <c r="Q14527" s="224"/>
    </row>
    <row r="14528" spans="1:17">
      <c r="A14528" s="221"/>
      <c r="B14528" s="222"/>
      <c r="C14528" s="223"/>
      <c r="D14528" s="223"/>
      <c r="E14528" s="223">
        <v>46082</v>
      </c>
      <c r="F14528" s="223"/>
      <c r="G14528" s="223"/>
      <c r="H14528" s="223" t="s">
        <v>57</v>
      </c>
      <c r="I14528" s="226"/>
      <c r="J14528" s="223"/>
      <c r="K14528" s="223"/>
      <c r="L14528" s="223"/>
      <c r="M14528" s="223"/>
      <c r="N14528" s="223"/>
      <c r="O14528" s="223"/>
      <c r="P14528" s="223"/>
      <c r="Q14528" s="224"/>
    </row>
    <row r="14529" spans="1:17">
      <c r="A14529" s="221"/>
      <c r="B14529" s="222"/>
      <c r="C14529" s="223"/>
      <c r="D14529" s="223"/>
      <c r="E14529" s="223">
        <v>46082</v>
      </c>
      <c r="F14529" s="223"/>
      <c r="G14529" s="223"/>
      <c r="H14529" s="223" t="s">
        <v>57</v>
      </c>
      <c r="I14529" s="226"/>
      <c r="J14529" s="223"/>
      <c r="K14529" s="223"/>
      <c r="L14529" s="223"/>
      <c r="M14529" s="223"/>
      <c r="N14529" s="223"/>
      <c r="O14529" s="223"/>
      <c r="P14529" s="223"/>
      <c r="Q14529" s="224"/>
    </row>
    <row r="14530" spans="1:17">
      <c r="A14530" s="221"/>
      <c r="B14530" s="222"/>
      <c r="C14530" s="223"/>
      <c r="D14530" s="223"/>
      <c r="E14530" s="223">
        <v>46082</v>
      </c>
      <c r="F14530" s="223"/>
      <c r="G14530" s="223"/>
      <c r="H14530" s="223" t="s">
        <v>57</v>
      </c>
      <c r="I14530" s="226"/>
      <c r="J14530" s="223"/>
      <c r="K14530" s="223"/>
      <c r="L14530" s="223"/>
      <c r="M14530" s="223"/>
      <c r="N14530" s="223"/>
      <c r="O14530" s="223"/>
      <c r="P14530" s="223"/>
      <c r="Q14530" s="224"/>
    </row>
    <row r="14531" spans="1:17">
      <c r="A14531" s="221"/>
      <c r="B14531" s="222"/>
      <c r="C14531" s="223"/>
      <c r="D14531" s="223"/>
      <c r="E14531" s="223">
        <v>46082</v>
      </c>
      <c r="F14531" s="223"/>
      <c r="G14531" s="223"/>
      <c r="H14531" s="223" t="s">
        <v>57</v>
      </c>
      <c r="I14531" s="226"/>
      <c r="J14531" s="223"/>
      <c r="K14531" s="223"/>
      <c r="L14531" s="223"/>
      <c r="M14531" s="223"/>
      <c r="N14531" s="223"/>
      <c r="O14531" s="223"/>
      <c r="P14531" s="223"/>
      <c r="Q14531" s="224"/>
    </row>
    <row r="14532" spans="1:17">
      <c r="A14532" s="221"/>
      <c r="B14532" s="222"/>
      <c r="C14532" s="223"/>
      <c r="D14532" s="223"/>
      <c r="E14532" s="223">
        <v>46082</v>
      </c>
      <c r="F14532" s="223"/>
      <c r="G14532" s="223"/>
      <c r="H14532" s="223" t="s">
        <v>57</v>
      </c>
      <c r="I14532" s="226"/>
      <c r="J14532" s="223"/>
      <c r="K14532" s="223"/>
      <c r="L14532" s="223"/>
      <c r="M14532" s="223"/>
      <c r="N14532" s="223"/>
      <c r="O14532" s="223"/>
      <c r="P14532" s="223"/>
      <c r="Q14532" s="224"/>
    </row>
    <row r="14533" spans="1:17">
      <c r="A14533" s="221"/>
      <c r="B14533" s="222"/>
      <c r="C14533" s="223"/>
      <c r="D14533" s="223"/>
      <c r="E14533" s="223">
        <v>46082</v>
      </c>
      <c r="F14533" s="223"/>
      <c r="G14533" s="223"/>
      <c r="H14533" s="223" t="s">
        <v>99</v>
      </c>
      <c r="I14533" s="226"/>
      <c r="J14533" s="223"/>
      <c r="K14533" s="223" t="s">
        <v>101</v>
      </c>
      <c r="L14533" s="223"/>
      <c r="M14533" s="223"/>
      <c r="N14533" s="223"/>
      <c r="O14533" s="223"/>
      <c r="P14533" s="223"/>
      <c r="Q14533" s="224"/>
    </row>
    <row r="14534" spans="1:17">
      <c r="A14534" s="221"/>
      <c r="B14534" s="222"/>
      <c r="C14534" s="223"/>
      <c r="D14534" s="223"/>
      <c r="E14534" s="223">
        <v>46082</v>
      </c>
      <c r="F14534" s="223"/>
      <c r="G14534" s="223"/>
      <c r="H14534" s="223" t="s">
        <v>99</v>
      </c>
      <c r="I14534" s="226"/>
      <c r="J14534" s="223"/>
      <c r="K14534" s="223" t="s">
        <v>10</v>
      </c>
      <c r="L14534" s="223"/>
      <c r="M14534" s="223"/>
      <c r="N14534" s="223"/>
      <c r="O14534" s="223"/>
      <c r="P14534" s="223"/>
      <c r="Q14534" s="224"/>
    </row>
    <row r="14535" spans="1:17">
      <c r="A14535" s="221"/>
      <c r="B14535" s="222"/>
      <c r="C14535" s="223"/>
      <c r="D14535" s="223"/>
      <c r="E14535" s="223">
        <v>46082</v>
      </c>
      <c r="F14535" s="223"/>
      <c r="G14535" s="223"/>
      <c r="H14535" s="223" t="s">
        <v>99</v>
      </c>
      <c r="I14535" s="226"/>
      <c r="J14535" s="223"/>
      <c r="K14535" s="223" t="s">
        <v>104</v>
      </c>
      <c r="L14535" s="223"/>
      <c r="M14535" s="223"/>
      <c r="N14535" s="223"/>
      <c r="O14535" s="223"/>
      <c r="P14535" s="223"/>
      <c r="Q14535" s="224"/>
    </row>
    <row r="14536" spans="1:17">
      <c r="A14536" s="221"/>
      <c r="B14536" s="222"/>
      <c r="C14536" s="223"/>
      <c r="D14536" s="223"/>
      <c r="E14536" s="223">
        <v>46082</v>
      </c>
      <c r="F14536" s="223"/>
      <c r="G14536" s="223"/>
      <c r="H14536" s="223" t="s">
        <v>99</v>
      </c>
      <c r="I14536" s="226"/>
      <c r="J14536" s="223"/>
      <c r="K14536" s="223" t="s">
        <v>104</v>
      </c>
      <c r="L14536" s="223"/>
      <c r="M14536" s="223"/>
      <c r="N14536" s="223"/>
      <c r="O14536" s="223"/>
      <c r="P14536" s="223"/>
      <c r="Q14536" s="224"/>
    </row>
    <row r="14537" spans="1:17">
      <c r="A14537" s="221"/>
      <c r="B14537" s="222"/>
      <c r="C14537" s="223"/>
      <c r="D14537" s="223"/>
      <c r="E14537" s="223">
        <v>46082</v>
      </c>
      <c r="F14537" s="223"/>
      <c r="G14537" s="223"/>
      <c r="H14537" s="223" t="s">
        <v>99</v>
      </c>
      <c r="I14537" s="226"/>
      <c r="J14537" s="223"/>
      <c r="K14537" s="223" t="s">
        <v>106</v>
      </c>
      <c r="L14537" s="223"/>
      <c r="M14537" s="223"/>
      <c r="N14537" s="223"/>
      <c r="O14537" s="223"/>
      <c r="P14537" s="223"/>
      <c r="Q14537" s="224"/>
    </row>
    <row r="14538" spans="1:17">
      <c r="A14538" s="221"/>
      <c r="B14538" s="222"/>
      <c r="C14538" s="223"/>
      <c r="D14538" s="223"/>
      <c r="E14538" s="223">
        <v>46082</v>
      </c>
      <c r="F14538" s="223"/>
      <c r="G14538" s="223"/>
      <c r="H14538" s="223" t="s">
        <v>99</v>
      </c>
      <c r="I14538" s="226"/>
      <c r="J14538" s="223"/>
      <c r="K14538" s="223" t="s">
        <v>101</v>
      </c>
      <c r="L14538" s="223"/>
      <c r="M14538" s="223"/>
      <c r="N14538" s="223"/>
      <c r="O14538" s="223"/>
      <c r="P14538" s="223"/>
      <c r="Q14538" s="224"/>
    </row>
    <row r="14539" spans="1:17">
      <c r="A14539" s="221"/>
      <c r="B14539" s="222"/>
      <c r="C14539" s="223"/>
      <c r="D14539" s="223"/>
      <c r="E14539" s="223">
        <v>46082</v>
      </c>
      <c r="F14539" s="223"/>
      <c r="G14539" s="223"/>
      <c r="H14539" s="223" t="s">
        <v>99</v>
      </c>
      <c r="I14539" s="226"/>
      <c r="J14539" s="223"/>
      <c r="K14539" s="223" t="s">
        <v>101</v>
      </c>
      <c r="L14539" s="223"/>
      <c r="M14539" s="223"/>
      <c r="N14539" s="223"/>
      <c r="O14539" s="223"/>
      <c r="P14539" s="223"/>
      <c r="Q14539" s="224"/>
    </row>
    <row r="14540" spans="1:17">
      <c r="A14540" s="221"/>
      <c r="B14540" s="222"/>
      <c r="C14540" s="223"/>
      <c r="D14540" s="223"/>
      <c r="E14540" s="223">
        <v>46082</v>
      </c>
      <c r="F14540" s="223"/>
      <c r="G14540" s="223"/>
      <c r="H14540" s="223" t="s">
        <v>99</v>
      </c>
      <c r="I14540" s="226"/>
      <c r="J14540" s="223"/>
      <c r="K14540" s="223" t="s">
        <v>10</v>
      </c>
      <c r="L14540" s="223"/>
      <c r="M14540" s="223"/>
      <c r="N14540" s="223"/>
      <c r="O14540" s="223"/>
      <c r="P14540" s="223"/>
      <c r="Q14540" s="224"/>
    </row>
    <row r="14541" spans="1:17">
      <c r="A14541" s="221"/>
      <c r="B14541" s="222"/>
      <c r="C14541" s="223"/>
      <c r="D14541" s="223"/>
      <c r="E14541" s="223">
        <v>46082</v>
      </c>
      <c r="F14541" s="223"/>
      <c r="G14541" s="223"/>
      <c r="H14541" s="223" t="s">
        <v>99</v>
      </c>
      <c r="I14541" s="226"/>
      <c r="J14541" s="223"/>
      <c r="K14541" s="223" t="s">
        <v>10</v>
      </c>
      <c r="L14541" s="223"/>
      <c r="M14541" s="223"/>
      <c r="N14541" s="223"/>
      <c r="O14541" s="223"/>
      <c r="P14541" s="223"/>
      <c r="Q14541" s="224"/>
    </row>
    <row r="14542" spans="1:17">
      <c r="A14542" s="221"/>
      <c r="B14542" s="222"/>
      <c r="C14542" s="223"/>
      <c r="D14542" s="223"/>
      <c r="E14542" s="223">
        <v>46082</v>
      </c>
      <c r="F14542" s="223"/>
      <c r="G14542" s="223"/>
      <c r="H14542" s="223" t="s">
        <v>99</v>
      </c>
      <c r="I14542" s="226"/>
      <c r="J14542" s="223"/>
      <c r="K14542" s="223" t="s">
        <v>104</v>
      </c>
      <c r="L14542" s="223"/>
      <c r="M14542" s="223"/>
      <c r="N14542" s="223"/>
      <c r="O14542" s="223"/>
      <c r="P14542" s="223"/>
      <c r="Q14542" s="224"/>
    </row>
    <row r="14543" spans="1:17">
      <c r="A14543" s="221"/>
      <c r="B14543" s="222"/>
      <c r="C14543" s="223"/>
      <c r="D14543" s="223"/>
      <c r="E14543" s="223">
        <v>46082</v>
      </c>
      <c r="F14543" s="223"/>
      <c r="G14543" s="223"/>
      <c r="H14543" s="223" t="s">
        <v>99</v>
      </c>
      <c r="I14543" s="226"/>
      <c r="J14543" s="223"/>
      <c r="K14543" s="223" t="s">
        <v>104</v>
      </c>
      <c r="L14543" s="223"/>
      <c r="M14543" s="223"/>
      <c r="N14543" s="223"/>
      <c r="O14543" s="223"/>
      <c r="P14543" s="223"/>
      <c r="Q14543" s="224"/>
    </row>
    <row r="14544" spans="1:17">
      <c r="A14544" s="221"/>
      <c r="B14544" s="222"/>
      <c r="C14544" s="223"/>
      <c r="D14544" s="223"/>
      <c r="E14544" s="223">
        <v>46082</v>
      </c>
      <c r="F14544" s="223"/>
      <c r="G14544" s="223"/>
      <c r="H14544" s="223" t="s">
        <v>99</v>
      </c>
      <c r="I14544" s="226"/>
      <c r="J14544" s="223"/>
      <c r="K14544" s="223" t="s">
        <v>106</v>
      </c>
      <c r="L14544" s="223"/>
      <c r="M14544" s="223"/>
      <c r="N14544" s="223"/>
      <c r="O14544" s="223"/>
      <c r="P14544" s="223"/>
      <c r="Q14544" s="224"/>
    </row>
    <row r="14545" spans="1:17">
      <c r="A14545" s="221"/>
      <c r="B14545" s="222"/>
      <c r="C14545" s="223"/>
      <c r="D14545" s="223"/>
      <c r="E14545" s="223">
        <v>46082</v>
      </c>
      <c r="F14545" s="223"/>
      <c r="G14545" s="223"/>
      <c r="H14545" s="223" t="s">
        <v>99</v>
      </c>
      <c r="I14545" s="226"/>
      <c r="J14545" s="223"/>
      <c r="K14545" s="223" t="s">
        <v>106</v>
      </c>
      <c r="L14545" s="223"/>
      <c r="M14545" s="223"/>
      <c r="N14545" s="223"/>
      <c r="O14545" s="223"/>
      <c r="P14545" s="223"/>
      <c r="Q14545" s="224"/>
    </row>
    <row r="14546" spans="1:17">
      <c r="A14546" s="221"/>
      <c r="B14546" s="222"/>
      <c r="C14546" s="223"/>
      <c r="D14546" s="223"/>
      <c r="E14546" s="223">
        <v>46082</v>
      </c>
      <c r="F14546" s="223"/>
      <c r="G14546" s="223"/>
      <c r="H14546" s="223" t="s">
        <v>115</v>
      </c>
      <c r="I14546" s="226"/>
      <c r="J14546" s="223"/>
      <c r="K14546" s="223" t="s">
        <v>101</v>
      </c>
      <c r="L14546" s="223"/>
      <c r="M14546" s="223"/>
      <c r="N14546" s="223"/>
      <c r="O14546" s="223"/>
      <c r="P14546" s="223"/>
      <c r="Q14546" s="224"/>
    </row>
    <row r="14547" spans="1:17">
      <c r="A14547" s="221"/>
      <c r="B14547" s="222"/>
      <c r="C14547" s="223"/>
      <c r="D14547" s="223"/>
      <c r="E14547" s="223">
        <v>46082</v>
      </c>
      <c r="F14547" s="223"/>
      <c r="G14547" s="223"/>
      <c r="H14547" s="223" t="s">
        <v>80</v>
      </c>
      <c r="I14547" s="226"/>
      <c r="J14547" s="223"/>
      <c r="K14547" s="223"/>
      <c r="L14547" s="223"/>
      <c r="M14547" s="223"/>
      <c r="N14547" s="223"/>
      <c r="O14547" s="223"/>
      <c r="P14547" s="223"/>
      <c r="Q14547" s="224"/>
    </row>
    <row r="14548" spans="1:17">
      <c r="A14548" s="221"/>
      <c r="B14548" s="222"/>
      <c r="C14548" s="223"/>
      <c r="D14548" s="223"/>
      <c r="E14548" s="223">
        <v>46082</v>
      </c>
      <c r="F14548" s="223"/>
      <c r="G14548" s="223"/>
      <c r="H14548" s="223" t="s">
        <v>80</v>
      </c>
      <c r="I14548" s="226"/>
      <c r="J14548" s="223"/>
      <c r="K14548" s="223"/>
      <c r="L14548" s="223"/>
      <c r="M14548" s="223"/>
      <c r="N14548" s="223"/>
      <c r="O14548" s="223"/>
      <c r="P14548" s="223"/>
      <c r="Q14548" s="224"/>
    </row>
    <row r="14549" spans="1:17">
      <c r="A14549" s="221"/>
      <c r="B14549" s="222"/>
      <c r="C14549" s="223"/>
      <c r="D14549" s="223"/>
      <c r="E14549" s="223">
        <v>46082</v>
      </c>
      <c r="F14549" s="223"/>
      <c r="G14549" s="223"/>
      <c r="H14549" s="223" t="s">
        <v>61</v>
      </c>
      <c r="I14549" s="226"/>
      <c r="J14549" s="223"/>
      <c r="K14549" s="223" t="s">
        <v>34</v>
      </c>
      <c r="L14549" s="223"/>
      <c r="M14549" s="223"/>
      <c r="N14549" s="223"/>
      <c r="O14549" s="223"/>
      <c r="P14549" s="223"/>
      <c r="Q14549" s="224"/>
    </row>
    <row r="14550" spans="1:17">
      <c r="A14550" s="221"/>
      <c r="B14550" s="222"/>
      <c r="C14550" s="223"/>
      <c r="D14550" s="223"/>
      <c r="E14550" s="223">
        <v>46082</v>
      </c>
      <c r="F14550" s="223"/>
      <c r="G14550" s="223"/>
      <c r="H14550" s="223" t="s">
        <v>61</v>
      </c>
      <c r="I14550" s="226"/>
      <c r="J14550" s="223"/>
      <c r="K14550" s="223" t="s">
        <v>35</v>
      </c>
      <c r="L14550" s="223"/>
      <c r="M14550" s="223"/>
      <c r="N14550" s="223"/>
      <c r="O14550" s="223"/>
      <c r="P14550" s="223"/>
      <c r="Q14550" s="224"/>
    </row>
    <row r="14551" spans="1:17">
      <c r="A14551" s="221"/>
      <c r="B14551" s="222"/>
      <c r="C14551" s="223"/>
      <c r="D14551" s="223"/>
      <c r="E14551" s="223">
        <v>46082</v>
      </c>
      <c r="F14551" s="223"/>
      <c r="G14551" s="223"/>
      <c r="H14551" s="223" t="s">
        <v>61</v>
      </c>
      <c r="I14551" s="226"/>
      <c r="J14551" s="223"/>
      <c r="K14551" s="223" t="s">
        <v>35</v>
      </c>
      <c r="L14551" s="223"/>
      <c r="M14551" s="223"/>
      <c r="N14551" s="223"/>
      <c r="O14551" s="223"/>
      <c r="P14551" s="223"/>
      <c r="Q14551" s="224"/>
    </row>
    <row r="14552" spans="1:17">
      <c r="A14552" s="221"/>
      <c r="B14552" s="222"/>
      <c r="C14552" s="223"/>
      <c r="D14552" s="223"/>
      <c r="E14552" s="223">
        <v>46082</v>
      </c>
      <c r="F14552" s="223"/>
      <c r="G14552" s="223"/>
      <c r="H14552" s="223" t="s">
        <v>61</v>
      </c>
      <c r="I14552" s="226"/>
      <c r="J14552" s="223"/>
      <c r="K14552" s="223" t="s">
        <v>37</v>
      </c>
      <c r="L14552" s="223"/>
      <c r="M14552" s="223"/>
      <c r="N14552" s="223"/>
      <c r="O14552" s="223"/>
      <c r="P14552" s="223"/>
      <c r="Q14552" s="224"/>
    </row>
    <row r="14553" spans="1:17">
      <c r="A14553" s="221"/>
      <c r="B14553" s="222"/>
      <c r="C14553" s="223"/>
      <c r="D14553" s="223"/>
      <c r="E14553" s="223">
        <v>46082</v>
      </c>
      <c r="F14553" s="223"/>
      <c r="G14553" s="223"/>
      <c r="H14553" s="223" t="s">
        <v>61</v>
      </c>
      <c r="I14553" s="226"/>
      <c r="J14553" s="223"/>
      <c r="K14553" s="223" t="s">
        <v>37</v>
      </c>
      <c r="L14553" s="223"/>
      <c r="M14553" s="223"/>
      <c r="N14553" s="223"/>
      <c r="O14553" s="223"/>
      <c r="P14553" s="223"/>
      <c r="Q14553" s="224"/>
    </row>
    <row r="14554" spans="1:17">
      <c r="A14554" s="221"/>
      <c r="B14554" s="222"/>
      <c r="C14554" s="223"/>
      <c r="D14554" s="223"/>
      <c r="E14554" s="223">
        <v>46082</v>
      </c>
      <c r="F14554" s="223"/>
      <c r="G14554" s="223"/>
      <c r="H14554" s="223" t="s">
        <v>61</v>
      </c>
      <c r="I14554" s="226"/>
      <c r="J14554" s="223"/>
      <c r="K14554" s="223" t="s">
        <v>37</v>
      </c>
      <c r="L14554" s="223"/>
      <c r="M14554" s="223"/>
      <c r="N14554" s="223"/>
      <c r="O14554" s="223"/>
      <c r="P14554" s="223"/>
      <c r="Q14554" s="224"/>
    </row>
    <row r="14555" spans="1:17">
      <c r="A14555" s="221"/>
      <c r="B14555" s="222"/>
      <c r="C14555" s="223"/>
      <c r="D14555" s="223"/>
      <c r="E14555" s="223">
        <v>46082</v>
      </c>
      <c r="F14555" s="223"/>
      <c r="G14555" s="223"/>
      <c r="H14555" s="223" t="s">
        <v>61</v>
      </c>
      <c r="I14555" s="226"/>
      <c r="J14555" s="223"/>
      <c r="K14555" s="223" t="s">
        <v>38</v>
      </c>
      <c r="L14555" s="223"/>
      <c r="M14555" s="223"/>
      <c r="N14555" s="223"/>
      <c r="O14555" s="223"/>
      <c r="P14555" s="223"/>
      <c r="Q14555" s="224"/>
    </row>
    <row r="14556" spans="1:17">
      <c r="A14556" s="221"/>
      <c r="B14556" s="222"/>
      <c r="C14556" s="223"/>
      <c r="D14556" s="223"/>
      <c r="E14556" s="223">
        <v>46082</v>
      </c>
      <c r="F14556" s="223"/>
      <c r="G14556" s="223"/>
      <c r="H14556" s="223" t="s">
        <v>61</v>
      </c>
      <c r="I14556" s="226"/>
      <c r="J14556" s="223"/>
      <c r="K14556" s="223" t="s">
        <v>38</v>
      </c>
      <c r="L14556" s="223"/>
      <c r="M14556" s="223"/>
      <c r="N14556" s="223"/>
      <c r="O14556" s="223"/>
      <c r="P14556" s="223"/>
      <c r="Q14556" s="224"/>
    </row>
    <row r="14557" spans="1:17">
      <c r="A14557" s="221"/>
      <c r="B14557" s="222"/>
      <c r="C14557" s="223"/>
      <c r="D14557" s="223"/>
      <c r="E14557" s="223">
        <v>46082</v>
      </c>
      <c r="F14557" s="223"/>
      <c r="G14557" s="223"/>
      <c r="H14557" s="223" t="s">
        <v>61</v>
      </c>
      <c r="I14557" s="226"/>
      <c r="J14557" s="223"/>
      <c r="K14557" s="223" t="s">
        <v>38</v>
      </c>
      <c r="L14557" s="223"/>
      <c r="M14557" s="223"/>
      <c r="N14557" s="223"/>
      <c r="O14557" s="223"/>
      <c r="P14557" s="223"/>
      <c r="Q14557" s="224"/>
    </row>
    <row r="14558" spans="1:17">
      <c r="A14558" s="221"/>
      <c r="B14558" s="222"/>
      <c r="C14558" s="223"/>
      <c r="D14558" s="223"/>
      <c r="E14558" s="223">
        <v>46082</v>
      </c>
      <c r="F14558" s="223"/>
      <c r="G14558" s="223"/>
      <c r="H14558" s="223" t="s">
        <v>61</v>
      </c>
      <c r="I14558" s="226"/>
      <c r="J14558" s="223"/>
      <c r="K14558" s="223" t="s">
        <v>38</v>
      </c>
      <c r="L14558" s="223"/>
      <c r="M14558" s="223"/>
      <c r="N14558" s="223"/>
      <c r="O14558" s="223"/>
      <c r="P14558" s="223"/>
      <c r="Q14558" s="224"/>
    </row>
    <row r="14559" spans="1:17">
      <c r="A14559" s="221"/>
      <c r="B14559" s="222"/>
      <c r="C14559" s="223"/>
      <c r="D14559" s="223"/>
      <c r="E14559" s="223">
        <v>46082</v>
      </c>
      <c r="F14559" s="223"/>
      <c r="G14559" s="223"/>
      <c r="H14559" s="223" t="s">
        <v>132</v>
      </c>
      <c r="I14559" s="226"/>
      <c r="J14559" s="223"/>
      <c r="K14559" s="223" t="s">
        <v>106</v>
      </c>
      <c r="L14559" s="223"/>
      <c r="M14559" s="223"/>
      <c r="N14559" s="223"/>
      <c r="O14559" s="223"/>
      <c r="P14559" s="223"/>
      <c r="Q14559" s="224"/>
    </row>
    <row r="14560" spans="1:17">
      <c r="A14560" s="221"/>
      <c r="B14560" s="222"/>
      <c r="C14560" s="223"/>
      <c r="D14560" s="223"/>
      <c r="E14560" s="223">
        <v>46082</v>
      </c>
      <c r="F14560" s="223"/>
      <c r="G14560" s="223"/>
      <c r="H14560" s="223" t="s">
        <v>132</v>
      </c>
      <c r="I14560" s="226"/>
      <c r="J14560" s="223"/>
      <c r="K14560" s="223" t="s">
        <v>135</v>
      </c>
      <c r="L14560" s="223"/>
      <c r="M14560" s="223"/>
      <c r="N14560" s="223"/>
      <c r="O14560" s="223"/>
      <c r="P14560" s="223"/>
      <c r="Q14560" s="224"/>
    </row>
    <row r="14561" spans="1:17">
      <c r="A14561" s="221"/>
      <c r="B14561" s="222"/>
      <c r="C14561" s="223"/>
      <c r="D14561" s="223"/>
      <c r="E14561" s="223">
        <v>46082</v>
      </c>
      <c r="F14561" s="223"/>
      <c r="G14561" s="223"/>
      <c r="H14561" s="223" t="s">
        <v>132</v>
      </c>
      <c r="I14561" s="226"/>
      <c r="J14561" s="223"/>
      <c r="K14561" s="223" t="s">
        <v>101</v>
      </c>
      <c r="L14561" s="223"/>
      <c r="M14561" s="223"/>
      <c r="N14561" s="223"/>
      <c r="O14561" s="223"/>
      <c r="P14561" s="223"/>
      <c r="Q14561" s="224"/>
    </row>
    <row r="14562" spans="1:17">
      <c r="A14562" s="221"/>
      <c r="B14562" s="222"/>
      <c r="C14562" s="223"/>
      <c r="D14562" s="223"/>
      <c r="E14562" s="223">
        <v>46082</v>
      </c>
      <c r="F14562" s="223"/>
      <c r="G14562" s="223"/>
      <c r="H14562" s="223" t="s">
        <v>132</v>
      </c>
      <c r="I14562" s="226"/>
      <c r="J14562" s="223"/>
      <c r="K14562" s="223" t="s">
        <v>101</v>
      </c>
      <c r="L14562" s="223"/>
      <c r="M14562" s="223"/>
      <c r="N14562" s="223"/>
      <c r="O14562" s="223"/>
      <c r="P14562" s="223"/>
      <c r="Q14562" s="224"/>
    </row>
    <row r="14563" spans="1:17">
      <c r="A14563" s="221"/>
      <c r="B14563" s="222"/>
      <c r="C14563" s="223"/>
      <c r="D14563" s="223"/>
      <c r="E14563" s="223">
        <v>46082</v>
      </c>
      <c r="F14563" s="223"/>
      <c r="G14563" s="223"/>
      <c r="H14563" s="223" t="s">
        <v>132</v>
      </c>
      <c r="I14563" s="226"/>
      <c r="J14563" s="223"/>
      <c r="K14563" s="223" t="s">
        <v>101</v>
      </c>
      <c r="L14563" s="223"/>
      <c r="M14563" s="223"/>
      <c r="N14563" s="223"/>
      <c r="O14563" s="223"/>
      <c r="P14563" s="223"/>
      <c r="Q14563" s="224"/>
    </row>
    <row r="14564" spans="1:17">
      <c r="A14564" s="221"/>
      <c r="B14564" s="222"/>
      <c r="C14564" s="223"/>
      <c r="D14564" s="223"/>
      <c r="E14564" s="223">
        <v>46082</v>
      </c>
      <c r="F14564" s="223"/>
      <c r="G14564" s="223"/>
      <c r="H14564" s="223" t="s">
        <v>132</v>
      </c>
      <c r="I14564" s="226"/>
      <c r="J14564" s="223"/>
      <c r="K14564" s="223" t="s">
        <v>10</v>
      </c>
      <c r="L14564" s="223"/>
      <c r="M14564" s="223"/>
      <c r="N14564" s="223"/>
      <c r="O14564" s="223"/>
      <c r="P14564" s="223"/>
      <c r="Q14564" s="224"/>
    </row>
    <row r="14565" spans="1:17">
      <c r="A14565" s="221"/>
      <c r="B14565" s="222"/>
      <c r="C14565" s="223"/>
      <c r="D14565" s="223"/>
      <c r="E14565" s="223">
        <v>46082</v>
      </c>
      <c r="F14565" s="223"/>
      <c r="G14565" s="223"/>
      <c r="H14565" s="223" t="s">
        <v>132</v>
      </c>
      <c r="I14565" s="226"/>
      <c r="J14565" s="223"/>
      <c r="K14565" s="223" t="s">
        <v>10</v>
      </c>
      <c r="L14565" s="223"/>
      <c r="M14565" s="223"/>
      <c r="N14565" s="223"/>
      <c r="O14565" s="223"/>
      <c r="P14565" s="223"/>
      <c r="Q14565" s="224"/>
    </row>
    <row r="14566" spans="1:17">
      <c r="A14566" s="221"/>
      <c r="B14566" s="222"/>
      <c r="C14566" s="223"/>
      <c r="D14566" s="223"/>
      <c r="E14566" s="223">
        <v>46082</v>
      </c>
      <c r="F14566" s="223"/>
      <c r="G14566" s="223"/>
      <c r="H14566" s="223" t="s">
        <v>132</v>
      </c>
      <c r="I14566" s="226"/>
      <c r="J14566" s="223"/>
      <c r="K14566" s="223" t="s">
        <v>10</v>
      </c>
      <c r="L14566" s="223"/>
      <c r="M14566" s="223"/>
      <c r="N14566" s="223"/>
      <c r="O14566" s="223"/>
      <c r="P14566" s="223"/>
      <c r="Q14566" s="224"/>
    </row>
    <row r="14567" spans="1:17">
      <c r="A14567" s="221"/>
      <c r="B14567" s="222"/>
      <c r="C14567" s="223"/>
      <c r="D14567" s="223"/>
      <c r="E14567" s="223">
        <v>46082</v>
      </c>
      <c r="F14567" s="223"/>
      <c r="G14567" s="223"/>
      <c r="H14567" s="223" t="s">
        <v>132</v>
      </c>
      <c r="I14567" s="226"/>
      <c r="J14567" s="223"/>
      <c r="K14567" s="223" t="s">
        <v>101</v>
      </c>
      <c r="L14567" s="223"/>
      <c r="M14567" s="223"/>
      <c r="N14567" s="223"/>
      <c r="O14567" s="223"/>
      <c r="P14567" s="223"/>
      <c r="Q14567" s="224"/>
    </row>
    <row r="14568" spans="1:17">
      <c r="A14568" s="221"/>
      <c r="B14568" s="222"/>
      <c r="C14568" s="223"/>
      <c r="D14568" s="223"/>
      <c r="E14568" s="223">
        <v>46082</v>
      </c>
      <c r="F14568" s="223"/>
      <c r="G14568" s="223"/>
      <c r="H14568" s="223" t="s">
        <v>132</v>
      </c>
      <c r="I14568" s="226"/>
      <c r="J14568" s="223"/>
      <c r="K14568" s="223" t="s">
        <v>101</v>
      </c>
      <c r="L14568" s="223"/>
      <c r="M14568" s="223"/>
      <c r="N14568" s="223"/>
      <c r="O14568" s="223"/>
      <c r="P14568" s="223"/>
      <c r="Q14568" s="224"/>
    </row>
    <row r="14569" spans="1:17">
      <c r="A14569" s="221"/>
      <c r="B14569" s="222"/>
      <c r="C14569" s="223"/>
      <c r="D14569" s="223"/>
      <c r="E14569" s="223">
        <v>46082</v>
      </c>
      <c r="F14569" s="223"/>
      <c r="G14569" s="223"/>
      <c r="H14569" s="223" t="s">
        <v>132</v>
      </c>
      <c r="I14569" s="226"/>
      <c r="J14569" s="223"/>
      <c r="K14569" s="223" t="s">
        <v>10</v>
      </c>
      <c r="L14569" s="223"/>
      <c r="M14569" s="223"/>
      <c r="N14569" s="223"/>
      <c r="O14569" s="223"/>
      <c r="P14569" s="223"/>
      <c r="Q14569" s="224"/>
    </row>
    <row r="14570" spans="1:17">
      <c r="A14570" s="221"/>
      <c r="B14570" s="222"/>
      <c r="C14570" s="223"/>
      <c r="D14570" s="223"/>
      <c r="E14570" s="223">
        <v>46082</v>
      </c>
      <c r="F14570" s="223"/>
      <c r="G14570" s="223"/>
      <c r="H14570" s="223" t="s">
        <v>132</v>
      </c>
      <c r="I14570" s="226"/>
      <c r="J14570" s="223"/>
      <c r="K14570" s="223" t="s">
        <v>10</v>
      </c>
      <c r="L14570" s="223"/>
      <c r="M14570" s="223"/>
      <c r="N14570" s="223"/>
      <c r="O14570" s="223"/>
      <c r="P14570" s="223"/>
      <c r="Q14570" s="224"/>
    </row>
    <row r="14571" spans="1:17">
      <c r="A14571" s="221"/>
      <c r="B14571" s="222"/>
      <c r="C14571" s="223"/>
      <c r="D14571" s="223"/>
      <c r="E14571" s="223">
        <v>46113</v>
      </c>
      <c r="F14571" s="223"/>
      <c r="G14571" s="223"/>
      <c r="H14571" s="223" t="s">
        <v>57</v>
      </c>
      <c r="I14571" s="226"/>
      <c r="J14571" s="223"/>
      <c r="K14571" s="223" t="s">
        <v>90</v>
      </c>
      <c r="L14571" s="223"/>
      <c r="M14571" s="223"/>
      <c r="N14571" s="223"/>
      <c r="O14571" s="223"/>
      <c r="P14571" s="223"/>
      <c r="Q14571" s="224"/>
    </row>
    <row r="14572" spans="1:17">
      <c r="A14572" s="221"/>
      <c r="B14572" s="222"/>
      <c r="C14572" s="223"/>
      <c r="D14572" s="223"/>
      <c r="E14572" s="223">
        <v>46113</v>
      </c>
      <c r="F14572" s="223"/>
      <c r="G14572" s="223"/>
      <c r="H14572" s="223" t="s">
        <v>57</v>
      </c>
      <c r="I14572" s="226"/>
      <c r="J14572" s="223"/>
      <c r="K14572" s="223"/>
      <c r="L14572" s="223"/>
      <c r="M14572" s="223"/>
      <c r="N14572" s="223"/>
      <c r="O14572" s="223"/>
      <c r="P14572" s="223"/>
      <c r="Q14572" s="224"/>
    </row>
    <row r="14573" spans="1:17">
      <c r="A14573" s="221"/>
      <c r="B14573" s="222"/>
      <c r="C14573" s="223"/>
      <c r="D14573" s="223"/>
      <c r="E14573" s="223">
        <v>46113</v>
      </c>
      <c r="F14573" s="223"/>
      <c r="G14573" s="223"/>
      <c r="H14573" s="223" t="s">
        <v>57</v>
      </c>
      <c r="I14573" s="226"/>
      <c r="J14573" s="223"/>
      <c r="K14573" s="223"/>
      <c r="L14573" s="223"/>
      <c r="M14573" s="223"/>
      <c r="N14573" s="223"/>
      <c r="O14573" s="223"/>
      <c r="P14573" s="223"/>
      <c r="Q14573" s="224"/>
    </row>
    <row r="14574" spans="1:17">
      <c r="A14574" s="221"/>
      <c r="B14574" s="222"/>
      <c r="C14574" s="223"/>
      <c r="D14574" s="223"/>
      <c r="E14574" s="223">
        <v>46113</v>
      </c>
      <c r="F14574" s="223"/>
      <c r="G14574" s="223"/>
      <c r="H14574" s="223" t="s">
        <v>57</v>
      </c>
      <c r="I14574" s="226"/>
      <c r="J14574" s="223"/>
      <c r="K14574" s="223"/>
      <c r="L14574" s="223"/>
      <c r="M14574" s="223"/>
      <c r="N14574" s="223"/>
      <c r="O14574" s="223"/>
      <c r="P14574" s="223"/>
      <c r="Q14574" s="224"/>
    </row>
    <row r="14575" spans="1:17">
      <c r="A14575" s="221"/>
      <c r="B14575" s="222"/>
      <c r="C14575" s="223"/>
      <c r="D14575" s="223"/>
      <c r="E14575" s="223">
        <v>46113</v>
      </c>
      <c r="F14575" s="223"/>
      <c r="G14575" s="223"/>
      <c r="H14575" s="223" t="s">
        <v>57</v>
      </c>
      <c r="I14575" s="226"/>
      <c r="J14575" s="223"/>
      <c r="K14575" s="223"/>
      <c r="L14575" s="223"/>
      <c r="M14575" s="223"/>
      <c r="N14575" s="223"/>
      <c r="O14575" s="223"/>
      <c r="P14575" s="223"/>
      <c r="Q14575" s="224"/>
    </row>
    <row r="14576" spans="1:17">
      <c r="A14576" s="221"/>
      <c r="B14576" s="222"/>
      <c r="C14576" s="223"/>
      <c r="D14576" s="223"/>
      <c r="E14576" s="223">
        <v>46113</v>
      </c>
      <c r="F14576" s="223"/>
      <c r="G14576" s="223"/>
      <c r="H14576" s="223" t="s">
        <v>57</v>
      </c>
      <c r="I14576" s="226"/>
      <c r="J14576" s="223"/>
      <c r="K14576" s="223"/>
      <c r="L14576" s="223"/>
      <c r="M14576" s="223"/>
      <c r="N14576" s="223"/>
      <c r="O14576" s="223"/>
      <c r="P14576" s="223"/>
      <c r="Q14576" s="224"/>
    </row>
    <row r="14577" spans="1:17">
      <c r="A14577" s="221"/>
      <c r="B14577" s="222"/>
      <c r="C14577" s="223"/>
      <c r="D14577" s="223"/>
      <c r="E14577" s="223">
        <v>46113</v>
      </c>
      <c r="F14577" s="223"/>
      <c r="G14577" s="223"/>
      <c r="H14577" s="223" t="s">
        <v>57</v>
      </c>
      <c r="I14577" s="226"/>
      <c r="J14577" s="223"/>
      <c r="K14577" s="223"/>
      <c r="L14577" s="223"/>
      <c r="M14577" s="223"/>
      <c r="N14577" s="223"/>
      <c r="O14577" s="223"/>
      <c r="P14577" s="223"/>
      <c r="Q14577" s="224"/>
    </row>
    <row r="14578" spans="1:17">
      <c r="A14578" s="221"/>
      <c r="B14578" s="222"/>
      <c r="C14578" s="223"/>
      <c r="D14578" s="223"/>
      <c r="E14578" s="223">
        <v>46113</v>
      </c>
      <c r="F14578" s="223"/>
      <c r="G14578" s="223"/>
      <c r="H14578" s="223" t="s">
        <v>57</v>
      </c>
      <c r="I14578" s="226"/>
      <c r="J14578" s="223"/>
      <c r="K14578" s="223"/>
      <c r="L14578" s="223"/>
      <c r="M14578" s="223"/>
      <c r="N14578" s="223"/>
      <c r="O14578" s="223"/>
      <c r="P14578" s="223"/>
      <c r="Q14578" s="224"/>
    </row>
    <row r="14579" spans="1:17">
      <c r="A14579" s="221"/>
      <c r="B14579" s="222"/>
      <c r="C14579" s="223"/>
      <c r="D14579" s="223"/>
      <c r="E14579" s="223">
        <v>46113</v>
      </c>
      <c r="F14579" s="223"/>
      <c r="G14579" s="223"/>
      <c r="H14579" s="223" t="s">
        <v>99</v>
      </c>
      <c r="I14579" s="226"/>
      <c r="J14579" s="223"/>
      <c r="K14579" s="223" t="s">
        <v>101</v>
      </c>
      <c r="L14579" s="223"/>
      <c r="M14579" s="223"/>
      <c r="N14579" s="223"/>
      <c r="O14579" s="223"/>
      <c r="P14579" s="223"/>
      <c r="Q14579" s="224"/>
    </row>
    <row r="14580" spans="1:17">
      <c r="A14580" s="221"/>
      <c r="B14580" s="222"/>
      <c r="C14580" s="223"/>
      <c r="D14580" s="223"/>
      <c r="E14580" s="223">
        <v>46113</v>
      </c>
      <c r="F14580" s="223"/>
      <c r="G14580" s="223"/>
      <c r="H14580" s="223" t="s">
        <v>99</v>
      </c>
      <c r="I14580" s="226"/>
      <c r="J14580" s="223"/>
      <c r="K14580" s="223" t="s">
        <v>10</v>
      </c>
      <c r="L14580" s="223"/>
      <c r="M14580" s="223"/>
      <c r="N14580" s="223"/>
      <c r="O14580" s="223"/>
      <c r="P14580" s="223"/>
      <c r="Q14580" s="224"/>
    </row>
    <row r="14581" spans="1:17">
      <c r="A14581" s="221"/>
      <c r="B14581" s="222"/>
      <c r="C14581" s="223"/>
      <c r="D14581" s="223"/>
      <c r="E14581" s="223">
        <v>46113</v>
      </c>
      <c r="F14581" s="223"/>
      <c r="G14581" s="223"/>
      <c r="H14581" s="223" t="s">
        <v>99</v>
      </c>
      <c r="I14581" s="226"/>
      <c r="J14581" s="223"/>
      <c r="K14581" s="223" t="s">
        <v>104</v>
      </c>
      <c r="L14581" s="223"/>
      <c r="M14581" s="223"/>
      <c r="N14581" s="223"/>
      <c r="O14581" s="223"/>
      <c r="P14581" s="223"/>
      <c r="Q14581" s="224"/>
    </row>
    <row r="14582" spans="1:17">
      <c r="A14582" s="221"/>
      <c r="B14582" s="222"/>
      <c r="C14582" s="223"/>
      <c r="D14582" s="223"/>
      <c r="E14582" s="223">
        <v>46113</v>
      </c>
      <c r="F14582" s="223"/>
      <c r="G14582" s="223"/>
      <c r="H14582" s="223" t="s">
        <v>99</v>
      </c>
      <c r="I14582" s="226"/>
      <c r="J14582" s="223"/>
      <c r="K14582" s="223" t="s">
        <v>106</v>
      </c>
      <c r="L14582" s="223"/>
      <c r="M14582" s="223"/>
      <c r="N14582" s="223"/>
      <c r="O14582" s="223"/>
      <c r="P14582" s="223"/>
      <c r="Q14582" s="224"/>
    </row>
    <row r="14583" spans="1:17">
      <c r="A14583" s="221"/>
      <c r="B14583" s="222"/>
      <c r="C14583" s="223"/>
      <c r="D14583" s="223"/>
      <c r="E14583" s="223">
        <v>46113</v>
      </c>
      <c r="F14583" s="223"/>
      <c r="G14583" s="223"/>
      <c r="H14583" s="223" t="s">
        <v>99</v>
      </c>
      <c r="I14583" s="226"/>
      <c r="J14583" s="223"/>
      <c r="K14583" s="223" t="s">
        <v>101</v>
      </c>
      <c r="L14583" s="223"/>
      <c r="M14583" s="223"/>
      <c r="N14583" s="223"/>
      <c r="O14583" s="223"/>
      <c r="P14583" s="223"/>
      <c r="Q14583" s="224"/>
    </row>
    <row r="14584" spans="1:17">
      <c r="A14584" s="221"/>
      <c r="B14584" s="222"/>
      <c r="C14584" s="223"/>
      <c r="D14584" s="223"/>
      <c r="E14584" s="223">
        <v>46113</v>
      </c>
      <c r="F14584" s="223"/>
      <c r="G14584" s="223"/>
      <c r="H14584" s="223" t="s">
        <v>99</v>
      </c>
      <c r="I14584" s="226"/>
      <c r="J14584" s="223"/>
      <c r="K14584" s="223" t="s">
        <v>10</v>
      </c>
      <c r="L14584" s="223"/>
      <c r="M14584" s="223"/>
      <c r="N14584" s="223"/>
      <c r="O14584" s="223"/>
      <c r="P14584" s="223"/>
      <c r="Q14584" s="224"/>
    </row>
    <row r="14585" spans="1:17">
      <c r="A14585" s="221"/>
      <c r="B14585" s="222"/>
      <c r="C14585" s="223"/>
      <c r="D14585" s="223"/>
      <c r="E14585" s="223">
        <v>46113</v>
      </c>
      <c r="F14585" s="223"/>
      <c r="G14585" s="223"/>
      <c r="H14585" s="223" t="s">
        <v>99</v>
      </c>
      <c r="I14585" s="226"/>
      <c r="J14585" s="223"/>
      <c r="K14585" s="223" t="s">
        <v>104</v>
      </c>
      <c r="L14585" s="223"/>
      <c r="M14585" s="223"/>
      <c r="N14585" s="223"/>
      <c r="O14585" s="223"/>
      <c r="P14585" s="223"/>
      <c r="Q14585" s="224"/>
    </row>
    <row r="14586" spans="1:17">
      <c r="A14586" s="221"/>
      <c r="B14586" s="222"/>
      <c r="C14586" s="223"/>
      <c r="D14586" s="223"/>
      <c r="E14586" s="223">
        <v>46113</v>
      </c>
      <c r="F14586" s="223"/>
      <c r="G14586" s="223"/>
      <c r="H14586" s="223" t="s">
        <v>99</v>
      </c>
      <c r="I14586" s="226"/>
      <c r="J14586" s="223"/>
      <c r="K14586" s="223" t="s">
        <v>106</v>
      </c>
      <c r="L14586" s="223"/>
      <c r="M14586" s="223"/>
      <c r="N14586" s="223"/>
      <c r="O14586" s="223"/>
      <c r="P14586" s="223"/>
      <c r="Q14586" s="224"/>
    </row>
    <row r="14587" spans="1:17">
      <c r="A14587" s="221"/>
      <c r="B14587" s="222"/>
      <c r="C14587" s="223"/>
      <c r="D14587" s="223"/>
      <c r="E14587" s="223">
        <v>46113</v>
      </c>
      <c r="F14587" s="223"/>
      <c r="G14587" s="223"/>
      <c r="H14587" s="223" t="s">
        <v>99</v>
      </c>
      <c r="I14587" s="226"/>
      <c r="J14587" s="223"/>
      <c r="K14587" s="223" t="s">
        <v>106</v>
      </c>
      <c r="L14587" s="223"/>
      <c r="M14587" s="223"/>
      <c r="N14587" s="223"/>
      <c r="O14587" s="223"/>
      <c r="P14587" s="223"/>
      <c r="Q14587" s="224"/>
    </row>
    <row r="14588" spans="1:17">
      <c r="A14588" s="221"/>
      <c r="B14588" s="222"/>
      <c r="C14588" s="223"/>
      <c r="D14588" s="223"/>
      <c r="E14588" s="223">
        <v>46113</v>
      </c>
      <c r="F14588" s="223"/>
      <c r="G14588" s="223"/>
      <c r="H14588" s="223" t="s">
        <v>99</v>
      </c>
      <c r="I14588" s="226"/>
      <c r="J14588" s="223"/>
      <c r="K14588" s="223" t="s">
        <v>106</v>
      </c>
      <c r="L14588" s="223"/>
      <c r="M14588" s="223"/>
      <c r="N14588" s="223"/>
      <c r="O14588" s="223"/>
      <c r="P14588" s="223"/>
      <c r="Q14588" s="224"/>
    </row>
    <row r="14589" spans="1:17">
      <c r="A14589" s="221"/>
      <c r="B14589" s="222"/>
      <c r="C14589" s="223"/>
      <c r="D14589" s="223"/>
      <c r="E14589" s="223">
        <v>46113</v>
      </c>
      <c r="F14589" s="223"/>
      <c r="G14589" s="223"/>
      <c r="H14589" s="223" t="s">
        <v>76</v>
      </c>
      <c r="I14589" s="226"/>
      <c r="J14589" s="223"/>
      <c r="K14589" s="223" t="s">
        <v>101</v>
      </c>
      <c r="L14589" s="223"/>
      <c r="M14589" s="223"/>
      <c r="N14589" s="223"/>
      <c r="O14589" s="223"/>
      <c r="P14589" s="223"/>
      <c r="Q14589" s="224"/>
    </row>
    <row r="14590" spans="1:17">
      <c r="A14590" s="221"/>
      <c r="B14590" s="222"/>
      <c r="C14590" s="223"/>
      <c r="D14590" s="223"/>
      <c r="E14590" s="223">
        <v>46113</v>
      </c>
      <c r="F14590" s="223"/>
      <c r="G14590" s="223"/>
      <c r="H14590" s="223" t="s">
        <v>115</v>
      </c>
      <c r="I14590" s="226"/>
      <c r="J14590" s="223"/>
      <c r="K14590" s="223" t="s">
        <v>101</v>
      </c>
      <c r="L14590" s="223"/>
      <c r="M14590" s="223"/>
      <c r="N14590" s="223"/>
      <c r="O14590" s="223"/>
      <c r="P14590" s="223"/>
      <c r="Q14590" s="224"/>
    </row>
    <row r="14591" spans="1:17">
      <c r="A14591" s="221"/>
      <c r="B14591" s="222"/>
      <c r="C14591" s="223"/>
      <c r="D14591" s="223"/>
      <c r="E14591" s="223">
        <v>46113</v>
      </c>
      <c r="F14591" s="223"/>
      <c r="G14591" s="223"/>
      <c r="H14591" s="223" t="s">
        <v>115</v>
      </c>
      <c r="I14591" s="226"/>
      <c r="J14591" s="223"/>
      <c r="K14591" s="223" t="s">
        <v>101</v>
      </c>
      <c r="L14591" s="223"/>
      <c r="M14591" s="223"/>
      <c r="N14591" s="223"/>
      <c r="O14591" s="223"/>
      <c r="P14591" s="223"/>
      <c r="Q14591" s="224"/>
    </row>
    <row r="14592" spans="1:17">
      <c r="A14592" s="221"/>
      <c r="B14592" s="222"/>
      <c r="C14592" s="223"/>
      <c r="D14592" s="223"/>
      <c r="E14592" s="223">
        <v>46113</v>
      </c>
      <c r="F14592" s="223"/>
      <c r="G14592" s="223"/>
      <c r="H14592" s="223" t="s">
        <v>80</v>
      </c>
      <c r="I14592" s="226"/>
      <c r="J14592" s="223"/>
      <c r="K14592" s="223"/>
      <c r="L14592" s="223"/>
      <c r="M14592" s="223"/>
      <c r="N14592" s="223"/>
      <c r="O14592" s="223"/>
      <c r="P14592" s="223"/>
      <c r="Q14592" s="224"/>
    </row>
    <row r="14593" spans="1:17">
      <c r="A14593" s="221"/>
      <c r="B14593" s="222"/>
      <c r="C14593" s="223"/>
      <c r="D14593" s="223"/>
      <c r="E14593" s="223">
        <v>46113</v>
      </c>
      <c r="F14593" s="223"/>
      <c r="G14593" s="223"/>
      <c r="H14593" s="223" t="s">
        <v>80</v>
      </c>
      <c r="I14593" s="226"/>
      <c r="J14593" s="223"/>
      <c r="K14593" s="223"/>
      <c r="L14593" s="223"/>
      <c r="M14593" s="223"/>
      <c r="N14593" s="223"/>
      <c r="O14593" s="223"/>
      <c r="P14593" s="223"/>
      <c r="Q14593" s="224"/>
    </row>
    <row r="14594" spans="1:17">
      <c r="A14594" s="221"/>
      <c r="B14594" s="222"/>
      <c r="C14594" s="223"/>
      <c r="D14594" s="223"/>
      <c r="E14594" s="223">
        <v>46113</v>
      </c>
      <c r="F14594" s="223"/>
      <c r="G14594" s="223"/>
      <c r="H14594" s="223" t="s">
        <v>61</v>
      </c>
      <c r="I14594" s="226"/>
      <c r="J14594" s="223"/>
      <c r="K14594" s="223" t="s">
        <v>34</v>
      </c>
      <c r="L14594" s="223"/>
      <c r="M14594" s="223"/>
      <c r="N14594" s="223"/>
      <c r="O14594" s="223"/>
      <c r="P14594" s="223"/>
      <c r="Q14594" s="224"/>
    </row>
    <row r="14595" spans="1:17">
      <c r="A14595" s="221"/>
      <c r="B14595" s="222"/>
      <c r="C14595" s="223"/>
      <c r="D14595" s="223"/>
      <c r="E14595" s="223">
        <v>46113</v>
      </c>
      <c r="F14595" s="223"/>
      <c r="G14595" s="223"/>
      <c r="H14595" s="223" t="s">
        <v>61</v>
      </c>
      <c r="I14595" s="226"/>
      <c r="J14595" s="223"/>
      <c r="K14595" s="223" t="s">
        <v>35</v>
      </c>
      <c r="L14595" s="223"/>
      <c r="M14595" s="223"/>
      <c r="N14595" s="223"/>
      <c r="O14595" s="223"/>
      <c r="P14595" s="223"/>
      <c r="Q14595" s="224"/>
    </row>
    <row r="14596" spans="1:17">
      <c r="A14596" s="221"/>
      <c r="B14596" s="222"/>
      <c r="C14596" s="223"/>
      <c r="D14596" s="223"/>
      <c r="E14596" s="223">
        <v>46113</v>
      </c>
      <c r="F14596" s="223"/>
      <c r="G14596" s="223"/>
      <c r="H14596" s="223" t="s">
        <v>61</v>
      </c>
      <c r="I14596" s="226"/>
      <c r="J14596" s="223"/>
      <c r="K14596" s="223" t="s">
        <v>37</v>
      </c>
      <c r="L14596" s="223"/>
      <c r="M14596" s="223"/>
      <c r="N14596" s="223"/>
      <c r="O14596" s="223"/>
      <c r="P14596" s="223"/>
      <c r="Q14596" s="224"/>
    </row>
    <row r="14597" spans="1:17">
      <c r="A14597" s="221"/>
      <c r="B14597" s="222"/>
      <c r="C14597" s="223"/>
      <c r="D14597" s="223"/>
      <c r="E14597" s="223">
        <v>46113</v>
      </c>
      <c r="F14597" s="223"/>
      <c r="G14597" s="223"/>
      <c r="H14597" s="223" t="s">
        <v>61</v>
      </c>
      <c r="I14597" s="226"/>
      <c r="J14597" s="223"/>
      <c r="K14597" s="223" t="s">
        <v>38</v>
      </c>
      <c r="L14597" s="223"/>
      <c r="M14597" s="223"/>
      <c r="N14597" s="223"/>
      <c r="O14597" s="223"/>
      <c r="P14597" s="223"/>
      <c r="Q14597" s="224"/>
    </row>
    <row r="14598" spans="1:17">
      <c r="A14598" s="221"/>
      <c r="B14598" s="222"/>
      <c r="C14598" s="223"/>
      <c r="D14598" s="223"/>
      <c r="E14598" s="223">
        <v>46113</v>
      </c>
      <c r="F14598" s="223"/>
      <c r="G14598" s="223"/>
      <c r="H14598" s="223" t="s">
        <v>132</v>
      </c>
      <c r="I14598" s="226"/>
      <c r="J14598" s="223"/>
      <c r="K14598" s="223" t="s">
        <v>106</v>
      </c>
      <c r="L14598" s="223"/>
      <c r="M14598" s="223"/>
      <c r="N14598" s="223"/>
      <c r="O14598" s="223"/>
      <c r="P14598" s="223"/>
      <c r="Q14598" s="224"/>
    </row>
    <row r="14599" spans="1:17">
      <c r="A14599" s="221"/>
      <c r="B14599" s="222"/>
      <c r="C14599" s="223"/>
      <c r="D14599" s="223"/>
      <c r="E14599" s="223">
        <v>46113</v>
      </c>
      <c r="F14599" s="223"/>
      <c r="G14599" s="223"/>
      <c r="H14599" s="223" t="s">
        <v>132</v>
      </c>
      <c r="I14599" s="226"/>
      <c r="J14599" s="223"/>
      <c r="K14599" s="223" t="s">
        <v>135</v>
      </c>
      <c r="L14599" s="223"/>
      <c r="M14599" s="223"/>
      <c r="N14599" s="223"/>
      <c r="O14599" s="223"/>
      <c r="P14599" s="223"/>
      <c r="Q14599" s="224"/>
    </row>
    <row r="14600" spans="1:17">
      <c r="A14600" s="221"/>
      <c r="B14600" s="222"/>
      <c r="C14600" s="223"/>
      <c r="D14600" s="223"/>
      <c r="E14600" s="223">
        <v>46113</v>
      </c>
      <c r="F14600" s="223"/>
      <c r="G14600" s="223"/>
      <c r="H14600" s="223" t="s">
        <v>132</v>
      </c>
      <c r="I14600" s="226"/>
      <c r="J14600" s="223"/>
      <c r="K14600" s="223" t="s">
        <v>101</v>
      </c>
      <c r="L14600" s="223"/>
      <c r="M14600" s="223"/>
      <c r="N14600" s="223"/>
      <c r="O14600" s="223"/>
      <c r="P14600" s="223"/>
      <c r="Q14600" s="224"/>
    </row>
    <row r="14601" spans="1:17">
      <c r="A14601" s="221"/>
      <c r="B14601" s="222"/>
      <c r="C14601" s="223"/>
      <c r="D14601" s="223"/>
      <c r="E14601" s="223">
        <v>46113</v>
      </c>
      <c r="F14601" s="223"/>
      <c r="G14601" s="223"/>
      <c r="H14601" s="223" t="s">
        <v>132</v>
      </c>
      <c r="I14601" s="226"/>
      <c r="J14601" s="223"/>
      <c r="K14601" s="223" t="s">
        <v>101</v>
      </c>
      <c r="L14601" s="223"/>
      <c r="M14601" s="223"/>
      <c r="N14601" s="223"/>
      <c r="O14601" s="223"/>
      <c r="P14601" s="223"/>
      <c r="Q14601" s="224"/>
    </row>
    <row r="14602" spans="1:17">
      <c r="A14602" s="221"/>
      <c r="B14602" s="222"/>
      <c r="C14602" s="223"/>
      <c r="D14602" s="223"/>
      <c r="E14602" s="223">
        <v>46113</v>
      </c>
      <c r="F14602" s="223"/>
      <c r="G14602" s="223"/>
      <c r="H14602" s="223" t="s">
        <v>132</v>
      </c>
      <c r="I14602" s="226"/>
      <c r="J14602" s="223"/>
      <c r="K14602" s="223" t="s">
        <v>101</v>
      </c>
      <c r="L14602" s="223"/>
      <c r="M14602" s="223"/>
      <c r="N14602" s="223"/>
      <c r="O14602" s="223"/>
      <c r="P14602" s="223"/>
      <c r="Q14602" s="224"/>
    </row>
    <row r="14603" spans="1:17">
      <c r="A14603" s="221"/>
      <c r="B14603" s="222"/>
      <c r="C14603" s="223"/>
      <c r="D14603" s="223"/>
      <c r="E14603" s="223">
        <v>46113</v>
      </c>
      <c r="F14603" s="223"/>
      <c r="G14603" s="223"/>
      <c r="H14603" s="223" t="s">
        <v>132</v>
      </c>
      <c r="I14603" s="226"/>
      <c r="J14603" s="223"/>
      <c r="K14603" s="223" t="s">
        <v>10</v>
      </c>
      <c r="L14603" s="223"/>
      <c r="M14603" s="223"/>
      <c r="N14603" s="223"/>
      <c r="O14603" s="223"/>
      <c r="P14603" s="223"/>
      <c r="Q14603" s="224"/>
    </row>
    <row r="14604" spans="1:17">
      <c r="A14604" s="221"/>
      <c r="B14604" s="222"/>
      <c r="C14604" s="223"/>
      <c r="D14604" s="223"/>
      <c r="E14604" s="223">
        <v>46113</v>
      </c>
      <c r="F14604" s="223"/>
      <c r="G14604" s="223"/>
      <c r="H14604" s="223" t="s">
        <v>132</v>
      </c>
      <c r="I14604" s="226"/>
      <c r="J14604" s="223"/>
      <c r="K14604" s="223" t="s">
        <v>10</v>
      </c>
      <c r="L14604" s="223"/>
      <c r="M14604" s="223"/>
      <c r="N14604" s="223"/>
      <c r="O14604" s="223"/>
      <c r="P14604" s="223"/>
      <c r="Q14604" s="224"/>
    </row>
    <row r="14605" spans="1:17">
      <c r="A14605" s="221"/>
      <c r="B14605" s="222"/>
      <c r="C14605" s="223"/>
      <c r="D14605" s="223"/>
      <c r="E14605" s="223">
        <v>46113</v>
      </c>
      <c r="F14605" s="223"/>
      <c r="G14605" s="223"/>
      <c r="H14605" s="223" t="s">
        <v>132</v>
      </c>
      <c r="I14605" s="226"/>
      <c r="J14605" s="223"/>
      <c r="K14605" s="223" t="s">
        <v>101</v>
      </c>
      <c r="L14605" s="223"/>
      <c r="M14605" s="223"/>
      <c r="N14605" s="223"/>
      <c r="O14605" s="223"/>
      <c r="P14605" s="223"/>
      <c r="Q14605" s="224"/>
    </row>
    <row r="14606" spans="1:17">
      <c r="A14606" s="221"/>
      <c r="B14606" s="222"/>
      <c r="C14606" s="223"/>
      <c r="D14606" s="223"/>
      <c r="E14606" s="223">
        <v>46113</v>
      </c>
      <c r="F14606" s="223"/>
      <c r="G14606" s="223"/>
      <c r="H14606" s="223" t="s">
        <v>132</v>
      </c>
      <c r="I14606" s="226"/>
      <c r="J14606" s="223"/>
      <c r="K14606" s="223" t="s">
        <v>101</v>
      </c>
      <c r="L14606" s="223"/>
      <c r="M14606" s="223"/>
      <c r="N14606" s="223"/>
      <c r="O14606" s="223"/>
      <c r="P14606" s="223"/>
      <c r="Q14606" s="224"/>
    </row>
    <row r="14607" spans="1:17">
      <c r="A14607" s="221"/>
      <c r="B14607" s="222"/>
      <c r="C14607" s="223"/>
      <c r="D14607" s="223"/>
      <c r="E14607" s="223">
        <v>46113</v>
      </c>
      <c r="F14607" s="223"/>
      <c r="G14607" s="223"/>
      <c r="H14607" s="223" t="s">
        <v>132</v>
      </c>
      <c r="I14607" s="226"/>
      <c r="J14607" s="223"/>
      <c r="K14607" s="223" t="s">
        <v>10</v>
      </c>
      <c r="L14607" s="223"/>
      <c r="M14607" s="223"/>
      <c r="N14607" s="223"/>
      <c r="O14607" s="223"/>
      <c r="P14607" s="223"/>
      <c r="Q14607" s="224"/>
    </row>
    <row r="14608" spans="1:17">
      <c r="A14608" s="221"/>
      <c r="B14608" s="222"/>
      <c r="C14608" s="223"/>
      <c r="D14608" s="223"/>
      <c r="E14608" s="223">
        <v>46113</v>
      </c>
      <c r="F14608" s="223"/>
      <c r="G14608" s="223"/>
      <c r="H14608" s="223" t="s">
        <v>132</v>
      </c>
      <c r="I14608" s="226"/>
      <c r="J14608" s="223"/>
      <c r="K14608" s="223" t="s">
        <v>101</v>
      </c>
      <c r="L14608" s="223"/>
      <c r="M14608" s="223"/>
      <c r="N14608" s="223"/>
      <c r="O14608" s="223"/>
      <c r="P14608" s="223"/>
      <c r="Q14608" s="224"/>
    </row>
    <row r="14609" spans="1:17">
      <c r="A14609" s="221"/>
      <c r="B14609" s="222"/>
      <c r="C14609" s="223"/>
      <c r="D14609" s="223"/>
      <c r="E14609" s="223">
        <v>46113</v>
      </c>
      <c r="F14609" s="223"/>
      <c r="G14609" s="223"/>
      <c r="H14609" s="223" t="s">
        <v>132</v>
      </c>
      <c r="I14609" s="226"/>
      <c r="J14609" s="223"/>
      <c r="K14609" s="223" t="s">
        <v>101</v>
      </c>
      <c r="L14609" s="223"/>
      <c r="M14609" s="223"/>
      <c r="N14609" s="223"/>
      <c r="O14609" s="223"/>
      <c r="P14609" s="223"/>
      <c r="Q14609" s="224"/>
    </row>
    <row r="14610" spans="1:17">
      <c r="A14610" s="221"/>
      <c r="B14610" s="222"/>
      <c r="C14610" s="223"/>
      <c r="D14610" s="223"/>
      <c r="E14610" s="223">
        <v>46143</v>
      </c>
      <c r="F14610" s="223"/>
      <c r="G14610" s="223"/>
      <c r="H14610" s="223" t="s">
        <v>57</v>
      </c>
      <c r="I14610" s="226"/>
      <c r="J14610" s="223"/>
      <c r="K14610" s="223" t="s">
        <v>90</v>
      </c>
      <c r="L14610" s="223"/>
      <c r="M14610" s="223"/>
      <c r="N14610" s="223"/>
      <c r="O14610" s="223"/>
      <c r="P14610" s="223"/>
      <c r="Q14610" s="224"/>
    </row>
    <row r="14611" spans="1:17">
      <c r="A14611" s="221"/>
      <c r="B14611" s="222"/>
      <c r="C14611" s="223"/>
      <c r="D14611" s="223"/>
      <c r="E14611" s="223">
        <v>46143</v>
      </c>
      <c r="F14611" s="223"/>
      <c r="G14611" s="223"/>
      <c r="H14611" s="223" t="s">
        <v>57</v>
      </c>
      <c r="I14611" s="226"/>
      <c r="J14611" s="223"/>
      <c r="K14611" s="223"/>
      <c r="L14611" s="223"/>
      <c r="M14611" s="223"/>
      <c r="N14611" s="223"/>
      <c r="O14611" s="223"/>
      <c r="P14611" s="223"/>
      <c r="Q14611" s="224"/>
    </row>
    <row r="14612" spans="1:17">
      <c r="A14612" s="221"/>
      <c r="B14612" s="222"/>
      <c r="C14612" s="223"/>
      <c r="D14612" s="223"/>
      <c r="E14612" s="223">
        <v>46143</v>
      </c>
      <c r="F14612" s="223"/>
      <c r="G14612" s="223"/>
      <c r="H14612" s="223" t="s">
        <v>57</v>
      </c>
      <c r="I14612" s="226"/>
      <c r="J14612" s="223"/>
      <c r="K14612" s="223"/>
      <c r="L14612" s="223"/>
      <c r="M14612" s="223"/>
      <c r="N14612" s="223"/>
      <c r="O14612" s="223"/>
      <c r="P14612" s="223"/>
      <c r="Q14612" s="224"/>
    </row>
    <row r="14613" spans="1:17">
      <c r="A14613" s="221"/>
      <c r="B14613" s="222"/>
      <c r="C14613" s="223"/>
      <c r="D14613" s="223"/>
      <c r="E14613" s="223">
        <v>46143</v>
      </c>
      <c r="F14613" s="223"/>
      <c r="G14613" s="223"/>
      <c r="H14613" s="223" t="s">
        <v>57</v>
      </c>
      <c r="I14613" s="226"/>
      <c r="J14613" s="223"/>
      <c r="K14613" s="223"/>
      <c r="L14613" s="223"/>
      <c r="M14613" s="223"/>
      <c r="N14613" s="223"/>
      <c r="O14613" s="223"/>
      <c r="P14613" s="223"/>
      <c r="Q14613" s="224"/>
    </row>
    <row r="14614" spans="1:17">
      <c r="A14614" s="221"/>
      <c r="B14614" s="222"/>
      <c r="C14614" s="223"/>
      <c r="D14614" s="223"/>
      <c r="E14614" s="223">
        <v>46143</v>
      </c>
      <c r="F14614" s="223"/>
      <c r="G14614" s="223"/>
      <c r="H14614" s="223" t="s">
        <v>57</v>
      </c>
      <c r="I14614" s="226"/>
      <c r="J14614" s="223"/>
      <c r="K14614" s="223"/>
      <c r="L14614" s="223"/>
      <c r="M14614" s="223"/>
      <c r="N14614" s="223"/>
      <c r="O14614" s="223"/>
      <c r="P14614" s="223"/>
      <c r="Q14614" s="224"/>
    </row>
    <row r="14615" spans="1:17">
      <c r="A14615" s="221"/>
      <c r="B14615" s="222"/>
      <c r="C14615" s="223"/>
      <c r="D14615" s="223"/>
      <c r="E14615" s="223">
        <v>46143</v>
      </c>
      <c r="F14615" s="223"/>
      <c r="G14615" s="223"/>
      <c r="H14615" s="223" t="s">
        <v>99</v>
      </c>
      <c r="I14615" s="226"/>
      <c r="J14615" s="223"/>
      <c r="K14615" s="223" t="s">
        <v>101</v>
      </c>
      <c r="L14615" s="223"/>
      <c r="M14615" s="223"/>
      <c r="N14615" s="223"/>
      <c r="O14615" s="223"/>
      <c r="P14615" s="223"/>
      <c r="Q14615" s="224"/>
    </row>
    <row r="14616" spans="1:17">
      <c r="A14616" s="221"/>
      <c r="B14616" s="222"/>
      <c r="C14616" s="223"/>
      <c r="D14616" s="223"/>
      <c r="E14616" s="223">
        <v>46143</v>
      </c>
      <c r="F14616" s="223"/>
      <c r="G14616" s="223"/>
      <c r="H14616" s="223" t="s">
        <v>99</v>
      </c>
      <c r="I14616" s="226"/>
      <c r="J14616" s="223"/>
      <c r="K14616" s="223" t="s">
        <v>10</v>
      </c>
      <c r="L14616" s="223"/>
      <c r="M14616" s="223"/>
      <c r="N14616" s="223"/>
      <c r="O14616" s="223"/>
      <c r="P14616" s="223"/>
      <c r="Q14616" s="224"/>
    </row>
    <row r="14617" spans="1:17">
      <c r="A14617" s="221"/>
      <c r="B14617" s="222"/>
      <c r="C14617" s="223"/>
      <c r="D14617" s="223"/>
      <c r="E14617" s="223">
        <v>46143</v>
      </c>
      <c r="F14617" s="223"/>
      <c r="G14617" s="223"/>
      <c r="H14617" s="223" t="s">
        <v>99</v>
      </c>
      <c r="I14617" s="226"/>
      <c r="J14617" s="223"/>
      <c r="K14617" s="223" t="s">
        <v>104</v>
      </c>
      <c r="L14617" s="223"/>
      <c r="M14617" s="223"/>
      <c r="N14617" s="223"/>
      <c r="O14617" s="223"/>
      <c r="P14617" s="223"/>
      <c r="Q14617" s="224"/>
    </row>
    <row r="14618" spans="1:17">
      <c r="A14618" s="221"/>
      <c r="B14618" s="222"/>
      <c r="C14618" s="223"/>
      <c r="D14618" s="223"/>
      <c r="E14618" s="223">
        <v>46143</v>
      </c>
      <c r="F14618" s="223"/>
      <c r="G14618" s="223"/>
      <c r="H14618" s="223" t="s">
        <v>99</v>
      </c>
      <c r="I14618" s="226"/>
      <c r="J14618" s="223"/>
      <c r="K14618" s="223" t="s">
        <v>106</v>
      </c>
      <c r="L14618" s="223"/>
      <c r="M14618" s="223"/>
      <c r="N14618" s="223"/>
      <c r="O14618" s="223"/>
      <c r="P14618" s="223"/>
      <c r="Q14618" s="224"/>
    </row>
    <row r="14619" spans="1:17">
      <c r="A14619" s="221"/>
      <c r="B14619" s="222"/>
      <c r="C14619" s="223"/>
      <c r="D14619" s="223"/>
      <c r="E14619" s="223">
        <v>46143</v>
      </c>
      <c r="F14619" s="223"/>
      <c r="G14619" s="223"/>
      <c r="H14619" s="223" t="s">
        <v>99</v>
      </c>
      <c r="I14619" s="226"/>
      <c r="J14619" s="223"/>
      <c r="K14619" s="223" t="s">
        <v>101</v>
      </c>
      <c r="L14619" s="223"/>
      <c r="M14619" s="223"/>
      <c r="N14619" s="223"/>
      <c r="O14619" s="223"/>
      <c r="P14619" s="223"/>
      <c r="Q14619" s="224"/>
    </row>
    <row r="14620" spans="1:17">
      <c r="A14620" s="221"/>
      <c r="B14620" s="222"/>
      <c r="C14620" s="223"/>
      <c r="D14620" s="223"/>
      <c r="E14620" s="223">
        <v>46143</v>
      </c>
      <c r="F14620" s="223"/>
      <c r="G14620" s="223"/>
      <c r="H14620" s="223" t="s">
        <v>99</v>
      </c>
      <c r="I14620" s="226"/>
      <c r="J14620" s="223"/>
      <c r="K14620" s="223" t="s">
        <v>10</v>
      </c>
      <c r="L14620" s="223"/>
      <c r="M14620" s="223"/>
      <c r="N14620" s="223"/>
      <c r="O14620" s="223"/>
      <c r="P14620" s="223"/>
      <c r="Q14620" s="224"/>
    </row>
    <row r="14621" spans="1:17">
      <c r="A14621" s="221"/>
      <c r="B14621" s="222"/>
      <c r="C14621" s="223"/>
      <c r="D14621" s="223"/>
      <c r="E14621" s="223">
        <v>46143</v>
      </c>
      <c r="F14621" s="223"/>
      <c r="G14621" s="223"/>
      <c r="H14621" s="223" t="s">
        <v>99</v>
      </c>
      <c r="I14621" s="226"/>
      <c r="J14621" s="223"/>
      <c r="K14621" s="223" t="s">
        <v>104</v>
      </c>
      <c r="L14621" s="223"/>
      <c r="M14621" s="223"/>
      <c r="N14621" s="223"/>
      <c r="O14621" s="223"/>
      <c r="P14621" s="223"/>
      <c r="Q14621" s="224"/>
    </row>
    <row r="14622" spans="1:17">
      <c r="A14622" s="221"/>
      <c r="B14622" s="222"/>
      <c r="C14622" s="223"/>
      <c r="D14622" s="223"/>
      <c r="E14622" s="223">
        <v>46143</v>
      </c>
      <c r="F14622" s="223"/>
      <c r="G14622" s="223"/>
      <c r="H14622" s="223" t="s">
        <v>99</v>
      </c>
      <c r="I14622" s="226"/>
      <c r="J14622" s="223"/>
      <c r="K14622" s="223" t="s">
        <v>104</v>
      </c>
      <c r="L14622" s="223"/>
      <c r="M14622" s="223"/>
      <c r="N14622" s="223"/>
      <c r="O14622" s="223"/>
      <c r="P14622" s="223"/>
      <c r="Q14622" s="224"/>
    </row>
    <row r="14623" spans="1:17">
      <c r="A14623" s="221"/>
      <c r="B14623" s="222"/>
      <c r="C14623" s="223"/>
      <c r="D14623" s="223"/>
      <c r="E14623" s="223">
        <v>46143</v>
      </c>
      <c r="F14623" s="223"/>
      <c r="G14623" s="223"/>
      <c r="H14623" s="223" t="s">
        <v>115</v>
      </c>
      <c r="I14623" s="226"/>
      <c r="J14623" s="223"/>
      <c r="K14623" s="223" t="s">
        <v>101</v>
      </c>
      <c r="L14623" s="223"/>
      <c r="M14623" s="223"/>
      <c r="N14623" s="223"/>
      <c r="O14623" s="223"/>
      <c r="P14623" s="223"/>
      <c r="Q14623" s="224"/>
    </row>
    <row r="14624" spans="1:17">
      <c r="A14624" s="221"/>
      <c r="B14624" s="222"/>
      <c r="C14624" s="223"/>
      <c r="D14624" s="223"/>
      <c r="E14624" s="223">
        <v>46143</v>
      </c>
      <c r="F14624" s="223"/>
      <c r="G14624" s="223"/>
      <c r="H14624" s="223" t="s">
        <v>196</v>
      </c>
      <c r="I14624" s="226"/>
      <c r="J14624" s="223"/>
      <c r="K14624" s="223" t="s">
        <v>101</v>
      </c>
      <c r="L14624" s="223"/>
      <c r="M14624" s="223"/>
      <c r="N14624" s="223"/>
      <c r="O14624" s="223"/>
      <c r="P14624" s="223"/>
      <c r="Q14624" s="224"/>
    </row>
    <row r="14625" spans="1:17">
      <c r="A14625" s="221"/>
      <c r="B14625" s="222"/>
      <c r="C14625" s="223"/>
      <c r="D14625" s="223"/>
      <c r="E14625" s="223">
        <v>46143</v>
      </c>
      <c r="F14625" s="223"/>
      <c r="G14625" s="223"/>
      <c r="H14625" s="223" t="s">
        <v>196</v>
      </c>
      <c r="I14625" s="226"/>
      <c r="J14625" s="223"/>
      <c r="K14625" s="223" t="s">
        <v>101</v>
      </c>
      <c r="L14625" s="223"/>
      <c r="M14625" s="223"/>
      <c r="N14625" s="223"/>
      <c r="O14625" s="223"/>
      <c r="P14625" s="223"/>
      <c r="Q14625" s="224"/>
    </row>
    <row r="14626" spans="1:17">
      <c r="A14626" s="221"/>
      <c r="B14626" s="222"/>
      <c r="C14626" s="223"/>
      <c r="D14626" s="223"/>
      <c r="E14626" s="223">
        <v>46143</v>
      </c>
      <c r="F14626" s="223"/>
      <c r="G14626" s="223"/>
      <c r="H14626" s="223" t="s">
        <v>196</v>
      </c>
      <c r="I14626" s="226"/>
      <c r="J14626" s="223"/>
      <c r="K14626" s="223" t="s">
        <v>101</v>
      </c>
      <c r="L14626" s="223"/>
      <c r="M14626" s="223"/>
      <c r="N14626" s="223"/>
      <c r="O14626" s="223"/>
      <c r="P14626" s="223"/>
      <c r="Q14626" s="224"/>
    </row>
    <row r="14627" spans="1:17">
      <c r="A14627" s="221"/>
      <c r="B14627" s="222"/>
      <c r="C14627" s="223"/>
      <c r="D14627" s="223"/>
      <c r="E14627" s="223">
        <v>46143</v>
      </c>
      <c r="F14627" s="223"/>
      <c r="G14627" s="223"/>
      <c r="H14627" s="223" t="s">
        <v>61</v>
      </c>
      <c r="I14627" s="226"/>
      <c r="J14627" s="223"/>
      <c r="K14627" s="223" t="s">
        <v>37</v>
      </c>
      <c r="L14627" s="223"/>
      <c r="M14627" s="223"/>
      <c r="N14627" s="223"/>
      <c r="O14627" s="223"/>
      <c r="P14627" s="223"/>
      <c r="Q14627" s="224"/>
    </row>
    <row r="14628" spans="1:17">
      <c r="A14628" s="221"/>
      <c r="B14628" s="222"/>
      <c r="C14628" s="223"/>
      <c r="D14628" s="223"/>
      <c r="E14628" s="223">
        <v>46143</v>
      </c>
      <c r="F14628" s="223"/>
      <c r="G14628" s="223"/>
      <c r="H14628" s="223" t="s">
        <v>61</v>
      </c>
      <c r="I14628" s="226"/>
      <c r="J14628" s="223"/>
      <c r="K14628" s="223" t="s">
        <v>38</v>
      </c>
      <c r="L14628" s="223"/>
      <c r="M14628" s="223"/>
      <c r="N14628" s="223"/>
      <c r="O14628" s="223"/>
      <c r="P14628" s="223"/>
      <c r="Q14628" s="224"/>
    </row>
    <row r="14629" spans="1:17">
      <c r="A14629" s="221"/>
      <c r="B14629" s="222"/>
      <c r="C14629" s="223"/>
      <c r="D14629" s="223"/>
      <c r="E14629" s="223">
        <v>46143</v>
      </c>
      <c r="F14629" s="223"/>
      <c r="G14629" s="223"/>
      <c r="H14629" s="223" t="s">
        <v>61</v>
      </c>
      <c r="I14629" s="226"/>
      <c r="J14629" s="223"/>
      <c r="K14629" s="223" t="s">
        <v>38</v>
      </c>
      <c r="L14629" s="223"/>
      <c r="M14629" s="223"/>
      <c r="N14629" s="223"/>
      <c r="O14629" s="223"/>
      <c r="P14629" s="223"/>
      <c r="Q14629" s="224"/>
    </row>
    <row r="14630" spans="1:17">
      <c r="A14630" s="221"/>
      <c r="B14630" s="222"/>
      <c r="C14630" s="223"/>
      <c r="D14630" s="223"/>
      <c r="E14630" s="223">
        <v>46143</v>
      </c>
      <c r="F14630" s="223"/>
      <c r="G14630" s="223"/>
      <c r="H14630" s="223" t="s">
        <v>201</v>
      </c>
      <c r="I14630" s="226"/>
      <c r="J14630" s="223"/>
      <c r="K14630" s="223" t="s">
        <v>101</v>
      </c>
      <c r="L14630" s="223"/>
      <c r="M14630" s="223"/>
      <c r="N14630" s="223"/>
      <c r="O14630" s="223"/>
      <c r="P14630" s="223"/>
      <c r="Q14630" s="224"/>
    </row>
    <row r="14631" spans="1:17">
      <c r="A14631" s="221"/>
      <c r="B14631" s="222"/>
      <c r="C14631" s="223"/>
      <c r="D14631" s="223"/>
      <c r="E14631" s="223">
        <v>46143</v>
      </c>
      <c r="F14631" s="223"/>
      <c r="G14631" s="223"/>
      <c r="H14631" s="223" t="s">
        <v>132</v>
      </c>
      <c r="I14631" s="226"/>
      <c r="J14631" s="223"/>
      <c r="K14631" s="223" t="s">
        <v>135</v>
      </c>
      <c r="L14631" s="223"/>
      <c r="M14631" s="223"/>
      <c r="N14631" s="223"/>
      <c r="O14631" s="223"/>
      <c r="P14631" s="223"/>
      <c r="Q14631" s="224"/>
    </row>
    <row r="14632" spans="1:17">
      <c r="A14632" s="221"/>
      <c r="B14632" s="222"/>
      <c r="C14632" s="223"/>
      <c r="D14632" s="223"/>
      <c r="E14632" s="223">
        <v>46143</v>
      </c>
      <c r="F14632" s="223"/>
      <c r="G14632" s="223"/>
      <c r="H14632" s="223" t="s">
        <v>132</v>
      </c>
      <c r="I14632" s="226"/>
      <c r="J14632" s="223"/>
      <c r="K14632" s="223" t="s">
        <v>135</v>
      </c>
      <c r="L14632" s="223"/>
      <c r="M14632" s="223"/>
      <c r="N14632" s="223"/>
      <c r="O14632" s="223"/>
      <c r="P14632" s="223"/>
      <c r="Q14632" s="224"/>
    </row>
    <row r="14633" spans="1:17">
      <c r="A14633" s="221"/>
      <c r="B14633" s="222"/>
      <c r="C14633" s="223"/>
      <c r="D14633" s="223"/>
      <c r="E14633" s="223">
        <v>46143</v>
      </c>
      <c r="F14633" s="223"/>
      <c r="G14633" s="223"/>
      <c r="H14633" s="223" t="s">
        <v>132</v>
      </c>
      <c r="I14633" s="226"/>
      <c r="J14633" s="223"/>
      <c r="K14633" s="223" t="s">
        <v>101</v>
      </c>
      <c r="L14633" s="223"/>
      <c r="M14633" s="223"/>
      <c r="N14633" s="223"/>
      <c r="O14633" s="223"/>
      <c r="P14633" s="223"/>
      <c r="Q14633" s="224"/>
    </row>
    <row r="14634" spans="1:17">
      <c r="A14634" s="221"/>
      <c r="B14634" s="222"/>
      <c r="C14634" s="223"/>
      <c r="D14634" s="223"/>
      <c r="E14634" s="223">
        <v>46143</v>
      </c>
      <c r="F14634" s="223"/>
      <c r="G14634" s="223"/>
      <c r="H14634" s="223" t="s">
        <v>132</v>
      </c>
      <c r="I14634" s="226"/>
      <c r="J14634" s="223"/>
      <c r="K14634" s="223" t="s">
        <v>10</v>
      </c>
      <c r="L14634" s="223"/>
      <c r="M14634" s="223"/>
      <c r="N14634" s="223"/>
      <c r="O14634" s="223"/>
      <c r="P14634" s="223"/>
      <c r="Q14634" s="224"/>
    </row>
    <row r="14635" spans="1:17">
      <c r="A14635" s="221"/>
      <c r="B14635" s="222"/>
      <c r="C14635" s="223"/>
      <c r="D14635" s="223"/>
      <c r="E14635" s="223">
        <v>46143</v>
      </c>
      <c r="F14635" s="223"/>
      <c r="G14635" s="223"/>
      <c r="H14635" s="223" t="s">
        <v>132</v>
      </c>
      <c r="I14635" s="226"/>
      <c r="J14635" s="223"/>
      <c r="K14635" s="223" t="s">
        <v>101</v>
      </c>
      <c r="L14635" s="223"/>
      <c r="M14635" s="223"/>
      <c r="N14635" s="223"/>
      <c r="O14635" s="223"/>
      <c r="P14635" s="223"/>
      <c r="Q14635" s="224"/>
    </row>
    <row r="14636" spans="1:17">
      <c r="A14636" s="221"/>
      <c r="B14636" s="222"/>
      <c r="C14636" s="223"/>
      <c r="D14636" s="223"/>
      <c r="E14636" s="223">
        <v>46143</v>
      </c>
      <c r="F14636" s="223"/>
      <c r="G14636" s="223"/>
      <c r="H14636" s="223" t="s">
        <v>132</v>
      </c>
      <c r="I14636" s="226"/>
      <c r="J14636" s="223"/>
      <c r="K14636" s="223" t="s">
        <v>101</v>
      </c>
      <c r="L14636" s="223"/>
      <c r="M14636" s="223"/>
      <c r="N14636" s="223"/>
      <c r="O14636" s="223"/>
      <c r="P14636" s="223"/>
      <c r="Q14636" s="224"/>
    </row>
    <row r="14637" spans="1:17">
      <c r="A14637" s="221"/>
      <c r="B14637" s="222"/>
      <c r="C14637" s="223"/>
      <c r="D14637" s="223"/>
      <c r="E14637" s="223">
        <v>46143</v>
      </c>
      <c r="F14637" s="223"/>
      <c r="G14637" s="223"/>
      <c r="H14637" s="223" t="s">
        <v>132</v>
      </c>
      <c r="I14637" s="226"/>
      <c r="J14637" s="223"/>
      <c r="K14637" s="223" t="s">
        <v>101</v>
      </c>
      <c r="L14637" s="223"/>
      <c r="M14637" s="223"/>
      <c r="N14637" s="223"/>
      <c r="O14637" s="223"/>
      <c r="P14637" s="223"/>
      <c r="Q14637" s="224"/>
    </row>
    <row r="14638" spans="1:17">
      <c r="A14638" s="221"/>
      <c r="B14638" s="222"/>
      <c r="C14638" s="223"/>
      <c r="D14638" s="223"/>
      <c r="E14638" s="223">
        <v>46143</v>
      </c>
      <c r="F14638" s="223"/>
      <c r="G14638" s="223"/>
      <c r="H14638" s="223" t="s">
        <v>132</v>
      </c>
      <c r="I14638" s="226"/>
      <c r="J14638" s="223"/>
      <c r="K14638" s="223" t="s">
        <v>101</v>
      </c>
      <c r="L14638" s="223"/>
      <c r="M14638" s="223"/>
      <c r="N14638" s="223"/>
      <c r="O14638" s="223"/>
      <c r="P14638" s="223"/>
      <c r="Q14638" s="224"/>
    </row>
    <row r="14639" spans="1:17">
      <c r="A14639" s="221"/>
      <c r="B14639" s="222"/>
      <c r="C14639" s="223"/>
      <c r="D14639" s="223"/>
      <c r="E14639" s="223">
        <v>46143</v>
      </c>
      <c r="F14639" s="223"/>
      <c r="G14639" s="223"/>
      <c r="H14639" s="223" t="s">
        <v>132</v>
      </c>
      <c r="I14639" s="226"/>
      <c r="J14639" s="223"/>
      <c r="K14639" s="223" t="s">
        <v>10</v>
      </c>
      <c r="L14639" s="223"/>
      <c r="M14639" s="223"/>
      <c r="N14639" s="223"/>
      <c r="O14639" s="223"/>
      <c r="P14639" s="223"/>
      <c r="Q14639" s="224"/>
    </row>
    <row r="14640" spans="1:17">
      <c r="A14640" s="221"/>
      <c r="B14640" s="222"/>
      <c r="C14640" s="223"/>
      <c r="D14640" s="223"/>
      <c r="E14640" s="223">
        <v>46143</v>
      </c>
      <c r="F14640" s="223"/>
      <c r="G14640" s="223"/>
      <c r="H14640" s="223" t="s">
        <v>132</v>
      </c>
      <c r="I14640" s="226"/>
      <c r="J14640" s="223"/>
      <c r="K14640" s="223" t="s">
        <v>10</v>
      </c>
      <c r="L14640" s="223"/>
      <c r="M14640" s="223"/>
      <c r="N14640" s="223"/>
      <c r="O14640" s="223"/>
      <c r="P14640" s="223"/>
      <c r="Q14640" s="224"/>
    </row>
    <row r="14641" spans="1:17">
      <c r="A14641" s="221"/>
      <c r="B14641" s="222"/>
      <c r="C14641" s="223"/>
      <c r="D14641" s="223"/>
      <c r="E14641" s="223">
        <v>46143</v>
      </c>
      <c r="F14641" s="223"/>
      <c r="G14641" s="223"/>
      <c r="H14641" s="223" t="s">
        <v>132</v>
      </c>
      <c r="I14641" s="226"/>
      <c r="J14641" s="223"/>
      <c r="K14641" s="223" t="s">
        <v>101</v>
      </c>
      <c r="L14641" s="223"/>
      <c r="M14641" s="223"/>
      <c r="N14641" s="223"/>
      <c r="O14641" s="223"/>
      <c r="P14641" s="223"/>
      <c r="Q14641" s="224"/>
    </row>
    <row r="14642" spans="1:17">
      <c r="A14642" s="221"/>
      <c r="B14642" s="222"/>
      <c r="C14642" s="223"/>
      <c r="D14642" s="223"/>
      <c r="E14642" s="223">
        <v>46143</v>
      </c>
      <c r="F14642" s="223"/>
      <c r="G14642" s="223"/>
      <c r="H14642" s="223" t="s">
        <v>132</v>
      </c>
      <c r="I14642" s="226"/>
      <c r="J14642" s="223"/>
      <c r="K14642" s="223" t="s">
        <v>101</v>
      </c>
      <c r="L14642" s="223"/>
      <c r="M14642" s="223"/>
      <c r="N14642" s="223"/>
      <c r="O14642" s="223"/>
      <c r="P14642" s="223"/>
      <c r="Q14642" s="224"/>
    </row>
    <row r="14643" spans="1:17">
      <c r="A14643" s="221"/>
      <c r="B14643" s="222"/>
      <c r="C14643" s="223"/>
      <c r="D14643" s="223"/>
      <c r="E14643" s="223">
        <v>46143</v>
      </c>
      <c r="F14643" s="223"/>
      <c r="G14643" s="223"/>
      <c r="H14643" s="223" t="s">
        <v>132</v>
      </c>
      <c r="I14643" s="226"/>
      <c r="J14643" s="223"/>
      <c r="K14643" s="223" t="s">
        <v>101</v>
      </c>
      <c r="L14643" s="223"/>
      <c r="M14643" s="223"/>
      <c r="N14643" s="223"/>
      <c r="O14643" s="223"/>
      <c r="P14643" s="223"/>
      <c r="Q14643" s="224"/>
    </row>
    <row r="14644" spans="1:17">
      <c r="A14644" s="221"/>
      <c r="B14644" s="222"/>
      <c r="C14644" s="223"/>
      <c r="D14644" s="223"/>
      <c r="E14644" s="223">
        <v>46143</v>
      </c>
      <c r="F14644" s="223"/>
      <c r="G14644" s="223"/>
      <c r="H14644" s="223" t="s">
        <v>132</v>
      </c>
      <c r="I14644" s="226"/>
      <c r="J14644" s="223"/>
      <c r="K14644" s="223" t="s">
        <v>101</v>
      </c>
      <c r="L14644" s="223"/>
      <c r="M14644" s="223"/>
      <c r="N14644" s="223"/>
      <c r="O14644" s="223"/>
      <c r="P14644" s="223"/>
      <c r="Q14644" s="224"/>
    </row>
    <row r="14645" spans="1:17">
      <c r="A14645" s="221"/>
      <c r="B14645" s="222"/>
      <c r="C14645" s="223"/>
      <c r="D14645" s="223"/>
      <c r="E14645" s="223">
        <v>46143</v>
      </c>
      <c r="F14645" s="223"/>
      <c r="G14645" s="223"/>
      <c r="H14645" s="223" t="s">
        <v>132</v>
      </c>
      <c r="I14645" s="226"/>
      <c r="J14645" s="223"/>
      <c r="K14645" s="223" t="s">
        <v>101</v>
      </c>
      <c r="L14645" s="223"/>
      <c r="M14645" s="223"/>
      <c r="N14645" s="223"/>
      <c r="O14645" s="223"/>
      <c r="P14645" s="223"/>
      <c r="Q14645" s="224"/>
    </row>
    <row r="14646" spans="1:17">
      <c r="A14646" s="221"/>
      <c r="B14646" s="222"/>
      <c r="C14646" s="223"/>
      <c r="D14646" s="223"/>
      <c r="E14646" s="223">
        <v>46174</v>
      </c>
      <c r="F14646" s="223"/>
      <c r="G14646" s="223"/>
      <c r="H14646" s="223" t="s">
        <v>99</v>
      </c>
      <c r="I14646" s="226"/>
      <c r="J14646" s="223"/>
      <c r="K14646" s="223" t="s">
        <v>101</v>
      </c>
      <c r="L14646" s="223"/>
      <c r="M14646" s="223"/>
      <c r="N14646" s="223"/>
      <c r="O14646" s="223"/>
      <c r="P14646" s="223"/>
      <c r="Q14646" s="224"/>
    </row>
    <row r="14647" spans="1:17">
      <c r="A14647" s="221"/>
      <c r="B14647" s="222"/>
      <c r="C14647" s="223"/>
      <c r="D14647" s="223"/>
      <c r="E14647" s="223">
        <v>46174</v>
      </c>
      <c r="F14647" s="223"/>
      <c r="G14647" s="223"/>
      <c r="H14647" s="223" t="s">
        <v>99</v>
      </c>
      <c r="I14647" s="226"/>
      <c r="J14647" s="223"/>
      <c r="K14647" s="223" t="s">
        <v>10</v>
      </c>
      <c r="L14647" s="223"/>
      <c r="M14647" s="223"/>
      <c r="N14647" s="223"/>
      <c r="O14647" s="223"/>
      <c r="P14647" s="223"/>
      <c r="Q14647" s="224"/>
    </row>
    <row r="14648" spans="1:17">
      <c r="A14648" s="221"/>
      <c r="B14648" s="222"/>
      <c r="C14648" s="223"/>
      <c r="D14648" s="223"/>
      <c r="E14648" s="223">
        <v>46174</v>
      </c>
      <c r="F14648" s="223"/>
      <c r="G14648" s="223"/>
      <c r="H14648" s="223" t="s">
        <v>99</v>
      </c>
      <c r="I14648" s="226"/>
      <c r="J14648" s="223"/>
      <c r="K14648" s="223" t="s">
        <v>104</v>
      </c>
      <c r="L14648" s="223"/>
      <c r="M14648" s="223"/>
      <c r="N14648" s="223"/>
      <c r="O14648" s="223"/>
      <c r="P14648" s="223"/>
      <c r="Q14648" s="224"/>
    </row>
    <row r="14649" spans="1:17">
      <c r="A14649" s="221"/>
      <c r="B14649" s="222"/>
      <c r="C14649" s="223"/>
      <c r="D14649" s="223"/>
      <c r="E14649" s="223">
        <v>46174</v>
      </c>
      <c r="F14649" s="223"/>
      <c r="G14649" s="223"/>
      <c r="H14649" s="223" t="s">
        <v>99</v>
      </c>
      <c r="I14649" s="226"/>
      <c r="J14649" s="223"/>
      <c r="K14649" s="223" t="s">
        <v>104</v>
      </c>
      <c r="L14649" s="223"/>
      <c r="M14649" s="223"/>
      <c r="N14649" s="223"/>
      <c r="O14649" s="223"/>
      <c r="P14649" s="223"/>
      <c r="Q14649" s="224"/>
    </row>
    <row r="14650" spans="1:17">
      <c r="A14650" s="221"/>
      <c r="B14650" s="222"/>
      <c r="C14650" s="223"/>
      <c r="D14650" s="223"/>
      <c r="E14650" s="223">
        <v>46174</v>
      </c>
      <c r="F14650" s="223"/>
      <c r="G14650" s="223"/>
      <c r="H14650" s="223" t="s">
        <v>99</v>
      </c>
      <c r="I14650" s="226"/>
      <c r="J14650" s="223"/>
      <c r="K14650" s="223" t="s">
        <v>106</v>
      </c>
      <c r="L14650" s="223"/>
      <c r="M14650" s="223"/>
      <c r="N14650" s="223"/>
      <c r="O14650" s="223"/>
      <c r="P14650" s="223"/>
      <c r="Q14650" s="224"/>
    </row>
    <row r="14651" spans="1:17">
      <c r="A14651" s="221"/>
      <c r="B14651" s="222"/>
      <c r="C14651" s="223"/>
      <c r="D14651" s="223"/>
      <c r="E14651" s="223">
        <v>46174</v>
      </c>
      <c r="F14651" s="223"/>
      <c r="G14651" s="223"/>
      <c r="H14651" s="223" t="s">
        <v>99</v>
      </c>
      <c r="I14651" s="226"/>
      <c r="J14651" s="223"/>
      <c r="K14651" s="223" t="s">
        <v>101</v>
      </c>
      <c r="L14651" s="223"/>
      <c r="M14651" s="223"/>
      <c r="N14651" s="223"/>
      <c r="O14651" s="223"/>
      <c r="P14651" s="223"/>
      <c r="Q14651" s="224"/>
    </row>
    <row r="14652" spans="1:17">
      <c r="A14652" s="221"/>
      <c r="B14652" s="222"/>
      <c r="C14652" s="223"/>
      <c r="D14652" s="223"/>
      <c r="E14652" s="223">
        <v>46174</v>
      </c>
      <c r="F14652" s="223"/>
      <c r="G14652" s="223"/>
      <c r="H14652" s="223" t="s">
        <v>99</v>
      </c>
      <c r="I14652" s="226"/>
      <c r="J14652" s="223"/>
      <c r="K14652" s="223" t="s">
        <v>10</v>
      </c>
      <c r="L14652" s="223"/>
      <c r="M14652" s="223"/>
      <c r="N14652" s="223"/>
      <c r="O14652" s="223"/>
      <c r="P14652" s="223"/>
      <c r="Q14652" s="224"/>
    </row>
    <row r="14653" spans="1:17">
      <c r="A14653" s="221"/>
      <c r="B14653" s="222"/>
      <c r="C14653" s="223"/>
      <c r="D14653" s="223"/>
      <c r="E14653" s="223">
        <v>46174</v>
      </c>
      <c r="F14653" s="223"/>
      <c r="G14653" s="223"/>
      <c r="H14653" s="223" t="s">
        <v>99</v>
      </c>
      <c r="I14653" s="226"/>
      <c r="J14653" s="223"/>
      <c r="K14653" s="223" t="s">
        <v>104</v>
      </c>
      <c r="L14653" s="223"/>
      <c r="M14653" s="223"/>
      <c r="N14653" s="223"/>
      <c r="O14653" s="223"/>
      <c r="P14653" s="223"/>
      <c r="Q14653" s="224"/>
    </row>
    <row r="14654" spans="1:17">
      <c r="A14654" s="221"/>
      <c r="B14654" s="222"/>
      <c r="C14654" s="223"/>
      <c r="D14654" s="223"/>
      <c r="E14654" s="223">
        <v>46174</v>
      </c>
      <c r="F14654" s="223"/>
      <c r="G14654" s="223"/>
      <c r="H14654" s="223" t="s">
        <v>99</v>
      </c>
      <c r="I14654" s="226"/>
      <c r="J14654" s="223"/>
      <c r="K14654" s="223" t="s">
        <v>104</v>
      </c>
      <c r="L14654" s="223"/>
      <c r="M14654" s="223"/>
      <c r="N14654" s="223"/>
      <c r="O14654" s="223"/>
      <c r="P14654" s="223"/>
      <c r="Q14654" s="224"/>
    </row>
    <row r="14655" spans="1:17">
      <c r="A14655" s="221"/>
      <c r="B14655" s="222"/>
      <c r="C14655" s="223"/>
      <c r="D14655" s="223"/>
      <c r="E14655" s="223">
        <v>46174</v>
      </c>
      <c r="F14655" s="223"/>
      <c r="G14655" s="223"/>
      <c r="H14655" s="223" t="s">
        <v>196</v>
      </c>
      <c r="I14655" s="226"/>
      <c r="J14655" s="223"/>
      <c r="K14655" s="223" t="s">
        <v>101</v>
      </c>
      <c r="L14655" s="223"/>
      <c r="M14655" s="223"/>
      <c r="N14655" s="223"/>
      <c r="O14655" s="223"/>
      <c r="P14655" s="223"/>
      <c r="Q14655" s="224"/>
    </row>
    <row r="14656" spans="1:17">
      <c r="A14656" s="221"/>
      <c r="B14656" s="222"/>
      <c r="C14656" s="223"/>
      <c r="D14656" s="223"/>
      <c r="E14656" s="223">
        <v>46174</v>
      </c>
      <c r="F14656" s="223"/>
      <c r="G14656" s="223"/>
      <c r="H14656" s="223" t="s">
        <v>196</v>
      </c>
      <c r="I14656" s="226"/>
      <c r="J14656" s="223"/>
      <c r="K14656" s="223" t="s">
        <v>101</v>
      </c>
      <c r="L14656" s="223"/>
      <c r="M14656" s="223"/>
      <c r="N14656" s="223"/>
      <c r="O14656" s="223"/>
      <c r="P14656" s="223"/>
      <c r="Q14656" s="224"/>
    </row>
    <row r="14657" spans="1:17">
      <c r="A14657" s="221"/>
      <c r="B14657" s="222"/>
      <c r="C14657" s="223"/>
      <c r="D14657" s="223"/>
      <c r="E14657" s="223">
        <v>46174</v>
      </c>
      <c r="F14657" s="223"/>
      <c r="G14657" s="223"/>
      <c r="H14657" s="223" t="s">
        <v>196</v>
      </c>
      <c r="I14657" s="226"/>
      <c r="J14657" s="223"/>
      <c r="K14657" s="223" t="s">
        <v>101</v>
      </c>
      <c r="L14657" s="223"/>
      <c r="M14657" s="223"/>
      <c r="N14657" s="223"/>
      <c r="O14657" s="223"/>
      <c r="P14657" s="223"/>
      <c r="Q14657" s="224"/>
    </row>
    <row r="14658" spans="1:17">
      <c r="A14658" s="221"/>
      <c r="B14658" s="222"/>
      <c r="C14658" s="223"/>
      <c r="D14658" s="223"/>
      <c r="E14658" s="223">
        <v>46174</v>
      </c>
      <c r="F14658" s="223"/>
      <c r="G14658" s="223"/>
      <c r="H14658" s="223" t="s">
        <v>201</v>
      </c>
      <c r="I14658" s="226"/>
      <c r="J14658" s="223"/>
      <c r="K14658" s="223" t="s">
        <v>101</v>
      </c>
      <c r="L14658" s="223"/>
      <c r="M14658" s="223"/>
      <c r="N14658" s="223"/>
      <c r="O14658" s="223"/>
      <c r="P14658" s="223"/>
      <c r="Q14658" s="224"/>
    </row>
    <row r="14659" spans="1:17">
      <c r="A14659" s="221"/>
      <c r="B14659" s="222"/>
      <c r="C14659" s="223"/>
      <c r="D14659" s="223"/>
      <c r="E14659" s="223">
        <v>46174</v>
      </c>
      <c r="F14659" s="223"/>
      <c r="G14659" s="223"/>
      <c r="H14659" s="223" t="s">
        <v>201</v>
      </c>
      <c r="I14659" s="226"/>
      <c r="J14659" s="223"/>
      <c r="K14659" s="223" t="s">
        <v>101</v>
      </c>
      <c r="L14659" s="223"/>
      <c r="M14659" s="223"/>
      <c r="N14659" s="223"/>
      <c r="O14659" s="223"/>
      <c r="P14659" s="223"/>
      <c r="Q14659" s="224"/>
    </row>
    <row r="14660" spans="1:17">
      <c r="A14660" s="221"/>
      <c r="B14660" s="222"/>
      <c r="C14660" s="223"/>
      <c r="D14660" s="223"/>
      <c r="E14660" s="223">
        <v>46174</v>
      </c>
      <c r="F14660" s="223"/>
      <c r="G14660" s="223"/>
      <c r="H14660" s="223" t="s">
        <v>132</v>
      </c>
      <c r="I14660" s="226"/>
      <c r="J14660" s="223"/>
      <c r="K14660" s="223" t="s">
        <v>101</v>
      </c>
      <c r="L14660" s="223"/>
      <c r="M14660" s="223"/>
      <c r="N14660" s="223"/>
      <c r="O14660" s="223"/>
      <c r="P14660" s="223"/>
      <c r="Q14660" s="224"/>
    </row>
    <row r="14661" spans="1:17">
      <c r="A14661" s="221"/>
      <c r="B14661" s="222"/>
      <c r="C14661" s="223"/>
      <c r="D14661" s="223"/>
      <c r="E14661" s="223">
        <v>46174</v>
      </c>
      <c r="F14661" s="223"/>
      <c r="G14661" s="223"/>
      <c r="H14661" s="223" t="s">
        <v>132</v>
      </c>
      <c r="I14661" s="226"/>
      <c r="J14661" s="223"/>
      <c r="K14661" s="223" t="s">
        <v>10</v>
      </c>
      <c r="L14661" s="223"/>
      <c r="M14661" s="223"/>
      <c r="N14661" s="223"/>
      <c r="O14661" s="223"/>
      <c r="P14661" s="223"/>
      <c r="Q14661" s="224"/>
    </row>
    <row r="14662" spans="1:17">
      <c r="A14662" s="221"/>
      <c r="B14662" s="222"/>
      <c r="C14662" s="223"/>
      <c r="D14662" s="223"/>
      <c r="E14662" s="223">
        <v>46174</v>
      </c>
      <c r="F14662" s="223"/>
      <c r="G14662" s="223"/>
      <c r="H14662" s="223" t="s">
        <v>132</v>
      </c>
      <c r="I14662" s="226"/>
      <c r="J14662" s="223"/>
      <c r="K14662" s="223" t="s">
        <v>101</v>
      </c>
      <c r="L14662" s="223"/>
      <c r="M14662" s="223"/>
      <c r="N14662" s="223"/>
      <c r="O14662" s="223"/>
      <c r="P14662" s="223"/>
      <c r="Q14662" s="224"/>
    </row>
    <row r="14663" spans="1:17">
      <c r="A14663" s="221"/>
      <c r="B14663" s="222"/>
      <c r="C14663" s="223"/>
      <c r="D14663" s="223"/>
      <c r="E14663" s="223">
        <v>46174</v>
      </c>
      <c r="F14663" s="223"/>
      <c r="G14663" s="223"/>
      <c r="H14663" s="223" t="s">
        <v>132</v>
      </c>
      <c r="I14663" s="226"/>
      <c r="J14663" s="223"/>
      <c r="K14663" s="223" t="s">
        <v>101</v>
      </c>
      <c r="L14663" s="223"/>
      <c r="M14663" s="223"/>
      <c r="N14663" s="223"/>
      <c r="O14663" s="223"/>
      <c r="P14663" s="223"/>
      <c r="Q14663" s="224"/>
    </row>
    <row r="14664" spans="1:17">
      <c r="A14664" s="221"/>
      <c r="B14664" s="222"/>
      <c r="C14664" s="223"/>
      <c r="D14664" s="223"/>
      <c r="E14664" s="223">
        <v>46174</v>
      </c>
      <c r="F14664" s="223"/>
      <c r="G14664" s="223"/>
      <c r="H14664" s="223" t="s">
        <v>132</v>
      </c>
      <c r="I14664" s="226"/>
      <c r="J14664" s="223"/>
      <c r="K14664" s="223" t="s">
        <v>10</v>
      </c>
      <c r="L14664" s="223"/>
      <c r="M14664" s="223"/>
      <c r="N14664" s="223"/>
      <c r="O14664" s="223"/>
      <c r="P14664" s="223"/>
      <c r="Q14664" s="224"/>
    </row>
    <row r="14665" spans="1:17">
      <c r="A14665" s="221"/>
      <c r="B14665" s="222"/>
      <c r="C14665" s="223"/>
      <c r="D14665" s="223"/>
      <c r="E14665" s="223">
        <v>46174</v>
      </c>
      <c r="F14665" s="223"/>
      <c r="G14665" s="223"/>
      <c r="H14665" s="223" t="s">
        <v>132</v>
      </c>
      <c r="I14665" s="226"/>
      <c r="J14665" s="223"/>
      <c r="K14665" s="223" t="s">
        <v>10</v>
      </c>
      <c r="L14665" s="223"/>
      <c r="M14665" s="223"/>
      <c r="N14665" s="223"/>
      <c r="O14665" s="223"/>
      <c r="P14665" s="223"/>
      <c r="Q14665" s="224"/>
    </row>
    <row r="14666" spans="1:17">
      <c r="A14666" s="221"/>
      <c r="B14666" s="222"/>
      <c r="C14666" s="223"/>
      <c r="D14666" s="223"/>
      <c r="E14666" s="223">
        <v>46174</v>
      </c>
      <c r="F14666" s="223"/>
      <c r="G14666" s="223"/>
      <c r="H14666" s="223" t="s">
        <v>132</v>
      </c>
      <c r="I14666" s="226"/>
      <c r="J14666" s="223"/>
      <c r="K14666" s="223" t="s">
        <v>10</v>
      </c>
      <c r="L14666" s="223"/>
      <c r="M14666" s="223"/>
      <c r="N14666" s="223"/>
      <c r="O14666" s="223"/>
      <c r="P14666" s="223"/>
      <c r="Q14666" s="224"/>
    </row>
    <row r="14667" spans="1:17">
      <c r="A14667" s="221"/>
      <c r="B14667" s="222"/>
      <c r="C14667" s="223"/>
      <c r="D14667" s="223"/>
      <c r="E14667" s="223">
        <v>46174</v>
      </c>
      <c r="F14667" s="223"/>
      <c r="G14667" s="223"/>
      <c r="H14667" s="223" t="s">
        <v>132</v>
      </c>
      <c r="I14667" s="226"/>
      <c r="J14667" s="223"/>
      <c r="K14667" s="223" t="s">
        <v>101</v>
      </c>
      <c r="L14667" s="223"/>
      <c r="M14667" s="223"/>
      <c r="N14667" s="223"/>
      <c r="O14667" s="223"/>
      <c r="P14667" s="223"/>
      <c r="Q14667" s="224"/>
    </row>
    <row r="14668" spans="1:17">
      <c r="A14668" s="221"/>
      <c r="B14668" s="222"/>
      <c r="C14668" s="223"/>
      <c r="D14668" s="223"/>
      <c r="E14668" s="223">
        <v>46204</v>
      </c>
      <c r="F14668" s="223"/>
      <c r="G14668" s="223"/>
      <c r="H14668" s="223" t="s">
        <v>99</v>
      </c>
      <c r="I14668" s="226"/>
      <c r="J14668" s="223"/>
      <c r="K14668" s="223" t="s">
        <v>101</v>
      </c>
      <c r="L14668" s="223"/>
      <c r="M14668" s="223"/>
      <c r="N14668" s="223"/>
      <c r="O14668" s="223"/>
      <c r="P14668" s="223"/>
      <c r="Q14668" s="224"/>
    </row>
    <row r="14669" spans="1:17">
      <c r="A14669" s="221"/>
      <c r="B14669" s="222"/>
      <c r="C14669" s="223"/>
      <c r="D14669" s="223"/>
      <c r="E14669" s="223">
        <v>46204</v>
      </c>
      <c r="F14669" s="223"/>
      <c r="G14669" s="223"/>
      <c r="H14669" s="223" t="s">
        <v>99</v>
      </c>
      <c r="I14669" s="226"/>
      <c r="J14669" s="223"/>
      <c r="K14669" s="223" t="s">
        <v>10</v>
      </c>
      <c r="L14669" s="223"/>
      <c r="M14669" s="223"/>
      <c r="N14669" s="223"/>
      <c r="O14669" s="223"/>
      <c r="P14669" s="223"/>
      <c r="Q14669" s="224"/>
    </row>
    <row r="14670" spans="1:17">
      <c r="A14670" s="221"/>
      <c r="B14670" s="222"/>
      <c r="C14670" s="223"/>
      <c r="D14670" s="223"/>
      <c r="E14670" s="223">
        <v>46204</v>
      </c>
      <c r="F14670" s="223"/>
      <c r="G14670" s="223"/>
      <c r="H14670" s="223" t="s">
        <v>99</v>
      </c>
      <c r="I14670" s="226"/>
      <c r="J14670" s="223"/>
      <c r="K14670" s="223" t="s">
        <v>104</v>
      </c>
      <c r="L14670" s="223"/>
      <c r="M14670" s="223"/>
      <c r="N14670" s="223"/>
      <c r="O14670" s="223"/>
      <c r="P14670" s="223"/>
      <c r="Q14670" s="224"/>
    </row>
    <row r="14671" spans="1:17">
      <c r="A14671" s="221"/>
      <c r="B14671" s="222"/>
      <c r="C14671" s="223"/>
      <c r="D14671" s="223"/>
      <c r="E14671" s="223">
        <v>46204</v>
      </c>
      <c r="F14671" s="223"/>
      <c r="G14671" s="223"/>
      <c r="H14671" s="223" t="s">
        <v>99</v>
      </c>
      <c r="I14671" s="226"/>
      <c r="J14671" s="223"/>
      <c r="K14671" s="223" t="s">
        <v>106</v>
      </c>
      <c r="L14671" s="223"/>
      <c r="M14671" s="223"/>
      <c r="N14671" s="223"/>
      <c r="O14671" s="223"/>
      <c r="P14671" s="223"/>
      <c r="Q14671" s="224"/>
    </row>
    <row r="14672" spans="1:17">
      <c r="A14672" s="221"/>
      <c r="B14672" s="222"/>
      <c r="C14672" s="223"/>
      <c r="D14672" s="223"/>
      <c r="E14672" s="223">
        <v>46204</v>
      </c>
      <c r="F14672" s="223"/>
      <c r="G14672" s="223"/>
      <c r="H14672" s="223" t="s">
        <v>196</v>
      </c>
      <c r="I14672" s="226"/>
      <c r="J14672" s="223"/>
      <c r="K14672" s="223" t="s">
        <v>101</v>
      </c>
      <c r="L14672" s="223"/>
      <c r="M14672" s="223"/>
      <c r="N14672" s="223"/>
      <c r="O14672" s="223"/>
      <c r="P14672" s="223"/>
      <c r="Q14672" s="224"/>
    </row>
    <row r="14673" spans="1:17">
      <c r="A14673" s="221"/>
      <c r="B14673" s="222"/>
      <c r="C14673" s="223"/>
      <c r="D14673" s="223"/>
      <c r="E14673" s="223">
        <v>46204</v>
      </c>
      <c r="F14673" s="223"/>
      <c r="G14673" s="223"/>
      <c r="H14673" s="223" t="s">
        <v>196</v>
      </c>
      <c r="I14673" s="226"/>
      <c r="J14673" s="223"/>
      <c r="K14673" s="223" t="s">
        <v>101</v>
      </c>
      <c r="L14673" s="223"/>
      <c r="M14673" s="223"/>
      <c r="N14673" s="223"/>
      <c r="O14673" s="223"/>
      <c r="P14673" s="223"/>
      <c r="Q14673" s="224"/>
    </row>
    <row r="14674" spans="1:17">
      <c r="A14674" s="221"/>
      <c r="B14674" s="222"/>
      <c r="C14674" s="223"/>
      <c r="D14674" s="223"/>
      <c r="E14674" s="223">
        <v>46204</v>
      </c>
      <c r="F14674" s="223"/>
      <c r="G14674" s="223"/>
      <c r="H14674" s="223" t="s">
        <v>196</v>
      </c>
      <c r="I14674" s="226"/>
      <c r="J14674" s="223"/>
      <c r="K14674" s="223" t="s">
        <v>101</v>
      </c>
      <c r="L14674" s="223"/>
      <c r="M14674" s="223"/>
      <c r="N14674" s="223"/>
      <c r="O14674" s="223"/>
      <c r="P14674" s="223"/>
      <c r="Q14674" s="224"/>
    </row>
    <row r="14675" spans="1:17">
      <c r="A14675" s="221"/>
      <c r="B14675" s="222"/>
      <c r="C14675" s="223"/>
      <c r="D14675" s="223"/>
      <c r="E14675" s="223">
        <v>46204</v>
      </c>
      <c r="F14675" s="223"/>
      <c r="G14675" s="223"/>
      <c r="H14675" s="223" t="s">
        <v>132</v>
      </c>
      <c r="I14675" s="226"/>
      <c r="J14675" s="223"/>
      <c r="K14675" s="223" t="s">
        <v>101</v>
      </c>
      <c r="L14675" s="223"/>
      <c r="M14675" s="223"/>
      <c r="N14675" s="223"/>
      <c r="O14675" s="223"/>
      <c r="P14675" s="223"/>
      <c r="Q14675" s="224"/>
    </row>
    <row r="14676" spans="1:17">
      <c r="A14676" s="221"/>
      <c r="B14676" s="222"/>
      <c r="C14676" s="223"/>
      <c r="D14676" s="223"/>
      <c r="E14676" s="223">
        <v>46235</v>
      </c>
      <c r="F14676" s="223"/>
      <c r="G14676" s="223"/>
      <c r="H14676" s="223" t="s">
        <v>99</v>
      </c>
      <c r="I14676" s="226"/>
      <c r="J14676" s="223"/>
      <c r="K14676" s="223" t="s">
        <v>10</v>
      </c>
      <c r="L14676" s="223"/>
      <c r="M14676" s="223"/>
      <c r="N14676" s="223"/>
      <c r="O14676" s="223"/>
      <c r="P14676" s="223"/>
      <c r="Q14676" s="224"/>
    </row>
    <row r="14677" spans="1:17">
      <c r="A14677" s="221"/>
      <c r="B14677" s="222"/>
      <c r="C14677" s="223"/>
      <c r="D14677" s="223"/>
      <c r="E14677" s="223">
        <v>46235</v>
      </c>
      <c r="F14677" s="223"/>
      <c r="G14677" s="223"/>
      <c r="H14677" s="223" t="s">
        <v>99</v>
      </c>
      <c r="I14677" s="226"/>
      <c r="J14677" s="223"/>
      <c r="K14677" s="223" t="s">
        <v>104</v>
      </c>
      <c r="L14677" s="223"/>
      <c r="M14677" s="223"/>
      <c r="N14677" s="223"/>
      <c r="O14677" s="223"/>
      <c r="P14677" s="223"/>
      <c r="Q14677" s="224"/>
    </row>
    <row r="14678" spans="1:17">
      <c r="A14678" s="221"/>
      <c r="B14678" s="222"/>
      <c r="C14678" s="223"/>
      <c r="D14678" s="223"/>
      <c r="E14678" s="223">
        <v>46235</v>
      </c>
      <c r="F14678" s="223"/>
      <c r="G14678" s="223"/>
      <c r="H14678" s="223" t="s">
        <v>196</v>
      </c>
      <c r="I14678" s="226"/>
      <c r="J14678" s="223"/>
      <c r="K14678" s="223" t="s">
        <v>101</v>
      </c>
      <c r="L14678" s="223"/>
      <c r="M14678" s="223"/>
      <c r="N14678" s="223"/>
      <c r="O14678" s="223"/>
      <c r="P14678" s="223"/>
      <c r="Q14678" s="224"/>
    </row>
    <row r="14679" spans="1:17">
      <c r="A14679" s="221"/>
      <c r="B14679" s="222"/>
      <c r="C14679" s="223"/>
      <c r="D14679" s="223"/>
      <c r="E14679" s="223">
        <v>46235</v>
      </c>
      <c r="F14679" s="223"/>
      <c r="G14679" s="223"/>
      <c r="H14679" s="223" t="s">
        <v>196</v>
      </c>
      <c r="I14679" s="226"/>
      <c r="J14679" s="223"/>
      <c r="K14679" s="223" t="s">
        <v>101</v>
      </c>
      <c r="L14679" s="223"/>
      <c r="M14679" s="223"/>
      <c r="N14679" s="223"/>
      <c r="O14679" s="223"/>
      <c r="P14679" s="223"/>
      <c r="Q14679" s="224"/>
    </row>
    <row r="14680" spans="1:17">
      <c r="A14680" s="221"/>
      <c r="B14680" s="222"/>
      <c r="C14680" s="223"/>
      <c r="D14680" s="223"/>
      <c r="E14680" s="223">
        <v>46235</v>
      </c>
      <c r="F14680" s="223"/>
      <c r="G14680" s="223"/>
      <c r="H14680" s="223" t="s">
        <v>132</v>
      </c>
      <c r="I14680" s="226"/>
      <c r="J14680" s="223"/>
      <c r="K14680" s="223" t="s">
        <v>101</v>
      </c>
      <c r="L14680" s="223"/>
      <c r="M14680" s="223"/>
      <c r="N14680" s="223"/>
      <c r="O14680" s="223"/>
      <c r="P14680" s="223"/>
      <c r="Q14680" s="224"/>
    </row>
    <row r="14681" spans="1:17">
      <c r="A14681" s="221">
        <v>796</v>
      </c>
      <c r="B14681" s="222"/>
      <c r="C14681" s="223" t="s">
        <v>322</v>
      </c>
      <c r="D14681" s="223" t="s">
        <v>661</v>
      </c>
      <c r="E14681" s="223"/>
      <c r="F14681" s="223">
        <v>2026</v>
      </c>
      <c r="G14681" s="223">
        <v>2.5</v>
      </c>
      <c r="H14681" s="223" t="s">
        <v>132</v>
      </c>
      <c r="I14681" s="226" t="s">
        <v>158</v>
      </c>
      <c r="J14681" s="223" t="s">
        <v>360</v>
      </c>
      <c r="K14681" s="223" t="s">
        <v>101</v>
      </c>
      <c r="L14681" s="223" t="s">
        <v>1000</v>
      </c>
      <c r="M14681" s="223">
        <v>2.5</v>
      </c>
      <c r="N14681" s="223"/>
      <c r="O14681" s="223" t="s">
        <v>811</v>
      </c>
      <c r="P14681" s="223"/>
      <c r="Q14681" s="224"/>
    </row>
    <row r="14682" spans="1:17">
      <c r="A14682" s="221">
        <v>797</v>
      </c>
      <c r="B14682" s="222"/>
      <c r="C14682" s="223" t="s">
        <v>322</v>
      </c>
      <c r="D14682" s="223" t="s">
        <v>661</v>
      </c>
      <c r="E14682" s="223"/>
      <c r="F14682" s="223">
        <v>2026</v>
      </c>
      <c r="G14682" s="223">
        <v>2.5</v>
      </c>
      <c r="H14682" s="223" t="s">
        <v>132</v>
      </c>
      <c r="I14682" s="226" t="s">
        <v>158</v>
      </c>
      <c r="J14682" s="223" t="s">
        <v>360</v>
      </c>
      <c r="K14682" s="223" t="s">
        <v>101</v>
      </c>
      <c r="L14682" s="223" t="s">
        <v>1001</v>
      </c>
      <c r="M14682" s="223">
        <v>2.5</v>
      </c>
      <c r="N14682" s="223"/>
      <c r="O14682" s="223" t="s">
        <v>811</v>
      </c>
      <c r="P14682" s="223"/>
      <c r="Q14682" s="224"/>
    </row>
    <row r="14683" spans="1:17">
      <c r="A14683" s="221">
        <v>798</v>
      </c>
      <c r="B14683" s="222"/>
      <c r="C14683" s="223" t="s">
        <v>322</v>
      </c>
      <c r="D14683" s="223" t="s">
        <v>661</v>
      </c>
      <c r="E14683" s="223"/>
      <c r="F14683" s="223">
        <v>2026</v>
      </c>
      <c r="G14683" s="223">
        <v>2.5</v>
      </c>
      <c r="H14683" s="223" t="s">
        <v>132</v>
      </c>
      <c r="I14683" s="226" t="s">
        <v>158</v>
      </c>
      <c r="J14683" s="223" t="s">
        <v>360</v>
      </c>
      <c r="K14683" s="223" t="s">
        <v>101</v>
      </c>
      <c r="L14683" s="223" t="s">
        <v>1002</v>
      </c>
      <c r="M14683" s="223">
        <v>2.5</v>
      </c>
      <c r="N14683" s="223"/>
      <c r="O14683" s="223" t="s">
        <v>811</v>
      </c>
      <c r="P14683" s="223"/>
      <c r="Q14683" s="224"/>
    </row>
    <row r="14684" spans="1:17">
      <c r="A14684" s="221">
        <v>799</v>
      </c>
      <c r="B14684" s="222"/>
      <c r="C14684" s="223" t="s">
        <v>322</v>
      </c>
      <c r="D14684" s="223" t="s">
        <v>661</v>
      </c>
      <c r="E14684" s="223"/>
      <c r="F14684" s="223">
        <v>2026</v>
      </c>
      <c r="G14684" s="223">
        <v>2.5</v>
      </c>
      <c r="H14684" s="223" t="s">
        <v>132</v>
      </c>
      <c r="I14684" s="226" t="s">
        <v>158</v>
      </c>
      <c r="J14684" s="223" t="s">
        <v>360</v>
      </c>
      <c r="K14684" s="223" t="s">
        <v>101</v>
      </c>
      <c r="L14684" s="223" t="s">
        <v>1003</v>
      </c>
      <c r="M14684" s="223">
        <v>2.5</v>
      </c>
      <c r="N14684" s="223"/>
      <c r="O14684" s="223" t="s">
        <v>811</v>
      </c>
      <c r="P14684" s="223"/>
      <c r="Q14684" s="224"/>
    </row>
    <row r="14685" spans="1:17">
      <c r="A14685" s="221">
        <v>800</v>
      </c>
      <c r="B14685" s="222"/>
      <c r="C14685" s="223" t="s">
        <v>322</v>
      </c>
      <c r="D14685" s="223" t="s">
        <v>661</v>
      </c>
      <c r="E14685" s="223"/>
      <c r="F14685" s="223">
        <v>2026</v>
      </c>
      <c r="G14685" s="223">
        <v>2.5</v>
      </c>
      <c r="H14685" s="223" t="s">
        <v>132</v>
      </c>
      <c r="I14685" s="226" t="s">
        <v>158</v>
      </c>
      <c r="J14685" s="223" t="s">
        <v>360</v>
      </c>
      <c r="K14685" s="223" t="s">
        <v>101</v>
      </c>
      <c r="L14685" s="223" t="s">
        <v>1004</v>
      </c>
      <c r="M14685" s="223">
        <v>2.5</v>
      </c>
      <c r="N14685" s="223"/>
      <c r="O14685" s="223" t="s">
        <v>811</v>
      </c>
      <c r="P14685" s="223"/>
      <c r="Q14685" s="224"/>
    </row>
    <row r="14686" spans="1:17">
      <c r="A14686" s="221">
        <v>801</v>
      </c>
      <c r="B14686" s="222"/>
      <c r="C14686" s="223" t="s">
        <v>322</v>
      </c>
      <c r="D14686" s="223" t="s">
        <v>661</v>
      </c>
      <c r="E14686" s="223"/>
      <c r="F14686" s="223">
        <v>2026</v>
      </c>
      <c r="G14686" s="223">
        <v>2.5</v>
      </c>
      <c r="H14686" s="223" t="s">
        <v>132</v>
      </c>
      <c r="I14686" s="226" t="s">
        <v>158</v>
      </c>
      <c r="J14686" s="223" t="s">
        <v>360</v>
      </c>
      <c r="K14686" s="223" t="s">
        <v>101</v>
      </c>
      <c r="L14686" s="223" t="s">
        <v>1005</v>
      </c>
      <c r="M14686" s="223">
        <v>2.5</v>
      </c>
      <c r="N14686" s="223"/>
      <c r="O14686" s="223" t="s">
        <v>1006</v>
      </c>
      <c r="P14686" s="223"/>
      <c r="Q14686" s="224"/>
    </row>
    <row r="14687" spans="1:17">
      <c r="A14687" s="221">
        <v>802</v>
      </c>
      <c r="B14687" s="222"/>
      <c r="C14687" s="223" t="s">
        <v>322</v>
      </c>
      <c r="D14687" s="223" t="s">
        <v>661</v>
      </c>
      <c r="E14687" s="223"/>
      <c r="F14687" s="223">
        <v>2026</v>
      </c>
      <c r="G14687" s="223">
        <v>2.5</v>
      </c>
      <c r="H14687" s="223" t="s">
        <v>132</v>
      </c>
      <c r="I14687" s="226" t="s">
        <v>158</v>
      </c>
      <c r="J14687" s="223" t="s">
        <v>360</v>
      </c>
      <c r="K14687" s="223" t="s">
        <v>101</v>
      </c>
      <c r="L14687" s="223" t="s">
        <v>1007</v>
      </c>
      <c r="M14687" s="223">
        <v>2.5</v>
      </c>
      <c r="N14687" s="223"/>
      <c r="O14687" s="223" t="s">
        <v>1008</v>
      </c>
      <c r="P14687" s="223"/>
      <c r="Q14687" s="224"/>
    </row>
    <row r="14688" spans="1:17">
      <c r="A14688" s="221">
        <v>803</v>
      </c>
      <c r="B14688" s="222"/>
      <c r="C14688" s="223" t="s">
        <v>322</v>
      </c>
      <c r="D14688" s="223" t="s">
        <v>661</v>
      </c>
      <c r="E14688" s="223"/>
      <c r="F14688" s="223">
        <v>2026</v>
      </c>
      <c r="G14688" s="223">
        <v>2</v>
      </c>
      <c r="H14688" s="223" t="s">
        <v>132</v>
      </c>
      <c r="I14688" s="226" t="s">
        <v>158</v>
      </c>
      <c r="J14688" s="223" t="s">
        <v>360</v>
      </c>
      <c r="K14688" s="223" t="s">
        <v>101</v>
      </c>
      <c r="L14688" s="223" t="s">
        <v>1009</v>
      </c>
      <c r="M14688" s="223">
        <v>2</v>
      </c>
      <c r="N14688" s="223"/>
      <c r="O14688" s="223" t="s">
        <v>559</v>
      </c>
      <c r="P14688" s="223"/>
      <c r="Q14688" s="224"/>
    </row>
    <row r="14689" spans="1:17">
      <c r="A14689" s="221">
        <v>804</v>
      </c>
      <c r="B14689" s="222"/>
      <c r="C14689" s="223" t="s">
        <v>322</v>
      </c>
      <c r="D14689" s="223" t="s">
        <v>661</v>
      </c>
      <c r="E14689" s="223"/>
      <c r="F14689" s="223">
        <v>2026</v>
      </c>
      <c r="G14689" s="223">
        <v>2</v>
      </c>
      <c r="H14689" s="223" t="s">
        <v>132</v>
      </c>
      <c r="I14689" s="226" t="s">
        <v>158</v>
      </c>
      <c r="J14689" s="223" t="s">
        <v>360</v>
      </c>
      <c r="K14689" s="223" t="s">
        <v>101</v>
      </c>
      <c r="L14689" s="223" t="s">
        <v>1010</v>
      </c>
      <c r="M14689" s="223">
        <v>2</v>
      </c>
      <c r="N14689" s="223"/>
      <c r="O14689" s="223" t="s">
        <v>559</v>
      </c>
      <c r="P14689" s="223"/>
      <c r="Q14689" s="224"/>
    </row>
    <row r="14690" spans="1:17">
      <c r="A14690" s="221">
        <v>805</v>
      </c>
      <c r="B14690" s="222"/>
      <c r="C14690" s="223" t="s">
        <v>322</v>
      </c>
      <c r="D14690" s="223" t="s">
        <v>661</v>
      </c>
      <c r="E14690" s="223"/>
      <c r="F14690" s="223">
        <v>2026</v>
      </c>
      <c r="G14690" s="223">
        <v>2.5</v>
      </c>
      <c r="H14690" s="223" t="s">
        <v>132</v>
      </c>
      <c r="I14690" s="226" t="s">
        <v>158</v>
      </c>
      <c r="J14690" s="223" t="s">
        <v>360</v>
      </c>
      <c r="K14690" s="223" t="s">
        <v>101</v>
      </c>
      <c r="L14690" s="223" t="s">
        <v>1011</v>
      </c>
      <c r="M14690" s="223">
        <v>2.5</v>
      </c>
      <c r="N14690" s="223"/>
      <c r="O14690" s="223" t="s">
        <v>811</v>
      </c>
      <c r="P14690" s="223"/>
      <c r="Q14690" s="224"/>
    </row>
    <row r="14691" spans="1:17">
      <c r="A14691" s="221">
        <v>806</v>
      </c>
      <c r="B14691" s="222"/>
      <c r="C14691" s="223" t="s">
        <v>322</v>
      </c>
      <c r="D14691" s="223" t="s">
        <v>661</v>
      </c>
      <c r="E14691" s="223"/>
      <c r="F14691" s="223">
        <v>2026</v>
      </c>
      <c r="G14691" s="223">
        <v>2.5</v>
      </c>
      <c r="H14691" s="223" t="s">
        <v>132</v>
      </c>
      <c r="I14691" s="226" t="s">
        <v>158</v>
      </c>
      <c r="J14691" s="223" t="s">
        <v>360</v>
      </c>
      <c r="K14691" s="223" t="s">
        <v>101</v>
      </c>
      <c r="L14691" s="223" t="s">
        <v>1012</v>
      </c>
      <c r="M14691" s="223">
        <v>2.5</v>
      </c>
      <c r="N14691" s="223"/>
      <c r="O14691" s="223" t="s">
        <v>811</v>
      </c>
      <c r="P14691" s="223"/>
      <c r="Q14691" s="224"/>
    </row>
    <row r="14692" spans="1:17">
      <c r="A14692" s="221">
        <v>807</v>
      </c>
      <c r="B14692" s="222"/>
      <c r="C14692" s="223" t="s">
        <v>322</v>
      </c>
      <c r="D14692" s="223" t="s">
        <v>661</v>
      </c>
      <c r="E14692" s="223"/>
      <c r="F14692" s="223">
        <v>2026</v>
      </c>
      <c r="G14692" s="223">
        <v>2</v>
      </c>
      <c r="H14692" s="223" t="s">
        <v>132</v>
      </c>
      <c r="I14692" s="226" t="s">
        <v>158</v>
      </c>
      <c r="J14692" s="223" t="s">
        <v>360</v>
      </c>
      <c r="K14692" s="223" t="s">
        <v>101</v>
      </c>
      <c r="L14692" s="223" t="s">
        <v>1013</v>
      </c>
      <c r="M14692" s="223">
        <v>2</v>
      </c>
      <c r="N14692" s="223"/>
      <c r="O14692" s="223" t="s">
        <v>811</v>
      </c>
      <c r="P14692" s="223"/>
      <c r="Q14692" s="224"/>
    </row>
    <row r="14693" spans="1:17">
      <c r="A14693" s="221">
        <v>808</v>
      </c>
      <c r="B14693" s="222"/>
      <c r="C14693" s="223" t="s">
        <v>322</v>
      </c>
      <c r="D14693" s="223" t="s">
        <v>661</v>
      </c>
      <c r="E14693" s="223"/>
      <c r="F14693" s="223">
        <v>2026</v>
      </c>
      <c r="G14693" s="223">
        <v>2</v>
      </c>
      <c r="H14693" s="223" t="s">
        <v>132</v>
      </c>
      <c r="I14693" s="226" t="s">
        <v>158</v>
      </c>
      <c r="J14693" s="223" t="s">
        <v>360</v>
      </c>
      <c r="K14693" s="223" t="s">
        <v>101</v>
      </c>
      <c r="L14693" s="223" t="s">
        <v>1014</v>
      </c>
      <c r="M14693" s="223">
        <v>2</v>
      </c>
      <c r="N14693" s="223"/>
      <c r="O14693" s="223" t="s">
        <v>811</v>
      </c>
      <c r="P14693" s="223"/>
      <c r="Q14693" s="224"/>
    </row>
    <row r="14694" spans="1:17">
      <c r="A14694" s="221">
        <v>809</v>
      </c>
      <c r="B14694" s="222"/>
      <c r="C14694" s="223" t="s">
        <v>322</v>
      </c>
      <c r="D14694" s="223" t="s">
        <v>661</v>
      </c>
      <c r="E14694" s="223"/>
      <c r="F14694" s="223">
        <v>2026</v>
      </c>
      <c r="G14694" s="223">
        <v>3</v>
      </c>
      <c r="H14694" s="223" t="s">
        <v>132</v>
      </c>
      <c r="I14694" s="226" t="s">
        <v>158</v>
      </c>
      <c r="J14694" s="223" t="s">
        <v>360</v>
      </c>
      <c r="K14694" s="223" t="s">
        <v>101</v>
      </c>
      <c r="L14694" s="223" t="s">
        <v>1015</v>
      </c>
      <c r="M14694" s="223">
        <v>3</v>
      </c>
      <c r="N14694" s="223"/>
      <c r="O14694" s="223" t="s">
        <v>70</v>
      </c>
      <c r="P14694" s="223"/>
      <c r="Q14694" s="224"/>
    </row>
    <row r="14695" spans="1:17">
      <c r="A14695" s="221">
        <v>810</v>
      </c>
      <c r="B14695" s="222"/>
      <c r="C14695" s="223" t="s">
        <v>322</v>
      </c>
      <c r="D14695" s="223" t="s">
        <v>661</v>
      </c>
      <c r="E14695" s="223"/>
      <c r="F14695" s="223">
        <v>2026</v>
      </c>
      <c r="G14695" s="223">
        <v>2.5</v>
      </c>
      <c r="H14695" s="223" t="s">
        <v>132</v>
      </c>
      <c r="I14695" s="226" t="s">
        <v>158</v>
      </c>
      <c r="J14695" s="223" t="s">
        <v>360</v>
      </c>
      <c r="K14695" s="223" t="s">
        <v>101</v>
      </c>
      <c r="L14695" s="223" t="s">
        <v>1016</v>
      </c>
      <c r="M14695" s="223">
        <v>2.5</v>
      </c>
      <c r="N14695" s="223"/>
      <c r="O14695" s="223" t="s">
        <v>811</v>
      </c>
      <c r="P14695" s="223"/>
      <c r="Q14695" s="224"/>
    </row>
    <row r="14696" spans="1:17">
      <c r="A14696" s="221">
        <v>811</v>
      </c>
      <c r="B14696" s="222"/>
      <c r="C14696" s="223" t="s">
        <v>322</v>
      </c>
      <c r="D14696" s="223" t="s">
        <v>661</v>
      </c>
      <c r="E14696" s="223"/>
      <c r="F14696" s="223">
        <v>2026</v>
      </c>
      <c r="G14696" s="223">
        <v>2.5</v>
      </c>
      <c r="H14696" s="223" t="s">
        <v>132</v>
      </c>
      <c r="I14696" s="226" t="s">
        <v>158</v>
      </c>
      <c r="J14696" s="223" t="s">
        <v>360</v>
      </c>
      <c r="K14696" s="223" t="s">
        <v>101</v>
      </c>
      <c r="L14696" s="223" t="s">
        <v>1017</v>
      </c>
      <c r="M14696" s="223">
        <v>2.5</v>
      </c>
      <c r="N14696" s="223"/>
      <c r="O14696" s="223" t="s">
        <v>693</v>
      </c>
      <c r="P14696" s="223" t="s">
        <v>23</v>
      </c>
      <c r="Q14696" s="224"/>
    </row>
    <row r="14697" spans="1:17">
      <c r="A14697" s="221">
        <v>812</v>
      </c>
      <c r="B14697" s="222"/>
      <c r="C14697" s="223" t="s">
        <v>322</v>
      </c>
      <c r="D14697" s="223" t="s">
        <v>661</v>
      </c>
      <c r="E14697" s="223"/>
      <c r="F14697" s="223">
        <v>2026</v>
      </c>
      <c r="G14697" s="223">
        <v>2.5</v>
      </c>
      <c r="H14697" s="223" t="s">
        <v>132</v>
      </c>
      <c r="I14697" s="226" t="s">
        <v>158</v>
      </c>
      <c r="J14697" s="223" t="s">
        <v>360</v>
      </c>
      <c r="K14697" s="223" t="s">
        <v>101</v>
      </c>
      <c r="L14697" s="223" t="s">
        <v>1018</v>
      </c>
      <c r="M14697" s="223">
        <v>2.5</v>
      </c>
      <c r="N14697" s="223"/>
      <c r="O14697" s="223" t="s">
        <v>693</v>
      </c>
      <c r="P14697" s="223" t="s">
        <v>23</v>
      </c>
      <c r="Q14697" s="224"/>
    </row>
    <row r="14698" spans="1:17">
      <c r="A14698" s="221">
        <v>813</v>
      </c>
      <c r="B14698" s="222"/>
      <c r="C14698" s="223" t="s">
        <v>322</v>
      </c>
      <c r="D14698" s="223" t="s">
        <v>661</v>
      </c>
      <c r="E14698" s="223"/>
      <c r="F14698" s="223">
        <v>2026</v>
      </c>
      <c r="G14698" s="223">
        <v>2.5</v>
      </c>
      <c r="H14698" s="223" t="s">
        <v>132</v>
      </c>
      <c r="I14698" s="226" t="s">
        <v>158</v>
      </c>
      <c r="J14698" s="223" t="s">
        <v>360</v>
      </c>
      <c r="K14698" s="223" t="s">
        <v>101</v>
      </c>
      <c r="L14698" s="223" t="s">
        <v>1019</v>
      </c>
      <c r="M14698" s="223">
        <v>2.5</v>
      </c>
      <c r="N14698" s="223"/>
      <c r="O14698" s="223" t="s">
        <v>693</v>
      </c>
      <c r="P14698" s="223" t="s">
        <v>23</v>
      </c>
      <c r="Q14698" s="224"/>
    </row>
    <row r="14699" spans="1:17">
      <c r="A14699" s="221">
        <v>814</v>
      </c>
      <c r="B14699" s="222"/>
      <c r="C14699" s="223" t="s">
        <v>322</v>
      </c>
      <c r="D14699" s="223" t="s">
        <v>661</v>
      </c>
      <c r="E14699" s="223"/>
      <c r="F14699" s="223">
        <v>2026</v>
      </c>
      <c r="G14699" s="223">
        <v>2.5</v>
      </c>
      <c r="H14699" s="223" t="s">
        <v>132</v>
      </c>
      <c r="I14699" s="226" t="s">
        <v>158</v>
      </c>
      <c r="J14699" s="223" t="s">
        <v>360</v>
      </c>
      <c r="K14699" s="223" t="s">
        <v>101</v>
      </c>
      <c r="L14699" s="223" t="s">
        <v>1020</v>
      </c>
      <c r="M14699" s="223">
        <v>2.5</v>
      </c>
      <c r="N14699" s="223"/>
      <c r="O14699" s="223" t="s">
        <v>693</v>
      </c>
      <c r="P14699" s="223" t="s">
        <v>23</v>
      </c>
      <c r="Q14699" s="224"/>
    </row>
    <row r="14700" spans="1:17">
      <c r="A14700" s="221">
        <v>815</v>
      </c>
      <c r="B14700" s="222"/>
      <c r="C14700" s="223" t="s">
        <v>322</v>
      </c>
      <c r="D14700" s="223" t="s">
        <v>661</v>
      </c>
      <c r="E14700" s="223"/>
      <c r="F14700" s="223">
        <v>2026</v>
      </c>
      <c r="G14700" s="223">
        <v>2.5</v>
      </c>
      <c r="H14700" s="223" t="s">
        <v>132</v>
      </c>
      <c r="I14700" s="226" t="s">
        <v>158</v>
      </c>
      <c r="J14700" s="223" t="s">
        <v>360</v>
      </c>
      <c r="K14700" s="223" t="s">
        <v>101</v>
      </c>
      <c r="L14700" s="223" t="s">
        <v>1021</v>
      </c>
      <c r="M14700" s="223">
        <v>2.5</v>
      </c>
      <c r="N14700" s="223"/>
      <c r="O14700" s="223" t="s">
        <v>693</v>
      </c>
      <c r="P14700" s="223" t="s">
        <v>23</v>
      </c>
      <c r="Q14700" s="224"/>
    </row>
    <row r="14701" spans="1:17">
      <c r="A14701" s="221">
        <v>816</v>
      </c>
      <c r="B14701" s="222"/>
      <c r="C14701" s="223" t="s">
        <v>322</v>
      </c>
      <c r="D14701" s="223" t="s">
        <v>661</v>
      </c>
      <c r="E14701" s="223"/>
      <c r="F14701" s="223">
        <v>2026</v>
      </c>
      <c r="G14701" s="223">
        <v>2.5</v>
      </c>
      <c r="H14701" s="223" t="s">
        <v>132</v>
      </c>
      <c r="I14701" s="226" t="s">
        <v>158</v>
      </c>
      <c r="J14701" s="223" t="s">
        <v>360</v>
      </c>
      <c r="K14701" s="223" t="s">
        <v>101</v>
      </c>
      <c r="L14701" s="223" t="s">
        <v>1022</v>
      </c>
      <c r="M14701" s="223">
        <v>2.5</v>
      </c>
      <c r="N14701" s="223"/>
      <c r="O14701" s="223" t="s">
        <v>693</v>
      </c>
      <c r="P14701" s="223" t="s">
        <v>23</v>
      </c>
      <c r="Q14701" s="224"/>
    </row>
    <row r="14702" spans="1:17">
      <c r="A14702" s="221">
        <v>817</v>
      </c>
      <c r="B14702" s="222"/>
      <c r="C14702" s="223" t="s">
        <v>322</v>
      </c>
      <c r="D14702" s="223"/>
      <c r="E14702" s="223"/>
      <c r="F14702" s="223">
        <v>2026</v>
      </c>
      <c r="G14702" s="223">
        <v>2</v>
      </c>
      <c r="H14702" s="223" t="s">
        <v>132</v>
      </c>
      <c r="I14702" s="226" t="s">
        <v>158</v>
      </c>
      <c r="J14702" s="223" t="s">
        <v>360</v>
      </c>
      <c r="K14702" s="223" t="s">
        <v>101</v>
      </c>
      <c r="L14702" s="223" t="s">
        <v>929</v>
      </c>
      <c r="M14702" s="223">
        <v>2</v>
      </c>
      <c r="N14702" s="223"/>
      <c r="O14702" s="223" t="s">
        <v>811</v>
      </c>
      <c r="P14702" s="223"/>
      <c r="Q14702" s="224"/>
    </row>
    <row r="14703" spans="1:17">
      <c r="A14703" s="221">
        <v>818</v>
      </c>
      <c r="B14703" s="222"/>
      <c r="C14703" s="223" t="s">
        <v>322</v>
      </c>
      <c r="D14703" s="223"/>
      <c r="E14703" s="223"/>
      <c r="F14703" s="223">
        <v>2026</v>
      </c>
      <c r="G14703" s="223">
        <v>2</v>
      </c>
      <c r="H14703" s="223" t="s">
        <v>132</v>
      </c>
      <c r="I14703" s="226" t="s">
        <v>158</v>
      </c>
      <c r="J14703" s="223" t="s">
        <v>360</v>
      </c>
      <c r="K14703" s="223" t="s">
        <v>101</v>
      </c>
      <c r="L14703" s="223" t="s">
        <v>931</v>
      </c>
      <c r="M14703" s="223">
        <v>2</v>
      </c>
      <c r="N14703" s="223"/>
      <c r="O14703" s="223" t="s">
        <v>811</v>
      </c>
      <c r="P14703" s="223"/>
      <c r="Q14703" s="224"/>
    </row>
    <row r="14704" spans="1:17">
      <c r="A14704" s="221">
        <v>819</v>
      </c>
      <c r="B14704" s="222"/>
      <c r="C14704" s="223" t="s">
        <v>322</v>
      </c>
      <c r="D14704" s="223"/>
      <c r="E14704" s="223"/>
      <c r="F14704" s="223">
        <v>2026</v>
      </c>
      <c r="G14704" s="223">
        <v>2</v>
      </c>
      <c r="H14704" s="223" t="s">
        <v>132</v>
      </c>
      <c r="I14704" s="226" t="s">
        <v>158</v>
      </c>
      <c r="J14704" s="223" t="s">
        <v>360</v>
      </c>
      <c r="K14704" s="223" t="s">
        <v>101</v>
      </c>
      <c r="L14704" s="223" t="s">
        <v>935</v>
      </c>
      <c r="M14704" s="223">
        <v>2</v>
      </c>
      <c r="N14704" s="223"/>
      <c r="O14704" s="223" t="s">
        <v>811</v>
      </c>
      <c r="P14704" s="223"/>
      <c r="Q14704" s="224"/>
    </row>
    <row r="14705" spans="1:17">
      <c r="A14705" s="221">
        <v>820</v>
      </c>
      <c r="B14705" s="222"/>
      <c r="C14705" s="223" t="s">
        <v>322</v>
      </c>
      <c r="D14705" s="223"/>
      <c r="E14705" s="223"/>
      <c r="F14705" s="223">
        <v>2026</v>
      </c>
      <c r="G14705" s="223"/>
      <c r="H14705" s="223" t="s">
        <v>132</v>
      </c>
      <c r="I14705" s="226" t="s">
        <v>158</v>
      </c>
      <c r="J14705" s="223" t="s">
        <v>360</v>
      </c>
      <c r="K14705" s="223" t="s">
        <v>101</v>
      </c>
      <c r="L14705" s="223" t="s">
        <v>937</v>
      </c>
      <c r="M14705" s="223"/>
      <c r="N14705" s="223"/>
      <c r="O14705" s="223" t="s">
        <v>70</v>
      </c>
      <c r="P14705" s="223"/>
      <c r="Q14705" s="224"/>
    </row>
    <row r="14706" spans="1:17">
      <c r="A14706" s="221"/>
      <c r="B14706" s="222"/>
      <c r="C14706" s="223" t="s">
        <v>322</v>
      </c>
      <c r="D14706" s="223"/>
      <c r="E14706" s="223" t="s">
        <v>359</v>
      </c>
      <c r="F14706" s="223">
        <v>2026</v>
      </c>
      <c r="G14706" s="223"/>
      <c r="H14706" s="223" t="s">
        <v>132</v>
      </c>
      <c r="I14706" s="226" t="s">
        <v>133</v>
      </c>
      <c r="J14706" s="223" t="s">
        <v>360</v>
      </c>
      <c r="K14706" s="223" t="s">
        <v>135</v>
      </c>
      <c r="L14706" s="223" t="s">
        <v>952</v>
      </c>
      <c r="M14706" s="223"/>
      <c r="N14706" s="223"/>
      <c r="O14706" s="223"/>
      <c r="P14706" s="223"/>
      <c r="Q14706" s="224"/>
    </row>
    <row r="14707" spans="1:17">
      <c r="A14707" s="221"/>
      <c r="B14707" s="222"/>
      <c r="C14707" s="223" t="s">
        <v>322</v>
      </c>
      <c r="D14707" s="223"/>
      <c r="E14707" s="223" t="s">
        <v>359</v>
      </c>
      <c r="F14707" s="223">
        <v>2026</v>
      </c>
      <c r="G14707" s="223"/>
      <c r="H14707" s="223" t="s">
        <v>132</v>
      </c>
      <c r="I14707" s="226" t="s">
        <v>133</v>
      </c>
      <c r="J14707" s="223" t="s">
        <v>360</v>
      </c>
      <c r="K14707" s="223" t="s">
        <v>135</v>
      </c>
      <c r="L14707" s="223" t="s">
        <v>953</v>
      </c>
      <c r="M14707" s="223"/>
      <c r="N14707" s="223"/>
      <c r="O14707" s="223"/>
      <c r="P14707" s="223"/>
      <c r="Q14707" s="224"/>
    </row>
    <row r="14708" spans="1:17">
      <c r="A14708" s="221">
        <v>821</v>
      </c>
      <c r="B14708" s="222"/>
      <c r="C14708" s="223" t="s">
        <v>322</v>
      </c>
      <c r="D14708" s="223"/>
      <c r="E14708" s="223" t="s">
        <v>359</v>
      </c>
      <c r="F14708" s="223">
        <v>2026</v>
      </c>
      <c r="G14708" s="223"/>
      <c r="H14708" s="223" t="s">
        <v>99</v>
      </c>
      <c r="I14708" s="226" t="s">
        <v>100</v>
      </c>
      <c r="J14708" s="223" t="s">
        <v>373</v>
      </c>
      <c r="K14708" s="223" t="s">
        <v>10</v>
      </c>
      <c r="L14708" s="223" t="s">
        <v>888</v>
      </c>
      <c r="M14708" s="223"/>
      <c r="N14708" s="223"/>
      <c r="O14708" s="223" t="s">
        <v>29</v>
      </c>
      <c r="P14708" s="223"/>
      <c r="Q14708" s="224"/>
    </row>
    <row r="14709" spans="1:17">
      <c r="A14709" s="221">
        <v>822</v>
      </c>
      <c r="B14709" s="222"/>
      <c r="C14709" s="223" t="s">
        <v>322</v>
      </c>
      <c r="D14709" s="223"/>
      <c r="E14709" s="223" t="s">
        <v>359</v>
      </c>
      <c r="F14709" s="223">
        <v>2026</v>
      </c>
      <c r="G14709" s="223"/>
      <c r="H14709" s="223" t="s">
        <v>99</v>
      </c>
      <c r="I14709" s="226" t="s">
        <v>100</v>
      </c>
      <c r="J14709" s="223" t="s">
        <v>373</v>
      </c>
      <c r="K14709" s="223" t="s">
        <v>10</v>
      </c>
      <c r="L14709" s="223" t="s">
        <v>888</v>
      </c>
      <c r="M14709" s="223"/>
      <c r="N14709" s="223"/>
      <c r="O14709" s="223" t="s">
        <v>29</v>
      </c>
      <c r="P14709" s="223"/>
      <c r="Q14709" s="224"/>
    </row>
    <row r="14710" spans="1:17">
      <c r="A14710" s="221"/>
      <c r="B14710" s="222"/>
      <c r="C14710" s="223"/>
      <c r="D14710" s="223"/>
      <c r="E14710" s="223"/>
      <c r="F14710" s="223">
        <v>2025</v>
      </c>
      <c r="G14710" s="223"/>
      <c r="H14710" s="223" t="s">
        <v>16</v>
      </c>
      <c r="I14710" s="226"/>
      <c r="J14710" s="223"/>
      <c r="K14710" s="223"/>
      <c r="L14710" s="223"/>
      <c r="M14710" s="223"/>
      <c r="N14710" s="223"/>
      <c r="O14710" s="223"/>
      <c r="P14710" s="223"/>
      <c r="Q14710" s="224"/>
    </row>
    <row r="14711" spans="1:17">
      <c r="A14711" s="221"/>
      <c r="B14711" s="222"/>
      <c r="C14711" s="223"/>
      <c r="D14711" s="223"/>
      <c r="E14711" s="223"/>
      <c r="F14711" s="223">
        <v>2025</v>
      </c>
      <c r="G14711" s="223"/>
      <c r="H14711" s="223" t="s">
        <v>16</v>
      </c>
      <c r="I14711" s="226"/>
      <c r="J14711" s="223"/>
      <c r="K14711" s="223"/>
      <c r="L14711" s="223"/>
      <c r="M14711" s="223"/>
      <c r="N14711" s="223"/>
      <c r="O14711" s="223"/>
      <c r="P14711" s="223"/>
      <c r="Q14711" s="224"/>
    </row>
    <row r="14712" spans="1:17">
      <c r="A14712" s="221"/>
      <c r="B14712" s="222"/>
      <c r="C14712" s="223"/>
      <c r="D14712" s="223"/>
      <c r="E14712" s="223"/>
      <c r="F14712" s="223">
        <v>2025</v>
      </c>
      <c r="G14712" s="223"/>
      <c r="H14712" s="223" t="s">
        <v>16</v>
      </c>
      <c r="I14712" s="226"/>
      <c r="J14712" s="223"/>
      <c r="K14712" s="223"/>
      <c r="L14712" s="223"/>
      <c r="M14712" s="223"/>
      <c r="N14712" s="223"/>
      <c r="O14712" s="223"/>
      <c r="P14712" s="223"/>
      <c r="Q14712" s="224"/>
    </row>
    <row r="14713" spans="1:17">
      <c r="A14713" s="221"/>
      <c r="B14713" s="222"/>
      <c r="C14713" s="223"/>
      <c r="D14713" s="223"/>
      <c r="E14713" s="223"/>
      <c r="F14713" s="223">
        <v>2025</v>
      </c>
      <c r="G14713" s="223"/>
      <c r="H14713" s="223" t="s">
        <v>16</v>
      </c>
      <c r="I14713" s="226"/>
      <c r="J14713" s="223"/>
      <c r="K14713" s="223"/>
      <c r="L14713" s="223"/>
      <c r="M14713" s="223"/>
      <c r="N14713" s="223"/>
      <c r="O14713" s="223"/>
      <c r="P14713" s="223"/>
      <c r="Q14713" s="224"/>
    </row>
    <row r="14714" spans="1:17">
      <c r="A14714" s="221"/>
      <c r="B14714" s="222"/>
      <c r="C14714" s="223"/>
      <c r="D14714" s="223"/>
      <c r="E14714" s="223"/>
      <c r="F14714" s="223">
        <v>2025</v>
      </c>
      <c r="G14714" s="223"/>
      <c r="H14714" s="223" t="s">
        <v>16</v>
      </c>
      <c r="I14714" s="226"/>
      <c r="J14714" s="223"/>
      <c r="K14714" s="223"/>
      <c r="L14714" s="223"/>
      <c r="M14714" s="223"/>
      <c r="N14714" s="223"/>
      <c r="O14714" s="223"/>
      <c r="P14714" s="223"/>
      <c r="Q14714" s="224"/>
    </row>
    <row r="14715" spans="1:17">
      <c r="A14715" s="221"/>
      <c r="B14715" s="222"/>
      <c r="C14715" s="223"/>
      <c r="D14715" s="223"/>
      <c r="E14715" s="223"/>
      <c r="F14715" s="223">
        <v>2025</v>
      </c>
      <c r="G14715" s="223"/>
      <c r="H14715" s="223" t="s">
        <v>16</v>
      </c>
      <c r="I14715" s="226"/>
      <c r="J14715" s="223"/>
      <c r="K14715" s="223"/>
      <c r="L14715" s="223"/>
      <c r="M14715" s="223"/>
      <c r="N14715" s="223"/>
      <c r="O14715" s="223"/>
      <c r="P14715" s="223"/>
      <c r="Q14715" s="224"/>
    </row>
    <row r="14716" spans="1:17">
      <c r="A14716" s="221"/>
      <c r="B14716" s="222"/>
      <c r="C14716" s="223"/>
      <c r="D14716" s="223"/>
      <c r="E14716" s="223"/>
      <c r="F14716" s="223">
        <v>2025</v>
      </c>
      <c r="G14716" s="223"/>
      <c r="H14716" s="223" t="s">
        <v>954</v>
      </c>
      <c r="I14716" s="226"/>
      <c r="J14716" s="223"/>
      <c r="K14716" s="223"/>
      <c r="L14716" s="223"/>
      <c r="M14716" s="223"/>
      <c r="N14716" s="223"/>
      <c r="O14716" s="223"/>
      <c r="P14716" s="223"/>
      <c r="Q14716" s="224"/>
    </row>
    <row r="14717" spans="1:17">
      <c r="A14717" s="221"/>
      <c r="B14717" s="222"/>
      <c r="C14717" s="223"/>
      <c r="D14717" s="223"/>
      <c r="E14717" s="223"/>
      <c r="F14717" s="223">
        <v>2025</v>
      </c>
      <c r="G14717" s="223"/>
      <c r="H14717" s="223" t="s">
        <v>16</v>
      </c>
      <c r="I14717" s="226"/>
      <c r="J14717" s="223"/>
      <c r="K14717" s="223"/>
      <c r="L14717" s="223"/>
      <c r="M14717" s="223"/>
      <c r="N14717" s="223"/>
      <c r="O14717" s="223"/>
      <c r="P14717" s="223"/>
      <c r="Q14717" s="224"/>
    </row>
    <row r="14718" spans="1:17">
      <c r="A14718" s="221"/>
      <c r="B14718" s="222"/>
      <c r="C14718" s="223"/>
      <c r="D14718" s="223"/>
      <c r="E14718" s="223"/>
      <c r="F14718" s="223">
        <v>2025</v>
      </c>
      <c r="G14718" s="223"/>
      <c r="H14718" s="223" t="s">
        <v>16</v>
      </c>
      <c r="I14718" s="226"/>
      <c r="J14718" s="223"/>
      <c r="K14718" s="223"/>
      <c r="L14718" s="223"/>
      <c r="M14718" s="223"/>
      <c r="N14718" s="223"/>
      <c r="O14718" s="223"/>
      <c r="P14718" s="223"/>
      <c r="Q14718" s="224"/>
    </row>
    <row r="14719" spans="1:17">
      <c r="A14719" s="221"/>
      <c r="B14719" s="222"/>
      <c r="C14719" s="223"/>
      <c r="D14719" s="223"/>
      <c r="E14719" s="223"/>
      <c r="F14719" s="223">
        <v>2025</v>
      </c>
      <c r="G14719" s="223"/>
      <c r="H14719" s="223" t="s">
        <v>954</v>
      </c>
      <c r="I14719" s="226"/>
      <c r="J14719" s="223"/>
      <c r="K14719" s="223"/>
      <c r="L14719" s="223"/>
      <c r="M14719" s="223"/>
      <c r="N14719" s="223"/>
      <c r="O14719" s="223"/>
      <c r="P14719" s="223"/>
      <c r="Q14719" s="224"/>
    </row>
    <row r="14720" spans="1:17">
      <c r="A14720" s="221"/>
      <c r="B14720" s="222"/>
      <c r="C14720" s="223"/>
      <c r="D14720" s="223"/>
      <c r="E14720" s="223"/>
      <c r="F14720" s="223">
        <v>2025</v>
      </c>
      <c r="G14720" s="223"/>
      <c r="H14720" s="223" t="s">
        <v>57</v>
      </c>
      <c r="I14720" s="226"/>
      <c r="J14720" s="223"/>
      <c r="K14720" s="223"/>
      <c r="L14720" s="223"/>
      <c r="M14720" s="223"/>
      <c r="N14720" s="223"/>
      <c r="O14720" s="223"/>
      <c r="P14720" s="223"/>
      <c r="Q14720" s="224"/>
    </row>
    <row r="14721" spans="1:17">
      <c r="A14721" s="221"/>
      <c r="B14721" s="222"/>
      <c r="C14721" s="223"/>
      <c r="D14721" s="223"/>
      <c r="E14721" s="223"/>
      <c r="F14721" s="223">
        <v>2025</v>
      </c>
      <c r="G14721" s="223"/>
      <c r="H14721" s="223" t="s">
        <v>57</v>
      </c>
      <c r="I14721" s="226"/>
      <c r="J14721" s="223"/>
      <c r="K14721" s="223"/>
      <c r="L14721" s="223"/>
      <c r="M14721" s="223"/>
      <c r="N14721" s="223"/>
      <c r="O14721" s="223"/>
      <c r="P14721" s="223"/>
      <c r="Q14721" s="224"/>
    </row>
    <row r="14722" spans="1:17">
      <c r="A14722" s="221"/>
      <c r="B14722" s="222"/>
      <c r="C14722" s="223"/>
      <c r="D14722" s="223"/>
      <c r="E14722" s="223"/>
      <c r="F14722" s="223">
        <v>2025</v>
      </c>
      <c r="G14722" s="223"/>
      <c r="H14722" s="223" t="s">
        <v>955</v>
      </c>
      <c r="I14722" s="226"/>
      <c r="J14722" s="223"/>
      <c r="K14722" s="223"/>
      <c r="L14722" s="223"/>
      <c r="M14722" s="223"/>
      <c r="N14722" s="223"/>
      <c r="O14722" s="223"/>
      <c r="P14722" s="223"/>
      <c r="Q14722" s="224"/>
    </row>
    <row r="14723" spans="1:17">
      <c r="A14723" s="221"/>
      <c r="B14723" s="222"/>
      <c r="C14723" s="223"/>
      <c r="D14723" s="223"/>
      <c r="E14723" s="223"/>
      <c r="F14723" s="223">
        <v>2025</v>
      </c>
      <c r="G14723" s="223"/>
      <c r="H14723" s="223" t="s">
        <v>132</v>
      </c>
      <c r="I14723" s="226"/>
      <c r="J14723" s="223"/>
      <c r="K14723" s="223"/>
      <c r="L14723" s="223"/>
      <c r="M14723" s="223"/>
      <c r="N14723" s="223"/>
      <c r="O14723" s="223"/>
      <c r="P14723" s="223"/>
      <c r="Q14723" s="224"/>
    </row>
    <row r="14724" spans="1:17">
      <c r="A14724" s="221"/>
      <c r="B14724" s="222"/>
      <c r="C14724" s="223"/>
      <c r="D14724" s="223"/>
      <c r="E14724" s="223"/>
      <c r="F14724" s="223">
        <v>2025</v>
      </c>
      <c r="G14724" s="223"/>
      <c r="H14724" s="223" t="s">
        <v>16</v>
      </c>
      <c r="I14724" s="226"/>
      <c r="J14724" s="223"/>
      <c r="K14724" s="223"/>
      <c r="L14724" s="223"/>
      <c r="M14724" s="223"/>
      <c r="N14724" s="223"/>
      <c r="O14724" s="223"/>
      <c r="P14724" s="223"/>
      <c r="Q14724" s="224"/>
    </row>
    <row r="14725" spans="1:17">
      <c r="A14725" s="221"/>
      <c r="B14725" s="222"/>
      <c r="C14725" s="223"/>
      <c r="D14725" s="223"/>
      <c r="E14725" s="223"/>
      <c r="F14725" s="223">
        <v>2025</v>
      </c>
      <c r="G14725" s="223"/>
      <c r="H14725" s="223" t="s">
        <v>16</v>
      </c>
      <c r="I14725" s="226"/>
      <c r="J14725" s="223"/>
      <c r="K14725" s="223"/>
      <c r="L14725" s="223"/>
      <c r="M14725" s="223"/>
      <c r="N14725" s="223"/>
      <c r="O14725" s="223"/>
      <c r="P14725" s="223"/>
      <c r="Q14725" s="224"/>
    </row>
    <row r="14726" spans="1:17">
      <c r="A14726" s="221"/>
      <c r="B14726" s="222"/>
      <c r="C14726" s="223"/>
      <c r="D14726" s="223"/>
      <c r="E14726" s="223"/>
      <c r="F14726" s="223">
        <v>2025</v>
      </c>
      <c r="G14726" s="223"/>
      <c r="H14726" s="223" t="s">
        <v>16</v>
      </c>
      <c r="I14726" s="226"/>
      <c r="J14726" s="223"/>
      <c r="K14726" s="223"/>
      <c r="L14726" s="223"/>
      <c r="M14726" s="223"/>
      <c r="N14726" s="223"/>
      <c r="O14726" s="223"/>
      <c r="P14726" s="223"/>
      <c r="Q14726" s="224"/>
    </row>
    <row r="14727" spans="1:17">
      <c r="A14727" s="221"/>
      <c r="B14727" s="222"/>
      <c r="C14727" s="223"/>
      <c r="D14727" s="223"/>
      <c r="E14727" s="223"/>
      <c r="F14727" s="223">
        <v>2025</v>
      </c>
      <c r="G14727" s="223"/>
      <c r="H14727" s="223" t="s">
        <v>954</v>
      </c>
      <c r="I14727" s="226"/>
      <c r="J14727" s="223"/>
      <c r="K14727" s="223"/>
      <c r="L14727" s="223"/>
      <c r="M14727" s="223"/>
      <c r="N14727" s="223"/>
      <c r="O14727" s="223"/>
      <c r="P14727" s="223"/>
      <c r="Q14727" s="224"/>
    </row>
    <row r="14728" spans="1:17">
      <c r="A14728" s="221"/>
      <c r="B14728" s="222"/>
      <c r="C14728" s="223"/>
      <c r="D14728" s="223"/>
      <c r="E14728" s="223"/>
      <c r="F14728" s="223">
        <v>2025</v>
      </c>
      <c r="G14728" s="223"/>
      <c r="H14728" s="223" t="s">
        <v>57</v>
      </c>
      <c r="I14728" s="226"/>
      <c r="J14728" s="223"/>
      <c r="K14728" s="223"/>
      <c r="L14728" s="223"/>
      <c r="M14728" s="223"/>
      <c r="N14728" s="223"/>
      <c r="O14728" s="223"/>
      <c r="P14728" s="223"/>
      <c r="Q14728" s="224"/>
    </row>
    <row r="14729" spans="1:17">
      <c r="A14729" s="221"/>
      <c r="B14729" s="222"/>
      <c r="C14729" s="223"/>
      <c r="D14729" s="223"/>
      <c r="E14729" s="223"/>
      <c r="F14729" s="223">
        <v>2025</v>
      </c>
      <c r="G14729" s="223"/>
      <c r="H14729" s="223" t="s">
        <v>57</v>
      </c>
      <c r="I14729" s="226"/>
      <c r="J14729" s="223"/>
      <c r="K14729" s="223"/>
      <c r="L14729" s="223"/>
      <c r="M14729" s="223"/>
      <c r="N14729" s="223"/>
      <c r="O14729" s="223"/>
      <c r="P14729" s="223"/>
      <c r="Q14729" s="224"/>
    </row>
    <row r="14730" spans="1:17">
      <c r="A14730" s="221"/>
      <c r="B14730" s="222"/>
      <c r="C14730" s="223"/>
      <c r="D14730" s="223"/>
      <c r="E14730" s="223"/>
      <c r="F14730" s="223">
        <v>2025</v>
      </c>
      <c r="G14730" s="223"/>
      <c r="H14730" s="223" t="s">
        <v>57</v>
      </c>
      <c r="I14730" s="226"/>
      <c r="J14730" s="223"/>
      <c r="K14730" s="223"/>
      <c r="L14730" s="223"/>
      <c r="M14730" s="223"/>
      <c r="N14730" s="223"/>
      <c r="O14730" s="223"/>
      <c r="P14730" s="223"/>
      <c r="Q14730" s="224"/>
    </row>
    <row r="14731" spans="1:17">
      <c r="A14731" s="221"/>
      <c r="B14731" s="222"/>
      <c r="C14731" s="223"/>
      <c r="D14731" s="223"/>
      <c r="E14731" s="223"/>
      <c r="F14731" s="223">
        <v>2025</v>
      </c>
      <c r="G14731" s="223"/>
      <c r="H14731" s="223" t="s">
        <v>57</v>
      </c>
      <c r="I14731" s="226"/>
      <c r="J14731" s="223"/>
      <c r="K14731" s="223"/>
      <c r="L14731" s="223"/>
      <c r="M14731" s="223"/>
      <c r="N14731" s="223"/>
      <c r="O14731" s="223"/>
      <c r="P14731" s="223"/>
      <c r="Q14731" s="224"/>
    </row>
    <row r="14732" spans="1:17">
      <c r="A14732" s="221"/>
      <c r="B14732" s="222"/>
      <c r="C14732" s="223"/>
      <c r="D14732" s="223"/>
      <c r="E14732" s="223"/>
      <c r="F14732" s="223">
        <v>2025</v>
      </c>
      <c r="G14732" s="223"/>
      <c r="H14732" s="223" t="s">
        <v>956</v>
      </c>
      <c r="I14732" s="226"/>
      <c r="J14732" s="223"/>
      <c r="K14732" s="223"/>
      <c r="L14732" s="223"/>
      <c r="M14732" s="223"/>
      <c r="N14732" s="223"/>
      <c r="O14732" s="223"/>
      <c r="P14732" s="223"/>
      <c r="Q14732" s="224"/>
    </row>
    <row r="14733" spans="1:17">
      <c r="A14733" s="221"/>
      <c r="B14733" s="222"/>
      <c r="C14733" s="223"/>
      <c r="D14733" s="223"/>
      <c r="E14733" s="223"/>
      <c r="F14733" s="223">
        <v>2025</v>
      </c>
      <c r="G14733" s="223"/>
      <c r="H14733" s="223" t="s">
        <v>956</v>
      </c>
      <c r="I14733" s="226"/>
      <c r="J14733" s="223"/>
      <c r="K14733" s="223"/>
      <c r="L14733" s="223"/>
      <c r="M14733" s="223"/>
      <c r="N14733" s="223"/>
      <c r="O14733" s="223"/>
      <c r="P14733" s="223"/>
      <c r="Q14733" s="224"/>
    </row>
    <row r="14734" spans="1:17">
      <c r="A14734" s="221"/>
      <c r="B14734" s="222"/>
      <c r="C14734" s="223"/>
      <c r="D14734" s="223"/>
      <c r="E14734" s="223"/>
      <c r="F14734" s="223">
        <v>2025</v>
      </c>
      <c r="G14734" s="223"/>
      <c r="H14734" s="223" t="s">
        <v>8</v>
      </c>
      <c r="I14734" s="226"/>
      <c r="J14734" s="223"/>
      <c r="K14734" s="223"/>
      <c r="L14734" s="223"/>
      <c r="M14734" s="223"/>
      <c r="N14734" s="223"/>
      <c r="O14734" s="223"/>
      <c r="P14734" s="223"/>
      <c r="Q14734" s="224"/>
    </row>
    <row r="14735" spans="1:17">
      <c r="A14735" s="221"/>
      <c r="B14735" s="222"/>
      <c r="C14735" s="223"/>
      <c r="D14735" s="223"/>
      <c r="E14735" s="223"/>
      <c r="F14735" s="223">
        <v>2025</v>
      </c>
      <c r="G14735" s="223"/>
      <c r="H14735" s="223" t="s">
        <v>955</v>
      </c>
      <c r="I14735" s="226"/>
      <c r="J14735" s="223"/>
      <c r="K14735" s="223"/>
      <c r="L14735" s="223"/>
      <c r="M14735" s="223"/>
      <c r="N14735" s="223"/>
      <c r="O14735" s="223"/>
      <c r="P14735" s="223"/>
      <c r="Q14735" s="224"/>
    </row>
    <row r="14736" spans="1:17">
      <c r="A14736" s="221"/>
      <c r="B14736" s="222"/>
      <c r="C14736" s="223"/>
      <c r="D14736" s="223"/>
      <c r="E14736" s="223"/>
      <c r="F14736" s="223">
        <v>2025</v>
      </c>
      <c r="G14736" s="223"/>
      <c r="H14736" s="223" t="s">
        <v>957</v>
      </c>
      <c r="I14736" s="226"/>
      <c r="J14736" s="223"/>
      <c r="K14736" s="223"/>
      <c r="L14736" s="223"/>
      <c r="M14736" s="223"/>
      <c r="N14736" s="223"/>
      <c r="O14736" s="223"/>
      <c r="P14736" s="223"/>
      <c r="Q14736" s="224"/>
    </row>
    <row r="14737" spans="1:17">
      <c r="A14737" s="221"/>
      <c r="B14737" s="222"/>
      <c r="C14737" s="223"/>
      <c r="D14737" s="223"/>
      <c r="E14737" s="223"/>
      <c r="F14737" s="223">
        <v>2025</v>
      </c>
      <c r="G14737" s="223"/>
      <c r="H14737" s="223" t="s">
        <v>204</v>
      </c>
      <c r="I14737" s="226"/>
      <c r="J14737" s="223"/>
      <c r="K14737" s="223"/>
      <c r="L14737" s="223"/>
      <c r="M14737" s="223"/>
      <c r="N14737" s="223"/>
      <c r="O14737" s="223"/>
      <c r="P14737" s="223"/>
      <c r="Q14737" s="224"/>
    </row>
    <row r="14738" spans="1:17">
      <c r="A14738" s="221"/>
      <c r="B14738" s="222"/>
      <c r="C14738" s="223"/>
      <c r="D14738" s="223"/>
      <c r="E14738" s="223"/>
      <c r="F14738" s="223">
        <v>2025</v>
      </c>
      <c r="G14738" s="223"/>
      <c r="H14738" s="223" t="s">
        <v>132</v>
      </c>
      <c r="I14738" s="226"/>
      <c r="J14738" s="223"/>
      <c r="K14738" s="223"/>
      <c r="L14738" s="223"/>
      <c r="M14738" s="223"/>
      <c r="N14738" s="223"/>
      <c r="O14738" s="223"/>
      <c r="P14738" s="223"/>
      <c r="Q14738" s="224"/>
    </row>
    <row r="14739" spans="1:17">
      <c r="A14739" s="221"/>
      <c r="B14739" s="222"/>
      <c r="C14739" s="223"/>
      <c r="D14739" s="223"/>
      <c r="E14739" s="223"/>
      <c r="F14739" s="223">
        <v>2025</v>
      </c>
      <c r="G14739" s="223"/>
      <c r="H14739" s="223" t="s">
        <v>132</v>
      </c>
      <c r="I14739" s="226"/>
      <c r="J14739" s="223"/>
      <c r="K14739" s="223"/>
      <c r="L14739" s="223"/>
      <c r="M14739" s="223"/>
      <c r="N14739" s="223"/>
      <c r="O14739" s="223"/>
      <c r="P14739" s="223"/>
      <c r="Q14739" s="224"/>
    </row>
    <row r="14740" spans="1:17">
      <c r="A14740" s="221"/>
      <c r="B14740" s="222"/>
      <c r="C14740" s="223"/>
      <c r="D14740" s="223"/>
      <c r="E14740" s="223"/>
      <c r="F14740" s="223">
        <v>2025</v>
      </c>
      <c r="G14740" s="223"/>
      <c r="H14740" s="223" t="s">
        <v>16</v>
      </c>
      <c r="I14740" s="226"/>
      <c r="J14740" s="223"/>
      <c r="K14740" s="223"/>
      <c r="L14740" s="223"/>
      <c r="M14740" s="223"/>
      <c r="N14740" s="223"/>
      <c r="O14740" s="223"/>
      <c r="P14740" s="223"/>
      <c r="Q14740" s="224"/>
    </row>
    <row r="14741" spans="1:17">
      <c r="A14741" s="221"/>
      <c r="B14741" s="222"/>
      <c r="C14741" s="223"/>
      <c r="D14741" s="223"/>
      <c r="E14741" s="223"/>
      <c r="F14741" s="223">
        <v>2025</v>
      </c>
      <c r="G14741" s="223"/>
      <c r="H14741" s="223" t="s">
        <v>16</v>
      </c>
      <c r="I14741" s="226"/>
      <c r="J14741" s="223"/>
      <c r="K14741" s="223"/>
      <c r="L14741" s="223"/>
      <c r="M14741" s="223"/>
      <c r="N14741" s="223"/>
      <c r="O14741" s="223"/>
      <c r="P14741" s="223"/>
      <c r="Q14741" s="224"/>
    </row>
    <row r="14742" spans="1:17">
      <c r="A14742" s="221"/>
      <c r="B14742" s="222"/>
      <c r="C14742" s="223"/>
      <c r="D14742" s="223"/>
      <c r="E14742" s="223"/>
      <c r="F14742" s="223">
        <v>2025</v>
      </c>
      <c r="G14742" s="223"/>
      <c r="H14742" s="223" t="s">
        <v>16</v>
      </c>
      <c r="I14742" s="226"/>
      <c r="J14742" s="223"/>
      <c r="K14742" s="223"/>
      <c r="L14742" s="223"/>
      <c r="M14742" s="223"/>
      <c r="N14742" s="223"/>
      <c r="O14742" s="223"/>
      <c r="P14742" s="223"/>
      <c r="Q14742" s="224"/>
    </row>
    <row r="14743" spans="1:17">
      <c r="A14743" s="221"/>
      <c r="B14743" s="222"/>
      <c r="C14743" s="223"/>
      <c r="D14743" s="223"/>
      <c r="E14743" s="223"/>
      <c r="F14743" s="223">
        <v>2025</v>
      </c>
      <c r="G14743" s="223"/>
      <c r="H14743" s="223" t="s">
        <v>954</v>
      </c>
      <c r="I14743" s="226"/>
      <c r="J14743" s="223"/>
      <c r="K14743" s="223"/>
      <c r="L14743" s="223"/>
      <c r="M14743" s="223"/>
      <c r="N14743" s="223"/>
      <c r="O14743" s="223"/>
      <c r="P14743" s="223"/>
      <c r="Q14743" s="224"/>
    </row>
    <row r="14744" spans="1:17">
      <c r="A14744" s="221"/>
      <c r="B14744" s="222"/>
      <c r="C14744" s="223"/>
      <c r="D14744" s="223"/>
      <c r="E14744" s="223"/>
      <c r="F14744" s="223">
        <v>2025</v>
      </c>
      <c r="G14744" s="223"/>
      <c r="H14744" s="223" t="s">
        <v>57</v>
      </c>
      <c r="I14744" s="226"/>
      <c r="J14744" s="223"/>
      <c r="K14744" s="223"/>
      <c r="L14744" s="223"/>
      <c r="M14744" s="223"/>
      <c r="N14744" s="223"/>
      <c r="O14744" s="223"/>
      <c r="P14744" s="223"/>
      <c r="Q14744" s="224"/>
    </row>
    <row r="14745" spans="1:17">
      <c r="A14745" s="221"/>
      <c r="B14745" s="222"/>
      <c r="C14745" s="223"/>
      <c r="D14745" s="223"/>
      <c r="E14745" s="223"/>
      <c r="F14745" s="223">
        <v>2025</v>
      </c>
      <c r="G14745" s="223"/>
      <c r="H14745" s="223" t="s">
        <v>57</v>
      </c>
      <c r="I14745" s="226"/>
      <c r="J14745" s="223"/>
      <c r="K14745" s="223"/>
      <c r="L14745" s="223"/>
      <c r="M14745" s="223"/>
      <c r="N14745" s="223"/>
      <c r="O14745" s="223"/>
      <c r="P14745" s="223"/>
      <c r="Q14745" s="224"/>
    </row>
    <row r="14746" spans="1:17">
      <c r="A14746" s="221"/>
      <c r="B14746" s="222"/>
      <c r="C14746" s="223"/>
      <c r="D14746" s="223"/>
      <c r="E14746" s="223"/>
      <c r="F14746" s="223">
        <v>2025</v>
      </c>
      <c r="G14746" s="223"/>
      <c r="H14746" s="223" t="s">
        <v>57</v>
      </c>
      <c r="I14746" s="226"/>
      <c r="J14746" s="223"/>
      <c r="K14746" s="223"/>
      <c r="L14746" s="223"/>
      <c r="M14746" s="223"/>
      <c r="N14746" s="223"/>
      <c r="O14746" s="223"/>
      <c r="P14746" s="223"/>
      <c r="Q14746" s="224"/>
    </row>
    <row r="14747" spans="1:17">
      <c r="A14747" s="221"/>
      <c r="B14747" s="222"/>
      <c r="C14747" s="223"/>
      <c r="D14747" s="223"/>
      <c r="E14747" s="223"/>
      <c r="F14747" s="223">
        <v>2025</v>
      </c>
      <c r="G14747" s="223"/>
      <c r="H14747" s="223" t="s">
        <v>57</v>
      </c>
      <c r="I14747" s="226"/>
      <c r="J14747" s="223"/>
      <c r="K14747" s="223"/>
      <c r="L14747" s="223"/>
      <c r="M14747" s="223"/>
      <c r="N14747" s="223"/>
      <c r="O14747" s="223"/>
      <c r="P14747" s="223"/>
      <c r="Q14747" s="224"/>
    </row>
    <row r="14748" spans="1:17">
      <c r="A14748" s="221"/>
      <c r="B14748" s="222"/>
      <c r="C14748" s="223"/>
      <c r="D14748" s="223"/>
      <c r="E14748" s="223"/>
      <c r="F14748" s="223">
        <v>2025</v>
      </c>
      <c r="G14748" s="223"/>
      <c r="H14748" s="223" t="s">
        <v>956</v>
      </c>
      <c r="I14748" s="226"/>
      <c r="J14748" s="223"/>
      <c r="K14748" s="223"/>
      <c r="L14748" s="223"/>
      <c r="M14748" s="223"/>
      <c r="N14748" s="223"/>
      <c r="O14748" s="223"/>
      <c r="P14748" s="223"/>
      <c r="Q14748" s="224"/>
    </row>
    <row r="14749" spans="1:17">
      <c r="A14749" s="221"/>
      <c r="B14749" s="222"/>
      <c r="C14749" s="223"/>
      <c r="D14749" s="223"/>
      <c r="E14749" s="223"/>
      <c r="F14749" s="223">
        <v>2025</v>
      </c>
      <c r="G14749" s="223"/>
      <c r="H14749" s="223" t="s">
        <v>956</v>
      </c>
      <c r="I14749" s="226"/>
      <c r="J14749" s="223"/>
      <c r="K14749" s="223"/>
      <c r="L14749" s="223"/>
      <c r="M14749" s="223"/>
      <c r="N14749" s="223"/>
      <c r="O14749" s="223"/>
      <c r="P14749" s="223"/>
      <c r="Q14749" s="224"/>
    </row>
    <row r="14750" spans="1:17">
      <c r="A14750" s="221"/>
      <c r="B14750" s="222"/>
      <c r="C14750" s="223"/>
      <c r="D14750" s="223"/>
      <c r="E14750" s="223"/>
      <c r="F14750" s="223">
        <v>2025</v>
      </c>
      <c r="G14750" s="223"/>
      <c r="H14750" s="223" t="s">
        <v>8</v>
      </c>
      <c r="I14750" s="226"/>
      <c r="J14750" s="223"/>
      <c r="K14750" s="223"/>
      <c r="L14750" s="223"/>
      <c r="M14750" s="223"/>
      <c r="N14750" s="223"/>
      <c r="O14750" s="223"/>
      <c r="P14750" s="223"/>
      <c r="Q14750" s="224"/>
    </row>
    <row r="14751" spans="1:17">
      <c r="A14751" s="221"/>
      <c r="B14751" s="222"/>
      <c r="C14751" s="223"/>
      <c r="D14751" s="223"/>
      <c r="E14751" s="223"/>
      <c r="F14751" s="223">
        <v>2025</v>
      </c>
      <c r="G14751" s="223"/>
      <c r="H14751" s="223" t="s">
        <v>955</v>
      </c>
      <c r="I14751" s="226"/>
      <c r="J14751" s="223"/>
      <c r="K14751" s="223"/>
      <c r="L14751" s="223"/>
      <c r="M14751" s="223"/>
      <c r="N14751" s="223"/>
      <c r="O14751" s="223"/>
      <c r="P14751" s="223"/>
      <c r="Q14751" s="224"/>
    </row>
    <row r="14752" spans="1:17">
      <c r="A14752" s="221"/>
      <c r="B14752" s="222"/>
      <c r="C14752" s="223"/>
      <c r="D14752" s="223"/>
      <c r="E14752" s="223"/>
      <c r="F14752" s="223">
        <v>2025</v>
      </c>
      <c r="G14752" s="223"/>
      <c r="H14752" s="223" t="s">
        <v>61</v>
      </c>
      <c r="I14752" s="226"/>
      <c r="J14752" s="223"/>
      <c r="K14752" s="223"/>
      <c r="L14752" s="223"/>
      <c r="M14752" s="223"/>
      <c r="N14752" s="223"/>
      <c r="O14752" s="223"/>
      <c r="P14752" s="223"/>
      <c r="Q14752" s="224"/>
    </row>
    <row r="14753" spans="1:17">
      <c r="A14753" s="221"/>
      <c r="B14753" s="222"/>
      <c r="C14753" s="223"/>
      <c r="D14753" s="223"/>
      <c r="E14753" s="223"/>
      <c r="F14753" s="223">
        <v>2025</v>
      </c>
      <c r="G14753" s="223"/>
      <c r="H14753" s="223" t="s">
        <v>957</v>
      </c>
      <c r="I14753" s="226"/>
      <c r="J14753" s="223"/>
      <c r="K14753" s="223"/>
      <c r="L14753" s="223"/>
      <c r="M14753" s="223"/>
      <c r="N14753" s="223"/>
      <c r="O14753" s="223"/>
      <c r="P14753" s="223"/>
      <c r="Q14753" s="224"/>
    </row>
    <row r="14754" spans="1:17">
      <c r="A14754" s="221"/>
      <c r="B14754" s="222"/>
      <c r="C14754" s="223"/>
      <c r="D14754" s="223"/>
      <c r="E14754" s="223"/>
      <c r="F14754" s="223">
        <v>2025</v>
      </c>
      <c r="G14754" s="223"/>
      <c r="H14754" s="223" t="s">
        <v>958</v>
      </c>
      <c r="I14754" s="226"/>
      <c r="J14754" s="223"/>
      <c r="K14754" s="223"/>
      <c r="L14754" s="223"/>
      <c r="M14754" s="223"/>
      <c r="N14754" s="223"/>
      <c r="O14754" s="223"/>
      <c r="P14754" s="223"/>
      <c r="Q14754" s="224"/>
    </row>
    <row r="14755" spans="1:17">
      <c r="A14755" s="221"/>
      <c r="B14755" s="222"/>
      <c r="C14755" s="223"/>
      <c r="D14755" s="223"/>
      <c r="E14755" s="223"/>
      <c r="F14755" s="223">
        <v>2025</v>
      </c>
      <c r="G14755" s="223"/>
      <c r="H14755" s="223" t="s">
        <v>204</v>
      </c>
      <c r="I14755" s="226"/>
      <c r="J14755" s="223"/>
      <c r="K14755" s="223"/>
      <c r="L14755" s="223"/>
      <c r="M14755" s="223"/>
      <c r="N14755" s="223"/>
      <c r="O14755" s="223"/>
      <c r="P14755" s="223"/>
      <c r="Q14755" s="224"/>
    </row>
    <row r="14756" spans="1:17">
      <c r="A14756" s="221"/>
      <c r="B14756" s="222"/>
      <c r="C14756" s="223"/>
      <c r="D14756" s="223"/>
      <c r="E14756" s="223"/>
      <c r="F14756" s="223">
        <v>2025</v>
      </c>
      <c r="G14756" s="223"/>
      <c r="H14756" s="223" t="s">
        <v>132</v>
      </c>
      <c r="I14756" s="226"/>
      <c r="J14756" s="223"/>
      <c r="K14756" s="223"/>
      <c r="L14756" s="223"/>
      <c r="M14756" s="223"/>
      <c r="N14756" s="223"/>
      <c r="O14756" s="223"/>
      <c r="P14756" s="223"/>
      <c r="Q14756" s="224"/>
    </row>
    <row r="14757" spans="1:17">
      <c r="A14757" s="221"/>
      <c r="B14757" s="222"/>
      <c r="C14757" s="223"/>
      <c r="D14757" s="223"/>
      <c r="E14757" s="223"/>
      <c r="F14757" s="223">
        <v>2025</v>
      </c>
      <c r="G14757" s="223"/>
      <c r="H14757" s="223" t="s">
        <v>132</v>
      </c>
      <c r="I14757" s="226"/>
      <c r="J14757" s="223"/>
      <c r="K14757" s="223"/>
      <c r="L14757" s="223"/>
      <c r="M14757" s="223"/>
      <c r="N14757" s="223"/>
      <c r="O14757" s="223"/>
      <c r="P14757" s="223"/>
      <c r="Q14757" s="224"/>
    </row>
    <row r="14758" spans="1:17">
      <c r="A14758" s="221"/>
      <c r="B14758" s="222"/>
      <c r="C14758" s="223"/>
      <c r="D14758" s="223"/>
      <c r="E14758" s="223"/>
      <c r="F14758" s="223">
        <v>2025</v>
      </c>
      <c r="G14758" s="223"/>
      <c r="H14758" s="223" t="s">
        <v>16</v>
      </c>
      <c r="I14758" s="226"/>
      <c r="J14758" s="223"/>
      <c r="K14758" s="223"/>
      <c r="L14758" s="223"/>
      <c r="M14758" s="223"/>
      <c r="N14758" s="223"/>
      <c r="O14758" s="223"/>
      <c r="P14758" s="223"/>
      <c r="Q14758" s="224"/>
    </row>
    <row r="14759" spans="1:17">
      <c r="A14759" s="221"/>
      <c r="B14759" s="222"/>
      <c r="C14759" s="223"/>
      <c r="D14759" s="223"/>
      <c r="E14759" s="223"/>
      <c r="F14759" s="223">
        <v>2025</v>
      </c>
      <c r="G14759" s="223"/>
      <c r="H14759" s="223" t="s">
        <v>16</v>
      </c>
      <c r="I14759" s="226"/>
      <c r="J14759" s="223"/>
      <c r="K14759" s="223"/>
      <c r="L14759" s="223"/>
      <c r="M14759" s="223"/>
      <c r="N14759" s="223"/>
      <c r="O14759" s="223"/>
      <c r="P14759" s="223"/>
      <c r="Q14759" s="224"/>
    </row>
    <row r="14760" spans="1:17">
      <c r="A14760" s="221"/>
      <c r="B14760" s="222"/>
      <c r="C14760" s="223"/>
      <c r="D14760" s="223"/>
      <c r="E14760" s="223"/>
      <c r="F14760" s="223">
        <v>2025</v>
      </c>
      <c r="G14760" s="223"/>
      <c r="H14760" s="223" t="s">
        <v>954</v>
      </c>
      <c r="I14760" s="226"/>
      <c r="J14760" s="223"/>
      <c r="K14760" s="223"/>
      <c r="L14760" s="223"/>
      <c r="M14760" s="223"/>
      <c r="N14760" s="223"/>
      <c r="O14760" s="223"/>
      <c r="P14760" s="223"/>
      <c r="Q14760" s="224"/>
    </row>
    <row r="14761" spans="1:17">
      <c r="A14761" s="221"/>
      <c r="B14761" s="222"/>
      <c r="C14761" s="223"/>
      <c r="D14761" s="223"/>
      <c r="E14761" s="223"/>
      <c r="F14761" s="223">
        <v>2025</v>
      </c>
      <c r="G14761" s="223"/>
      <c r="H14761" s="223" t="s">
        <v>57</v>
      </c>
      <c r="I14761" s="226"/>
      <c r="J14761" s="223"/>
      <c r="K14761" s="223"/>
      <c r="L14761" s="223"/>
      <c r="M14761" s="223"/>
      <c r="N14761" s="223"/>
      <c r="O14761" s="223"/>
      <c r="P14761" s="223"/>
      <c r="Q14761" s="224"/>
    </row>
    <row r="14762" spans="1:17">
      <c r="A14762" s="221"/>
      <c r="B14762" s="222"/>
      <c r="C14762" s="223"/>
      <c r="D14762" s="223"/>
      <c r="E14762" s="223"/>
      <c r="F14762" s="223">
        <v>2025</v>
      </c>
      <c r="G14762" s="223"/>
      <c r="H14762" s="223" t="s">
        <v>57</v>
      </c>
      <c r="I14762" s="226"/>
      <c r="J14762" s="223"/>
      <c r="K14762" s="223"/>
      <c r="L14762" s="223"/>
      <c r="M14762" s="223"/>
      <c r="N14762" s="223"/>
      <c r="O14762" s="223"/>
      <c r="P14762" s="223"/>
      <c r="Q14762" s="224"/>
    </row>
    <row r="14763" spans="1:17">
      <c r="A14763" s="221"/>
      <c r="B14763" s="222"/>
      <c r="C14763" s="223"/>
      <c r="D14763" s="223"/>
      <c r="E14763" s="223"/>
      <c r="F14763" s="223">
        <v>2025</v>
      </c>
      <c r="G14763" s="223"/>
      <c r="H14763" s="223" t="s">
        <v>57</v>
      </c>
      <c r="I14763" s="226"/>
      <c r="J14763" s="223"/>
      <c r="K14763" s="223"/>
      <c r="L14763" s="223"/>
      <c r="M14763" s="223"/>
      <c r="N14763" s="223"/>
      <c r="O14763" s="223"/>
      <c r="P14763" s="223"/>
      <c r="Q14763" s="224"/>
    </row>
    <row r="14764" spans="1:17">
      <c r="A14764" s="221"/>
      <c r="B14764" s="222"/>
      <c r="C14764" s="223"/>
      <c r="D14764" s="223"/>
      <c r="E14764" s="223"/>
      <c r="F14764" s="223">
        <v>2025</v>
      </c>
      <c r="G14764" s="223"/>
      <c r="H14764" s="223" t="s">
        <v>57</v>
      </c>
      <c r="I14764" s="226"/>
      <c r="J14764" s="223"/>
      <c r="K14764" s="223"/>
      <c r="L14764" s="223"/>
      <c r="M14764" s="223"/>
      <c r="N14764" s="223"/>
      <c r="O14764" s="223"/>
      <c r="P14764" s="223"/>
      <c r="Q14764" s="224"/>
    </row>
    <row r="14765" spans="1:17">
      <c r="A14765" s="221"/>
      <c r="B14765" s="222"/>
      <c r="C14765" s="223"/>
      <c r="D14765" s="223"/>
      <c r="E14765" s="223"/>
      <c r="F14765" s="223">
        <v>2025</v>
      </c>
      <c r="G14765" s="223"/>
      <c r="H14765" s="223" t="s">
        <v>57</v>
      </c>
      <c r="I14765" s="226"/>
      <c r="J14765" s="223"/>
      <c r="K14765" s="223"/>
      <c r="L14765" s="223"/>
      <c r="M14765" s="223"/>
      <c r="N14765" s="223"/>
      <c r="O14765" s="223"/>
      <c r="P14765" s="223"/>
      <c r="Q14765" s="224"/>
    </row>
    <row r="14766" spans="1:17">
      <c r="A14766" s="221"/>
      <c r="B14766" s="222"/>
      <c r="C14766" s="223"/>
      <c r="D14766" s="223"/>
      <c r="E14766" s="223"/>
      <c r="F14766" s="223">
        <v>2025</v>
      </c>
      <c r="G14766" s="223"/>
      <c r="H14766" s="223" t="s">
        <v>57</v>
      </c>
      <c r="I14766" s="226"/>
      <c r="J14766" s="223"/>
      <c r="K14766" s="223"/>
      <c r="L14766" s="223"/>
      <c r="M14766" s="223"/>
      <c r="N14766" s="223"/>
      <c r="O14766" s="223"/>
      <c r="P14766" s="223"/>
      <c r="Q14766" s="224"/>
    </row>
    <row r="14767" spans="1:17">
      <c r="A14767" s="221"/>
      <c r="B14767" s="222"/>
      <c r="C14767" s="223"/>
      <c r="D14767" s="223"/>
      <c r="E14767" s="223"/>
      <c r="F14767" s="223">
        <v>2025</v>
      </c>
      <c r="G14767" s="223"/>
      <c r="H14767" s="223" t="s">
        <v>956</v>
      </c>
      <c r="I14767" s="226"/>
      <c r="J14767" s="223"/>
      <c r="K14767" s="223"/>
      <c r="L14767" s="223"/>
      <c r="M14767" s="223"/>
      <c r="N14767" s="223"/>
      <c r="O14767" s="223"/>
      <c r="P14767" s="223"/>
      <c r="Q14767" s="224"/>
    </row>
    <row r="14768" spans="1:17">
      <c r="A14768" s="221"/>
      <c r="B14768" s="222"/>
      <c r="C14768" s="223"/>
      <c r="D14768" s="223"/>
      <c r="E14768" s="223"/>
      <c r="F14768" s="223">
        <v>2025</v>
      </c>
      <c r="G14768" s="223"/>
      <c r="H14768" s="223" t="s">
        <v>956</v>
      </c>
      <c r="I14768" s="226"/>
      <c r="J14768" s="223"/>
      <c r="K14768" s="223"/>
      <c r="L14768" s="223"/>
      <c r="M14768" s="223"/>
      <c r="N14768" s="223"/>
      <c r="O14768" s="223"/>
      <c r="P14768" s="223"/>
      <c r="Q14768" s="224"/>
    </row>
    <row r="14769" spans="1:17">
      <c r="A14769" s="221"/>
      <c r="B14769" s="222"/>
      <c r="C14769" s="223"/>
      <c r="D14769" s="223"/>
      <c r="E14769" s="223"/>
      <c r="F14769" s="223">
        <v>2025</v>
      </c>
      <c r="G14769" s="223"/>
      <c r="H14769" s="223" t="s">
        <v>8</v>
      </c>
      <c r="I14769" s="226"/>
      <c r="J14769" s="223"/>
      <c r="K14769" s="223"/>
      <c r="L14769" s="223"/>
      <c r="M14769" s="223"/>
      <c r="N14769" s="223"/>
      <c r="O14769" s="223"/>
      <c r="P14769" s="223"/>
      <c r="Q14769" s="224"/>
    </row>
    <row r="14770" spans="1:17">
      <c r="A14770" s="221"/>
      <c r="B14770" s="222"/>
      <c r="C14770" s="223"/>
      <c r="D14770" s="223"/>
      <c r="E14770" s="223"/>
      <c r="F14770" s="223">
        <v>2025</v>
      </c>
      <c r="G14770" s="223"/>
      <c r="H14770" s="223" t="s">
        <v>955</v>
      </c>
      <c r="I14770" s="226"/>
      <c r="J14770" s="223"/>
      <c r="K14770" s="223"/>
      <c r="L14770" s="223"/>
      <c r="M14770" s="223"/>
      <c r="N14770" s="223"/>
      <c r="O14770" s="223"/>
      <c r="P14770" s="223"/>
      <c r="Q14770" s="224"/>
    </row>
    <row r="14771" spans="1:17">
      <c r="A14771" s="221"/>
      <c r="B14771" s="222"/>
      <c r="C14771" s="223"/>
      <c r="D14771" s="223"/>
      <c r="E14771" s="223"/>
      <c r="F14771" s="223">
        <v>2025</v>
      </c>
      <c r="G14771" s="223"/>
      <c r="H14771" s="223" t="s">
        <v>61</v>
      </c>
      <c r="I14771" s="226"/>
      <c r="J14771" s="223"/>
      <c r="K14771" s="223"/>
      <c r="L14771" s="223"/>
      <c r="M14771" s="223"/>
      <c r="N14771" s="223"/>
      <c r="O14771" s="223"/>
      <c r="P14771" s="223"/>
      <c r="Q14771" s="224"/>
    </row>
    <row r="14772" spans="1:17">
      <c r="A14772" s="221"/>
      <c r="B14772" s="222"/>
      <c r="C14772" s="223"/>
      <c r="D14772" s="223"/>
      <c r="E14772" s="223"/>
      <c r="F14772" s="223">
        <v>2025</v>
      </c>
      <c r="G14772" s="223"/>
      <c r="H14772" s="223" t="s">
        <v>957</v>
      </c>
      <c r="I14772" s="226"/>
      <c r="J14772" s="223"/>
      <c r="K14772" s="223"/>
      <c r="L14772" s="223"/>
      <c r="M14772" s="223"/>
      <c r="N14772" s="223"/>
      <c r="O14772" s="223"/>
      <c r="P14772" s="223"/>
      <c r="Q14772" s="224"/>
    </row>
    <row r="14773" spans="1:17">
      <c r="A14773" s="221"/>
      <c r="B14773" s="222"/>
      <c r="C14773" s="223"/>
      <c r="D14773" s="223"/>
      <c r="E14773" s="223"/>
      <c r="F14773" s="223">
        <v>2025</v>
      </c>
      <c r="G14773" s="223"/>
      <c r="H14773" s="223" t="s">
        <v>958</v>
      </c>
      <c r="I14773" s="226"/>
      <c r="J14773" s="223"/>
      <c r="K14773" s="223"/>
      <c r="L14773" s="223"/>
      <c r="M14773" s="223"/>
      <c r="N14773" s="223"/>
      <c r="O14773" s="223"/>
      <c r="P14773" s="223"/>
      <c r="Q14773" s="224"/>
    </row>
    <row r="14774" spans="1:17">
      <c r="A14774" s="221"/>
      <c r="B14774" s="222"/>
      <c r="C14774" s="223"/>
      <c r="D14774" s="223"/>
      <c r="E14774" s="223"/>
      <c r="F14774" s="223">
        <v>2025</v>
      </c>
      <c r="G14774" s="223"/>
      <c r="H14774" s="223" t="s">
        <v>204</v>
      </c>
      <c r="I14774" s="226"/>
      <c r="J14774" s="223"/>
      <c r="K14774" s="223"/>
      <c r="L14774" s="223"/>
      <c r="M14774" s="223"/>
      <c r="N14774" s="223"/>
      <c r="O14774" s="223"/>
      <c r="P14774" s="223"/>
      <c r="Q14774" s="224"/>
    </row>
    <row r="14775" spans="1:17">
      <c r="A14775" s="221"/>
      <c r="B14775" s="222"/>
      <c r="C14775" s="223"/>
      <c r="D14775" s="223"/>
      <c r="E14775" s="223"/>
      <c r="F14775" s="223">
        <v>2025</v>
      </c>
      <c r="G14775" s="223"/>
      <c r="H14775" s="223" t="s">
        <v>132</v>
      </c>
      <c r="I14775" s="226"/>
      <c r="J14775" s="223"/>
      <c r="K14775" s="223"/>
      <c r="L14775" s="223"/>
      <c r="M14775" s="223"/>
      <c r="N14775" s="223"/>
      <c r="O14775" s="223"/>
      <c r="P14775" s="223"/>
      <c r="Q14775" s="224"/>
    </row>
    <row r="14776" spans="1:17">
      <c r="A14776" s="221"/>
      <c r="B14776" s="222"/>
      <c r="C14776" s="223"/>
      <c r="D14776" s="223"/>
      <c r="E14776" s="223"/>
      <c r="F14776" s="223">
        <v>2025</v>
      </c>
      <c r="G14776" s="223"/>
      <c r="H14776" s="223" t="s">
        <v>132</v>
      </c>
      <c r="I14776" s="226"/>
      <c r="J14776" s="223"/>
      <c r="K14776" s="223"/>
      <c r="L14776" s="223"/>
      <c r="M14776" s="223"/>
      <c r="N14776" s="223"/>
      <c r="O14776" s="223"/>
      <c r="P14776" s="223"/>
      <c r="Q14776" s="224"/>
    </row>
    <row r="14777" spans="1:17">
      <c r="A14777" s="221"/>
      <c r="B14777" s="222"/>
      <c r="C14777" s="223"/>
      <c r="D14777" s="223"/>
      <c r="E14777" s="223"/>
      <c r="F14777" s="223">
        <v>2025</v>
      </c>
      <c r="G14777" s="223"/>
      <c r="H14777" s="223" t="s">
        <v>16</v>
      </c>
      <c r="I14777" s="226"/>
      <c r="J14777" s="223"/>
      <c r="K14777" s="223"/>
      <c r="L14777" s="223"/>
      <c r="M14777" s="223"/>
      <c r="N14777" s="223"/>
      <c r="O14777" s="223"/>
      <c r="P14777" s="223"/>
      <c r="Q14777" s="224"/>
    </row>
    <row r="14778" spans="1:17">
      <c r="A14778" s="221"/>
      <c r="B14778" s="222"/>
      <c r="C14778" s="223"/>
      <c r="D14778" s="223"/>
      <c r="E14778" s="223"/>
      <c r="F14778" s="223">
        <v>2025</v>
      </c>
      <c r="G14778" s="223"/>
      <c r="H14778" s="223" t="s">
        <v>16</v>
      </c>
      <c r="I14778" s="226"/>
      <c r="J14778" s="223"/>
      <c r="K14778" s="223"/>
      <c r="L14778" s="223"/>
      <c r="M14778" s="223"/>
      <c r="N14778" s="223"/>
      <c r="O14778" s="223"/>
      <c r="P14778" s="223"/>
      <c r="Q14778" s="224"/>
    </row>
    <row r="14779" spans="1:17">
      <c r="A14779" s="221"/>
      <c r="B14779" s="222"/>
      <c r="C14779" s="223"/>
      <c r="D14779" s="223"/>
      <c r="E14779" s="223"/>
      <c r="F14779" s="223">
        <v>2025</v>
      </c>
      <c r="G14779" s="223"/>
      <c r="H14779" s="223" t="s">
        <v>215</v>
      </c>
      <c r="I14779" s="226"/>
      <c r="J14779" s="223"/>
      <c r="K14779" s="223"/>
      <c r="L14779" s="223"/>
      <c r="M14779" s="223"/>
      <c r="N14779" s="223"/>
      <c r="O14779" s="223"/>
      <c r="P14779" s="223"/>
      <c r="Q14779" s="224"/>
    </row>
    <row r="14780" spans="1:17">
      <c r="A14780" s="221"/>
      <c r="B14780" s="222"/>
      <c r="C14780" s="223"/>
      <c r="D14780" s="223"/>
      <c r="E14780" s="223"/>
      <c r="F14780" s="223">
        <v>2025</v>
      </c>
      <c r="G14780" s="223"/>
      <c r="H14780" s="223" t="s">
        <v>215</v>
      </c>
      <c r="I14780" s="226"/>
      <c r="J14780" s="223"/>
      <c r="K14780" s="223"/>
      <c r="L14780" s="223"/>
      <c r="M14780" s="223"/>
      <c r="N14780" s="223"/>
      <c r="O14780" s="223"/>
      <c r="P14780" s="223"/>
      <c r="Q14780" s="224"/>
    </row>
    <row r="14781" spans="1:17">
      <c r="A14781" s="221"/>
      <c r="B14781" s="222"/>
      <c r="C14781" s="223"/>
      <c r="D14781" s="223"/>
      <c r="E14781" s="223"/>
      <c r="F14781" s="223">
        <v>2025</v>
      </c>
      <c r="G14781" s="223"/>
      <c r="H14781" s="223" t="s">
        <v>57</v>
      </c>
      <c r="I14781" s="226"/>
      <c r="J14781" s="223"/>
      <c r="K14781" s="223"/>
      <c r="L14781" s="223"/>
      <c r="M14781" s="223"/>
      <c r="N14781" s="223"/>
      <c r="O14781" s="223"/>
      <c r="P14781" s="223"/>
      <c r="Q14781" s="224"/>
    </row>
    <row r="14782" spans="1:17">
      <c r="A14782" s="221"/>
      <c r="B14782" s="222"/>
      <c r="C14782" s="223"/>
      <c r="D14782" s="223"/>
      <c r="E14782" s="223"/>
      <c r="F14782" s="223">
        <v>2025</v>
      </c>
      <c r="G14782" s="223"/>
      <c r="H14782" s="223" t="s">
        <v>57</v>
      </c>
      <c r="I14782" s="226"/>
      <c r="J14782" s="223"/>
      <c r="K14782" s="223"/>
      <c r="L14782" s="223"/>
      <c r="M14782" s="223"/>
      <c r="N14782" s="223"/>
      <c r="O14782" s="223"/>
      <c r="P14782" s="223"/>
      <c r="Q14782" s="224"/>
    </row>
    <row r="14783" spans="1:17">
      <c r="A14783" s="221"/>
      <c r="B14783" s="222"/>
      <c r="C14783" s="223"/>
      <c r="D14783" s="223"/>
      <c r="E14783" s="223"/>
      <c r="F14783" s="223">
        <v>2025</v>
      </c>
      <c r="G14783" s="223"/>
      <c r="H14783" s="223" t="s">
        <v>57</v>
      </c>
      <c r="I14783" s="226"/>
      <c r="J14783" s="223"/>
      <c r="K14783" s="223"/>
      <c r="L14783" s="223"/>
      <c r="M14783" s="223"/>
      <c r="N14783" s="223"/>
      <c r="O14783" s="223"/>
      <c r="P14783" s="223"/>
      <c r="Q14783" s="224"/>
    </row>
    <row r="14784" spans="1:17">
      <c r="A14784" s="221"/>
      <c r="B14784" s="222"/>
      <c r="C14784" s="223"/>
      <c r="D14784" s="223"/>
      <c r="E14784" s="223"/>
      <c r="F14784" s="223">
        <v>2025</v>
      </c>
      <c r="G14784" s="223"/>
      <c r="H14784" s="223" t="s">
        <v>57</v>
      </c>
      <c r="I14784" s="226"/>
      <c r="J14784" s="223"/>
      <c r="K14784" s="223"/>
      <c r="L14784" s="223"/>
      <c r="M14784" s="223"/>
      <c r="N14784" s="223"/>
      <c r="O14784" s="223"/>
      <c r="P14784" s="223"/>
      <c r="Q14784" s="224"/>
    </row>
    <row r="14785" spans="1:17">
      <c r="A14785" s="221"/>
      <c r="B14785" s="222"/>
      <c r="C14785" s="223"/>
      <c r="D14785" s="223"/>
      <c r="E14785" s="223"/>
      <c r="F14785" s="223">
        <v>2025</v>
      </c>
      <c r="G14785" s="223"/>
      <c r="H14785" s="223" t="s">
        <v>57</v>
      </c>
      <c r="I14785" s="226"/>
      <c r="J14785" s="223"/>
      <c r="K14785" s="223"/>
      <c r="L14785" s="223"/>
      <c r="M14785" s="223"/>
      <c r="N14785" s="223"/>
      <c r="O14785" s="223"/>
      <c r="P14785" s="223"/>
      <c r="Q14785" s="224"/>
    </row>
    <row r="14786" spans="1:17">
      <c r="A14786" s="221"/>
      <c r="B14786" s="222"/>
      <c r="C14786" s="223"/>
      <c r="D14786" s="223"/>
      <c r="E14786" s="223"/>
      <c r="F14786" s="223">
        <v>2025</v>
      </c>
      <c r="G14786" s="223"/>
      <c r="H14786" s="223" t="s">
        <v>57</v>
      </c>
      <c r="I14786" s="226"/>
      <c r="J14786" s="223"/>
      <c r="K14786" s="223"/>
      <c r="L14786" s="223"/>
      <c r="M14786" s="223"/>
      <c r="N14786" s="223"/>
      <c r="O14786" s="223"/>
      <c r="P14786" s="223"/>
      <c r="Q14786" s="224"/>
    </row>
    <row r="14787" spans="1:17">
      <c r="A14787" s="221"/>
      <c r="B14787" s="222"/>
      <c r="C14787" s="223"/>
      <c r="D14787" s="223"/>
      <c r="E14787" s="223"/>
      <c r="F14787" s="223">
        <v>2025</v>
      </c>
      <c r="G14787" s="223"/>
      <c r="H14787" s="223" t="s">
        <v>956</v>
      </c>
      <c r="I14787" s="226"/>
      <c r="J14787" s="223"/>
      <c r="K14787" s="223"/>
      <c r="L14787" s="223"/>
      <c r="M14787" s="223"/>
      <c r="N14787" s="223"/>
      <c r="O14787" s="223"/>
      <c r="P14787" s="223"/>
      <c r="Q14787" s="224"/>
    </row>
    <row r="14788" spans="1:17">
      <c r="A14788" s="221"/>
      <c r="B14788" s="222"/>
      <c r="C14788" s="223"/>
      <c r="D14788" s="223"/>
      <c r="E14788" s="223"/>
      <c r="F14788" s="223">
        <v>2025</v>
      </c>
      <c r="G14788" s="223"/>
      <c r="H14788" s="223" t="s">
        <v>956</v>
      </c>
      <c r="I14788" s="226"/>
      <c r="J14788" s="223"/>
      <c r="K14788" s="223"/>
      <c r="L14788" s="223"/>
      <c r="M14788" s="223"/>
      <c r="N14788" s="223"/>
      <c r="O14788" s="223"/>
      <c r="P14788" s="223"/>
      <c r="Q14788" s="224"/>
    </row>
    <row r="14789" spans="1:17">
      <c r="A14789" s="221"/>
      <c r="B14789" s="222"/>
      <c r="C14789" s="223"/>
      <c r="D14789" s="223"/>
      <c r="E14789" s="223"/>
      <c r="F14789" s="223">
        <v>2025</v>
      </c>
      <c r="G14789" s="223"/>
      <c r="H14789" s="223" t="s">
        <v>8</v>
      </c>
      <c r="I14789" s="226"/>
      <c r="J14789" s="223"/>
      <c r="K14789" s="223"/>
      <c r="L14789" s="223"/>
      <c r="M14789" s="223"/>
      <c r="N14789" s="223"/>
      <c r="O14789" s="223"/>
      <c r="P14789" s="223"/>
      <c r="Q14789" s="224"/>
    </row>
    <row r="14790" spans="1:17">
      <c r="A14790" s="221"/>
      <c r="B14790" s="222"/>
      <c r="C14790" s="223"/>
      <c r="D14790" s="223"/>
      <c r="E14790" s="223"/>
      <c r="F14790" s="223">
        <v>2025</v>
      </c>
      <c r="G14790" s="223"/>
      <c r="H14790" s="223" t="s">
        <v>955</v>
      </c>
      <c r="I14790" s="226"/>
      <c r="J14790" s="223"/>
      <c r="K14790" s="223"/>
      <c r="L14790" s="223"/>
      <c r="M14790" s="223"/>
      <c r="N14790" s="223"/>
      <c r="O14790" s="223"/>
      <c r="P14790" s="223"/>
      <c r="Q14790" s="224"/>
    </row>
    <row r="14791" spans="1:17">
      <c r="A14791" s="221"/>
      <c r="B14791" s="222"/>
      <c r="C14791" s="223"/>
      <c r="D14791" s="223"/>
      <c r="E14791" s="223"/>
      <c r="F14791" s="223">
        <v>2025</v>
      </c>
      <c r="G14791" s="223"/>
      <c r="H14791" s="223" t="s">
        <v>61</v>
      </c>
      <c r="I14791" s="226"/>
      <c r="J14791" s="223"/>
      <c r="K14791" s="223"/>
      <c r="L14791" s="223"/>
      <c r="M14791" s="223"/>
      <c r="N14791" s="223"/>
      <c r="O14791" s="223"/>
      <c r="P14791" s="223"/>
      <c r="Q14791" s="224"/>
    </row>
    <row r="14792" spans="1:17">
      <c r="A14792" s="221"/>
      <c r="B14792" s="222"/>
      <c r="C14792" s="223"/>
      <c r="D14792" s="223"/>
      <c r="E14792" s="223"/>
      <c r="F14792" s="223">
        <v>2025</v>
      </c>
      <c r="G14792" s="223"/>
      <c r="H14792" s="223" t="s">
        <v>957</v>
      </c>
      <c r="I14792" s="226"/>
      <c r="J14792" s="223"/>
      <c r="K14792" s="223"/>
      <c r="L14792" s="223"/>
      <c r="M14792" s="223"/>
      <c r="N14792" s="223"/>
      <c r="O14792" s="223"/>
      <c r="P14792" s="223"/>
      <c r="Q14792" s="224"/>
    </row>
    <row r="14793" spans="1:17">
      <c r="A14793" s="221"/>
      <c r="B14793" s="222"/>
      <c r="C14793" s="223"/>
      <c r="D14793" s="223"/>
      <c r="E14793" s="223"/>
      <c r="F14793" s="223">
        <v>2025</v>
      </c>
      <c r="G14793" s="223"/>
      <c r="H14793" s="223" t="s">
        <v>958</v>
      </c>
      <c r="I14793" s="226"/>
      <c r="J14793" s="223"/>
      <c r="K14793" s="223"/>
      <c r="L14793" s="223"/>
      <c r="M14793" s="223"/>
      <c r="N14793" s="223"/>
      <c r="O14793" s="223"/>
      <c r="P14793" s="223"/>
      <c r="Q14793" s="224"/>
    </row>
    <row r="14794" spans="1:17">
      <c r="A14794" s="221"/>
      <c r="B14794" s="222"/>
      <c r="C14794" s="223"/>
      <c r="D14794" s="223"/>
      <c r="E14794" s="223"/>
      <c r="F14794" s="223">
        <v>2025</v>
      </c>
      <c r="G14794" s="223"/>
      <c r="H14794" s="223" t="s">
        <v>204</v>
      </c>
      <c r="I14794" s="226"/>
      <c r="J14794" s="223"/>
      <c r="K14794" s="223"/>
      <c r="L14794" s="223"/>
      <c r="M14794" s="223"/>
      <c r="N14794" s="223"/>
      <c r="O14794" s="223"/>
      <c r="P14794" s="223"/>
      <c r="Q14794" s="224"/>
    </row>
    <row r="14795" spans="1:17">
      <c r="A14795" s="221"/>
      <c r="B14795" s="222"/>
      <c r="C14795" s="223"/>
      <c r="D14795" s="223"/>
      <c r="E14795" s="223"/>
      <c r="F14795" s="223">
        <v>2025</v>
      </c>
      <c r="G14795" s="223"/>
      <c r="H14795" s="223" t="s">
        <v>132</v>
      </c>
      <c r="I14795" s="226"/>
      <c r="J14795" s="223"/>
      <c r="K14795" s="223"/>
      <c r="L14795" s="223"/>
      <c r="M14795" s="223"/>
      <c r="N14795" s="223"/>
      <c r="O14795" s="223"/>
      <c r="P14795" s="223"/>
      <c r="Q14795" s="224"/>
    </row>
    <row r="14796" spans="1:17">
      <c r="A14796" s="221"/>
      <c r="B14796" s="222"/>
      <c r="C14796" s="223"/>
      <c r="D14796" s="223"/>
      <c r="E14796" s="223"/>
      <c r="F14796" s="223">
        <v>2025</v>
      </c>
      <c r="G14796" s="223"/>
      <c r="H14796" s="223" t="s">
        <v>132</v>
      </c>
      <c r="I14796" s="226"/>
      <c r="J14796" s="223"/>
      <c r="K14796" s="223"/>
      <c r="L14796" s="223"/>
      <c r="M14796" s="223"/>
      <c r="N14796" s="223"/>
      <c r="O14796" s="223"/>
      <c r="P14796" s="223"/>
      <c r="Q14796" s="224"/>
    </row>
    <row r="14797" spans="1:17">
      <c r="A14797" s="221"/>
      <c r="B14797" s="222"/>
      <c r="C14797" s="223"/>
      <c r="D14797" s="223"/>
      <c r="E14797" s="223"/>
      <c r="F14797" s="223">
        <v>2025</v>
      </c>
      <c r="G14797" s="223"/>
      <c r="H14797" s="223" t="s">
        <v>16</v>
      </c>
      <c r="I14797" s="226"/>
      <c r="J14797" s="223"/>
      <c r="K14797" s="223"/>
      <c r="L14797" s="223"/>
      <c r="M14797" s="223"/>
      <c r="N14797" s="223"/>
      <c r="O14797" s="223"/>
      <c r="P14797" s="223"/>
      <c r="Q14797" s="224"/>
    </row>
    <row r="14798" spans="1:17">
      <c r="A14798" s="221"/>
      <c r="B14798" s="222"/>
      <c r="C14798" s="223"/>
      <c r="D14798" s="223"/>
      <c r="E14798" s="223"/>
      <c r="F14798" s="223">
        <v>2025</v>
      </c>
      <c r="G14798" s="223"/>
      <c r="H14798" s="223" t="s">
        <v>16</v>
      </c>
      <c r="I14798" s="226"/>
      <c r="J14798" s="223"/>
      <c r="K14798" s="223"/>
      <c r="L14798" s="223"/>
      <c r="M14798" s="223"/>
      <c r="N14798" s="223"/>
      <c r="O14798" s="223"/>
      <c r="P14798" s="223"/>
      <c r="Q14798" s="224"/>
    </row>
    <row r="14799" spans="1:17">
      <c r="A14799" s="221"/>
      <c r="B14799" s="222"/>
      <c r="C14799" s="223"/>
      <c r="D14799" s="223"/>
      <c r="E14799" s="223"/>
      <c r="F14799" s="223">
        <v>2025</v>
      </c>
      <c r="G14799" s="223"/>
      <c r="H14799" s="223" t="s">
        <v>215</v>
      </c>
      <c r="I14799" s="226"/>
      <c r="J14799" s="223"/>
      <c r="K14799" s="223"/>
      <c r="L14799" s="223"/>
      <c r="M14799" s="223"/>
      <c r="N14799" s="223"/>
      <c r="O14799" s="223"/>
      <c r="P14799" s="223"/>
      <c r="Q14799" s="224"/>
    </row>
    <row r="14800" spans="1:17">
      <c r="A14800" s="221"/>
      <c r="B14800" s="222"/>
      <c r="C14800" s="223"/>
      <c r="D14800" s="223"/>
      <c r="E14800" s="223"/>
      <c r="F14800" s="223">
        <v>2026</v>
      </c>
      <c r="G14800" s="223"/>
      <c r="H14800" s="223" t="s">
        <v>57</v>
      </c>
      <c r="I14800" s="226"/>
      <c r="J14800" s="223"/>
      <c r="K14800" s="223"/>
      <c r="L14800" s="223"/>
      <c r="M14800" s="223"/>
      <c r="N14800" s="223"/>
      <c r="O14800" s="223"/>
      <c r="P14800" s="223"/>
      <c r="Q14800" s="224"/>
    </row>
    <row r="14801" spans="1:17">
      <c r="A14801" s="221"/>
      <c r="B14801" s="222"/>
      <c r="C14801" s="223"/>
      <c r="D14801" s="223"/>
      <c r="E14801" s="223"/>
      <c r="F14801" s="223">
        <v>2026</v>
      </c>
      <c r="G14801" s="223"/>
      <c r="H14801" s="223" t="s">
        <v>57</v>
      </c>
      <c r="I14801" s="226"/>
      <c r="J14801" s="223"/>
      <c r="K14801" s="223"/>
      <c r="L14801" s="223"/>
      <c r="M14801" s="223"/>
      <c r="N14801" s="223"/>
      <c r="O14801" s="223"/>
      <c r="P14801" s="223"/>
      <c r="Q14801" s="224"/>
    </row>
    <row r="14802" spans="1:17">
      <c r="A14802" s="221"/>
      <c r="B14802" s="222"/>
      <c r="C14802" s="223"/>
      <c r="D14802" s="223"/>
      <c r="E14802" s="223"/>
      <c r="F14802" s="223">
        <v>2026</v>
      </c>
      <c r="G14802" s="223"/>
      <c r="H14802" s="223" t="s">
        <v>57</v>
      </c>
      <c r="I14802" s="226"/>
      <c r="J14802" s="223"/>
      <c r="K14802" s="223"/>
      <c r="L14802" s="223"/>
      <c r="M14802" s="223"/>
      <c r="N14802" s="223"/>
      <c r="O14802" s="223"/>
      <c r="P14802" s="223"/>
      <c r="Q14802" s="224"/>
    </row>
    <row r="14803" spans="1:17">
      <c r="A14803" s="221"/>
      <c r="B14803" s="222"/>
      <c r="C14803" s="223"/>
      <c r="D14803" s="223"/>
      <c r="E14803" s="223"/>
      <c r="F14803" s="223">
        <v>2026</v>
      </c>
      <c r="G14803" s="223"/>
      <c r="H14803" s="223" t="s">
        <v>956</v>
      </c>
      <c r="I14803" s="226"/>
      <c r="J14803" s="223"/>
      <c r="K14803" s="223"/>
      <c r="L14803" s="223"/>
      <c r="M14803" s="223"/>
      <c r="N14803" s="223"/>
      <c r="O14803" s="223"/>
      <c r="P14803" s="223"/>
      <c r="Q14803" s="224"/>
    </row>
    <row r="14804" spans="1:17">
      <c r="A14804" s="221"/>
      <c r="B14804" s="222"/>
      <c r="C14804" s="223"/>
      <c r="D14804" s="223"/>
      <c r="E14804" s="223"/>
      <c r="F14804" s="223">
        <v>2026</v>
      </c>
      <c r="G14804" s="223"/>
      <c r="H14804" s="223" t="s">
        <v>956</v>
      </c>
      <c r="I14804" s="226"/>
      <c r="J14804" s="223"/>
      <c r="K14804" s="223"/>
      <c r="L14804" s="223"/>
      <c r="M14804" s="223"/>
      <c r="N14804" s="223"/>
      <c r="O14804" s="223"/>
      <c r="P14804" s="223"/>
      <c r="Q14804" s="224"/>
    </row>
    <row r="14805" spans="1:17">
      <c r="A14805" s="221"/>
      <c r="B14805" s="222"/>
      <c r="C14805" s="223"/>
      <c r="D14805" s="223"/>
      <c r="E14805" s="223"/>
      <c r="F14805" s="223">
        <v>2026</v>
      </c>
      <c r="G14805" s="223"/>
      <c r="H14805" s="223" t="s">
        <v>8</v>
      </c>
      <c r="I14805" s="226"/>
      <c r="J14805" s="223"/>
      <c r="K14805" s="223"/>
      <c r="L14805" s="223"/>
      <c r="M14805" s="223"/>
      <c r="N14805" s="223"/>
      <c r="O14805" s="223"/>
      <c r="P14805" s="223"/>
      <c r="Q14805" s="224"/>
    </row>
    <row r="14806" spans="1:17">
      <c r="A14806" s="221"/>
      <c r="B14806" s="222"/>
      <c r="C14806" s="223"/>
      <c r="D14806" s="223"/>
      <c r="E14806" s="223"/>
      <c r="F14806" s="223">
        <v>2026</v>
      </c>
      <c r="G14806" s="223"/>
      <c r="H14806" s="223" t="s">
        <v>61</v>
      </c>
      <c r="I14806" s="226"/>
      <c r="J14806" s="223"/>
      <c r="K14806" s="223"/>
      <c r="L14806" s="223"/>
      <c r="M14806" s="223"/>
      <c r="N14806" s="223"/>
      <c r="O14806" s="223"/>
      <c r="P14806" s="223"/>
      <c r="Q14806" s="224"/>
    </row>
    <row r="14807" spans="1:17">
      <c r="A14807" s="221"/>
      <c r="B14807" s="222"/>
      <c r="C14807" s="223"/>
      <c r="D14807" s="223"/>
      <c r="E14807" s="223"/>
      <c r="F14807" s="223">
        <v>2026</v>
      </c>
      <c r="G14807" s="223"/>
      <c r="H14807" s="223" t="s">
        <v>958</v>
      </c>
      <c r="I14807" s="226"/>
      <c r="J14807" s="223"/>
      <c r="K14807" s="223"/>
      <c r="L14807" s="223"/>
      <c r="M14807" s="223"/>
      <c r="N14807" s="223"/>
      <c r="O14807" s="223"/>
      <c r="P14807" s="223"/>
      <c r="Q14807" s="224"/>
    </row>
    <row r="14808" spans="1:17">
      <c r="A14808" s="221"/>
      <c r="B14808" s="222"/>
      <c r="C14808" s="223"/>
      <c r="D14808" s="223"/>
      <c r="E14808" s="223"/>
      <c r="F14808" s="223">
        <v>2026</v>
      </c>
      <c r="G14808" s="223"/>
      <c r="H14808" s="223" t="s">
        <v>204</v>
      </c>
      <c r="I14808" s="226"/>
      <c r="J14808" s="223"/>
      <c r="K14808" s="223"/>
      <c r="L14808" s="223"/>
      <c r="M14808" s="223"/>
      <c r="N14808" s="223"/>
      <c r="O14808" s="223"/>
      <c r="P14808" s="223"/>
      <c r="Q14808" s="224"/>
    </row>
    <row r="14809" spans="1:17">
      <c r="A14809" s="221"/>
      <c r="B14809" s="222"/>
      <c r="C14809" s="223"/>
      <c r="D14809" s="223"/>
      <c r="E14809" s="223"/>
      <c r="F14809" s="223">
        <v>2026</v>
      </c>
      <c r="G14809" s="223"/>
      <c r="H14809" s="223" t="s">
        <v>132</v>
      </c>
      <c r="I14809" s="226"/>
      <c r="J14809" s="223"/>
      <c r="K14809" s="223"/>
      <c r="L14809" s="223"/>
      <c r="M14809" s="223"/>
      <c r="N14809" s="223"/>
      <c r="O14809" s="223"/>
      <c r="P14809" s="223"/>
      <c r="Q14809" s="224"/>
    </row>
    <row r="14810" spans="1:17">
      <c r="A14810" s="221"/>
      <c r="B14810" s="222"/>
      <c r="C14810" s="223"/>
      <c r="D14810" s="223"/>
      <c r="E14810" s="223"/>
      <c r="F14810" s="223">
        <v>2026</v>
      </c>
      <c r="G14810" s="223"/>
      <c r="H14810" s="223" t="s">
        <v>57</v>
      </c>
      <c r="I14810" s="226"/>
      <c r="J14810" s="223"/>
      <c r="K14810" s="223"/>
      <c r="L14810" s="223"/>
      <c r="M14810" s="223"/>
      <c r="N14810" s="223"/>
      <c r="O14810" s="223"/>
      <c r="P14810" s="223"/>
      <c r="Q14810" s="224"/>
    </row>
    <row r="14811" spans="1:17">
      <c r="A14811" s="221"/>
      <c r="B14811" s="222"/>
      <c r="C14811" s="223"/>
      <c r="D14811" s="223"/>
      <c r="E14811" s="223"/>
      <c r="F14811" s="223">
        <v>2026</v>
      </c>
      <c r="G14811" s="223"/>
      <c r="H14811" s="223" t="s">
        <v>57</v>
      </c>
      <c r="I14811" s="226"/>
      <c r="J14811" s="223"/>
      <c r="K14811" s="223"/>
      <c r="L14811" s="223"/>
      <c r="M14811" s="223"/>
      <c r="N14811" s="223"/>
      <c r="O14811" s="223"/>
      <c r="P14811" s="223"/>
      <c r="Q14811" s="224"/>
    </row>
    <row r="14812" spans="1:17">
      <c r="A14812" s="221"/>
      <c r="B14812" s="222"/>
      <c r="C14812" s="223"/>
      <c r="D14812" s="223"/>
      <c r="E14812" s="223"/>
      <c r="F14812" s="223">
        <v>2026</v>
      </c>
      <c r="G14812" s="223"/>
      <c r="H14812" s="223" t="s">
        <v>57</v>
      </c>
      <c r="I14812" s="226"/>
      <c r="J14812" s="223"/>
      <c r="K14812" s="223"/>
      <c r="L14812" s="223"/>
      <c r="M14812" s="223"/>
      <c r="N14812" s="223"/>
      <c r="O14812" s="223"/>
      <c r="P14812" s="223"/>
      <c r="Q14812" s="224"/>
    </row>
    <row r="14813" spans="1:17">
      <c r="A14813" s="221"/>
      <c r="B14813" s="222"/>
      <c r="C14813" s="223"/>
      <c r="D14813" s="223"/>
      <c r="E14813" s="223"/>
      <c r="F14813" s="223">
        <v>2026</v>
      </c>
      <c r="G14813" s="223"/>
      <c r="H14813" s="223" t="s">
        <v>956</v>
      </c>
      <c r="I14813" s="226"/>
      <c r="J14813" s="223"/>
      <c r="K14813" s="223"/>
      <c r="L14813" s="223"/>
      <c r="M14813" s="223"/>
      <c r="N14813" s="223"/>
      <c r="O14813" s="223"/>
      <c r="P14813" s="223"/>
      <c r="Q14813" s="224"/>
    </row>
    <row r="14814" spans="1:17">
      <c r="A14814" s="221"/>
      <c r="B14814" s="222"/>
      <c r="C14814" s="223"/>
      <c r="D14814" s="223"/>
      <c r="E14814" s="223"/>
      <c r="F14814" s="223">
        <v>2026</v>
      </c>
      <c r="G14814" s="223"/>
      <c r="H14814" s="223" t="s">
        <v>956</v>
      </c>
      <c r="I14814" s="226"/>
      <c r="J14814" s="223"/>
      <c r="K14814" s="223"/>
      <c r="L14814" s="223"/>
      <c r="M14814" s="223"/>
      <c r="N14814" s="223"/>
      <c r="O14814" s="223"/>
      <c r="P14814" s="223"/>
      <c r="Q14814" s="224"/>
    </row>
    <row r="14815" spans="1:17">
      <c r="A14815" s="221"/>
      <c r="B14815" s="222"/>
      <c r="C14815" s="223"/>
      <c r="D14815" s="223"/>
      <c r="E14815" s="223"/>
      <c r="F14815" s="223">
        <v>2026</v>
      </c>
      <c r="G14815" s="223"/>
      <c r="H14815" s="223" t="s">
        <v>958</v>
      </c>
      <c r="I14815" s="226"/>
      <c r="J14815" s="223"/>
      <c r="K14815" s="223"/>
      <c r="L14815" s="223"/>
      <c r="M14815" s="223"/>
      <c r="N14815" s="223"/>
      <c r="O14815" s="223"/>
      <c r="P14815" s="223"/>
      <c r="Q14815" s="224"/>
    </row>
    <row r="14816" spans="1:17">
      <c r="A14816" s="227"/>
      <c r="B14816" s="228"/>
      <c r="C14816" s="229"/>
      <c r="D14816" s="229"/>
      <c r="E14816" s="229"/>
      <c r="F14816" s="229">
        <v>2026</v>
      </c>
      <c r="G14816" s="229"/>
      <c r="H14816" s="229" t="s">
        <v>57</v>
      </c>
      <c r="I14816" s="257"/>
      <c r="J14816" s="229"/>
      <c r="K14816" s="229"/>
      <c r="L14816" s="229"/>
      <c r="M14816" s="229"/>
      <c r="N14816" s="229"/>
      <c r="O14816" s="229"/>
      <c r="P14816" s="229"/>
      <c r="Q14816" s="230"/>
    </row>
    <row r="14817" spans="12:12">
      <c r="L14817"/>
    </row>
    <row r="14818" spans="12:12">
      <c r="L14818"/>
    </row>
    <row r="14819" spans="12:12">
      <c r="L14819"/>
    </row>
    <row r="14820" spans="12:12">
      <c r="L14820"/>
    </row>
    <row r="14821" spans="12:12">
      <c r="L14821"/>
    </row>
    <row r="14822" spans="12:12">
      <c r="L14822"/>
    </row>
    <row r="14823" spans="12:12">
      <c r="L14823"/>
    </row>
    <row r="14824" spans="12:12">
      <c r="L14824"/>
    </row>
    <row r="14825" spans="12:12">
      <c r="L14825"/>
    </row>
    <row r="14826" spans="12:12">
      <c r="L14826"/>
    </row>
    <row r="14827" spans="12:12">
      <c r="L14827"/>
    </row>
    <row r="14828" spans="12:12">
      <c r="L14828"/>
    </row>
    <row r="14829" spans="12:12">
      <c r="L14829"/>
    </row>
    <row r="14830" spans="12:12">
      <c r="L14830"/>
    </row>
    <row r="14831" spans="12:12">
      <c r="L14831"/>
    </row>
    <row r="14832" spans="12:12">
      <c r="L14832"/>
    </row>
    <row r="14833" spans="12:12">
      <c r="L14833"/>
    </row>
    <row r="14834" spans="12:12">
      <c r="L14834"/>
    </row>
    <row r="14835" spans="12:12">
      <c r="L14835"/>
    </row>
    <row r="14836" spans="12:12">
      <c r="L14836"/>
    </row>
    <row r="14837" spans="12:12">
      <c r="L14837"/>
    </row>
    <row r="14838" spans="12:12">
      <c r="L14838"/>
    </row>
    <row r="14839" spans="12:12">
      <c r="L14839"/>
    </row>
    <row r="14840" spans="12:12">
      <c r="L14840"/>
    </row>
    <row r="14841" spans="12:12">
      <c r="L14841"/>
    </row>
    <row r="14842" spans="12:12">
      <c r="L14842"/>
    </row>
    <row r="14843" spans="12:12">
      <c r="L14843"/>
    </row>
    <row r="14844" spans="12:12">
      <c r="L14844"/>
    </row>
    <row r="14845" spans="12:12">
      <c r="L14845"/>
    </row>
    <row r="14846" spans="12:12">
      <c r="L14846"/>
    </row>
    <row r="14847" spans="12:12">
      <c r="L14847"/>
    </row>
    <row r="14848" spans="12:12">
      <c r="L14848"/>
    </row>
    <row r="14849" spans="12:12">
      <c r="L14849"/>
    </row>
    <row r="14850" spans="12:12">
      <c r="L14850"/>
    </row>
    <row r="14851" spans="12:12">
      <c r="L14851"/>
    </row>
    <row r="14852" spans="12:12">
      <c r="L14852"/>
    </row>
    <row r="14853" spans="12:12">
      <c r="L14853"/>
    </row>
    <row r="14854" spans="12:12">
      <c r="L14854"/>
    </row>
    <row r="14855" spans="12:12">
      <c r="L14855"/>
    </row>
    <row r="14856" spans="12:12">
      <c r="L14856"/>
    </row>
    <row r="14857" spans="12:12">
      <c r="L14857"/>
    </row>
    <row r="14858" spans="12:12">
      <c r="L14858"/>
    </row>
    <row r="14859" spans="12:12">
      <c r="L14859"/>
    </row>
    <row r="14860" spans="12:12">
      <c r="L14860"/>
    </row>
    <row r="14861" spans="12:12">
      <c r="L14861"/>
    </row>
    <row r="14862" spans="12:12">
      <c r="L14862"/>
    </row>
    <row r="14863" spans="12:12">
      <c r="L14863"/>
    </row>
    <row r="14864" spans="12:12">
      <c r="L14864"/>
    </row>
    <row r="14865" spans="12:12">
      <c r="L14865"/>
    </row>
    <row r="14866" spans="12:12">
      <c r="L14866"/>
    </row>
    <row r="14867" spans="12:12">
      <c r="L14867"/>
    </row>
    <row r="14868" spans="12:12">
      <c r="L14868"/>
    </row>
    <row r="14869" spans="12:12">
      <c r="L14869"/>
    </row>
    <row r="14870" spans="12:12">
      <c r="L14870"/>
    </row>
    <row r="14871" spans="12:12">
      <c r="L14871"/>
    </row>
    <row r="14872" spans="12:12">
      <c r="L14872"/>
    </row>
    <row r="14873" spans="12:12">
      <c r="L14873"/>
    </row>
    <row r="14874" spans="12:12">
      <c r="L14874"/>
    </row>
    <row r="14875" spans="12:12">
      <c r="L14875"/>
    </row>
    <row r="14876" spans="12:12">
      <c r="L14876"/>
    </row>
    <row r="14877" spans="12:12">
      <c r="L14877"/>
    </row>
    <row r="14878" spans="12:12">
      <c r="L14878"/>
    </row>
    <row r="14879" spans="12:12">
      <c r="L14879"/>
    </row>
    <row r="14880" spans="12:12">
      <c r="L14880"/>
    </row>
    <row r="14881" spans="12:12">
      <c r="L14881"/>
    </row>
    <row r="14882" spans="12:12">
      <c r="L14882"/>
    </row>
    <row r="14883" spans="12:12">
      <c r="L14883"/>
    </row>
    <row r="14884" spans="12:12">
      <c r="L14884"/>
    </row>
    <row r="14885" spans="12:12">
      <c r="L14885"/>
    </row>
    <row r="14886" spans="12:12">
      <c r="L14886"/>
    </row>
    <row r="14887" spans="12:12">
      <c r="L14887"/>
    </row>
    <row r="14888" spans="12:12">
      <c r="L14888"/>
    </row>
    <row r="14889" spans="12:12">
      <c r="L14889"/>
    </row>
    <row r="14890" spans="12:12">
      <c r="L14890"/>
    </row>
    <row r="14891" spans="12:12">
      <c r="L14891"/>
    </row>
    <row r="14892" spans="12:12">
      <c r="L14892"/>
    </row>
    <row r="14893" spans="12:12">
      <c r="L14893"/>
    </row>
    <row r="14894" spans="12:12">
      <c r="L14894"/>
    </row>
    <row r="14895" spans="12:12">
      <c r="L14895"/>
    </row>
    <row r="14896" spans="12:12">
      <c r="L14896"/>
    </row>
    <row r="14897" spans="12:12">
      <c r="L14897"/>
    </row>
    <row r="14898" spans="12:12">
      <c r="L14898"/>
    </row>
    <row r="14899" spans="12:12">
      <c r="L14899"/>
    </row>
    <row r="14900" spans="12:12">
      <c r="L14900"/>
    </row>
    <row r="14901" spans="12:12">
      <c r="L14901"/>
    </row>
    <row r="14902" spans="12:12">
      <c r="L14902"/>
    </row>
    <row r="14903" spans="12:12">
      <c r="L14903"/>
    </row>
    <row r="14904" spans="12:12">
      <c r="L14904"/>
    </row>
    <row r="14905" spans="12:12">
      <c r="L14905"/>
    </row>
    <row r="14906" spans="12:12">
      <c r="L14906"/>
    </row>
    <row r="14907" spans="12:12">
      <c r="L14907"/>
    </row>
    <row r="14908" spans="12:12">
      <c r="L14908"/>
    </row>
    <row r="14909" spans="12:12">
      <c r="L14909"/>
    </row>
    <row r="14910" spans="12:12">
      <c r="L14910"/>
    </row>
    <row r="14911" spans="12:12">
      <c r="L14911"/>
    </row>
    <row r="14912" spans="12:12">
      <c r="L14912"/>
    </row>
    <row r="14913" spans="12:12">
      <c r="L14913"/>
    </row>
    <row r="14914" spans="12:12">
      <c r="L14914"/>
    </row>
    <row r="14915" spans="12:12">
      <c r="L14915"/>
    </row>
    <row r="14916" spans="12:12">
      <c r="L14916"/>
    </row>
    <row r="14917" spans="12:12">
      <c r="L14917"/>
    </row>
    <row r="14918" spans="12:12">
      <c r="L14918"/>
    </row>
    <row r="14919" spans="12:12">
      <c r="L14919"/>
    </row>
    <row r="14920" spans="12:12">
      <c r="L14920"/>
    </row>
    <row r="14921" spans="12:12">
      <c r="L14921"/>
    </row>
    <row r="14922" spans="12:12">
      <c r="L14922"/>
    </row>
    <row r="14923" spans="12:12">
      <c r="L14923"/>
    </row>
    <row r="14924" spans="12:12">
      <c r="L14924"/>
    </row>
    <row r="14925" spans="12:12">
      <c r="L14925"/>
    </row>
    <row r="14926" spans="12:12">
      <c r="L14926"/>
    </row>
    <row r="14927" spans="12:12">
      <c r="L14927"/>
    </row>
    <row r="14928" spans="12:12">
      <c r="L14928"/>
    </row>
    <row r="14929" spans="12:12">
      <c r="L14929"/>
    </row>
    <row r="14930" spans="12:12">
      <c r="L14930"/>
    </row>
    <row r="14931" spans="12:12">
      <c r="L14931"/>
    </row>
    <row r="14932" spans="12:12">
      <c r="L14932"/>
    </row>
    <row r="14933" spans="12:12">
      <c r="L14933"/>
    </row>
    <row r="14934" spans="12:12">
      <c r="L14934"/>
    </row>
    <row r="14935" spans="12:12">
      <c r="L14935"/>
    </row>
    <row r="14936" spans="12:12">
      <c r="L14936"/>
    </row>
    <row r="14937" spans="12:12">
      <c r="L14937"/>
    </row>
    <row r="14938" spans="12:12">
      <c r="L14938"/>
    </row>
    <row r="14939" spans="12:12">
      <c r="L14939"/>
    </row>
    <row r="14940" spans="12:12">
      <c r="L14940"/>
    </row>
    <row r="14941" spans="12:12">
      <c r="L14941"/>
    </row>
    <row r="14942" spans="12:12">
      <c r="L14942"/>
    </row>
    <row r="14943" spans="12:12">
      <c r="L14943"/>
    </row>
    <row r="14944" spans="12:12">
      <c r="L14944"/>
    </row>
    <row r="14945" spans="12:12">
      <c r="L14945"/>
    </row>
    <row r="14946" spans="12:12">
      <c r="L14946"/>
    </row>
    <row r="14947" spans="12:12">
      <c r="L14947"/>
    </row>
    <row r="14948" spans="12:12">
      <c r="L14948"/>
    </row>
    <row r="14949" spans="12:12">
      <c r="L14949"/>
    </row>
    <row r="14950" spans="12:12">
      <c r="L14950"/>
    </row>
    <row r="14951" spans="12:12">
      <c r="L14951"/>
    </row>
    <row r="14952" spans="12:12">
      <c r="L14952"/>
    </row>
    <row r="14953" spans="12:12">
      <c r="L14953"/>
    </row>
    <row r="14954" spans="12:12">
      <c r="L14954"/>
    </row>
    <row r="14955" spans="12:12">
      <c r="L14955"/>
    </row>
    <row r="14956" spans="12:12">
      <c r="L14956"/>
    </row>
    <row r="14957" spans="12:12">
      <c r="L14957"/>
    </row>
    <row r="14958" spans="12:12">
      <c r="L14958"/>
    </row>
    <row r="14959" spans="12:12">
      <c r="L14959"/>
    </row>
    <row r="14960" spans="12:12">
      <c r="L14960"/>
    </row>
    <row r="14961" spans="12:12">
      <c r="L14961"/>
    </row>
    <row r="14962" spans="12:12">
      <c r="L14962"/>
    </row>
    <row r="14963" spans="12:12">
      <c r="L14963"/>
    </row>
    <row r="14964" spans="12:12">
      <c r="L14964"/>
    </row>
    <row r="14965" spans="12:12">
      <c r="L14965"/>
    </row>
    <row r="14966" spans="12:12">
      <c r="L14966"/>
    </row>
    <row r="14967" spans="12:12">
      <c r="L14967"/>
    </row>
    <row r="14968" spans="12:12">
      <c r="L14968"/>
    </row>
    <row r="14969" spans="12:12">
      <c r="L14969"/>
    </row>
    <row r="14970" spans="12:12">
      <c r="L14970"/>
    </row>
    <row r="14971" spans="12:12">
      <c r="L14971"/>
    </row>
    <row r="14972" spans="12:12">
      <c r="L14972"/>
    </row>
    <row r="14973" spans="12:12">
      <c r="L14973"/>
    </row>
    <row r="14974" spans="12:12">
      <c r="L14974"/>
    </row>
    <row r="14975" spans="12:12">
      <c r="L14975"/>
    </row>
    <row r="14976" spans="12:12">
      <c r="L14976"/>
    </row>
    <row r="14977" spans="12:12">
      <c r="L14977"/>
    </row>
    <row r="14978" spans="12:12">
      <c r="L14978"/>
    </row>
    <row r="14979" spans="12:12">
      <c r="L14979"/>
    </row>
    <row r="14980" spans="12:12">
      <c r="L14980"/>
    </row>
    <row r="14981" spans="12:12">
      <c r="L14981"/>
    </row>
    <row r="14982" spans="12:12">
      <c r="L14982"/>
    </row>
    <row r="14983" spans="12:12">
      <c r="L14983"/>
    </row>
    <row r="14984" spans="12:12">
      <c r="L14984"/>
    </row>
    <row r="14985" spans="12:12">
      <c r="L14985"/>
    </row>
    <row r="14986" spans="12:12">
      <c r="L14986"/>
    </row>
    <row r="14987" spans="12:12">
      <c r="L14987"/>
    </row>
    <row r="14988" spans="12:12">
      <c r="L14988"/>
    </row>
    <row r="14989" spans="12:12">
      <c r="L14989"/>
    </row>
    <row r="14990" spans="12:12">
      <c r="L14990"/>
    </row>
    <row r="14991" spans="12:12">
      <c r="L14991"/>
    </row>
    <row r="14992" spans="12:12">
      <c r="L14992"/>
    </row>
    <row r="14993" spans="12:12">
      <c r="L14993"/>
    </row>
    <row r="14994" spans="12:12">
      <c r="L14994"/>
    </row>
    <row r="14995" spans="12:12">
      <c r="L14995"/>
    </row>
    <row r="14996" spans="12:12">
      <c r="L14996"/>
    </row>
    <row r="14997" spans="12:12">
      <c r="L14997"/>
    </row>
    <row r="14998" spans="12:12">
      <c r="L14998"/>
    </row>
    <row r="14999" spans="12:12">
      <c r="L14999"/>
    </row>
    <row r="15000" spans="12:12">
      <c r="L15000"/>
    </row>
    <row r="15001" spans="12:12">
      <c r="L15001"/>
    </row>
    <row r="15002" spans="12:12">
      <c r="L15002"/>
    </row>
    <row r="15003" spans="12:12">
      <c r="L15003"/>
    </row>
    <row r="15004" spans="12:12">
      <c r="L15004"/>
    </row>
    <row r="15005" spans="12:12">
      <c r="L15005"/>
    </row>
    <row r="15006" spans="12:12">
      <c r="L15006"/>
    </row>
    <row r="15007" spans="12:12">
      <c r="L15007"/>
    </row>
    <row r="15008" spans="12:12">
      <c r="L15008"/>
    </row>
    <row r="15009" spans="12:12">
      <c r="L15009"/>
    </row>
    <row r="15010" spans="12:12">
      <c r="L15010"/>
    </row>
    <row r="15011" spans="12:12">
      <c r="L15011"/>
    </row>
    <row r="15012" spans="12:12">
      <c r="L15012"/>
    </row>
    <row r="15013" spans="12:12">
      <c r="L15013"/>
    </row>
    <row r="15014" spans="12:12">
      <c r="L15014"/>
    </row>
    <row r="15015" spans="12:12">
      <c r="L15015"/>
    </row>
    <row r="15016" spans="12:12">
      <c r="L15016"/>
    </row>
    <row r="15017" spans="12:12">
      <c r="L15017"/>
    </row>
    <row r="15018" spans="12:12">
      <c r="L15018"/>
    </row>
    <row r="15019" spans="12:12">
      <c r="L15019"/>
    </row>
    <row r="15020" spans="12:12">
      <c r="L15020"/>
    </row>
    <row r="15021" spans="12:12">
      <c r="L15021"/>
    </row>
    <row r="15022" spans="12:12">
      <c r="L15022"/>
    </row>
    <row r="15023" spans="12:12">
      <c r="L15023"/>
    </row>
    <row r="15024" spans="12:12">
      <c r="L15024"/>
    </row>
    <row r="15025" spans="12:12">
      <c r="L15025"/>
    </row>
    <row r="15026" spans="12:12">
      <c r="L15026"/>
    </row>
    <row r="15027" spans="12:12">
      <c r="L15027"/>
    </row>
    <row r="15028" spans="12:12">
      <c r="L15028"/>
    </row>
    <row r="15029" spans="12:12">
      <c r="L15029"/>
    </row>
    <row r="15030" spans="12:12">
      <c r="L15030"/>
    </row>
    <row r="15031" spans="12:12">
      <c r="L15031"/>
    </row>
    <row r="15032" spans="12:12">
      <c r="L15032"/>
    </row>
    <row r="15033" spans="12:12">
      <c r="L15033"/>
    </row>
    <row r="15034" spans="12:12">
      <c r="L15034"/>
    </row>
    <row r="15035" spans="12:12">
      <c r="L15035"/>
    </row>
    <row r="15036" spans="12:12">
      <c r="L15036"/>
    </row>
    <row r="15037" spans="12:12">
      <c r="L15037"/>
    </row>
    <row r="15038" spans="12:12">
      <c r="L15038"/>
    </row>
    <row r="15039" spans="12:12">
      <c r="L15039"/>
    </row>
    <row r="15040" spans="12:12">
      <c r="L15040"/>
    </row>
    <row r="15041" spans="12:12">
      <c r="L15041"/>
    </row>
    <row r="15042" spans="12:12">
      <c r="L15042"/>
    </row>
    <row r="15043" spans="12:12">
      <c r="L15043"/>
    </row>
    <row r="15044" spans="12:12">
      <c r="L15044"/>
    </row>
    <row r="15045" spans="12:12">
      <c r="L15045"/>
    </row>
    <row r="15046" spans="12:12">
      <c r="L15046"/>
    </row>
    <row r="15047" spans="12:12">
      <c r="L15047"/>
    </row>
    <row r="15048" spans="12:12">
      <c r="L15048"/>
    </row>
    <row r="15049" spans="12:12">
      <c r="L15049"/>
    </row>
    <row r="15050" spans="12:12">
      <c r="L15050"/>
    </row>
    <row r="15051" spans="12:12">
      <c r="L15051"/>
    </row>
    <row r="15052" spans="12:12">
      <c r="L15052"/>
    </row>
    <row r="15053" spans="12:12">
      <c r="L15053"/>
    </row>
    <row r="15054" spans="12:12">
      <c r="L15054"/>
    </row>
    <row r="15055" spans="12:12">
      <c r="L15055"/>
    </row>
    <row r="15056" spans="12:12">
      <c r="L15056"/>
    </row>
    <row r="15057" spans="12:12">
      <c r="L15057"/>
    </row>
    <row r="15058" spans="12:12">
      <c r="L15058"/>
    </row>
    <row r="15059" spans="12:12">
      <c r="L15059"/>
    </row>
    <row r="15060" spans="12:12">
      <c r="L15060"/>
    </row>
    <row r="15061" spans="12:12">
      <c r="L15061"/>
    </row>
    <row r="15062" spans="12:12">
      <c r="L15062"/>
    </row>
    <row r="15063" spans="12:12">
      <c r="L15063"/>
    </row>
    <row r="15064" spans="12:12">
      <c r="L15064"/>
    </row>
    <row r="15065" spans="12:12">
      <c r="L15065"/>
    </row>
    <row r="15066" spans="12:12">
      <c r="L15066"/>
    </row>
    <row r="15067" spans="12:12">
      <c r="L15067"/>
    </row>
    <row r="15068" spans="12:12">
      <c r="L15068"/>
    </row>
    <row r="15069" spans="12:12">
      <c r="L15069"/>
    </row>
    <row r="15070" spans="12:12">
      <c r="L15070"/>
    </row>
    <row r="15071" spans="12:12">
      <c r="L15071"/>
    </row>
    <row r="15072" spans="12:12">
      <c r="L15072"/>
    </row>
    <row r="15073" spans="12:12">
      <c r="L15073"/>
    </row>
    <row r="15074" spans="12:12">
      <c r="L15074"/>
    </row>
    <row r="15075" spans="12:12">
      <c r="L15075"/>
    </row>
    <row r="15076" spans="12:12">
      <c r="L15076"/>
    </row>
    <row r="15077" spans="12:12">
      <c r="L15077"/>
    </row>
    <row r="15078" spans="12:12">
      <c r="L15078"/>
    </row>
    <row r="15079" spans="12:12">
      <c r="L15079"/>
    </row>
    <row r="15080" spans="12:12">
      <c r="L15080"/>
    </row>
    <row r="15081" spans="12:12">
      <c r="L15081"/>
    </row>
    <row r="15082" spans="12:12">
      <c r="L15082"/>
    </row>
    <row r="15083" spans="12:12">
      <c r="L15083"/>
    </row>
    <row r="15084" spans="12:12">
      <c r="L15084"/>
    </row>
    <row r="15085" spans="12:12">
      <c r="L15085"/>
    </row>
    <row r="15086" spans="12:12">
      <c r="L15086"/>
    </row>
    <row r="15087" spans="12:12">
      <c r="L15087"/>
    </row>
    <row r="15088" spans="12:12">
      <c r="L15088"/>
    </row>
    <row r="15089" spans="12:12">
      <c r="L15089"/>
    </row>
    <row r="15090" spans="12:12">
      <c r="L15090"/>
    </row>
    <row r="15091" spans="12:12">
      <c r="L15091"/>
    </row>
    <row r="15092" spans="12:12">
      <c r="L15092"/>
    </row>
    <row r="15093" spans="12:12">
      <c r="L15093"/>
    </row>
    <row r="15094" spans="12:12">
      <c r="L15094"/>
    </row>
    <row r="15095" spans="12:12">
      <c r="L15095"/>
    </row>
    <row r="15096" spans="12:12">
      <c r="L15096"/>
    </row>
    <row r="15097" spans="12:12">
      <c r="L15097"/>
    </row>
    <row r="15098" spans="12:12">
      <c r="L15098"/>
    </row>
    <row r="15099" spans="12:12">
      <c r="L15099"/>
    </row>
    <row r="15100" spans="12:12">
      <c r="L15100"/>
    </row>
    <row r="15101" spans="12:12">
      <c r="L15101"/>
    </row>
    <row r="15102" spans="12:12">
      <c r="L15102"/>
    </row>
    <row r="15103" spans="12:12">
      <c r="L15103"/>
    </row>
    <row r="15104" spans="12:12">
      <c r="L15104"/>
    </row>
    <row r="15105" spans="12:12">
      <c r="L15105"/>
    </row>
    <row r="15106" spans="12:12">
      <c r="L15106"/>
    </row>
    <row r="15107" spans="12:12">
      <c r="L15107"/>
    </row>
    <row r="15108" spans="12:12">
      <c r="L15108"/>
    </row>
    <row r="15109" spans="12:12">
      <c r="L15109"/>
    </row>
    <row r="15110" spans="12:12">
      <c r="L15110"/>
    </row>
    <row r="15111" spans="12:12">
      <c r="L15111"/>
    </row>
    <row r="15112" spans="12:12">
      <c r="L15112"/>
    </row>
    <row r="15113" spans="12:12">
      <c r="L15113"/>
    </row>
    <row r="15114" spans="12:12">
      <c r="L15114"/>
    </row>
    <row r="15115" spans="12:12">
      <c r="L15115"/>
    </row>
    <row r="15116" spans="12:12">
      <c r="L15116"/>
    </row>
    <row r="15117" spans="12:12">
      <c r="L15117"/>
    </row>
    <row r="15118" spans="12:12">
      <c r="L15118"/>
    </row>
    <row r="15119" spans="12:12">
      <c r="L15119"/>
    </row>
    <row r="15120" spans="12:12">
      <c r="L15120"/>
    </row>
    <row r="15121" spans="12:12">
      <c r="L15121"/>
    </row>
    <row r="15122" spans="12:12">
      <c r="L15122"/>
    </row>
    <row r="15123" spans="12:12">
      <c r="L15123"/>
    </row>
    <row r="15124" spans="12:12">
      <c r="L15124"/>
    </row>
    <row r="15125" spans="12:12">
      <c r="L15125"/>
    </row>
    <row r="15126" spans="12:12">
      <c r="L15126"/>
    </row>
    <row r="15127" spans="12:12">
      <c r="L15127"/>
    </row>
    <row r="15128" spans="12:12">
      <c r="L15128"/>
    </row>
    <row r="15129" spans="12:12">
      <c r="L15129"/>
    </row>
    <row r="15130" spans="12:12">
      <c r="L15130"/>
    </row>
    <row r="15131" spans="12:12">
      <c r="L15131"/>
    </row>
    <row r="15132" spans="12:12">
      <c r="L15132"/>
    </row>
    <row r="15133" spans="12:12">
      <c r="L15133"/>
    </row>
    <row r="15134" spans="12:12">
      <c r="L15134"/>
    </row>
    <row r="15135" spans="12:12">
      <c r="L15135"/>
    </row>
    <row r="15136" spans="12:12">
      <c r="L15136"/>
    </row>
    <row r="15137" spans="12:12">
      <c r="L15137"/>
    </row>
    <row r="15138" spans="12:12">
      <c r="L15138"/>
    </row>
    <row r="15139" spans="12:12">
      <c r="L15139"/>
    </row>
    <row r="15140" spans="12:12">
      <c r="L15140"/>
    </row>
    <row r="15141" spans="12:12">
      <c r="L15141"/>
    </row>
    <row r="15142" spans="12:12">
      <c r="L15142"/>
    </row>
    <row r="15143" spans="12:12">
      <c r="L15143"/>
    </row>
    <row r="15144" spans="12:12">
      <c r="L15144"/>
    </row>
    <row r="15145" spans="12:12">
      <c r="L15145"/>
    </row>
    <row r="15146" spans="12:12">
      <c r="L15146"/>
    </row>
    <row r="15147" spans="12:12">
      <c r="L15147"/>
    </row>
    <row r="15148" spans="12:12">
      <c r="L15148"/>
    </row>
    <row r="15149" spans="12:12">
      <c r="L15149"/>
    </row>
    <row r="15150" spans="12:12">
      <c r="L15150"/>
    </row>
    <row r="15151" spans="12:12">
      <c r="L15151"/>
    </row>
    <row r="15152" spans="12:12">
      <c r="L15152"/>
    </row>
    <row r="15153" spans="12:12">
      <c r="L15153"/>
    </row>
    <row r="15154" spans="12:12">
      <c r="L15154"/>
    </row>
    <row r="15155" spans="12:12">
      <c r="L15155"/>
    </row>
    <row r="15156" spans="12:12">
      <c r="L15156"/>
    </row>
    <row r="15157" spans="12:12">
      <c r="L15157"/>
    </row>
    <row r="15158" spans="12:12">
      <c r="L15158"/>
    </row>
    <row r="15159" spans="12:12">
      <c r="L15159"/>
    </row>
    <row r="15160" spans="12:12">
      <c r="L15160"/>
    </row>
    <row r="15161" spans="12:12">
      <c r="L15161"/>
    </row>
    <row r="15162" spans="12:12">
      <c r="L15162"/>
    </row>
    <row r="15163" spans="12:12">
      <c r="L15163"/>
    </row>
    <row r="15164" spans="12:12">
      <c r="L15164"/>
    </row>
    <row r="15165" spans="12:12">
      <c r="L15165"/>
    </row>
    <row r="15166" spans="12:12">
      <c r="L15166"/>
    </row>
    <row r="15167" spans="12:12">
      <c r="L15167"/>
    </row>
    <row r="15168" spans="12:12">
      <c r="L15168"/>
    </row>
    <row r="15169" spans="12:12">
      <c r="L15169"/>
    </row>
    <row r="15170" spans="12:12">
      <c r="L15170"/>
    </row>
    <row r="15171" spans="12:12">
      <c r="L15171"/>
    </row>
    <row r="15172" spans="12:12">
      <c r="L15172"/>
    </row>
    <row r="15173" spans="12:12">
      <c r="L15173"/>
    </row>
    <row r="15174" spans="12:12">
      <c r="L15174"/>
    </row>
    <row r="15175" spans="12:12">
      <c r="L15175"/>
    </row>
    <row r="15176" spans="12:12">
      <c r="L15176"/>
    </row>
    <row r="15177" spans="12:12">
      <c r="L15177"/>
    </row>
    <row r="15178" spans="12:12">
      <c r="L15178"/>
    </row>
    <row r="15179" spans="12:12">
      <c r="L15179"/>
    </row>
    <row r="15180" spans="12:12">
      <c r="L15180"/>
    </row>
    <row r="15181" spans="12:12">
      <c r="L15181"/>
    </row>
    <row r="15182" spans="12:12">
      <c r="L15182"/>
    </row>
    <row r="15183" spans="12:12">
      <c r="L15183"/>
    </row>
    <row r="15184" spans="12:12">
      <c r="L15184"/>
    </row>
    <row r="15185" spans="12:12">
      <c r="L15185"/>
    </row>
    <row r="15186" spans="12:12">
      <c r="L15186"/>
    </row>
    <row r="15187" spans="12:12">
      <c r="L15187"/>
    </row>
    <row r="15188" spans="12:12">
      <c r="L15188"/>
    </row>
    <row r="15189" spans="12:12">
      <c r="L15189"/>
    </row>
    <row r="15190" spans="12:12">
      <c r="L15190"/>
    </row>
    <row r="15191" spans="12:12">
      <c r="L15191"/>
    </row>
    <row r="15192" spans="12:12">
      <c r="L15192"/>
    </row>
    <row r="15193" spans="12:12">
      <c r="L15193"/>
    </row>
    <row r="15194" spans="12:12">
      <c r="L15194"/>
    </row>
    <row r="15195" spans="12:12">
      <c r="L15195"/>
    </row>
    <row r="15196" spans="12:12">
      <c r="L15196"/>
    </row>
    <row r="15197" spans="12:12">
      <c r="L15197"/>
    </row>
    <row r="15198" spans="12:12">
      <c r="L15198"/>
    </row>
    <row r="15199" spans="12:12">
      <c r="L15199"/>
    </row>
    <row r="15200" spans="12:12">
      <c r="L15200"/>
    </row>
    <row r="15201" spans="12:12">
      <c r="L15201"/>
    </row>
    <row r="15202" spans="12:12">
      <c r="L15202"/>
    </row>
    <row r="15203" spans="12:12">
      <c r="L15203"/>
    </row>
    <row r="15204" spans="12:12">
      <c r="L15204"/>
    </row>
    <row r="15205" spans="12:12">
      <c r="L15205"/>
    </row>
    <row r="15206" spans="12:12">
      <c r="L15206"/>
    </row>
    <row r="15207" spans="12:12">
      <c r="L15207"/>
    </row>
    <row r="15208" spans="12:12">
      <c r="L15208"/>
    </row>
    <row r="15209" spans="12:12">
      <c r="L15209"/>
    </row>
    <row r="15210" spans="12:12">
      <c r="L15210"/>
    </row>
    <row r="15211" spans="12:12">
      <c r="L15211"/>
    </row>
    <row r="15212" spans="12:12">
      <c r="L15212"/>
    </row>
    <row r="15213" spans="12:12">
      <c r="L15213"/>
    </row>
    <row r="15214" spans="12:12">
      <c r="L15214"/>
    </row>
    <row r="15215" spans="12:12">
      <c r="L15215"/>
    </row>
    <row r="15216" spans="12:12">
      <c r="L15216"/>
    </row>
    <row r="15217" spans="12:12">
      <c r="L15217"/>
    </row>
    <row r="15218" spans="12:12">
      <c r="L15218"/>
    </row>
    <row r="15219" spans="12:12">
      <c r="L15219"/>
    </row>
    <row r="15220" spans="12:12">
      <c r="L15220"/>
    </row>
    <row r="15221" spans="12:12">
      <c r="L15221"/>
    </row>
    <row r="15222" spans="12:12">
      <c r="L15222"/>
    </row>
    <row r="15223" spans="12:12">
      <c r="L15223"/>
    </row>
    <row r="15224" spans="12:12">
      <c r="L15224"/>
    </row>
    <row r="15225" spans="12:12">
      <c r="L15225"/>
    </row>
    <row r="15226" spans="12:12">
      <c r="L15226"/>
    </row>
    <row r="15227" spans="12:12">
      <c r="L15227"/>
    </row>
    <row r="15228" spans="12:12">
      <c r="L15228"/>
    </row>
    <row r="15229" spans="12:12">
      <c r="L15229"/>
    </row>
    <row r="15230" spans="12:12">
      <c r="L15230"/>
    </row>
    <row r="15231" spans="12:12">
      <c r="L15231"/>
    </row>
    <row r="15232" spans="12:12">
      <c r="L15232"/>
    </row>
    <row r="15233" spans="12:12">
      <c r="L15233"/>
    </row>
    <row r="15234" spans="12:12">
      <c r="L15234"/>
    </row>
    <row r="15235" spans="12:12">
      <c r="L15235"/>
    </row>
    <row r="15236" spans="12:12">
      <c r="L15236"/>
    </row>
    <row r="15237" spans="12:12">
      <c r="L15237"/>
    </row>
    <row r="15238" spans="12:12">
      <c r="L15238"/>
    </row>
    <row r="15239" spans="12:12">
      <c r="L15239"/>
    </row>
    <row r="15240" spans="12:12">
      <c r="L15240"/>
    </row>
    <row r="15241" spans="12:12">
      <c r="L15241"/>
    </row>
    <row r="15242" spans="12:12">
      <c r="L15242"/>
    </row>
    <row r="15243" spans="12:12">
      <c r="L15243"/>
    </row>
    <row r="15244" spans="12:12">
      <c r="L15244"/>
    </row>
    <row r="15245" spans="12:12">
      <c r="L15245"/>
    </row>
    <row r="15246" spans="12:12">
      <c r="L15246"/>
    </row>
    <row r="15247" spans="12:12">
      <c r="L15247"/>
    </row>
    <row r="15248" spans="12:12">
      <c r="L15248"/>
    </row>
    <row r="15249" spans="12:12">
      <c r="L15249"/>
    </row>
    <row r="15250" spans="12:12">
      <c r="L15250"/>
    </row>
    <row r="15251" spans="12:12">
      <c r="L15251"/>
    </row>
    <row r="15252" spans="12:12">
      <c r="L15252"/>
    </row>
    <row r="15253" spans="12:12">
      <c r="L15253"/>
    </row>
    <row r="15254" spans="12:12">
      <c r="L15254"/>
    </row>
    <row r="15255" spans="12:12">
      <c r="L15255"/>
    </row>
    <row r="15256" spans="12:12">
      <c r="L15256"/>
    </row>
    <row r="15257" spans="12:12">
      <c r="L15257"/>
    </row>
    <row r="15258" spans="12:12">
      <c r="L15258"/>
    </row>
    <row r="15259" spans="12:12">
      <c r="L15259"/>
    </row>
    <row r="15260" spans="12:12">
      <c r="L15260"/>
    </row>
    <row r="15261" spans="12:12">
      <c r="L15261"/>
    </row>
    <row r="15262" spans="12:12">
      <c r="L15262"/>
    </row>
    <row r="15263" spans="12:12">
      <c r="L15263"/>
    </row>
    <row r="15264" spans="12:12">
      <c r="L15264"/>
    </row>
    <row r="15265" spans="12:12">
      <c r="L15265"/>
    </row>
    <row r="15266" spans="12:12">
      <c r="L15266"/>
    </row>
    <row r="15267" spans="12:12">
      <c r="L15267"/>
    </row>
    <row r="15268" spans="12:12">
      <c r="L15268"/>
    </row>
    <row r="15269" spans="12:12">
      <c r="L15269"/>
    </row>
    <row r="15270" spans="12:12">
      <c r="L15270"/>
    </row>
    <row r="15271" spans="12:12">
      <c r="L15271"/>
    </row>
    <row r="15272" spans="12:12">
      <c r="L15272"/>
    </row>
    <row r="15273" spans="12:12">
      <c r="L15273"/>
    </row>
    <row r="15274" spans="12:12">
      <c r="L15274"/>
    </row>
    <row r="15275" spans="12:12">
      <c r="L15275"/>
    </row>
    <row r="15276" spans="12:12">
      <c r="L15276"/>
    </row>
    <row r="15277" spans="12:12">
      <c r="L15277"/>
    </row>
    <row r="15278" spans="12:12">
      <c r="L15278"/>
    </row>
    <row r="15279" spans="12:12">
      <c r="L15279"/>
    </row>
    <row r="15280" spans="12:12">
      <c r="L15280"/>
    </row>
    <row r="15281" spans="12:12">
      <c r="L15281"/>
    </row>
    <row r="15282" spans="12:12">
      <c r="L15282"/>
    </row>
    <row r="15283" spans="12:12">
      <c r="L15283"/>
    </row>
    <row r="15284" spans="12:12">
      <c r="L15284"/>
    </row>
    <row r="15285" spans="12:12">
      <c r="L15285"/>
    </row>
    <row r="15286" spans="12:12">
      <c r="L15286"/>
    </row>
    <row r="15287" spans="12:12">
      <c r="L15287"/>
    </row>
    <row r="15288" spans="12:12">
      <c r="L15288"/>
    </row>
    <row r="15289" spans="12:12">
      <c r="L15289"/>
    </row>
    <row r="15290" spans="12:12">
      <c r="L15290"/>
    </row>
    <row r="15291" spans="12:12">
      <c r="L15291"/>
    </row>
    <row r="15292" spans="12:12">
      <c r="L15292"/>
    </row>
    <row r="15293" spans="12:12">
      <c r="L15293"/>
    </row>
    <row r="15294" spans="12:12">
      <c r="L15294"/>
    </row>
    <row r="15295" spans="12:12">
      <c r="L15295"/>
    </row>
    <row r="15296" spans="12:12">
      <c r="L15296"/>
    </row>
    <row r="15297" spans="12:12">
      <c r="L15297"/>
    </row>
    <row r="15298" spans="12:12">
      <c r="L15298"/>
    </row>
    <row r="15299" spans="12:12">
      <c r="L15299"/>
    </row>
    <row r="15300" spans="12:12">
      <c r="L15300"/>
    </row>
    <row r="15301" spans="12:12">
      <c r="L15301"/>
    </row>
    <row r="15302" spans="12:12">
      <c r="L15302"/>
    </row>
    <row r="15303" spans="12:12">
      <c r="L15303"/>
    </row>
    <row r="15304" spans="12:12">
      <c r="L15304"/>
    </row>
    <row r="15305" spans="12:12">
      <c r="L15305"/>
    </row>
    <row r="15306" spans="12:12">
      <c r="L15306"/>
    </row>
    <row r="15307" spans="12:12">
      <c r="L15307"/>
    </row>
    <row r="15308" spans="12:12">
      <c r="L15308"/>
    </row>
    <row r="15309" spans="12:12">
      <c r="L15309"/>
    </row>
    <row r="15310" spans="12:12">
      <c r="L15310"/>
    </row>
    <row r="15311" spans="12:12">
      <c r="L15311"/>
    </row>
    <row r="15312" spans="12:12">
      <c r="L15312"/>
    </row>
    <row r="15313" spans="12:12">
      <c r="L15313"/>
    </row>
    <row r="15314" spans="12:12">
      <c r="L15314"/>
    </row>
    <row r="15315" spans="12:12">
      <c r="L15315"/>
    </row>
    <row r="15316" spans="12:12">
      <c r="L15316"/>
    </row>
    <row r="15317" spans="12:12">
      <c r="L15317"/>
    </row>
    <row r="15318" spans="12:12">
      <c r="L15318"/>
    </row>
    <row r="15319" spans="12:12">
      <c r="L15319"/>
    </row>
    <row r="15320" spans="12:12">
      <c r="L15320"/>
    </row>
    <row r="15321" spans="12:12">
      <c r="L15321"/>
    </row>
    <row r="15322" spans="12:12">
      <c r="L15322"/>
    </row>
    <row r="15323" spans="12:12">
      <c r="L15323"/>
    </row>
    <row r="15324" spans="12:12">
      <c r="L15324"/>
    </row>
    <row r="15325" spans="12:12">
      <c r="L15325"/>
    </row>
    <row r="15326" spans="12:12">
      <c r="L15326"/>
    </row>
    <row r="15327" spans="12:12">
      <c r="L15327"/>
    </row>
    <row r="15328" spans="12:12">
      <c r="L15328"/>
    </row>
    <row r="15329" spans="12:12">
      <c r="L15329"/>
    </row>
    <row r="15330" spans="12:12">
      <c r="L15330"/>
    </row>
    <row r="15331" spans="12:12">
      <c r="L15331"/>
    </row>
    <row r="15332" spans="12:12">
      <c r="L15332"/>
    </row>
    <row r="15333" spans="12:12">
      <c r="L15333"/>
    </row>
    <row r="15334" spans="12:12">
      <c r="L15334"/>
    </row>
    <row r="15335" spans="12:12">
      <c r="L15335"/>
    </row>
    <row r="15336" spans="12:12">
      <c r="L15336"/>
    </row>
    <row r="15337" spans="12:12">
      <c r="L15337"/>
    </row>
    <row r="15338" spans="12:12">
      <c r="L15338"/>
    </row>
    <row r="15339" spans="12:12">
      <c r="L15339"/>
    </row>
    <row r="15340" spans="12:12">
      <c r="L15340"/>
    </row>
    <row r="15341" spans="12:12">
      <c r="L15341"/>
    </row>
    <row r="15342" spans="12:12">
      <c r="L15342"/>
    </row>
    <row r="15343" spans="12:12">
      <c r="L15343"/>
    </row>
    <row r="15344" spans="12:12">
      <c r="L15344"/>
    </row>
    <row r="15345" spans="12:12">
      <c r="L15345"/>
    </row>
    <row r="15346" spans="12:12">
      <c r="L15346"/>
    </row>
    <row r="15347" spans="12:12">
      <c r="L15347"/>
    </row>
    <row r="15348" spans="12:12">
      <c r="L15348"/>
    </row>
    <row r="15349" spans="12:12">
      <c r="L15349"/>
    </row>
    <row r="15350" spans="12:12">
      <c r="L15350"/>
    </row>
    <row r="15351" spans="12:12">
      <c r="L15351"/>
    </row>
    <row r="15352" spans="12:12">
      <c r="L15352"/>
    </row>
    <row r="15353" spans="12:12">
      <c r="L15353"/>
    </row>
    <row r="15354" spans="12:12">
      <c r="L15354"/>
    </row>
    <row r="15355" spans="12:12">
      <c r="L15355"/>
    </row>
    <row r="15356" spans="12:12">
      <c r="L15356"/>
    </row>
    <row r="15357" spans="12:12">
      <c r="L15357"/>
    </row>
    <row r="15358" spans="12:12">
      <c r="L15358"/>
    </row>
    <row r="15359" spans="12:12">
      <c r="L15359"/>
    </row>
    <row r="15360" spans="12:12">
      <c r="L15360"/>
    </row>
    <row r="15361" spans="12:12">
      <c r="L15361"/>
    </row>
    <row r="15362" spans="12:12">
      <c r="L15362"/>
    </row>
    <row r="15363" spans="12:12">
      <c r="L15363"/>
    </row>
    <row r="15364" spans="12:12">
      <c r="L15364"/>
    </row>
    <row r="15365" spans="12:12">
      <c r="L15365"/>
    </row>
    <row r="15366" spans="12:12">
      <c r="L15366"/>
    </row>
    <row r="15367" spans="12:12">
      <c r="L15367"/>
    </row>
    <row r="15368" spans="12:12">
      <c r="L15368"/>
    </row>
    <row r="15369" spans="12:12">
      <c r="L15369"/>
    </row>
    <row r="15370" spans="12:12">
      <c r="L15370"/>
    </row>
    <row r="15371" spans="12:12">
      <c r="L15371"/>
    </row>
    <row r="15372" spans="12:12">
      <c r="L15372"/>
    </row>
    <row r="15373" spans="12:12">
      <c r="L15373"/>
    </row>
    <row r="15374" spans="12:12">
      <c r="L15374"/>
    </row>
    <row r="15375" spans="12:12">
      <c r="L15375"/>
    </row>
    <row r="15376" spans="12:12">
      <c r="L15376"/>
    </row>
    <row r="15377" spans="12:12">
      <c r="L15377"/>
    </row>
    <row r="15378" spans="12:12">
      <c r="L15378"/>
    </row>
    <row r="15379" spans="12:12">
      <c r="L15379"/>
    </row>
    <row r="15380" spans="12:12">
      <c r="L15380"/>
    </row>
    <row r="15381" spans="12:12">
      <c r="L15381"/>
    </row>
    <row r="15382" spans="12:12">
      <c r="L15382"/>
    </row>
    <row r="15383" spans="12:12">
      <c r="L15383"/>
    </row>
    <row r="15384" spans="12:12">
      <c r="L15384"/>
    </row>
    <row r="15385" spans="12:12">
      <c r="L15385"/>
    </row>
    <row r="15386" spans="12:12">
      <c r="L15386"/>
    </row>
    <row r="15387" spans="12:12">
      <c r="L15387"/>
    </row>
    <row r="15388" spans="12:12">
      <c r="L15388"/>
    </row>
    <row r="15389" spans="12:12">
      <c r="L15389"/>
    </row>
    <row r="15390" spans="12:12">
      <c r="L15390"/>
    </row>
    <row r="15391" spans="12:12">
      <c r="L15391"/>
    </row>
    <row r="15392" spans="12:12">
      <c r="L15392"/>
    </row>
    <row r="15393" spans="12:12">
      <c r="L15393"/>
    </row>
    <row r="15394" spans="12:12">
      <c r="L15394"/>
    </row>
    <row r="15395" spans="12:12">
      <c r="L15395"/>
    </row>
    <row r="15396" spans="12:12">
      <c r="L15396"/>
    </row>
    <row r="15397" spans="12:12">
      <c r="L15397"/>
    </row>
    <row r="15398" spans="12:12">
      <c r="L15398"/>
    </row>
    <row r="15399" spans="12:12">
      <c r="L15399"/>
    </row>
    <row r="15400" spans="12:12">
      <c r="L15400"/>
    </row>
    <row r="15401" spans="12:12">
      <c r="L15401"/>
    </row>
    <row r="15402" spans="12:12">
      <c r="L15402"/>
    </row>
    <row r="15403" spans="12:12">
      <c r="L15403"/>
    </row>
    <row r="15404" spans="12:12">
      <c r="L15404"/>
    </row>
    <row r="15405" spans="12:12">
      <c r="L15405"/>
    </row>
    <row r="15406" spans="12:12">
      <c r="L15406"/>
    </row>
    <row r="15407" spans="12:12">
      <c r="L15407"/>
    </row>
    <row r="15408" spans="12:12">
      <c r="L15408"/>
    </row>
    <row r="15409" spans="12:12">
      <c r="L15409"/>
    </row>
    <row r="15410" spans="12:12">
      <c r="L15410"/>
    </row>
    <row r="15411" spans="12:12">
      <c r="L15411"/>
    </row>
    <row r="15412" spans="12:12">
      <c r="L15412"/>
    </row>
    <row r="15413" spans="12:12">
      <c r="L15413"/>
    </row>
    <row r="15414" spans="12:12">
      <c r="L15414"/>
    </row>
    <row r="15415" spans="12:12">
      <c r="L15415"/>
    </row>
    <row r="15416" spans="12:12">
      <c r="L15416"/>
    </row>
    <row r="15417" spans="12:12">
      <c r="L15417"/>
    </row>
    <row r="15418" spans="12:12">
      <c r="L15418"/>
    </row>
    <row r="15419" spans="12:12">
      <c r="L15419"/>
    </row>
    <row r="15420" spans="12:12">
      <c r="L15420"/>
    </row>
    <row r="15421" spans="12:12">
      <c r="L15421"/>
    </row>
    <row r="15422" spans="12:12">
      <c r="L15422"/>
    </row>
    <row r="15423" spans="12:12">
      <c r="L15423"/>
    </row>
    <row r="15424" spans="12:12">
      <c r="L15424"/>
    </row>
    <row r="15425" spans="12:12">
      <c r="L15425"/>
    </row>
    <row r="15426" spans="12:12">
      <c r="L15426"/>
    </row>
    <row r="15427" spans="12:12">
      <c r="L15427"/>
    </row>
    <row r="15428" spans="12:12">
      <c r="L15428"/>
    </row>
    <row r="15429" spans="12:12">
      <c r="L15429"/>
    </row>
    <row r="15430" spans="12:12">
      <c r="L15430"/>
    </row>
    <row r="15431" spans="12:12">
      <c r="L15431"/>
    </row>
    <row r="15432" spans="12:12">
      <c r="L15432"/>
    </row>
    <row r="15433" spans="12:12">
      <c r="L15433"/>
    </row>
    <row r="15434" spans="12:12">
      <c r="L15434"/>
    </row>
    <row r="15435" spans="12:12">
      <c r="L15435"/>
    </row>
    <row r="15436" spans="12:12">
      <c r="L15436"/>
    </row>
    <row r="15437" spans="12:12">
      <c r="L15437"/>
    </row>
    <row r="15438" spans="12:12">
      <c r="L15438"/>
    </row>
    <row r="15439" spans="12:12">
      <c r="L15439"/>
    </row>
    <row r="15440" spans="12:12">
      <c r="L15440"/>
    </row>
    <row r="15441" spans="12:12">
      <c r="L15441"/>
    </row>
    <row r="15442" spans="12:12">
      <c r="L15442"/>
    </row>
    <row r="15443" spans="12:12">
      <c r="L15443"/>
    </row>
    <row r="15444" spans="12:12">
      <c r="L15444"/>
    </row>
    <row r="15445" spans="12:12">
      <c r="L15445"/>
    </row>
    <row r="15446" spans="12:12">
      <c r="L15446"/>
    </row>
    <row r="15447" spans="12:12">
      <c r="L15447"/>
    </row>
    <row r="15448" spans="12:12">
      <c r="L15448"/>
    </row>
    <row r="15449" spans="12:12">
      <c r="L15449"/>
    </row>
    <row r="15450" spans="12:12">
      <c r="L15450"/>
    </row>
    <row r="15451" spans="12:12">
      <c r="L15451"/>
    </row>
    <row r="15452" spans="12:12">
      <c r="L15452"/>
    </row>
    <row r="15453" spans="12:12">
      <c r="L15453"/>
    </row>
    <row r="15454" spans="12:12">
      <c r="L15454"/>
    </row>
    <row r="15455" spans="12:12">
      <c r="L15455"/>
    </row>
    <row r="15456" spans="12:12">
      <c r="L15456"/>
    </row>
    <row r="15457" spans="12:12">
      <c r="L15457"/>
    </row>
    <row r="15458" spans="12:12">
      <c r="L15458"/>
    </row>
    <row r="15459" spans="12:12">
      <c r="L15459"/>
    </row>
    <row r="15460" spans="12:12">
      <c r="L15460"/>
    </row>
    <row r="15461" spans="12:12">
      <c r="L15461"/>
    </row>
    <row r="15462" spans="12:12">
      <c r="L15462"/>
    </row>
    <row r="15463" spans="12:12">
      <c r="L15463"/>
    </row>
    <row r="15464" spans="12:12">
      <c r="L15464"/>
    </row>
    <row r="15465" spans="12:12">
      <c r="L15465"/>
    </row>
    <row r="15466" spans="12:12">
      <c r="L15466"/>
    </row>
    <row r="15467" spans="12:12">
      <c r="L15467"/>
    </row>
    <row r="15468" spans="12:12">
      <c r="L15468"/>
    </row>
    <row r="15469" spans="12:12">
      <c r="L15469"/>
    </row>
    <row r="15470" spans="12:12">
      <c r="L15470"/>
    </row>
    <row r="15471" spans="12:12">
      <c r="L15471"/>
    </row>
    <row r="15472" spans="12:12">
      <c r="L15472"/>
    </row>
    <row r="15473" spans="12:12">
      <c r="L15473"/>
    </row>
    <row r="15474" spans="12:12">
      <c r="L15474"/>
    </row>
    <row r="15475" spans="12:12">
      <c r="L15475"/>
    </row>
    <row r="15476" spans="12:12">
      <c r="L15476"/>
    </row>
    <row r="15477" spans="12:12">
      <c r="L15477"/>
    </row>
    <row r="15478" spans="12:12">
      <c r="L15478"/>
    </row>
    <row r="15479" spans="12:12">
      <c r="L15479"/>
    </row>
    <row r="15480" spans="12:12">
      <c r="L15480"/>
    </row>
    <row r="15481" spans="12:12">
      <c r="L15481"/>
    </row>
    <row r="15482" spans="12:12">
      <c r="L15482"/>
    </row>
    <row r="15483" spans="12:12">
      <c r="L15483"/>
    </row>
    <row r="15484" spans="12:12">
      <c r="L15484"/>
    </row>
    <row r="15485" spans="12:12">
      <c r="L15485"/>
    </row>
    <row r="15486" spans="12:12">
      <c r="L15486"/>
    </row>
    <row r="15487" spans="12:12">
      <c r="L15487"/>
    </row>
    <row r="15488" spans="12:12">
      <c r="L15488"/>
    </row>
    <row r="15489" spans="12:12">
      <c r="L15489"/>
    </row>
    <row r="15490" spans="12:12">
      <c r="L15490"/>
    </row>
    <row r="15491" spans="12:12">
      <c r="L15491"/>
    </row>
    <row r="15492" spans="12:12">
      <c r="L15492"/>
    </row>
    <row r="15493" spans="12:12">
      <c r="L15493"/>
    </row>
    <row r="15494" spans="12:12">
      <c r="L15494"/>
    </row>
    <row r="15495" spans="12:12">
      <c r="L15495"/>
    </row>
    <row r="15496" spans="12:12">
      <c r="L15496"/>
    </row>
    <row r="15497" spans="12:12">
      <c r="L15497"/>
    </row>
    <row r="15498" spans="12:12">
      <c r="L15498"/>
    </row>
    <row r="15499" spans="12:12">
      <c r="L15499"/>
    </row>
    <row r="15500" spans="12:12">
      <c r="L15500"/>
    </row>
    <row r="15501" spans="12:12">
      <c r="L15501"/>
    </row>
    <row r="15502" spans="12:12">
      <c r="L15502"/>
    </row>
    <row r="15503" spans="12:12">
      <c r="L15503"/>
    </row>
    <row r="15504" spans="12:12">
      <c r="L15504"/>
    </row>
    <row r="15505" spans="12:12">
      <c r="L15505"/>
    </row>
    <row r="15506" spans="12:12">
      <c r="L15506"/>
    </row>
    <row r="15507" spans="12:12">
      <c r="L15507"/>
    </row>
    <row r="15508" spans="12:12">
      <c r="L15508"/>
    </row>
    <row r="15509" spans="12:12">
      <c r="L15509"/>
    </row>
    <row r="15510" spans="12:12">
      <c r="L15510"/>
    </row>
    <row r="15511" spans="12:12">
      <c r="L15511"/>
    </row>
    <row r="15512" spans="12:12">
      <c r="L15512"/>
    </row>
    <row r="15513" spans="12:12">
      <c r="L15513"/>
    </row>
    <row r="15514" spans="12:12">
      <c r="L15514"/>
    </row>
    <row r="15515" spans="12:12">
      <c r="L15515"/>
    </row>
    <row r="15516" spans="12:12">
      <c r="L15516"/>
    </row>
    <row r="15517" spans="12:12">
      <c r="L15517"/>
    </row>
    <row r="15518" spans="12:12">
      <c r="L15518"/>
    </row>
    <row r="15519" spans="12:12">
      <c r="L15519"/>
    </row>
    <row r="15520" spans="12:12">
      <c r="L15520"/>
    </row>
    <row r="15521" spans="12:12">
      <c r="L15521"/>
    </row>
    <row r="15522" spans="12:12">
      <c r="L15522"/>
    </row>
    <row r="15523" spans="12:12">
      <c r="L15523"/>
    </row>
    <row r="15524" spans="12:12">
      <c r="L15524"/>
    </row>
    <row r="15525" spans="12:12">
      <c r="L15525"/>
    </row>
    <row r="15526" spans="12:12">
      <c r="L15526"/>
    </row>
    <row r="15527" spans="12:12">
      <c r="L15527"/>
    </row>
    <row r="15528" spans="12:12">
      <c r="L15528"/>
    </row>
    <row r="15529" spans="12:12">
      <c r="L15529"/>
    </row>
    <row r="15530" spans="12:12">
      <c r="L15530"/>
    </row>
    <row r="15531" spans="12:12">
      <c r="L15531"/>
    </row>
    <row r="15532" spans="12:12">
      <c r="L15532"/>
    </row>
    <row r="15533" spans="12:12">
      <c r="L15533"/>
    </row>
    <row r="15534" spans="12:12">
      <c r="L15534"/>
    </row>
    <row r="15535" spans="12:12">
      <c r="L15535"/>
    </row>
    <row r="15536" spans="12:12">
      <c r="L15536"/>
    </row>
    <row r="15537" spans="12:12">
      <c r="L15537"/>
    </row>
    <row r="15538" spans="12:12">
      <c r="L15538"/>
    </row>
    <row r="15539" spans="12:12">
      <c r="L15539"/>
    </row>
    <row r="15540" spans="12:12">
      <c r="L15540"/>
    </row>
    <row r="15541" spans="12:12">
      <c r="L15541"/>
    </row>
    <row r="15542" spans="12:12">
      <c r="L15542"/>
    </row>
    <row r="15543" spans="12:12">
      <c r="L15543"/>
    </row>
    <row r="15544" spans="12:12">
      <c r="L15544"/>
    </row>
    <row r="15545" spans="12:12">
      <c r="L15545"/>
    </row>
    <row r="15546" spans="12:12">
      <c r="L15546"/>
    </row>
    <row r="15547" spans="12:12">
      <c r="L15547"/>
    </row>
    <row r="15548" spans="12:12">
      <c r="L15548"/>
    </row>
    <row r="15549" spans="12:12">
      <c r="L15549"/>
    </row>
    <row r="15550" spans="12:12">
      <c r="L15550"/>
    </row>
    <row r="15551" spans="12:12">
      <c r="L15551"/>
    </row>
    <row r="15552" spans="12:12">
      <c r="L15552"/>
    </row>
    <row r="15553" spans="12:12">
      <c r="L15553"/>
    </row>
    <row r="15554" spans="12:12">
      <c r="L15554"/>
    </row>
    <row r="15555" spans="12:12">
      <c r="L15555"/>
    </row>
    <row r="15556" spans="12:12">
      <c r="L15556"/>
    </row>
    <row r="15557" spans="12:12">
      <c r="L15557"/>
    </row>
    <row r="15558" spans="12:12">
      <c r="L15558"/>
    </row>
    <row r="15559" spans="12:12">
      <c r="L15559"/>
    </row>
    <row r="15560" spans="12:12">
      <c r="L15560"/>
    </row>
    <row r="15561" spans="12:12">
      <c r="L15561"/>
    </row>
    <row r="15562" spans="12:12">
      <c r="L15562"/>
    </row>
    <row r="15563" spans="12:12">
      <c r="L15563"/>
    </row>
    <row r="15564" spans="12:12">
      <c r="L15564"/>
    </row>
    <row r="15565" spans="12:12">
      <c r="L15565"/>
    </row>
    <row r="15566" spans="12:12">
      <c r="L15566"/>
    </row>
    <row r="15567" spans="12:12">
      <c r="L15567"/>
    </row>
    <row r="15568" spans="12:12">
      <c r="L15568"/>
    </row>
    <row r="15569" spans="12:12">
      <c r="L15569"/>
    </row>
    <row r="15570" spans="12:12">
      <c r="L15570"/>
    </row>
    <row r="15571" spans="12:12">
      <c r="L15571"/>
    </row>
    <row r="15572" spans="12:12">
      <c r="L15572"/>
    </row>
    <row r="15573" spans="12:12">
      <c r="L15573"/>
    </row>
    <row r="15574" spans="12:12">
      <c r="L15574"/>
    </row>
    <row r="15575" spans="12:12">
      <c r="L15575"/>
    </row>
    <row r="15576" spans="12:12">
      <c r="L15576"/>
    </row>
    <row r="15577" spans="12:12">
      <c r="L15577"/>
    </row>
    <row r="15578" spans="12:12">
      <c r="L15578"/>
    </row>
    <row r="15579" spans="12:12">
      <c r="L15579"/>
    </row>
    <row r="15580" spans="12:12">
      <c r="L15580"/>
    </row>
    <row r="15581" spans="12:12">
      <c r="L15581"/>
    </row>
    <row r="15582" spans="12:12">
      <c r="L15582"/>
    </row>
    <row r="15583" spans="12:12">
      <c r="L15583"/>
    </row>
    <row r="15584" spans="12:12">
      <c r="L15584"/>
    </row>
    <row r="15585" spans="12:12">
      <c r="L15585"/>
    </row>
    <row r="15586" spans="12:12">
      <c r="L15586"/>
    </row>
    <row r="15587" spans="12:12">
      <c r="L15587"/>
    </row>
    <row r="15588" spans="12:12">
      <c r="L15588"/>
    </row>
    <row r="15589" spans="12:12">
      <c r="L15589"/>
    </row>
    <row r="15590" spans="12:12">
      <c r="L15590"/>
    </row>
    <row r="15591" spans="12:12">
      <c r="L15591"/>
    </row>
    <row r="15592" spans="12:12">
      <c r="L15592"/>
    </row>
    <row r="15593" spans="12:12">
      <c r="L15593"/>
    </row>
    <row r="15594" spans="12:12">
      <c r="L15594"/>
    </row>
    <row r="15595" spans="12:12">
      <c r="L15595"/>
    </row>
    <row r="15596" spans="12:12">
      <c r="L15596"/>
    </row>
    <row r="15597" spans="12:12">
      <c r="L15597"/>
    </row>
    <row r="15598" spans="12:12">
      <c r="L15598"/>
    </row>
    <row r="15599" spans="12:12">
      <c r="L15599"/>
    </row>
    <row r="15600" spans="12:12">
      <c r="L15600"/>
    </row>
    <row r="15601" spans="12:12">
      <c r="L15601"/>
    </row>
    <row r="15602" spans="12:12">
      <c r="L15602"/>
    </row>
    <row r="15603" spans="12:12">
      <c r="L15603"/>
    </row>
    <row r="15604" spans="12:12">
      <c r="L15604"/>
    </row>
    <row r="15605" spans="12:12">
      <c r="L15605"/>
    </row>
    <row r="15606" spans="12:12">
      <c r="L15606"/>
    </row>
    <row r="15607" spans="12:12">
      <c r="L15607"/>
    </row>
    <row r="15608" spans="12:12">
      <c r="L15608"/>
    </row>
    <row r="15609" spans="12:12">
      <c r="L15609"/>
    </row>
    <row r="15610" spans="12:12">
      <c r="L15610"/>
    </row>
    <row r="15611" spans="12:12">
      <c r="L15611"/>
    </row>
    <row r="15612" spans="12:12">
      <c r="L15612"/>
    </row>
    <row r="15613" spans="12:12">
      <c r="L15613"/>
    </row>
    <row r="15614" spans="12:12">
      <c r="L15614"/>
    </row>
    <row r="15615" spans="12:12">
      <c r="L15615"/>
    </row>
    <row r="15616" spans="12:12">
      <c r="L15616"/>
    </row>
    <row r="15617" spans="12:12">
      <c r="L15617"/>
    </row>
    <row r="15618" spans="12:12">
      <c r="L15618"/>
    </row>
    <row r="15619" spans="12:12">
      <c r="L15619"/>
    </row>
    <row r="15620" spans="12:12">
      <c r="L15620"/>
    </row>
    <row r="15621" spans="12:12">
      <c r="L15621"/>
    </row>
    <row r="15622" spans="12:12">
      <c r="L15622"/>
    </row>
    <row r="15623" spans="12:12">
      <c r="L15623"/>
    </row>
    <row r="15624" spans="12:12">
      <c r="L15624"/>
    </row>
    <row r="15625" spans="12:12">
      <c r="L15625"/>
    </row>
    <row r="15626" spans="12:12">
      <c r="L15626"/>
    </row>
    <row r="15627" spans="12:12">
      <c r="L15627"/>
    </row>
    <row r="15628" spans="12:12">
      <c r="L15628"/>
    </row>
    <row r="15629" spans="12:12">
      <c r="L15629"/>
    </row>
    <row r="15630" spans="12:12">
      <c r="L15630"/>
    </row>
    <row r="15631" spans="12:12">
      <c r="L15631"/>
    </row>
    <row r="15632" spans="12:12">
      <c r="L15632"/>
    </row>
    <row r="15633" spans="12:12">
      <c r="L15633"/>
    </row>
    <row r="15634" spans="12:12">
      <c r="L15634"/>
    </row>
    <row r="15635" spans="12:12">
      <c r="L15635"/>
    </row>
    <row r="15636" spans="12:12">
      <c r="L15636"/>
    </row>
    <row r="15637" spans="12:12">
      <c r="L15637"/>
    </row>
    <row r="15638" spans="12:12">
      <c r="L15638"/>
    </row>
    <row r="15639" spans="12:12">
      <c r="L15639"/>
    </row>
    <row r="15640" spans="12:12">
      <c r="L15640"/>
    </row>
    <row r="15641" spans="12:12">
      <c r="L15641"/>
    </row>
    <row r="15642" spans="12:12">
      <c r="L15642"/>
    </row>
    <row r="15643" spans="12:12">
      <c r="L15643"/>
    </row>
    <row r="15644" spans="12:12">
      <c r="L15644"/>
    </row>
    <row r="15645" spans="12:12">
      <c r="L15645"/>
    </row>
    <row r="15646" spans="12:12">
      <c r="L15646"/>
    </row>
    <row r="15647" spans="12:12">
      <c r="L15647"/>
    </row>
    <row r="15648" spans="12:12">
      <c r="L15648"/>
    </row>
    <row r="15649" spans="12:12">
      <c r="L15649"/>
    </row>
    <row r="15650" spans="12:12">
      <c r="L15650"/>
    </row>
    <row r="15651" spans="12:12">
      <c r="L15651"/>
    </row>
    <row r="15652" spans="12:12">
      <c r="L15652"/>
    </row>
    <row r="15653" spans="12:12">
      <c r="L15653"/>
    </row>
    <row r="15654" spans="12:12">
      <c r="L15654"/>
    </row>
    <row r="15655" spans="12:12">
      <c r="L15655"/>
    </row>
    <row r="15656" spans="12:12">
      <c r="L15656"/>
    </row>
    <row r="15657" spans="12:12">
      <c r="L15657"/>
    </row>
    <row r="15658" spans="12:12">
      <c r="L15658"/>
    </row>
    <row r="15659" spans="12:12">
      <c r="L15659"/>
    </row>
    <row r="15660" spans="12:12">
      <c r="L15660"/>
    </row>
    <row r="15661" spans="12:12">
      <c r="L15661"/>
    </row>
    <row r="15662" spans="12:12">
      <c r="L15662"/>
    </row>
    <row r="15663" spans="12:12">
      <c r="L15663"/>
    </row>
    <row r="15664" spans="12:12">
      <c r="L15664"/>
    </row>
    <row r="15665" spans="12:12">
      <c r="L15665"/>
    </row>
    <row r="15666" spans="12:12">
      <c r="L15666"/>
    </row>
    <row r="15667" spans="12:12">
      <c r="L15667"/>
    </row>
    <row r="15668" spans="12:12">
      <c r="L15668"/>
    </row>
    <row r="15669" spans="12:12">
      <c r="L15669"/>
    </row>
    <row r="15670" spans="12:12">
      <c r="L15670"/>
    </row>
    <row r="15671" spans="12:12">
      <c r="L15671"/>
    </row>
    <row r="15672" spans="12:12">
      <c r="L15672"/>
    </row>
    <row r="15673" spans="12:12">
      <c r="L15673"/>
    </row>
    <row r="15674" spans="12:12">
      <c r="L15674"/>
    </row>
    <row r="15675" spans="12:12">
      <c r="L15675"/>
    </row>
    <row r="15676" spans="12:12">
      <c r="L15676"/>
    </row>
    <row r="15677" spans="12:12">
      <c r="L15677"/>
    </row>
    <row r="15678" spans="12:12">
      <c r="L15678"/>
    </row>
    <row r="15679" spans="12:12">
      <c r="L15679"/>
    </row>
    <row r="15680" spans="12:12">
      <c r="L15680"/>
    </row>
    <row r="15681" spans="12:12">
      <c r="L15681"/>
    </row>
    <row r="15682" spans="12:12">
      <c r="L15682"/>
    </row>
    <row r="15683" spans="12:12">
      <c r="L15683"/>
    </row>
    <row r="15684" spans="12:12">
      <c r="L15684"/>
    </row>
    <row r="15685" spans="12:12">
      <c r="L15685"/>
    </row>
    <row r="15686" spans="12:12">
      <c r="L15686"/>
    </row>
    <row r="15687" spans="12:12">
      <c r="L15687"/>
    </row>
    <row r="15688" spans="12:12">
      <c r="L15688"/>
    </row>
    <row r="15689" spans="12:12">
      <c r="L15689"/>
    </row>
    <row r="15690" spans="12:12">
      <c r="L15690"/>
    </row>
    <row r="15691" spans="12:12">
      <c r="L15691"/>
    </row>
    <row r="15692" spans="12:12">
      <c r="L15692"/>
    </row>
    <row r="15693" spans="12:12">
      <c r="L15693"/>
    </row>
    <row r="15694" spans="12:12">
      <c r="L15694"/>
    </row>
    <row r="15695" spans="12:12">
      <c r="L15695"/>
    </row>
    <row r="15696" spans="12:12">
      <c r="L15696"/>
    </row>
    <row r="15697" spans="12:12">
      <c r="L15697"/>
    </row>
    <row r="15698" spans="12:12">
      <c r="L15698"/>
    </row>
    <row r="15699" spans="12:12">
      <c r="L15699"/>
    </row>
    <row r="15700" spans="12:12">
      <c r="L15700"/>
    </row>
    <row r="15701" spans="12:12">
      <c r="L15701"/>
    </row>
    <row r="15702" spans="12:12">
      <c r="L15702"/>
    </row>
    <row r="15703" spans="12:12">
      <c r="L15703"/>
    </row>
    <row r="15704" spans="12:12">
      <c r="L15704"/>
    </row>
    <row r="15705" spans="12:12">
      <c r="L15705"/>
    </row>
    <row r="15706" spans="12:12">
      <c r="L15706"/>
    </row>
    <row r="15707" spans="12:12">
      <c r="L15707"/>
    </row>
    <row r="15708" spans="12:12">
      <c r="L15708"/>
    </row>
    <row r="15709" spans="12:12">
      <c r="L15709"/>
    </row>
    <row r="15710" spans="12:12">
      <c r="L15710"/>
    </row>
    <row r="15711" spans="12:12">
      <c r="L15711"/>
    </row>
    <row r="15712" spans="12:12">
      <c r="L15712"/>
    </row>
    <row r="15713" spans="12:12">
      <c r="L15713"/>
    </row>
    <row r="15714" spans="12:12">
      <c r="L15714"/>
    </row>
    <row r="15715" spans="12:12">
      <c r="L15715"/>
    </row>
    <row r="15716" spans="12:12">
      <c r="L15716"/>
    </row>
    <row r="15717" spans="12:12">
      <c r="L15717"/>
    </row>
    <row r="15718" spans="12:12">
      <c r="L15718"/>
    </row>
    <row r="15719" spans="12:12">
      <c r="L15719"/>
    </row>
    <row r="15720" spans="12:12">
      <c r="L15720"/>
    </row>
    <row r="15721" spans="12:12">
      <c r="L15721"/>
    </row>
    <row r="15722" spans="12:12">
      <c r="L15722"/>
    </row>
    <row r="15723" spans="12:12">
      <c r="L15723"/>
    </row>
    <row r="15724" spans="12:12">
      <c r="L15724"/>
    </row>
    <row r="15725" spans="12:12">
      <c r="L15725"/>
    </row>
    <row r="15726" spans="12:12">
      <c r="L15726"/>
    </row>
    <row r="15727" spans="12:12">
      <c r="L15727"/>
    </row>
    <row r="15728" spans="12:12">
      <c r="L15728"/>
    </row>
    <row r="15729" spans="12:12">
      <c r="L15729"/>
    </row>
    <row r="15730" spans="12:12">
      <c r="L15730"/>
    </row>
    <row r="15731" spans="12:12">
      <c r="L15731"/>
    </row>
    <row r="15732" spans="12:12">
      <c r="L15732"/>
    </row>
    <row r="15733" spans="12:12">
      <c r="L15733"/>
    </row>
    <row r="15734" spans="12:12">
      <c r="L15734"/>
    </row>
    <row r="15735" spans="12:12">
      <c r="L15735"/>
    </row>
    <row r="15736" spans="12:12">
      <c r="L15736"/>
    </row>
    <row r="15737" spans="12:12">
      <c r="L15737"/>
    </row>
    <row r="15738" spans="12:12">
      <c r="L15738"/>
    </row>
    <row r="15739" spans="12:12">
      <c r="L15739"/>
    </row>
    <row r="15740" spans="12:12">
      <c r="L15740"/>
    </row>
    <row r="15741" spans="12:12">
      <c r="L15741"/>
    </row>
    <row r="15742" spans="12:12">
      <c r="L15742"/>
    </row>
    <row r="15743" spans="12:12">
      <c r="L15743"/>
    </row>
    <row r="15744" spans="12:12">
      <c r="L15744"/>
    </row>
    <row r="15745" spans="12:12">
      <c r="L15745"/>
    </row>
    <row r="15746" spans="12:12">
      <c r="L15746"/>
    </row>
    <row r="15747" spans="12:12">
      <c r="L15747"/>
    </row>
    <row r="15748" spans="12:12">
      <c r="L15748"/>
    </row>
    <row r="15749" spans="12:12">
      <c r="L15749"/>
    </row>
    <row r="15750" spans="12:12">
      <c r="L15750"/>
    </row>
    <row r="15751" spans="12:12">
      <c r="L15751"/>
    </row>
    <row r="15752" spans="12:12">
      <c r="L15752"/>
    </row>
    <row r="15753" spans="12:12">
      <c r="L15753"/>
    </row>
    <row r="15754" spans="12:12">
      <c r="L15754"/>
    </row>
    <row r="15755" spans="12:12">
      <c r="L15755"/>
    </row>
    <row r="15756" spans="12:12">
      <c r="L15756"/>
    </row>
    <row r="15757" spans="12:12">
      <c r="L15757"/>
    </row>
    <row r="15758" spans="12:12">
      <c r="L15758"/>
    </row>
    <row r="15759" spans="12:12">
      <c r="L15759"/>
    </row>
    <row r="15760" spans="12:12">
      <c r="L15760"/>
    </row>
    <row r="15761" spans="12:12">
      <c r="L15761"/>
    </row>
    <row r="15762" spans="12:12">
      <c r="L15762"/>
    </row>
    <row r="15763" spans="12:12">
      <c r="L15763"/>
    </row>
    <row r="15764" spans="12:12">
      <c r="L15764"/>
    </row>
    <row r="15765" spans="12:12">
      <c r="L15765"/>
    </row>
    <row r="15766" spans="12:12">
      <c r="L15766"/>
    </row>
    <row r="15767" spans="12:12">
      <c r="L15767"/>
    </row>
    <row r="15768" spans="12:12">
      <c r="L15768"/>
    </row>
    <row r="15769" spans="12:12">
      <c r="L15769"/>
    </row>
    <row r="15770" spans="12:12">
      <c r="L15770"/>
    </row>
    <row r="15771" spans="12:12">
      <c r="L15771"/>
    </row>
    <row r="15772" spans="12:12">
      <c r="L15772"/>
    </row>
    <row r="15773" spans="12:12">
      <c r="L15773"/>
    </row>
    <row r="15774" spans="12:12">
      <c r="L15774"/>
    </row>
    <row r="15775" spans="12:12">
      <c r="L15775"/>
    </row>
    <row r="15776" spans="12:12">
      <c r="L15776"/>
    </row>
    <row r="15777" spans="12:12">
      <c r="L15777"/>
    </row>
    <row r="15778" spans="12:12">
      <c r="L15778"/>
    </row>
    <row r="15779" spans="12:12">
      <c r="L15779"/>
    </row>
    <row r="15780" spans="12:12">
      <c r="L15780"/>
    </row>
    <row r="15781" spans="12:12">
      <c r="L15781"/>
    </row>
    <row r="15782" spans="12:12">
      <c r="L15782"/>
    </row>
    <row r="15783" spans="12:12">
      <c r="L15783"/>
    </row>
    <row r="15784" spans="12:12">
      <c r="L15784"/>
    </row>
    <row r="15785" spans="12:12">
      <c r="L15785"/>
    </row>
    <row r="15786" spans="12:12">
      <c r="L15786"/>
    </row>
    <row r="15787" spans="12:12">
      <c r="L15787"/>
    </row>
    <row r="15788" spans="12:12">
      <c r="L15788"/>
    </row>
    <row r="15789" spans="12:12">
      <c r="L15789"/>
    </row>
    <row r="15790" spans="12:12">
      <c r="L15790"/>
    </row>
    <row r="15791" spans="12:12">
      <c r="L15791"/>
    </row>
    <row r="15792" spans="12:12">
      <c r="L15792"/>
    </row>
    <row r="15793" spans="12:12">
      <c r="L15793"/>
    </row>
    <row r="15794" spans="12:12">
      <c r="L15794"/>
    </row>
    <row r="15795" spans="12:12">
      <c r="L15795"/>
    </row>
    <row r="15796" spans="12:12">
      <c r="L15796"/>
    </row>
    <row r="15797" spans="12:12">
      <c r="L15797"/>
    </row>
    <row r="15798" spans="12:12">
      <c r="L15798"/>
    </row>
    <row r="15799" spans="12:12">
      <c r="L15799"/>
    </row>
    <row r="15800" spans="12:12">
      <c r="L15800"/>
    </row>
    <row r="15801" spans="12:12">
      <c r="L15801"/>
    </row>
    <row r="15802" spans="12:12">
      <c r="L15802"/>
    </row>
    <row r="15803" spans="12:12">
      <c r="L15803"/>
    </row>
    <row r="15804" spans="12:12">
      <c r="L15804"/>
    </row>
    <row r="15805" spans="12:12">
      <c r="L15805"/>
    </row>
    <row r="15806" spans="12:12">
      <c r="L15806"/>
    </row>
    <row r="15807" spans="12:12">
      <c r="L15807"/>
    </row>
    <row r="15808" spans="12:12">
      <c r="L15808"/>
    </row>
    <row r="15809" spans="12:12">
      <c r="L15809"/>
    </row>
    <row r="15810" spans="12:12">
      <c r="L15810"/>
    </row>
    <row r="15811" spans="12:12">
      <c r="L15811"/>
    </row>
    <row r="15812" spans="12:12">
      <c r="L15812"/>
    </row>
    <row r="15813" spans="12:12">
      <c r="L15813"/>
    </row>
    <row r="15814" spans="12:12">
      <c r="L15814"/>
    </row>
    <row r="15815" spans="12:12">
      <c r="L15815"/>
    </row>
    <row r="15816" spans="12:12">
      <c r="L15816"/>
    </row>
    <row r="15817" spans="12:12">
      <c r="L15817"/>
    </row>
    <row r="15818" spans="12:12">
      <c r="L15818"/>
    </row>
    <row r="15819" spans="12:12">
      <c r="L15819"/>
    </row>
    <row r="15820" spans="12:12">
      <c r="L15820"/>
    </row>
    <row r="15821" spans="12:12">
      <c r="L15821"/>
    </row>
    <row r="15822" spans="12:12">
      <c r="L15822"/>
    </row>
    <row r="15823" spans="12:12">
      <c r="L15823"/>
    </row>
    <row r="15824" spans="12:12">
      <c r="L15824"/>
    </row>
    <row r="15825" spans="12:12">
      <c r="L15825"/>
    </row>
    <row r="15826" spans="12:12">
      <c r="L15826"/>
    </row>
    <row r="15827" spans="12:12">
      <c r="L15827"/>
    </row>
    <row r="15828" spans="12:12">
      <c r="L15828"/>
    </row>
    <row r="15829" spans="12:12">
      <c r="L15829"/>
    </row>
    <row r="15830" spans="12:12">
      <c r="L15830"/>
    </row>
    <row r="15831" spans="12:12">
      <c r="L15831"/>
    </row>
    <row r="15832" spans="12:12">
      <c r="L15832"/>
    </row>
    <row r="15833" spans="12:12">
      <c r="L15833"/>
    </row>
    <row r="15834" spans="12:12">
      <c r="L15834"/>
    </row>
    <row r="15835" spans="12:12">
      <c r="L15835"/>
    </row>
    <row r="15836" spans="12:12">
      <c r="L15836"/>
    </row>
    <row r="15837" spans="12:12">
      <c r="L15837"/>
    </row>
    <row r="15838" spans="12:12">
      <c r="L15838"/>
    </row>
    <row r="15839" spans="12:12">
      <c r="L15839"/>
    </row>
    <row r="15840" spans="12:12">
      <c r="L15840"/>
    </row>
    <row r="15841" spans="12:12">
      <c r="L15841"/>
    </row>
    <row r="15842" spans="12:12">
      <c r="L15842"/>
    </row>
    <row r="15843" spans="12:12">
      <c r="L15843"/>
    </row>
    <row r="15844" spans="12:12">
      <c r="L15844"/>
    </row>
    <row r="15845" spans="12:12">
      <c r="L15845"/>
    </row>
    <row r="15846" spans="12:12">
      <c r="L15846"/>
    </row>
    <row r="15847" spans="12:12">
      <c r="L15847"/>
    </row>
    <row r="15848" spans="12:12">
      <c r="L15848"/>
    </row>
    <row r="15849" spans="12:12">
      <c r="L15849"/>
    </row>
    <row r="15850" spans="12:12">
      <c r="L15850"/>
    </row>
    <row r="15851" spans="12:12">
      <c r="L15851"/>
    </row>
    <row r="15852" spans="12:12">
      <c r="L15852"/>
    </row>
    <row r="15853" spans="12:12">
      <c r="L15853"/>
    </row>
    <row r="15854" spans="12:12">
      <c r="L15854"/>
    </row>
    <row r="15855" spans="12:12">
      <c r="L15855"/>
    </row>
    <row r="15856" spans="12:12">
      <c r="L15856"/>
    </row>
    <row r="15857" spans="12:12">
      <c r="L15857"/>
    </row>
    <row r="15858" spans="12:12">
      <c r="L15858"/>
    </row>
    <row r="15859" spans="12:12">
      <c r="L15859"/>
    </row>
    <row r="15860" spans="12:12">
      <c r="L15860"/>
    </row>
    <row r="15861" spans="12:12">
      <c r="L15861"/>
    </row>
    <row r="15862" spans="12:12">
      <c r="L15862"/>
    </row>
    <row r="15863" spans="12:12">
      <c r="L15863"/>
    </row>
    <row r="15864" spans="12:12">
      <c r="L15864"/>
    </row>
    <row r="15865" spans="12:12">
      <c r="L15865"/>
    </row>
    <row r="15866" spans="12:12">
      <c r="L15866"/>
    </row>
    <row r="15867" spans="12:12">
      <c r="L15867"/>
    </row>
    <row r="15868" spans="12:12">
      <c r="L15868"/>
    </row>
    <row r="15869" spans="12:12">
      <c r="L15869"/>
    </row>
    <row r="15870" spans="12:12">
      <c r="L15870"/>
    </row>
    <row r="15871" spans="12:12">
      <c r="L15871"/>
    </row>
    <row r="15872" spans="12:12">
      <c r="L15872"/>
    </row>
    <row r="15873" spans="12:12">
      <c r="L15873"/>
    </row>
    <row r="15874" spans="12:12">
      <c r="L15874"/>
    </row>
    <row r="15875" spans="12:12">
      <c r="L15875"/>
    </row>
    <row r="15876" spans="12:12">
      <c r="L15876"/>
    </row>
    <row r="15877" spans="12:12">
      <c r="L15877"/>
    </row>
    <row r="15878" spans="12:12">
      <c r="L15878"/>
    </row>
    <row r="15879" spans="12:12">
      <c r="L15879"/>
    </row>
    <row r="15880" spans="12:12">
      <c r="L15880"/>
    </row>
    <row r="15881" spans="12:12">
      <c r="L15881"/>
    </row>
    <row r="15882" spans="12:12">
      <c r="L15882"/>
    </row>
    <row r="15883" spans="12:12">
      <c r="L15883"/>
    </row>
    <row r="15884" spans="12:12">
      <c r="L15884"/>
    </row>
    <row r="15885" spans="12:12">
      <c r="L15885"/>
    </row>
    <row r="15886" spans="12:12">
      <c r="L15886"/>
    </row>
    <row r="15887" spans="12:12">
      <c r="L15887"/>
    </row>
    <row r="15888" spans="12:12">
      <c r="L15888"/>
    </row>
    <row r="15889" spans="12:12">
      <c r="L15889"/>
    </row>
    <row r="15890" spans="12:12">
      <c r="L15890"/>
    </row>
    <row r="15891" spans="12:12">
      <c r="L15891"/>
    </row>
    <row r="15892" spans="12:12">
      <c r="L15892"/>
    </row>
    <row r="15893" spans="12:12">
      <c r="L15893"/>
    </row>
    <row r="15894" spans="12:12">
      <c r="L15894"/>
    </row>
    <row r="15895" spans="12:12">
      <c r="L15895"/>
    </row>
    <row r="15896" spans="12:12">
      <c r="L15896"/>
    </row>
    <row r="15897" spans="12:12">
      <c r="L15897"/>
    </row>
    <row r="15898" spans="12:12">
      <c r="L15898"/>
    </row>
    <row r="15899" spans="12:12">
      <c r="L15899"/>
    </row>
    <row r="15900" spans="12:12">
      <c r="L15900"/>
    </row>
    <row r="15901" spans="12:12">
      <c r="L15901"/>
    </row>
    <row r="15902" spans="12:12">
      <c r="L15902"/>
    </row>
    <row r="15903" spans="12:12">
      <c r="L15903"/>
    </row>
    <row r="15904" spans="12:12">
      <c r="L15904"/>
    </row>
    <row r="15905" spans="12:12">
      <c r="L15905"/>
    </row>
    <row r="15906" spans="12:12">
      <c r="L15906"/>
    </row>
    <row r="15907" spans="12:12">
      <c r="L15907"/>
    </row>
    <row r="15908" spans="12:12">
      <c r="L15908"/>
    </row>
    <row r="15909" spans="12:12">
      <c r="L15909"/>
    </row>
    <row r="15910" spans="12:12">
      <c r="L15910"/>
    </row>
    <row r="15911" spans="12:12">
      <c r="L15911"/>
    </row>
    <row r="15912" spans="12:12">
      <c r="L15912"/>
    </row>
    <row r="15913" spans="12:12">
      <c r="L15913"/>
    </row>
    <row r="15914" spans="12:12">
      <c r="L15914"/>
    </row>
    <row r="15915" spans="12:12">
      <c r="L15915"/>
    </row>
    <row r="15916" spans="12:12">
      <c r="L15916"/>
    </row>
    <row r="15917" spans="12:12">
      <c r="L15917"/>
    </row>
    <row r="15918" spans="12:12">
      <c r="L15918"/>
    </row>
    <row r="15919" spans="12:12">
      <c r="L15919"/>
    </row>
    <row r="15920" spans="12:12">
      <c r="L15920"/>
    </row>
    <row r="15921" spans="12:12">
      <c r="L15921"/>
    </row>
    <row r="15922" spans="12:12">
      <c r="L15922"/>
    </row>
    <row r="15923" spans="12:12">
      <c r="L15923"/>
    </row>
    <row r="15924" spans="12:12">
      <c r="L15924"/>
    </row>
    <row r="15925" spans="12:12">
      <c r="L15925"/>
    </row>
    <row r="15926" spans="12:12">
      <c r="L15926"/>
    </row>
    <row r="15927" spans="12:12">
      <c r="L15927"/>
    </row>
    <row r="15928" spans="12:12">
      <c r="L15928"/>
    </row>
    <row r="15929" spans="12:12">
      <c r="L15929"/>
    </row>
    <row r="15930" spans="12:12">
      <c r="L15930"/>
    </row>
    <row r="15931" spans="12:12">
      <c r="L15931"/>
    </row>
    <row r="15932" spans="12:12">
      <c r="L15932"/>
    </row>
    <row r="15933" spans="12:12">
      <c r="L15933"/>
    </row>
    <row r="15934" spans="12:12">
      <c r="L15934"/>
    </row>
    <row r="15935" spans="12:12">
      <c r="L15935"/>
    </row>
    <row r="15936" spans="12:12">
      <c r="L15936"/>
    </row>
    <row r="15937" spans="12:12">
      <c r="L15937"/>
    </row>
    <row r="15938" spans="12:12">
      <c r="L15938"/>
    </row>
    <row r="15939" spans="12:12">
      <c r="L15939"/>
    </row>
    <row r="15940" spans="12:12">
      <c r="L15940"/>
    </row>
    <row r="15941" spans="12:12">
      <c r="L15941"/>
    </row>
    <row r="15942" spans="12:12">
      <c r="L15942"/>
    </row>
    <row r="15943" spans="12:12">
      <c r="L15943"/>
    </row>
    <row r="15944" spans="12:12">
      <c r="L15944"/>
    </row>
    <row r="15945" spans="12:12">
      <c r="L15945"/>
    </row>
    <row r="15946" spans="12:12">
      <c r="L15946"/>
    </row>
    <row r="15947" spans="12:12">
      <c r="L15947"/>
    </row>
    <row r="15948" spans="12:12">
      <c r="L15948"/>
    </row>
    <row r="15949" spans="12:12">
      <c r="L15949"/>
    </row>
    <row r="15950" spans="12:12">
      <c r="L15950"/>
    </row>
    <row r="15951" spans="12:12">
      <c r="L15951"/>
    </row>
    <row r="15952" spans="12:12">
      <c r="L15952"/>
    </row>
    <row r="15953" spans="12:12">
      <c r="L15953"/>
    </row>
    <row r="15954" spans="12:12">
      <c r="L15954"/>
    </row>
    <row r="15955" spans="12:12">
      <c r="L15955"/>
    </row>
    <row r="15956" spans="12:12">
      <c r="L15956"/>
    </row>
    <row r="15957" spans="12:12">
      <c r="L15957"/>
    </row>
    <row r="15958" spans="12:12">
      <c r="L15958"/>
    </row>
    <row r="15959" spans="12:12">
      <c r="L15959"/>
    </row>
    <row r="15960" spans="12:12">
      <c r="L15960"/>
    </row>
    <row r="15961" spans="12:12">
      <c r="L15961"/>
    </row>
    <row r="15962" spans="12:12">
      <c r="L15962"/>
    </row>
    <row r="15963" spans="12:12">
      <c r="L15963"/>
    </row>
    <row r="15964" spans="12:12">
      <c r="L15964"/>
    </row>
    <row r="15965" spans="12:12">
      <c r="L15965"/>
    </row>
    <row r="15966" spans="12:12">
      <c r="L15966"/>
    </row>
    <row r="15967" spans="12:12">
      <c r="L15967"/>
    </row>
    <row r="15968" spans="12:12">
      <c r="L15968"/>
    </row>
    <row r="15969" spans="12:12">
      <c r="L15969"/>
    </row>
    <row r="15970" spans="12:12">
      <c r="L15970"/>
    </row>
    <row r="15971" spans="12:12">
      <c r="L15971"/>
    </row>
    <row r="15972" spans="12:12">
      <c r="L15972"/>
    </row>
    <row r="15973" spans="12:12">
      <c r="L15973"/>
    </row>
    <row r="15974" spans="12:12">
      <c r="L15974"/>
    </row>
    <row r="15975" spans="12:12">
      <c r="L15975"/>
    </row>
    <row r="15976" spans="12:12">
      <c r="L15976"/>
    </row>
    <row r="15977" spans="12:12">
      <c r="L15977"/>
    </row>
    <row r="15978" spans="12:12">
      <c r="L15978"/>
    </row>
    <row r="15979" spans="12:12">
      <c r="L15979"/>
    </row>
    <row r="15980" spans="12:12">
      <c r="L15980"/>
    </row>
    <row r="15981" spans="12:12">
      <c r="L15981"/>
    </row>
    <row r="15982" spans="12:12">
      <c r="L15982"/>
    </row>
    <row r="15983" spans="12:12">
      <c r="L15983"/>
    </row>
    <row r="15984" spans="12:12">
      <c r="L15984"/>
    </row>
    <row r="15985" spans="12:12">
      <c r="L15985"/>
    </row>
    <row r="15986" spans="12:12">
      <c r="L15986"/>
    </row>
    <row r="15987" spans="12:12">
      <c r="L15987"/>
    </row>
    <row r="15988" spans="12:12">
      <c r="L15988"/>
    </row>
    <row r="15989" spans="12:12">
      <c r="L15989"/>
    </row>
    <row r="15990" spans="12:12">
      <c r="L15990"/>
    </row>
    <row r="15991" spans="12:12">
      <c r="L15991"/>
    </row>
    <row r="15992" spans="12:12">
      <c r="L15992"/>
    </row>
    <row r="15993" spans="12:12">
      <c r="L15993"/>
    </row>
    <row r="15994" spans="12:12">
      <c r="L15994"/>
    </row>
    <row r="15995" spans="12:12">
      <c r="L15995"/>
    </row>
    <row r="15996" spans="12:12">
      <c r="L15996"/>
    </row>
    <row r="15997" spans="12:12">
      <c r="L15997"/>
    </row>
    <row r="15998" spans="12:12">
      <c r="L15998"/>
    </row>
    <row r="15999" spans="12:12">
      <c r="L15999"/>
    </row>
    <row r="16000" spans="12:12">
      <c r="L16000"/>
    </row>
    <row r="16001" spans="12:12">
      <c r="L16001"/>
    </row>
    <row r="16002" spans="12:12">
      <c r="L16002"/>
    </row>
    <row r="16003" spans="12:12">
      <c r="L16003"/>
    </row>
    <row r="16004" spans="12:12">
      <c r="L16004"/>
    </row>
    <row r="16005" spans="12:12">
      <c r="L16005"/>
    </row>
    <row r="16006" spans="12:12">
      <c r="L16006"/>
    </row>
    <row r="16007" spans="12:12">
      <c r="L16007"/>
    </row>
    <row r="16008" spans="12:12">
      <c r="L16008"/>
    </row>
    <row r="16009" spans="12:12">
      <c r="L16009"/>
    </row>
    <row r="16010" spans="12:12">
      <c r="L16010"/>
    </row>
    <row r="16011" spans="12:12">
      <c r="L16011"/>
    </row>
    <row r="16012" spans="12:12">
      <c r="L16012"/>
    </row>
    <row r="16013" spans="12:12">
      <c r="L16013"/>
    </row>
    <row r="16014" spans="12:12">
      <c r="L16014"/>
    </row>
    <row r="16015" spans="12:12">
      <c r="L16015"/>
    </row>
    <row r="16016" spans="12:12">
      <c r="L16016"/>
    </row>
    <row r="16017" spans="12:12">
      <c r="L16017"/>
    </row>
    <row r="16018" spans="12:12">
      <c r="L16018"/>
    </row>
    <row r="16019" spans="12:12">
      <c r="L16019"/>
    </row>
    <row r="16020" spans="12:12">
      <c r="L16020"/>
    </row>
    <row r="16021" spans="12:12">
      <c r="L16021"/>
    </row>
    <row r="16022" spans="12:12">
      <c r="L16022"/>
    </row>
    <row r="16023" spans="12:12">
      <c r="L16023"/>
    </row>
    <row r="16024" spans="12:12">
      <c r="L16024"/>
    </row>
    <row r="16025" spans="12:12">
      <c r="L16025"/>
    </row>
    <row r="16026" spans="12:12">
      <c r="L16026"/>
    </row>
    <row r="16027" spans="12:12">
      <c r="L16027"/>
    </row>
    <row r="16028" spans="12:12">
      <c r="L16028"/>
    </row>
    <row r="16029" spans="12:12">
      <c r="L16029"/>
    </row>
    <row r="16030" spans="12:12">
      <c r="L16030"/>
    </row>
    <row r="16031" spans="12:12">
      <c r="L16031"/>
    </row>
    <row r="16032" spans="12:12">
      <c r="L16032"/>
    </row>
    <row r="16033" spans="12:12">
      <c r="L16033"/>
    </row>
    <row r="16034" spans="12:12">
      <c r="L16034"/>
    </row>
    <row r="16035" spans="12:12">
      <c r="L16035"/>
    </row>
    <row r="16036" spans="12:12">
      <c r="L16036"/>
    </row>
    <row r="16037" spans="12:12">
      <c r="L16037"/>
    </row>
    <row r="16038" spans="12:12">
      <c r="L16038"/>
    </row>
    <row r="16039" spans="12:12">
      <c r="L16039"/>
    </row>
    <row r="16040" spans="12:12">
      <c r="L16040"/>
    </row>
    <row r="16041" spans="12:12">
      <c r="L16041"/>
    </row>
    <row r="16042" spans="12:12">
      <c r="L16042"/>
    </row>
    <row r="16043" spans="12:12">
      <c r="L16043"/>
    </row>
    <row r="16044" spans="12:12">
      <c r="L16044"/>
    </row>
    <row r="16045" spans="12:12">
      <c r="L16045"/>
    </row>
    <row r="16046" spans="12:12">
      <c r="L16046"/>
    </row>
    <row r="16047" spans="12:12">
      <c r="L16047"/>
    </row>
    <row r="16048" spans="12:12">
      <c r="L16048"/>
    </row>
    <row r="16049" spans="12:12">
      <c r="L16049"/>
    </row>
    <row r="16050" spans="12:12">
      <c r="L16050"/>
    </row>
    <row r="16051" spans="12:12">
      <c r="L16051"/>
    </row>
    <row r="16052" spans="12:12">
      <c r="L16052"/>
    </row>
    <row r="16053" spans="12:12">
      <c r="L16053"/>
    </row>
    <row r="16054" spans="12:12">
      <c r="L16054"/>
    </row>
    <row r="16055" spans="12:12">
      <c r="L16055"/>
    </row>
    <row r="16056" spans="12:12">
      <c r="L16056"/>
    </row>
    <row r="16057" spans="12:12">
      <c r="L16057"/>
    </row>
    <row r="16058" spans="12:12">
      <c r="L16058"/>
    </row>
    <row r="16059" spans="12:12">
      <c r="L16059"/>
    </row>
    <row r="16060" spans="12:12">
      <c r="L16060"/>
    </row>
    <row r="16061" spans="12:12">
      <c r="L16061"/>
    </row>
    <row r="16062" spans="12:12">
      <c r="L16062"/>
    </row>
    <row r="16063" spans="12:12">
      <c r="L16063"/>
    </row>
    <row r="16064" spans="12:12">
      <c r="L16064"/>
    </row>
    <row r="16065" spans="12:12">
      <c r="L16065"/>
    </row>
    <row r="16066" spans="12:12">
      <c r="L16066"/>
    </row>
    <row r="16067" spans="12:12">
      <c r="L16067"/>
    </row>
    <row r="16068" spans="12:12">
      <c r="L16068"/>
    </row>
    <row r="16069" spans="12:12">
      <c r="L16069"/>
    </row>
    <row r="16070" spans="12:12">
      <c r="L16070"/>
    </row>
    <row r="16071" spans="12:12">
      <c r="L16071"/>
    </row>
    <row r="16072" spans="12:12">
      <c r="L16072"/>
    </row>
    <row r="16073" spans="12:12">
      <c r="L16073"/>
    </row>
    <row r="16074" spans="12:12">
      <c r="L16074"/>
    </row>
    <row r="16075" spans="12:12">
      <c r="L16075"/>
    </row>
    <row r="16076" spans="12:12">
      <c r="L16076"/>
    </row>
    <row r="16077" spans="12:12">
      <c r="L16077"/>
    </row>
    <row r="16078" spans="12:12">
      <c r="L16078"/>
    </row>
    <row r="16079" spans="12:12">
      <c r="L16079"/>
    </row>
    <row r="16080" spans="12:12">
      <c r="L16080"/>
    </row>
    <row r="16081" spans="12:12">
      <c r="L16081"/>
    </row>
    <row r="16082" spans="12:12">
      <c r="L16082"/>
    </row>
    <row r="16083" spans="12:12">
      <c r="L16083"/>
    </row>
    <row r="16084" spans="12:12">
      <c r="L16084"/>
    </row>
    <row r="16085" spans="12:12">
      <c r="L16085"/>
    </row>
    <row r="16086" spans="12:12">
      <c r="L16086"/>
    </row>
    <row r="16087" spans="12:12">
      <c r="L16087"/>
    </row>
    <row r="16088" spans="12:12">
      <c r="L16088"/>
    </row>
    <row r="16089" spans="12:12">
      <c r="L16089"/>
    </row>
    <row r="16090" spans="12:12">
      <c r="L16090"/>
    </row>
    <row r="16091" spans="12:12">
      <c r="L16091"/>
    </row>
    <row r="16092" spans="12:12">
      <c r="L16092"/>
    </row>
    <row r="16093" spans="12:12">
      <c r="L16093"/>
    </row>
    <row r="16094" spans="12:12">
      <c r="L16094"/>
    </row>
    <row r="16095" spans="12:12">
      <c r="L16095"/>
    </row>
    <row r="16096" spans="12:12">
      <c r="L16096"/>
    </row>
    <row r="16097" spans="12:12">
      <c r="L16097"/>
    </row>
    <row r="16098" spans="12:12">
      <c r="L16098"/>
    </row>
    <row r="16099" spans="12:12">
      <c r="L16099"/>
    </row>
    <row r="16100" spans="12:12">
      <c r="L16100"/>
    </row>
    <row r="16101" spans="12:12">
      <c r="L16101"/>
    </row>
    <row r="16102" spans="12:12">
      <c r="L16102"/>
    </row>
    <row r="16103" spans="12:12">
      <c r="L16103"/>
    </row>
    <row r="16104" spans="12:12">
      <c r="L16104"/>
    </row>
    <row r="16105" spans="12:12">
      <c r="L16105"/>
    </row>
    <row r="16106" spans="12:12">
      <c r="L16106"/>
    </row>
    <row r="16107" spans="12:12">
      <c r="L16107"/>
    </row>
    <row r="16108" spans="12:12">
      <c r="L16108"/>
    </row>
    <row r="16109" spans="12:12">
      <c r="L16109"/>
    </row>
    <row r="16110" spans="12:12">
      <c r="L16110"/>
    </row>
    <row r="16111" spans="12:12">
      <c r="L16111"/>
    </row>
    <row r="16112" spans="12:12">
      <c r="L16112"/>
    </row>
    <row r="16113" spans="12:12">
      <c r="L16113"/>
    </row>
    <row r="16114" spans="12:12">
      <c r="L16114"/>
    </row>
    <row r="16115" spans="12:12">
      <c r="L16115"/>
    </row>
    <row r="16116" spans="12:12">
      <c r="L16116"/>
    </row>
    <row r="16117" spans="12:12">
      <c r="L16117"/>
    </row>
    <row r="16118" spans="12:12">
      <c r="L16118"/>
    </row>
    <row r="16119" spans="12:12">
      <c r="L16119"/>
    </row>
    <row r="16120" spans="12:12">
      <c r="L16120"/>
    </row>
    <row r="16121" spans="12:12">
      <c r="L16121"/>
    </row>
    <row r="16122" spans="12:12">
      <c r="L16122"/>
    </row>
    <row r="16123" spans="12:12">
      <c r="L16123"/>
    </row>
    <row r="16124" spans="12:12">
      <c r="L16124"/>
    </row>
    <row r="16125" spans="12:12">
      <c r="L16125"/>
    </row>
    <row r="16126" spans="12:12">
      <c r="L16126"/>
    </row>
    <row r="16127" spans="12:12">
      <c r="L16127"/>
    </row>
    <row r="16128" spans="12:12">
      <c r="L16128"/>
    </row>
    <row r="16129" spans="12:12">
      <c r="L16129"/>
    </row>
    <row r="16130" spans="12:12">
      <c r="L16130"/>
    </row>
    <row r="16131" spans="12:12">
      <c r="L16131"/>
    </row>
    <row r="16132" spans="12:12">
      <c r="L16132"/>
    </row>
    <row r="16133" spans="12:12">
      <c r="L16133"/>
    </row>
    <row r="16134" spans="12:12">
      <c r="L16134"/>
    </row>
    <row r="16135" spans="12:12">
      <c r="L16135"/>
    </row>
    <row r="16136" spans="12:12">
      <c r="L16136"/>
    </row>
    <row r="16137" spans="12:12">
      <c r="L16137"/>
    </row>
    <row r="16138" spans="12:12">
      <c r="L16138"/>
    </row>
    <row r="16139" spans="12:12">
      <c r="L16139"/>
    </row>
    <row r="16140" spans="12:12">
      <c r="L16140"/>
    </row>
    <row r="16141" spans="12:12">
      <c r="L16141"/>
    </row>
    <row r="16142" spans="12:12">
      <c r="L16142"/>
    </row>
    <row r="16143" spans="12:12">
      <c r="L16143"/>
    </row>
    <row r="16144" spans="12:12">
      <c r="L16144"/>
    </row>
    <row r="16145" spans="12:12">
      <c r="L16145"/>
    </row>
    <row r="16146" spans="12:12">
      <c r="L16146"/>
    </row>
    <row r="16147" spans="12:12">
      <c r="L16147"/>
    </row>
    <row r="16148" spans="12:12">
      <c r="L16148"/>
    </row>
    <row r="16149" spans="12:12">
      <c r="L16149"/>
    </row>
    <row r="16150" spans="12:12">
      <c r="L16150"/>
    </row>
    <row r="16151" spans="12:12">
      <c r="L16151"/>
    </row>
    <row r="16152" spans="12:12">
      <c r="L16152"/>
    </row>
    <row r="16153" spans="12:12">
      <c r="L16153"/>
    </row>
    <row r="16154" spans="12:12">
      <c r="L16154"/>
    </row>
    <row r="16155" spans="12:12">
      <c r="L16155"/>
    </row>
    <row r="16156" spans="12:12">
      <c r="L16156"/>
    </row>
    <row r="16157" spans="12:12">
      <c r="L16157"/>
    </row>
    <row r="16158" spans="12:12">
      <c r="L16158"/>
    </row>
    <row r="16159" spans="12:12">
      <c r="L16159"/>
    </row>
    <row r="16160" spans="12:12">
      <c r="L16160"/>
    </row>
    <row r="16161" spans="12:12">
      <c r="L16161"/>
    </row>
    <row r="16162" spans="12:12">
      <c r="L16162"/>
    </row>
    <row r="16163" spans="12:12">
      <c r="L16163"/>
    </row>
    <row r="16164" spans="12:12">
      <c r="L16164"/>
    </row>
    <row r="16165" spans="12:12">
      <c r="L16165"/>
    </row>
    <row r="16166" spans="12:12">
      <c r="L16166"/>
    </row>
    <row r="16167" spans="12:12">
      <c r="L16167"/>
    </row>
    <row r="16168" spans="12:12">
      <c r="L16168"/>
    </row>
    <row r="16169" spans="12:12">
      <c r="L16169"/>
    </row>
    <row r="16170" spans="12:12">
      <c r="L16170"/>
    </row>
    <row r="16171" spans="12:12">
      <c r="L16171"/>
    </row>
    <row r="16172" spans="12:12">
      <c r="L16172"/>
    </row>
    <row r="16173" spans="12:12">
      <c r="L16173"/>
    </row>
    <row r="16174" spans="12:12">
      <c r="L16174"/>
    </row>
    <row r="16175" spans="12:12">
      <c r="L16175"/>
    </row>
    <row r="16176" spans="12:12">
      <c r="L16176"/>
    </row>
    <row r="16177" spans="12:12">
      <c r="L16177"/>
    </row>
    <row r="16178" spans="12:12">
      <c r="L16178"/>
    </row>
    <row r="16179" spans="12:12">
      <c r="L16179"/>
    </row>
    <row r="16180" spans="12:12">
      <c r="L16180"/>
    </row>
    <row r="16181" spans="12:12">
      <c r="L16181"/>
    </row>
    <row r="16182" spans="12:12">
      <c r="L16182"/>
    </row>
    <row r="16183" spans="12:12">
      <c r="L16183"/>
    </row>
    <row r="16184" spans="12:12">
      <c r="L16184"/>
    </row>
    <row r="16185" spans="12:12">
      <c r="L16185"/>
    </row>
    <row r="16186" spans="12:12">
      <c r="L16186"/>
    </row>
    <row r="16187" spans="12:12">
      <c r="L16187"/>
    </row>
    <row r="16188" spans="12:12">
      <c r="L16188"/>
    </row>
    <row r="16189" spans="12:12">
      <c r="L16189"/>
    </row>
    <row r="16190" spans="12:12">
      <c r="L16190"/>
    </row>
    <row r="16191" spans="12:12">
      <c r="L16191"/>
    </row>
    <row r="16192" spans="12:12">
      <c r="L16192"/>
    </row>
    <row r="16193" spans="12:12">
      <c r="L16193"/>
    </row>
    <row r="16194" spans="12:12">
      <c r="L16194"/>
    </row>
    <row r="16195" spans="12:12">
      <c r="L16195"/>
    </row>
    <row r="16196" spans="12:12">
      <c r="L16196"/>
    </row>
    <row r="16197" spans="12:12">
      <c r="L16197"/>
    </row>
    <row r="16198" spans="12:12">
      <c r="L16198"/>
    </row>
    <row r="16199" spans="12:12">
      <c r="L16199"/>
    </row>
    <row r="16200" spans="12:12">
      <c r="L16200"/>
    </row>
    <row r="16201" spans="12:12">
      <c r="L16201"/>
    </row>
    <row r="16202" spans="12:12">
      <c r="L16202"/>
    </row>
    <row r="16203" spans="12:12">
      <c r="L16203"/>
    </row>
    <row r="16204" spans="12:12">
      <c r="L16204"/>
    </row>
    <row r="16205" spans="12:12">
      <c r="L16205"/>
    </row>
    <row r="16206" spans="12:12">
      <c r="L16206"/>
    </row>
    <row r="16207" spans="12:12">
      <c r="L16207"/>
    </row>
    <row r="16208" spans="12:12">
      <c r="L16208"/>
    </row>
    <row r="16209" spans="12:12">
      <c r="L16209"/>
    </row>
    <row r="16210" spans="12:12">
      <c r="L16210"/>
    </row>
    <row r="16211" spans="12:12">
      <c r="L16211"/>
    </row>
    <row r="16212" spans="12:12">
      <c r="L16212"/>
    </row>
    <row r="16213" spans="12:12">
      <c r="L16213"/>
    </row>
    <row r="16214" spans="12:12">
      <c r="L16214"/>
    </row>
    <row r="16215" spans="12:12">
      <c r="L16215"/>
    </row>
    <row r="16216" spans="12:12">
      <c r="L16216"/>
    </row>
    <row r="16217" spans="12:12">
      <c r="L16217"/>
    </row>
    <row r="16218" spans="12:12">
      <c r="L16218"/>
    </row>
    <row r="16219" spans="12:12">
      <c r="L16219"/>
    </row>
    <row r="16220" spans="12:12">
      <c r="L16220"/>
    </row>
    <row r="16221" spans="12:12">
      <c r="L16221"/>
    </row>
    <row r="16222" spans="12:12">
      <c r="L16222"/>
    </row>
    <row r="16223" spans="12:12">
      <c r="L16223"/>
    </row>
    <row r="16224" spans="12:12">
      <c r="L16224"/>
    </row>
    <row r="16225" spans="12:12">
      <c r="L16225"/>
    </row>
    <row r="16226" spans="12:12">
      <c r="L16226"/>
    </row>
    <row r="16227" spans="12:12">
      <c r="L16227"/>
    </row>
    <row r="16228" spans="12:12">
      <c r="L16228"/>
    </row>
    <row r="16229" spans="12:12">
      <c r="L16229"/>
    </row>
    <row r="16230" spans="12:12">
      <c r="L16230"/>
    </row>
    <row r="16231" spans="12:12">
      <c r="L16231"/>
    </row>
    <row r="16232" spans="12:12">
      <c r="L16232"/>
    </row>
    <row r="16233" spans="12:12">
      <c r="L16233"/>
    </row>
    <row r="16234" spans="12:12">
      <c r="L16234"/>
    </row>
    <row r="16235" spans="12:12">
      <c r="L16235"/>
    </row>
    <row r="16236" spans="12:12">
      <c r="L16236"/>
    </row>
    <row r="16237" spans="12:12">
      <c r="L16237"/>
    </row>
    <row r="16238" spans="12:12">
      <c r="L16238"/>
    </row>
    <row r="16239" spans="12:12">
      <c r="L16239"/>
    </row>
    <row r="16240" spans="12:12">
      <c r="L16240"/>
    </row>
    <row r="16241" spans="12:12">
      <c r="L16241"/>
    </row>
    <row r="16242" spans="12:12">
      <c r="L16242"/>
    </row>
    <row r="16243" spans="12:12">
      <c r="L16243"/>
    </row>
    <row r="16244" spans="12:12">
      <c r="L16244"/>
    </row>
    <row r="16245" spans="12:12">
      <c r="L16245"/>
    </row>
    <row r="16246" spans="12:12">
      <c r="L16246"/>
    </row>
    <row r="16247" spans="12:12">
      <c r="L16247"/>
    </row>
    <row r="16248" spans="12:12">
      <c r="L16248"/>
    </row>
    <row r="16249" spans="12:12">
      <c r="L16249"/>
    </row>
    <row r="16250" spans="12:12">
      <c r="L16250"/>
    </row>
    <row r="16251" spans="12:12">
      <c r="L16251"/>
    </row>
    <row r="16252" spans="12:12">
      <c r="L16252"/>
    </row>
    <row r="16253" spans="12:12">
      <c r="L16253"/>
    </row>
    <row r="16254" spans="12:12">
      <c r="L16254"/>
    </row>
    <row r="16255" spans="12:12">
      <c r="L16255"/>
    </row>
    <row r="16256" spans="12:12">
      <c r="L16256"/>
    </row>
    <row r="16257" spans="12:12">
      <c r="L16257"/>
    </row>
    <row r="16258" spans="12:12">
      <c r="L16258"/>
    </row>
    <row r="16259" spans="12:12">
      <c r="L16259"/>
    </row>
    <row r="16260" spans="12:12">
      <c r="L16260"/>
    </row>
    <row r="16261" spans="12:12">
      <c r="L16261"/>
    </row>
    <row r="16262" spans="12:12">
      <c r="L16262"/>
    </row>
    <row r="16263" spans="12:12">
      <c r="L16263"/>
    </row>
    <row r="16264" spans="12:12">
      <c r="L16264"/>
    </row>
    <row r="16265" spans="12:12">
      <c r="L16265"/>
    </row>
    <row r="16266" spans="12:12">
      <c r="L16266"/>
    </row>
    <row r="16267" spans="12:12">
      <c r="L16267"/>
    </row>
    <row r="16268" spans="12:12">
      <c r="L16268"/>
    </row>
    <row r="16269" spans="12:12">
      <c r="L16269"/>
    </row>
    <row r="16270" spans="12:12">
      <c r="L16270"/>
    </row>
    <row r="16271" spans="12:12">
      <c r="L16271"/>
    </row>
    <row r="16272" spans="12:12">
      <c r="L16272"/>
    </row>
    <row r="16273" spans="12:12">
      <c r="L16273"/>
    </row>
    <row r="16274" spans="12:12">
      <c r="L16274"/>
    </row>
    <row r="16275" spans="12:12">
      <c r="L16275"/>
    </row>
    <row r="16276" spans="12:12">
      <c r="L16276"/>
    </row>
    <row r="16277" spans="12:12">
      <c r="L16277"/>
    </row>
    <row r="16278" spans="12:12">
      <c r="L16278"/>
    </row>
    <row r="16279" spans="12:12">
      <c r="L16279"/>
    </row>
    <row r="16280" spans="12:12">
      <c r="L16280"/>
    </row>
    <row r="16281" spans="12:12">
      <c r="L16281"/>
    </row>
    <row r="16282" spans="12:12">
      <c r="L16282"/>
    </row>
    <row r="16283" spans="12:12">
      <c r="L16283"/>
    </row>
    <row r="16284" spans="12:12">
      <c r="L16284"/>
    </row>
    <row r="16285" spans="12:12">
      <c r="L16285"/>
    </row>
    <row r="16286" spans="12:12">
      <c r="L16286"/>
    </row>
    <row r="16287" spans="12:12">
      <c r="L16287"/>
    </row>
    <row r="16288" spans="12:12">
      <c r="L16288"/>
    </row>
    <row r="16289" spans="12:12">
      <c r="L16289"/>
    </row>
    <row r="16290" spans="12:12">
      <c r="L16290"/>
    </row>
    <row r="16291" spans="12:12">
      <c r="L16291"/>
    </row>
    <row r="16292" spans="12:12">
      <c r="L16292"/>
    </row>
    <row r="16293" spans="12:12">
      <c r="L16293"/>
    </row>
    <row r="16294" spans="12:12">
      <c r="L16294"/>
    </row>
    <row r="16295" spans="12:12">
      <c r="L16295"/>
    </row>
    <row r="16296" spans="12:12">
      <c r="L16296"/>
    </row>
    <row r="16297" spans="12:12">
      <c r="L16297"/>
    </row>
    <row r="16298" spans="12:12">
      <c r="L16298"/>
    </row>
    <row r="16299" spans="12:12">
      <c r="L16299"/>
    </row>
    <row r="16300" spans="12:12">
      <c r="L16300"/>
    </row>
    <row r="16301" spans="12:12">
      <c r="L16301"/>
    </row>
    <row r="16302" spans="12:12">
      <c r="L16302"/>
    </row>
    <row r="16303" spans="12:12">
      <c r="L16303"/>
    </row>
    <row r="16304" spans="12:12">
      <c r="L16304"/>
    </row>
    <row r="16305" spans="12:12">
      <c r="L16305"/>
    </row>
    <row r="16306" spans="12:12">
      <c r="L16306"/>
    </row>
    <row r="16307" spans="12:12">
      <c r="L16307"/>
    </row>
    <row r="16308" spans="12:12">
      <c r="L16308"/>
    </row>
    <row r="16309" spans="12:12">
      <c r="L16309"/>
    </row>
    <row r="16310" spans="12:12">
      <c r="L16310"/>
    </row>
    <row r="16311" spans="12:12">
      <c r="L16311"/>
    </row>
    <row r="16312" spans="12:12">
      <c r="L16312"/>
    </row>
    <row r="16313" spans="12:12">
      <c r="L16313"/>
    </row>
    <row r="16314" spans="12:12">
      <c r="L16314"/>
    </row>
    <row r="16315" spans="12:12">
      <c r="L16315"/>
    </row>
    <row r="16316" spans="12:12">
      <c r="L16316"/>
    </row>
    <row r="16317" spans="12:12">
      <c r="L16317"/>
    </row>
    <row r="16318" spans="12:12">
      <c r="L16318"/>
    </row>
    <row r="16319" spans="12:12">
      <c r="L16319"/>
    </row>
    <row r="16320" spans="12:12">
      <c r="L16320"/>
    </row>
    <row r="16321" spans="12:12">
      <c r="L16321"/>
    </row>
    <row r="16322" spans="12:12">
      <c r="L16322"/>
    </row>
    <row r="16323" spans="12:12">
      <c r="L16323"/>
    </row>
    <row r="16324" spans="12:12">
      <c r="L16324"/>
    </row>
    <row r="16325" spans="12:12">
      <c r="L16325"/>
    </row>
    <row r="16326" spans="12:12">
      <c r="L16326"/>
    </row>
    <row r="16327" spans="12:12">
      <c r="L16327"/>
    </row>
    <row r="16328" spans="12:12">
      <c r="L16328"/>
    </row>
    <row r="16329" spans="12:12">
      <c r="L16329"/>
    </row>
    <row r="16330" spans="12:12">
      <c r="L16330"/>
    </row>
    <row r="16331" spans="12:12">
      <c r="L16331"/>
    </row>
    <row r="16332" spans="12:12">
      <c r="L16332"/>
    </row>
    <row r="16333" spans="12:12">
      <c r="L16333"/>
    </row>
    <row r="16334" spans="12:12">
      <c r="L16334"/>
    </row>
    <row r="16335" spans="12:12">
      <c r="L16335"/>
    </row>
    <row r="16336" spans="12:12">
      <c r="L16336"/>
    </row>
    <row r="16337" spans="12:12">
      <c r="L16337"/>
    </row>
    <row r="16338" spans="12:12">
      <c r="L16338"/>
    </row>
    <row r="16339" spans="12:12">
      <c r="L16339"/>
    </row>
    <row r="16340" spans="12:12">
      <c r="L16340"/>
    </row>
    <row r="16341" spans="12:12">
      <c r="L16341"/>
    </row>
    <row r="16342" spans="12:12">
      <c r="L16342"/>
    </row>
    <row r="16343" spans="12:12">
      <c r="L16343"/>
    </row>
    <row r="16344" spans="12:12">
      <c r="L16344"/>
    </row>
    <row r="16345" spans="12:12">
      <c r="L16345"/>
    </row>
    <row r="16346" spans="12:12">
      <c r="L16346"/>
    </row>
    <row r="16347" spans="12:12">
      <c r="L16347"/>
    </row>
    <row r="16348" spans="12:12">
      <c r="L16348"/>
    </row>
    <row r="16349" spans="12:12">
      <c r="L16349"/>
    </row>
    <row r="16350" spans="12:12">
      <c r="L16350"/>
    </row>
    <row r="16351" spans="12:12">
      <c r="L16351"/>
    </row>
    <row r="16352" spans="12:12">
      <c r="L16352"/>
    </row>
    <row r="16353" spans="12:12">
      <c r="L16353"/>
    </row>
    <row r="16354" spans="12:12">
      <c r="L16354"/>
    </row>
    <row r="16355" spans="12:12">
      <c r="L16355"/>
    </row>
    <row r="16356" spans="12:12">
      <c r="L16356"/>
    </row>
    <row r="16357" spans="12:12">
      <c r="L16357"/>
    </row>
    <row r="16358" spans="12:12">
      <c r="L16358"/>
    </row>
    <row r="16359" spans="12:12">
      <c r="L16359"/>
    </row>
    <row r="16360" spans="12:12">
      <c r="L16360"/>
    </row>
    <row r="16361" spans="12:12">
      <c r="L16361"/>
    </row>
    <row r="16362" spans="12:12">
      <c r="L16362"/>
    </row>
    <row r="16363" spans="12:12">
      <c r="L16363"/>
    </row>
    <row r="16364" spans="12:12">
      <c r="L16364"/>
    </row>
    <row r="16365" spans="12:12">
      <c r="L16365"/>
    </row>
    <row r="16366" spans="12:12">
      <c r="L16366"/>
    </row>
    <row r="16367" spans="12:12">
      <c r="L16367"/>
    </row>
    <row r="16368" spans="12:12">
      <c r="L16368"/>
    </row>
    <row r="16369" spans="12:12">
      <c r="L16369"/>
    </row>
    <row r="16370" spans="12:12">
      <c r="L16370"/>
    </row>
    <row r="16371" spans="12:12">
      <c r="L16371"/>
    </row>
    <row r="16372" spans="12:12">
      <c r="L16372"/>
    </row>
    <row r="16373" spans="12:12">
      <c r="L16373"/>
    </row>
    <row r="16374" spans="12:12">
      <c r="L16374"/>
    </row>
    <row r="16375" spans="12:12">
      <c r="L16375"/>
    </row>
    <row r="16376" spans="12:12">
      <c r="L16376"/>
    </row>
    <row r="16377" spans="12:12">
      <c r="L16377"/>
    </row>
    <row r="16378" spans="12:12">
      <c r="L16378"/>
    </row>
    <row r="16379" spans="12:12">
      <c r="L16379"/>
    </row>
    <row r="16380" spans="12:12">
      <c r="L16380"/>
    </row>
    <row r="16381" spans="12:12">
      <c r="L16381"/>
    </row>
    <row r="16382" spans="12:12">
      <c r="L16382"/>
    </row>
    <row r="16383" spans="12:12">
      <c r="L16383"/>
    </row>
    <row r="16384" spans="12:12">
      <c r="L16384"/>
    </row>
    <row r="16385" spans="12:12">
      <c r="L16385"/>
    </row>
    <row r="16386" spans="12:12">
      <c r="L16386"/>
    </row>
    <row r="16387" spans="12:12">
      <c r="L16387"/>
    </row>
    <row r="16388" spans="12:12">
      <c r="L16388"/>
    </row>
    <row r="16389" spans="12:12">
      <c r="L16389"/>
    </row>
    <row r="16390" spans="12:12">
      <c r="L16390"/>
    </row>
    <row r="16391" spans="12:12">
      <c r="L16391"/>
    </row>
    <row r="16392" spans="12:12">
      <c r="L16392"/>
    </row>
    <row r="16393" spans="12:12">
      <c r="L16393"/>
    </row>
    <row r="16394" spans="12:12">
      <c r="L16394"/>
    </row>
    <row r="16395" spans="12:12">
      <c r="L16395"/>
    </row>
    <row r="16396" spans="12:12">
      <c r="L16396"/>
    </row>
    <row r="16397" spans="12:12">
      <c r="L16397"/>
    </row>
    <row r="16398" spans="12:12">
      <c r="L16398"/>
    </row>
    <row r="16399" spans="12:12">
      <c r="L16399"/>
    </row>
    <row r="16400" spans="12:12">
      <c r="L16400"/>
    </row>
    <row r="16401" spans="12:12">
      <c r="L16401"/>
    </row>
    <row r="16402" spans="12:12">
      <c r="L16402"/>
    </row>
    <row r="16403" spans="12:12">
      <c r="L16403"/>
    </row>
    <row r="16404" spans="12:12">
      <c r="L16404"/>
    </row>
    <row r="16405" spans="12:12">
      <c r="L16405"/>
    </row>
    <row r="16406" spans="12:12">
      <c r="L16406"/>
    </row>
    <row r="16407" spans="12:12">
      <c r="L16407"/>
    </row>
    <row r="16408" spans="12:12">
      <c r="L16408"/>
    </row>
    <row r="16409" spans="12:12">
      <c r="L16409"/>
    </row>
    <row r="16410" spans="12:12">
      <c r="L16410"/>
    </row>
    <row r="16411" spans="12:12">
      <c r="L16411"/>
    </row>
    <row r="16412" spans="12:12">
      <c r="L16412"/>
    </row>
    <row r="16413" spans="12:12">
      <c r="L16413"/>
    </row>
    <row r="16414" spans="12:12">
      <c r="L16414"/>
    </row>
    <row r="16415" spans="12:12">
      <c r="L16415"/>
    </row>
    <row r="16416" spans="12:12">
      <c r="L16416"/>
    </row>
    <row r="16417" spans="12:12">
      <c r="L16417"/>
    </row>
    <row r="16418" spans="12:12">
      <c r="L16418"/>
    </row>
    <row r="16419" spans="12:12">
      <c r="L16419"/>
    </row>
    <row r="16420" spans="12:12">
      <c r="L16420"/>
    </row>
    <row r="16421" spans="12:12">
      <c r="L16421"/>
    </row>
    <row r="16422" spans="12:12">
      <c r="L16422"/>
    </row>
    <row r="16423" spans="12:12">
      <c r="L16423"/>
    </row>
    <row r="16424" spans="12:12">
      <c r="L16424"/>
    </row>
    <row r="16425" spans="12:12">
      <c r="L16425"/>
    </row>
    <row r="16426" spans="12:12">
      <c r="L16426"/>
    </row>
    <row r="16427" spans="12:12">
      <c r="L16427"/>
    </row>
    <row r="16428" spans="12:12">
      <c r="L16428"/>
    </row>
    <row r="16429" spans="12:12">
      <c r="L16429"/>
    </row>
    <row r="16430" spans="12:12">
      <c r="L16430"/>
    </row>
    <row r="16431" spans="12:12">
      <c r="L16431"/>
    </row>
    <row r="16432" spans="12:12">
      <c r="L16432"/>
    </row>
    <row r="16433" spans="12:12">
      <c r="L16433"/>
    </row>
    <row r="16434" spans="12:12">
      <c r="L16434"/>
    </row>
    <row r="16435" spans="12:12">
      <c r="L16435"/>
    </row>
    <row r="16436" spans="12:12">
      <c r="L16436"/>
    </row>
    <row r="16437" spans="12:12">
      <c r="L16437"/>
    </row>
    <row r="16438" spans="12:12">
      <c r="L16438"/>
    </row>
    <row r="16439" spans="12:12">
      <c r="L16439"/>
    </row>
    <row r="16440" spans="12:12">
      <c r="L16440"/>
    </row>
    <row r="16441" spans="12:12">
      <c r="L16441"/>
    </row>
    <row r="16442" spans="12:12">
      <c r="L16442"/>
    </row>
    <row r="16443" spans="12:12">
      <c r="L16443"/>
    </row>
    <row r="16444" spans="12:12">
      <c r="L16444"/>
    </row>
    <row r="16445" spans="12:12">
      <c r="L16445"/>
    </row>
    <row r="16446" spans="12:12">
      <c r="L16446"/>
    </row>
    <row r="16447" spans="12:12">
      <c r="L16447"/>
    </row>
    <row r="16448" spans="12:12">
      <c r="L16448"/>
    </row>
    <row r="16449" spans="12:12">
      <c r="L16449"/>
    </row>
    <row r="16450" spans="12:12">
      <c r="L16450"/>
    </row>
    <row r="16451" spans="12:12">
      <c r="L16451"/>
    </row>
    <row r="16452" spans="12:12">
      <c r="L16452"/>
    </row>
    <row r="16453" spans="12:12">
      <c r="L16453"/>
    </row>
    <row r="16454" spans="12:12">
      <c r="L16454"/>
    </row>
    <row r="16455" spans="12:12">
      <c r="L16455"/>
    </row>
    <row r="16456" spans="12:12">
      <c r="L16456"/>
    </row>
    <row r="16457" spans="12:12">
      <c r="L16457"/>
    </row>
    <row r="16458" spans="12:12">
      <c r="L16458"/>
    </row>
    <row r="16459" spans="12:12">
      <c r="L16459"/>
    </row>
    <row r="16460" spans="12:12">
      <c r="L16460"/>
    </row>
    <row r="16461" spans="12:12">
      <c r="L16461"/>
    </row>
    <row r="16462" spans="12:12">
      <c r="L16462"/>
    </row>
    <row r="16463" spans="12:12">
      <c r="L16463"/>
    </row>
    <row r="16464" spans="12:12">
      <c r="L16464"/>
    </row>
    <row r="16465" spans="12:12">
      <c r="L16465"/>
    </row>
    <row r="16466" spans="12:12">
      <c r="L16466"/>
    </row>
    <row r="16467" spans="12:12">
      <c r="L16467"/>
    </row>
    <row r="16468" spans="12:12">
      <c r="L16468"/>
    </row>
    <row r="16469" spans="12:12">
      <c r="L16469"/>
    </row>
    <row r="16470" spans="12:12">
      <c r="L16470"/>
    </row>
    <row r="16471" spans="12:12">
      <c r="L16471"/>
    </row>
    <row r="16472" spans="12:12">
      <c r="L16472"/>
    </row>
    <row r="16473" spans="12:12">
      <c r="L16473"/>
    </row>
    <row r="16474" spans="12:12">
      <c r="L16474"/>
    </row>
    <row r="16475" spans="12:12">
      <c r="L16475"/>
    </row>
    <row r="16476" spans="12:12">
      <c r="L16476"/>
    </row>
    <row r="16477" spans="12:12">
      <c r="L16477"/>
    </row>
    <row r="16478" spans="12:12">
      <c r="L16478"/>
    </row>
    <row r="16479" spans="12:12">
      <c r="L16479"/>
    </row>
    <row r="16480" spans="12:12">
      <c r="L16480"/>
    </row>
    <row r="16481" spans="12:12">
      <c r="L16481"/>
    </row>
    <row r="16482" spans="12:12">
      <c r="L16482"/>
    </row>
    <row r="16483" spans="12:12">
      <c r="L16483"/>
    </row>
    <row r="16484" spans="12:12">
      <c r="L16484"/>
    </row>
    <row r="16485" spans="12:12">
      <c r="L16485"/>
    </row>
    <row r="16486" spans="12:12">
      <c r="L16486"/>
    </row>
    <row r="16487" spans="12:12">
      <c r="L16487"/>
    </row>
    <row r="16488" spans="12:12">
      <c r="L16488"/>
    </row>
    <row r="16489" spans="12:12">
      <c r="L16489"/>
    </row>
    <row r="16490" spans="12:12">
      <c r="L16490"/>
    </row>
    <row r="16491" spans="12:12">
      <c r="L16491"/>
    </row>
    <row r="16492" spans="12:12">
      <c r="L16492"/>
    </row>
    <row r="16493" spans="12:12">
      <c r="L16493"/>
    </row>
    <row r="16494" spans="12:12">
      <c r="L16494"/>
    </row>
    <row r="16495" spans="12:12">
      <c r="L16495"/>
    </row>
    <row r="16496" spans="12:12">
      <c r="L16496"/>
    </row>
    <row r="16497" spans="12:12">
      <c r="L16497"/>
    </row>
    <row r="16498" spans="12:12">
      <c r="L16498"/>
    </row>
    <row r="16499" spans="12:12">
      <c r="L16499"/>
    </row>
    <row r="16500" spans="12:12">
      <c r="L16500"/>
    </row>
    <row r="16501" spans="12:12">
      <c r="L16501"/>
    </row>
    <row r="16502" spans="12:12">
      <c r="L16502"/>
    </row>
    <row r="16503" spans="12:12">
      <c r="L16503"/>
    </row>
    <row r="16504" spans="12:12">
      <c r="L16504"/>
    </row>
    <row r="16505" spans="12:12">
      <c r="L16505"/>
    </row>
    <row r="16506" spans="12:12">
      <c r="L16506"/>
    </row>
    <row r="16507" spans="12:12">
      <c r="L16507"/>
    </row>
    <row r="16508" spans="12:12">
      <c r="L16508"/>
    </row>
    <row r="16509" spans="12:12">
      <c r="L16509"/>
    </row>
    <row r="16510" spans="12:12">
      <c r="L16510"/>
    </row>
    <row r="16511" spans="12:12">
      <c r="L16511"/>
    </row>
    <row r="16512" spans="12:12">
      <c r="L16512"/>
    </row>
    <row r="16513" spans="12:12">
      <c r="L16513"/>
    </row>
    <row r="16514" spans="12:12">
      <c r="L16514"/>
    </row>
    <row r="16515" spans="12:12">
      <c r="L16515"/>
    </row>
    <row r="16516" spans="12:12">
      <c r="L16516"/>
    </row>
    <row r="16517" spans="12:12">
      <c r="L16517"/>
    </row>
    <row r="16518" spans="12:12">
      <c r="L16518"/>
    </row>
    <row r="16519" spans="12:12">
      <c r="L16519"/>
    </row>
    <row r="16520" spans="12:12">
      <c r="L16520"/>
    </row>
    <row r="16521" spans="12:12">
      <c r="L16521"/>
    </row>
    <row r="16522" spans="12:12">
      <c r="L16522"/>
    </row>
    <row r="16523" spans="12:12">
      <c r="L16523"/>
    </row>
    <row r="16524" spans="12:12">
      <c r="L16524"/>
    </row>
    <row r="16525" spans="12:12">
      <c r="L16525"/>
    </row>
    <row r="16526" spans="12:12">
      <c r="L16526"/>
    </row>
    <row r="16527" spans="12:12">
      <c r="L16527"/>
    </row>
    <row r="16528" spans="12:12">
      <c r="L16528"/>
    </row>
    <row r="16529" spans="12:12">
      <c r="L16529"/>
    </row>
    <row r="16530" spans="12:12">
      <c r="L16530"/>
    </row>
    <row r="16531" spans="12:12">
      <c r="L16531"/>
    </row>
    <row r="16532" spans="12:12">
      <c r="L16532"/>
    </row>
    <row r="16533" spans="12:12">
      <c r="L16533"/>
    </row>
    <row r="16534" spans="12:12">
      <c r="L16534"/>
    </row>
    <row r="16535" spans="12:12">
      <c r="L16535"/>
    </row>
    <row r="16536" spans="12:12">
      <c r="L16536"/>
    </row>
    <row r="16537" spans="12:12">
      <c r="L16537"/>
    </row>
    <row r="16538" spans="12:12">
      <c r="L16538"/>
    </row>
    <row r="16539" spans="12:12">
      <c r="L16539"/>
    </row>
    <row r="16540" spans="12:12">
      <c r="L16540"/>
    </row>
    <row r="16541" spans="12:12">
      <c r="L16541"/>
    </row>
    <row r="16542" spans="12:12">
      <c r="L16542"/>
    </row>
    <row r="16543" spans="12:12">
      <c r="L16543"/>
    </row>
    <row r="16544" spans="12:12">
      <c r="L16544"/>
    </row>
    <row r="16545" spans="12:12">
      <c r="L16545"/>
    </row>
    <row r="16546" spans="12:12">
      <c r="L16546"/>
    </row>
    <row r="16547" spans="12:12">
      <c r="L16547"/>
    </row>
    <row r="16548" spans="12:12">
      <c r="L16548"/>
    </row>
    <row r="16549" spans="12:12">
      <c r="L16549"/>
    </row>
    <row r="16550" spans="12:12">
      <c r="L16550"/>
    </row>
    <row r="16551" spans="12:12">
      <c r="L16551"/>
    </row>
    <row r="16552" spans="12:12">
      <c r="L16552"/>
    </row>
    <row r="16553" spans="12:12">
      <c r="L16553"/>
    </row>
    <row r="16554" spans="12:12">
      <c r="L16554"/>
    </row>
    <row r="16555" spans="12:12">
      <c r="L16555"/>
    </row>
    <row r="16556" spans="12:12">
      <c r="L16556"/>
    </row>
    <row r="16557" spans="12:12">
      <c r="L16557"/>
    </row>
    <row r="16558" spans="12:12">
      <c r="L16558"/>
    </row>
    <row r="16559" spans="12:12">
      <c r="L16559"/>
    </row>
    <row r="16560" spans="12:12">
      <c r="L16560"/>
    </row>
    <row r="16561" spans="12:12">
      <c r="L16561"/>
    </row>
    <row r="16562" spans="12:12">
      <c r="L16562"/>
    </row>
    <row r="16563" spans="12:12">
      <c r="L16563"/>
    </row>
    <row r="16564" spans="12:12">
      <c r="L16564"/>
    </row>
    <row r="16565" spans="12:12">
      <c r="L16565"/>
    </row>
    <row r="16566" spans="12:12">
      <c r="L16566"/>
    </row>
    <row r="16567" spans="12:12">
      <c r="L16567"/>
    </row>
    <row r="16568" spans="12:12">
      <c r="L16568"/>
    </row>
    <row r="16569" spans="12:12">
      <c r="L16569"/>
    </row>
    <row r="16570" spans="12:12">
      <c r="L16570"/>
    </row>
    <row r="16571" spans="12:12">
      <c r="L16571"/>
    </row>
    <row r="16572" spans="12:12">
      <c r="L16572"/>
    </row>
    <row r="16573" spans="12:12">
      <c r="L16573"/>
    </row>
    <row r="16574" spans="12:12">
      <c r="L16574"/>
    </row>
    <row r="16575" spans="12:12">
      <c r="L16575"/>
    </row>
    <row r="16576" spans="12:12">
      <c r="L16576"/>
    </row>
    <row r="16577" spans="12:12">
      <c r="L16577"/>
    </row>
    <row r="16578" spans="12:12">
      <c r="L16578"/>
    </row>
    <row r="16579" spans="12:12">
      <c r="L16579"/>
    </row>
    <row r="16580" spans="12:12">
      <c r="L16580"/>
    </row>
    <row r="16581" spans="12:12">
      <c r="L16581"/>
    </row>
    <row r="16582" spans="12:12">
      <c r="L16582"/>
    </row>
    <row r="16583" spans="12:12">
      <c r="L16583"/>
    </row>
    <row r="16584" spans="12:12">
      <c r="L16584"/>
    </row>
    <row r="16585" spans="12:12">
      <c r="L16585"/>
    </row>
    <row r="16586" spans="12:12">
      <c r="L16586"/>
    </row>
    <row r="16587" spans="12:12">
      <c r="L16587"/>
    </row>
    <row r="16588" spans="12:12">
      <c r="L16588"/>
    </row>
    <row r="16589" spans="12:12">
      <c r="L16589"/>
    </row>
    <row r="16590" spans="12:12">
      <c r="L16590"/>
    </row>
    <row r="16591" spans="12:12">
      <c r="L16591"/>
    </row>
    <row r="16592" spans="12:12">
      <c r="L16592"/>
    </row>
    <row r="16593" spans="12:12">
      <c r="L16593"/>
    </row>
    <row r="16594" spans="12:12">
      <c r="L16594"/>
    </row>
    <row r="16595" spans="12:12">
      <c r="L16595"/>
    </row>
    <row r="16596" spans="12:12">
      <c r="L16596"/>
    </row>
    <row r="16597" spans="12:12">
      <c r="L16597"/>
    </row>
    <row r="16598" spans="12:12">
      <c r="L16598"/>
    </row>
    <row r="16599" spans="12:12">
      <c r="L16599"/>
    </row>
    <row r="16600" spans="12:12">
      <c r="L16600"/>
    </row>
    <row r="16601" spans="12:12">
      <c r="L16601"/>
    </row>
    <row r="16602" spans="12:12">
      <c r="L16602"/>
    </row>
    <row r="16603" spans="12:12">
      <c r="L16603"/>
    </row>
    <row r="16604" spans="12:12">
      <c r="L16604"/>
    </row>
    <row r="16605" spans="12:12">
      <c r="L16605"/>
    </row>
    <row r="16606" spans="12:12">
      <c r="L16606"/>
    </row>
    <row r="16607" spans="12:12">
      <c r="L16607"/>
    </row>
    <row r="16608" spans="12:12">
      <c r="L16608"/>
    </row>
    <row r="16609" spans="12:12">
      <c r="L16609"/>
    </row>
    <row r="16610" spans="12:12">
      <c r="L16610"/>
    </row>
    <row r="16611" spans="12:12">
      <c r="L16611"/>
    </row>
    <row r="16612" spans="12:12">
      <c r="L16612"/>
    </row>
    <row r="16613" spans="12:12">
      <c r="L16613"/>
    </row>
    <row r="16614" spans="12:12">
      <c r="L16614"/>
    </row>
    <row r="16615" spans="12:12">
      <c r="L16615"/>
    </row>
    <row r="16616" spans="12:12">
      <c r="L16616"/>
    </row>
    <row r="16617" spans="12:12">
      <c r="L16617"/>
    </row>
    <row r="16618" spans="12:12">
      <c r="L16618"/>
    </row>
    <row r="16619" spans="12:12">
      <c r="L16619"/>
    </row>
    <row r="16620" spans="12:12">
      <c r="L16620"/>
    </row>
    <row r="16621" spans="12:12">
      <c r="L16621"/>
    </row>
    <row r="16622" spans="12:12">
      <c r="L16622"/>
    </row>
    <row r="16623" spans="12:12">
      <c r="L16623"/>
    </row>
    <row r="16624" spans="12:12">
      <c r="L16624"/>
    </row>
    <row r="16625" spans="12:12">
      <c r="L16625"/>
    </row>
    <row r="16626" spans="12:12">
      <c r="L16626"/>
    </row>
    <row r="16627" spans="12:12">
      <c r="L16627"/>
    </row>
    <row r="16628" spans="12:12">
      <c r="L16628"/>
    </row>
    <row r="16629" spans="12:12">
      <c r="L16629"/>
    </row>
    <row r="16630" spans="12:12">
      <c r="L16630"/>
    </row>
    <row r="16631" spans="12:12">
      <c r="L16631"/>
    </row>
    <row r="16632" spans="12:12">
      <c r="L16632"/>
    </row>
    <row r="16633" spans="12:12">
      <c r="L16633"/>
    </row>
    <row r="16634" spans="12:12">
      <c r="L16634"/>
    </row>
    <row r="16635" spans="12:12">
      <c r="L16635"/>
    </row>
    <row r="16636" spans="12:12">
      <c r="L16636"/>
    </row>
    <row r="16637" spans="12:12">
      <c r="L16637"/>
    </row>
    <row r="16638" spans="12:12">
      <c r="L16638"/>
    </row>
    <row r="16639" spans="12:12">
      <c r="L16639"/>
    </row>
    <row r="16640" spans="12:12">
      <c r="L16640"/>
    </row>
    <row r="16641" spans="12:12">
      <c r="L16641"/>
    </row>
    <row r="16642" spans="12:12">
      <c r="L16642"/>
    </row>
    <row r="16643" spans="12:12">
      <c r="L16643"/>
    </row>
    <row r="16644" spans="12:12">
      <c r="L16644"/>
    </row>
    <row r="16645" spans="12:12">
      <c r="L16645"/>
    </row>
    <row r="16646" spans="12:12">
      <c r="L16646"/>
    </row>
    <row r="16647" spans="12:12">
      <c r="L16647"/>
    </row>
    <row r="16648" spans="12:12">
      <c r="L16648"/>
    </row>
    <row r="16649" spans="12:12">
      <c r="L16649"/>
    </row>
    <row r="16650" spans="12:12">
      <c r="L16650"/>
    </row>
    <row r="16651" spans="12:12">
      <c r="L16651"/>
    </row>
    <row r="16652" spans="12:12">
      <c r="L16652"/>
    </row>
    <row r="16653" spans="12:12">
      <c r="L16653"/>
    </row>
    <row r="16654" spans="12:12">
      <c r="L16654"/>
    </row>
    <row r="16655" spans="12:12">
      <c r="L16655"/>
    </row>
    <row r="16656" spans="12:12">
      <c r="L16656"/>
    </row>
    <row r="16657" spans="12:12">
      <c r="L16657"/>
    </row>
    <row r="16658" spans="12:12">
      <c r="L16658"/>
    </row>
    <row r="16659" spans="12:12">
      <c r="L16659"/>
    </row>
    <row r="16660" spans="12:12">
      <c r="L16660"/>
    </row>
    <row r="16661" spans="12:12">
      <c r="L16661"/>
    </row>
    <row r="16662" spans="12:12">
      <c r="L16662"/>
    </row>
    <row r="16663" spans="12:12">
      <c r="L16663"/>
    </row>
    <row r="16664" spans="12:12">
      <c r="L16664"/>
    </row>
    <row r="16665" spans="12:12">
      <c r="L16665"/>
    </row>
    <row r="16666" spans="12:12">
      <c r="L16666"/>
    </row>
    <row r="16667" spans="12:12">
      <c r="L16667"/>
    </row>
    <row r="16668" spans="12:12">
      <c r="L16668"/>
    </row>
    <row r="16669" spans="12:12">
      <c r="L16669"/>
    </row>
    <row r="16670" spans="12:12">
      <c r="L16670"/>
    </row>
    <row r="16671" spans="12:12">
      <c r="L16671"/>
    </row>
    <row r="16672" spans="12:12">
      <c r="L16672"/>
    </row>
    <row r="16673" spans="12:12">
      <c r="L16673"/>
    </row>
    <row r="16674" spans="12:12">
      <c r="L16674"/>
    </row>
    <row r="16675" spans="12:12">
      <c r="L16675"/>
    </row>
    <row r="16676" spans="12:12">
      <c r="L16676"/>
    </row>
    <row r="16677" spans="12:12">
      <c r="L16677"/>
    </row>
    <row r="16678" spans="12:12">
      <c r="L16678"/>
    </row>
    <row r="16679" spans="12:12">
      <c r="L16679"/>
    </row>
    <row r="16680" spans="12:12">
      <c r="L16680"/>
    </row>
    <row r="16681" spans="12:12">
      <c r="L16681"/>
    </row>
    <row r="16682" spans="12:12">
      <c r="L16682"/>
    </row>
    <row r="16683" spans="12:12">
      <c r="L16683"/>
    </row>
    <row r="16684" spans="12:12">
      <c r="L16684"/>
    </row>
    <row r="16685" spans="12:12">
      <c r="L16685"/>
    </row>
    <row r="16686" spans="12:12">
      <c r="L16686"/>
    </row>
    <row r="16687" spans="12:12">
      <c r="L16687"/>
    </row>
    <row r="16688" spans="12:12">
      <c r="L16688"/>
    </row>
    <row r="16689" spans="12:12">
      <c r="L16689"/>
    </row>
    <row r="16690" spans="12:12">
      <c r="L16690"/>
    </row>
    <row r="16691" spans="12:12">
      <c r="L16691"/>
    </row>
    <row r="16692" spans="12:12">
      <c r="L16692"/>
    </row>
    <row r="16693" spans="12:12">
      <c r="L16693"/>
    </row>
    <row r="16694" spans="12:12">
      <c r="L16694"/>
    </row>
    <row r="16695" spans="12:12">
      <c r="L16695"/>
    </row>
    <row r="16696" spans="12:12">
      <c r="L16696"/>
    </row>
    <row r="16697" spans="12:12">
      <c r="L16697"/>
    </row>
    <row r="16698" spans="12:12">
      <c r="L16698"/>
    </row>
    <row r="16699" spans="12:12">
      <c r="L16699"/>
    </row>
    <row r="16700" spans="12:12">
      <c r="L16700"/>
    </row>
    <row r="16701" spans="12:12">
      <c r="L16701"/>
    </row>
    <row r="16702" spans="12:12">
      <c r="L16702"/>
    </row>
    <row r="16703" spans="12:12">
      <c r="L16703"/>
    </row>
    <row r="16704" spans="12:12">
      <c r="L16704"/>
    </row>
    <row r="16705" spans="12:12">
      <c r="L16705"/>
    </row>
    <row r="16706" spans="12:12">
      <c r="L16706"/>
    </row>
    <row r="16707" spans="12:12">
      <c r="L16707"/>
    </row>
    <row r="16708" spans="12:12">
      <c r="L16708"/>
    </row>
    <row r="16709" spans="12:12">
      <c r="L16709"/>
    </row>
    <row r="16710" spans="12:12">
      <c r="L16710"/>
    </row>
    <row r="16711" spans="12:12">
      <c r="L16711"/>
    </row>
    <row r="16712" spans="12:12">
      <c r="L16712"/>
    </row>
    <row r="16713" spans="12:12">
      <c r="L16713"/>
    </row>
    <row r="16714" spans="12:12">
      <c r="L16714"/>
    </row>
    <row r="16715" spans="12:12">
      <c r="L16715"/>
    </row>
    <row r="16716" spans="12:12">
      <c r="L16716"/>
    </row>
    <row r="16717" spans="12:12">
      <c r="L16717"/>
    </row>
    <row r="16718" spans="12:12">
      <c r="L16718"/>
    </row>
    <row r="16719" spans="12:12">
      <c r="L16719"/>
    </row>
    <row r="16720" spans="12:12">
      <c r="L16720"/>
    </row>
    <row r="16721" spans="12:12">
      <c r="L16721"/>
    </row>
    <row r="16722" spans="12:12">
      <c r="L16722"/>
    </row>
    <row r="16723" spans="12:12">
      <c r="L16723"/>
    </row>
    <row r="16724" spans="12:12">
      <c r="L16724"/>
    </row>
    <row r="16725" spans="12:12">
      <c r="L16725"/>
    </row>
    <row r="16726" spans="12:12">
      <c r="L16726"/>
    </row>
    <row r="16727" spans="12:12">
      <c r="L16727"/>
    </row>
    <row r="16728" spans="12:12">
      <c r="L16728"/>
    </row>
    <row r="16729" spans="12:12">
      <c r="L16729"/>
    </row>
    <row r="16730" spans="12:12">
      <c r="L16730"/>
    </row>
    <row r="16731" spans="12:12">
      <c r="L16731"/>
    </row>
    <row r="16732" spans="12:12">
      <c r="L16732"/>
    </row>
    <row r="16733" spans="12:12">
      <c r="L16733"/>
    </row>
    <row r="16734" spans="12:12">
      <c r="L16734"/>
    </row>
    <row r="16735" spans="12:12">
      <c r="L16735"/>
    </row>
    <row r="16736" spans="12:12">
      <c r="L16736"/>
    </row>
    <row r="16737" spans="12:12">
      <c r="L16737"/>
    </row>
    <row r="16738" spans="12:12">
      <c r="L16738"/>
    </row>
    <row r="16739" spans="12:12">
      <c r="L16739"/>
    </row>
    <row r="16740" spans="12:12">
      <c r="L16740"/>
    </row>
    <row r="16741" spans="12:12">
      <c r="L16741"/>
    </row>
    <row r="16742" spans="12:12">
      <c r="L16742"/>
    </row>
    <row r="16743" spans="12:12">
      <c r="L16743"/>
    </row>
    <row r="16744" spans="12:12">
      <c r="L16744"/>
    </row>
    <row r="16745" spans="12:12">
      <c r="L16745"/>
    </row>
    <row r="16746" spans="12:12">
      <c r="L16746"/>
    </row>
    <row r="16747" spans="12:12">
      <c r="L16747"/>
    </row>
    <row r="16748" spans="12:12">
      <c r="L16748"/>
    </row>
    <row r="16749" spans="12:12">
      <c r="L16749"/>
    </row>
    <row r="16750" spans="12:12">
      <c r="L16750"/>
    </row>
    <row r="16751" spans="12:12">
      <c r="L16751"/>
    </row>
    <row r="16752" spans="12:12">
      <c r="L16752"/>
    </row>
    <row r="16753" spans="12:12">
      <c r="L16753"/>
    </row>
    <row r="16754" spans="12:12">
      <c r="L16754"/>
    </row>
    <row r="16755" spans="12:12">
      <c r="L16755"/>
    </row>
    <row r="16756" spans="12:12">
      <c r="L16756"/>
    </row>
    <row r="16757" spans="12:12">
      <c r="L16757"/>
    </row>
    <row r="16758" spans="12:12">
      <c r="L16758"/>
    </row>
    <row r="16759" spans="12:12">
      <c r="L16759"/>
    </row>
    <row r="16760" spans="12:12">
      <c r="L16760"/>
    </row>
    <row r="16761" spans="12:12">
      <c r="L16761"/>
    </row>
    <row r="16762" spans="12:12">
      <c r="L16762"/>
    </row>
    <row r="16763" spans="12:12">
      <c r="L16763"/>
    </row>
    <row r="16764" spans="12:12">
      <c r="L16764"/>
    </row>
    <row r="16765" spans="12:12">
      <c r="L16765"/>
    </row>
    <row r="16766" spans="12:12">
      <c r="L16766"/>
    </row>
    <row r="16767" spans="12:12">
      <c r="L16767"/>
    </row>
    <row r="16768" spans="12:12">
      <c r="L16768"/>
    </row>
    <row r="16769" spans="12:12">
      <c r="L16769"/>
    </row>
    <row r="16770" spans="12:12">
      <c r="L16770"/>
    </row>
    <row r="16771" spans="12:12">
      <c r="L16771"/>
    </row>
    <row r="16772" spans="12:12">
      <c r="L16772"/>
    </row>
    <row r="16773" spans="12:12">
      <c r="L16773"/>
    </row>
    <row r="16774" spans="12:12">
      <c r="L16774"/>
    </row>
    <row r="16775" spans="12:12">
      <c r="L16775"/>
    </row>
    <row r="16776" spans="12:12">
      <c r="L16776"/>
    </row>
    <row r="16777" spans="12:12">
      <c r="L16777"/>
    </row>
    <row r="16778" spans="12:12">
      <c r="L16778"/>
    </row>
    <row r="16779" spans="12:12">
      <c r="L16779"/>
    </row>
    <row r="16780" spans="12:12">
      <c r="L16780"/>
    </row>
    <row r="16781" spans="12:12">
      <c r="L16781"/>
    </row>
    <row r="16782" spans="12:12">
      <c r="L16782"/>
    </row>
    <row r="16783" spans="12:12">
      <c r="L16783"/>
    </row>
    <row r="16784" spans="12:12">
      <c r="L16784"/>
    </row>
    <row r="16785" spans="12:12">
      <c r="L16785"/>
    </row>
    <row r="16786" spans="12:12">
      <c r="L16786"/>
    </row>
    <row r="16787" spans="12:12">
      <c r="L16787"/>
    </row>
    <row r="16788" spans="12:12">
      <c r="L16788"/>
    </row>
    <row r="16789" spans="12:12">
      <c r="L16789"/>
    </row>
    <row r="16790" spans="12:12">
      <c r="L16790"/>
    </row>
    <row r="16791" spans="12:12">
      <c r="L16791"/>
    </row>
    <row r="16792" spans="12:12">
      <c r="L16792"/>
    </row>
    <row r="16793" spans="12:12">
      <c r="L16793"/>
    </row>
    <row r="16794" spans="12:12">
      <c r="L16794"/>
    </row>
    <row r="16795" spans="12:12">
      <c r="L16795"/>
    </row>
    <row r="16796" spans="12:12">
      <c r="L16796"/>
    </row>
    <row r="16797" spans="12:12">
      <c r="L16797"/>
    </row>
    <row r="16798" spans="12:12">
      <c r="L16798"/>
    </row>
    <row r="16799" spans="12:12">
      <c r="L16799"/>
    </row>
    <row r="16800" spans="12:12">
      <c r="L16800"/>
    </row>
    <row r="16801" spans="12:12">
      <c r="L16801"/>
    </row>
    <row r="16802" spans="12:12">
      <c r="L16802"/>
    </row>
    <row r="16803" spans="12:12">
      <c r="L16803"/>
    </row>
    <row r="16804" spans="12:12">
      <c r="L16804"/>
    </row>
    <row r="16805" spans="12:12">
      <c r="L16805"/>
    </row>
    <row r="16806" spans="12:12">
      <c r="L16806"/>
    </row>
    <row r="16807" spans="12:12">
      <c r="L16807"/>
    </row>
    <row r="16808" spans="12:12">
      <c r="L16808"/>
    </row>
    <row r="16809" spans="12:12">
      <c r="L16809"/>
    </row>
    <row r="16810" spans="12:12">
      <c r="L16810"/>
    </row>
    <row r="16811" spans="12:12">
      <c r="L16811"/>
    </row>
    <row r="16812" spans="12:12">
      <c r="L16812"/>
    </row>
    <row r="16813" spans="12:12">
      <c r="L16813"/>
    </row>
    <row r="16814" spans="12:12">
      <c r="L16814"/>
    </row>
    <row r="16815" spans="12:12">
      <c r="L16815"/>
    </row>
    <row r="16816" spans="12:12">
      <c r="L16816"/>
    </row>
    <row r="16817" spans="12:12">
      <c r="L16817"/>
    </row>
    <row r="16818" spans="12:12">
      <c r="L16818"/>
    </row>
    <row r="16819" spans="12:12">
      <c r="L16819"/>
    </row>
    <row r="16820" spans="12:12">
      <c r="L16820"/>
    </row>
    <row r="16821" spans="12:12">
      <c r="L16821"/>
    </row>
    <row r="16822" spans="12:12">
      <c r="L16822"/>
    </row>
    <row r="16823" spans="12:12">
      <c r="L16823"/>
    </row>
    <row r="16824" spans="12:12">
      <c r="L16824"/>
    </row>
    <row r="16825" spans="12:12">
      <c r="L16825"/>
    </row>
    <row r="16826" spans="12:12">
      <c r="L16826"/>
    </row>
    <row r="16827" spans="12:12">
      <c r="L16827"/>
    </row>
    <row r="16828" spans="12:12">
      <c r="L16828"/>
    </row>
    <row r="16829" spans="12:12">
      <c r="L16829"/>
    </row>
    <row r="16830" spans="12:12">
      <c r="L16830"/>
    </row>
    <row r="16831" spans="12:12">
      <c r="L16831"/>
    </row>
    <row r="16832" spans="12:12">
      <c r="L16832"/>
    </row>
    <row r="16833" spans="12:12">
      <c r="L16833"/>
    </row>
    <row r="16834" spans="12:12">
      <c r="L16834"/>
    </row>
    <row r="16835" spans="12:12">
      <c r="L16835"/>
    </row>
    <row r="16836" spans="12:12">
      <c r="L16836"/>
    </row>
    <row r="16837" spans="12:12">
      <c r="L16837"/>
    </row>
    <row r="16838" spans="12:12">
      <c r="L16838"/>
    </row>
    <row r="16839" spans="12:12">
      <c r="L16839"/>
    </row>
    <row r="16840" spans="12:12">
      <c r="L16840"/>
    </row>
    <row r="16841" spans="12:12">
      <c r="L16841"/>
    </row>
    <row r="16842" spans="12:12">
      <c r="L16842"/>
    </row>
    <row r="16843" spans="12:12">
      <c r="L16843"/>
    </row>
    <row r="16844" spans="12:12">
      <c r="L16844"/>
    </row>
    <row r="16845" spans="12:12">
      <c r="L16845"/>
    </row>
    <row r="16846" spans="12:12">
      <c r="L16846"/>
    </row>
    <row r="16847" spans="12:12">
      <c r="L16847"/>
    </row>
    <row r="16848" spans="12:12">
      <c r="L16848"/>
    </row>
    <row r="16849" spans="12:12">
      <c r="L16849"/>
    </row>
    <row r="16850" spans="12:12">
      <c r="L16850"/>
    </row>
    <row r="16851" spans="12:12">
      <c r="L16851"/>
    </row>
    <row r="16852" spans="12:12">
      <c r="L16852"/>
    </row>
    <row r="16853" spans="12:12">
      <c r="L16853"/>
    </row>
    <row r="16854" spans="12:12">
      <c r="L16854"/>
    </row>
    <row r="16855" spans="12:12">
      <c r="L16855"/>
    </row>
    <row r="16856" spans="12:12">
      <c r="L16856"/>
    </row>
    <row r="16857" spans="12:12">
      <c r="L16857"/>
    </row>
    <row r="16858" spans="12:12">
      <c r="L16858"/>
    </row>
    <row r="16859" spans="12:12">
      <c r="L16859"/>
    </row>
    <row r="16860" spans="12:12">
      <c r="L16860"/>
    </row>
    <row r="16861" spans="12:12">
      <c r="L16861"/>
    </row>
    <row r="16862" spans="12:12">
      <c r="L16862"/>
    </row>
    <row r="16863" spans="12:12">
      <c r="L16863"/>
    </row>
    <row r="16864" spans="12:12">
      <c r="L16864"/>
    </row>
    <row r="16865" spans="12:12">
      <c r="L16865"/>
    </row>
    <row r="16866" spans="12:12">
      <c r="L16866"/>
    </row>
    <row r="16867" spans="12:12">
      <c r="L16867"/>
    </row>
    <row r="16868" spans="12:12">
      <c r="L16868"/>
    </row>
    <row r="16869" spans="12:12">
      <c r="L16869"/>
    </row>
    <row r="16870" spans="12:12">
      <c r="L16870"/>
    </row>
    <row r="16871" spans="12:12">
      <c r="L16871"/>
    </row>
    <row r="16872" spans="12:12">
      <c r="L16872"/>
    </row>
    <row r="16873" spans="12:12">
      <c r="L16873"/>
    </row>
    <row r="16874" spans="12:12">
      <c r="L16874"/>
    </row>
    <row r="16875" spans="12:12">
      <c r="L16875"/>
    </row>
    <row r="16876" spans="12:12">
      <c r="L16876"/>
    </row>
    <row r="16877" spans="12:12">
      <c r="L16877"/>
    </row>
    <row r="16878" spans="12:12">
      <c r="L16878"/>
    </row>
    <row r="16879" spans="12:12">
      <c r="L16879"/>
    </row>
    <row r="16880" spans="12:12">
      <c r="L16880"/>
    </row>
    <row r="16881" spans="12:12">
      <c r="L16881"/>
    </row>
    <row r="16882" spans="12:12">
      <c r="L16882"/>
    </row>
    <row r="16883" spans="12:12">
      <c r="L16883"/>
    </row>
    <row r="16884" spans="12:12">
      <c r="L16884"/>
    </row>
    <row r="16885" spans="12:12">
      <c r="L16885"/>
    </row>
    <row r="16886" spans="12:12">
      <c r="L16886"/>
    </row>
    <row r="16887" spans="12:12">
      <c r="L16887"/>
    </row>
    <row r="16888" spans="12:12">
      <c r="L16888"/>
    </row>
    <row r="16889" spans="12:12">
      <c r="L16889"/>
    </row>
    <row r="16890" spans="12:12">
      <c r="L16890"/>
    </row>
    <row r="16891" spans="12:12">
      <c r="L16891"/>
    </row>
    <row r="16892" spans="12:12">
      <c r="L16892"/>
    </row>
    <row r="16893" spans="12:12">
      <c r="L16893"/>
    </row>
    <row r="16894" spans="12:12">
      <c r="L16894"/>
    </row>
    <row r="16895" spans="12:12">
      <c r="L16895"/>
    </row>
    <row r="16896" spans="12:12">
      <c r="L16896"/>
    </row>
    <row r="16897" spans="12:12">
      <c r="L16897"/>
    </row>
    <row r="16898" spans="12:12">
      <c r="L16898"/>
    </row>
    <row r="16899" spans="12:12">
      <c r="L16899"/>
    </row>
    <row r="16900" spans="12:12">
      <c r="L16900"/>
    </row>
    <row r="16901" spans="12:12">
      <c r="L16901"/>
    </row>
    <row r="16902" spans="12:12">
      <c r="L16902"/>
    </row>
    <row r="16903" spans="12:12">
      <c r="L16903"/>
    </row>
    <row r="16904" spans="12:12">
      <c r="L16904"/>
    </row>
    <row r="16905" spans="12:12">
      <c r="L16905"/>
    </row>
    <row r="16906" spans="12:12">
      <c r="L16906"/>
    </row>
    <row r="16907" spans="12:12">
      <c r="L16907"/>
    </row>
    <row r="16908" spans="12:12">
      <c r="L16908"/>
    </row>
    <row r="16909" spans="12:12">
      <c r="L16909"/>
    </row>
    <row r="16910" spans="12:12">
      <c r="L16910"/>
    </row>
    <row r="16911" spans="12:12">
      <c r="L16911"/>
    </row>
    <row r="16912" spans="12:12">
      <c r="L16912"/>
    </row>
    <row r="16913" spans="12:12">
      <c r="L16913"/>
    </row>
    <row r="16914" spans="12:12">
      <c r="L16914"/>
    </row>
    <row r="16915" spans="12:12">
      <c r="L16915"/>
    </row>
    <row r="16916" spans="12:12">
      <c r="L16916"/>
    </row>
    <row r="16917" spans="12:12">
      <c r="L16917"/>
    </row>
    <row r="16918" spans="12:12">
      <c r="L16918"/>
    </row>
    <row r="16919" spans="12:12">
      <c r="L16919"/>
    </row>
    <row r="16920" spans="12:12">
      <c r="L16920"/>
    </row>
    <row r="16921" spans="12:12">
      <c r="L16921"/>
    </row>
    <row r="16922" spans="12:12">
      <c r="L16922"/>
    </row>
    <row r="16923" spans="12:12">
      <c r="L16923"/>
    </row>
    <row r="16924" spans="12:12">
      <c r="L16924"/>
    </row>
    <row r="16925" spans="12:12">
      <c r="L16925"/>
    </row>
    <row r="16926" spans="12:12">
      <c r="L16926"/>
    </row>
    <row r="16927" spans="12:12">
      <c r="L16927"/>
    </row>
    <row r="16928" spans="12:12">
      <c r="L16928"/>
    </row>
    <row r="16929" spans="12:12">
      <c r="L16929"/>
    </row>
    <row r="16930" spans="12:12">
      <c r="L16930"/>
    </row>
    <row r="16931" spans="12:12">
      <c r="L16931"/>
    </row>
    <row r="16932" spans="12:12">
      <c r="L16932"/>
    </row>
    <row r="16933" spans="12:12">
      <c r="L16933"/>
    </row>
    <row r="16934" spans="12:12">
      <c r="L16934"/>
    </row>
    <row r="16935" spans="12:12">
      <c r="L16935"/>
    </row>
    <row r="16936" spans="12:12">
      <c r="L16936"/>
    </row>
    <row r="16937" spans="12:12">
      <c r="L16937"/>
    </row>
    <row r="16938" spans="12:12">
      <c r="L16938"/>
    </row>
    <row r="16939" spans="12:12">
      <c r="L16939"/>
    </row>
    <row r="16940" spans="12:12">
      <c r="L16940"/>
    </row>
    <row r="16941" spans="12:12">
      <c r="L16941"/>
    </row>
    <row r="16942" spans="12:12">
      <c r="L16942"/>
    </row>
    <row r="16943" spans="12:12">
      <c r="L16943"/>
    </row>
    <row r="16944" spans="12:12">
      <c r="L16944"/>
    </row>
    <row r="16945" spans="12:12">
      <c r="L16945"/>
    </row>
    <row r="16946" spans="12:12">
      <c r="L16946"/>
    </row>
    <row r="16947" spans="12:12">
      <c r="L16947"/>
    </row>
    <row r="16948" spans="12:12">
      <c r="L16948"/>
    </row>
    <row r="16949" spans="12:12">
      <c r="L16949"/>
    </row>
    <row r="16950" spans="12:12">
      <c r="L16950"/>
    </row>
    <row r="16951" spans="12:12">
      <c r="L16951"/>
    </row>
    <row r="16952" spans="12:12">
      <c r="L16952"/>
    </row>
    <row r="16953" spans="12:12">
      <c r="L16953"/>
    </row>
    <row r="16954" spans="12:12">
      <c r="L16954"/>
    </row>
    <row r="16955" spans="12:12">
      <c r="L16955"/>
    </row>
    <row r="16956" spans="12:12">
      <c r="L16956"/>
    </row>
    <row r="16957" spans="12:12">
      <c r="L16957"/>
    </row>
    <row r="16958" spans="12:12">
      <c r="L16958"/>
    </row>
    <row r="16959" spans="12:12">
      <c r="L16959"/>
    </row>
    <row r="16960" spans="12:12">
      <c r="L16960"/>
    </row>
    <row r="16961" spans="12:12">
      <c r="L16961"/>
    </row>
    <row r="16962" spans="12:12">
      <c r="L16962"/>
    </row>
    <row r="16963" spans="12:12">
      <c r="L16963"/>
    </row>
    <row r="16964" spans="12:12">
      <c r="L16964"/>
    </row>
    <row r="16965" spans="12:12">
      <c r="L16965"/>
    </row>
    <row r="16966" spans="12:12">
      <c r="L16966"/>
    </row>
    <row r="16967" spans="12:12">
      <c r="L16967"/>
    </row>
    <row r="16968" spans="12:12">
      <c r="L16968"/>
    </row>
    <row r="16969" spans="12:12">
      <c r="L16969"/>
    </row>
    <row r="16970" spans="12:12">
      <c r="L16970"/>
    </row>
    <row r="16971" spans="12:12">
      <c r="L16971"/>
    </row>
    <row r="16972" spans="12:12">
      <c r="L16972"/>
    </row>
    <row r="16973" spans="12:12">
      <c r="L16973"/>
    </row>
    <row r="16974" spans="12:12">
      <c r="L16974"/>
    </row>
    <row r="16975" spans="12:12">
      <c r="L16975"/>
    </row>
    <row r="16976" spans="12:12">
      <c r="L16976"/>
    </row>
    <row r="16977" spans="12:12">
      <c r="L16977"/>
    </row>
    <row r="16978" spans="12:12">
      <c r="L16978"/>
    </row>
    <row r="16979" spans="12:12">
      <c r="L16979"/>
    </row>
    <row r="16980" spans="12:12">
      <c r="L16980"/>
    </row>
    <row r="16981" spans="12:12">
      <c r="L16981"/>
    </row>
    <row r="16982" spans="12:12">
      <c r="L16982"/>
    </row>
    <row r="16983" spans="12:12">
      <c r="L16983"/>
    </row>
    <row r="16984" spans="12:12">
      <c r="L16984"/>
    </row>
    <row r="16985" spans="12:12">
      <c r="L16985"/>
    </row>
    <row r="16986" spans="12:12">
      <c r="L16986"/>
    </row>
    <row r="16987" spans="12:12">
      <c r="L16987"/>
    </row>
    <row r="16988" spans="12:12">
      <c r="L16988"/>
    </row>
    <row r="16989" spans="12:12">
      <c r="L16989"/>
    </row>
    <row r="16990" spans="12:12">
      <c r="L16990"/>
    </row>
    <row r="16991" spans="12:12">
      <c r="L16991"/>
    </row>
    <row r="16992" spans="12:12">
      <c r="L16992"/>
    </row>
    <row r="16993" spans="12:12">
      <c r="L16993"/>
    </row>
    <row r="16994" spans="12:12">
      <c r="L16994"/>
    </row>
    <row r="16995" spans="12:12">
      <c r="L16995"/>
    </row>
    <row r="16996" spans="12:12">
      <c r="L16996"/>
    </row>
    <row r="16997" spans="12:12">
      <c r="L16997"/>
    </row>
    <row r="16998" spans="12:12">
      <c r="L16998"/>
    </row>
    <row r="16999" spans="12:12">
      <c r="L16999"/>
    </row>
    <row r="17000" spans="12:12">
      <c r="L17000"/>
    </row>
    <row r="17001" spans="12:12">
      <c r="L17001"/>
    </row>
    <row r="17002" spans="12:12">
      <c r="L17002"/>
    </row>
    <row r="17003" spans="12:12">
      <c r="L17003"/>
    </row>
    <row r="17004" spans="12:12">
      <c r="L17004"/>
    </row>
    <row r="17005" spans="12:12">
      <c r="L17005"/>
    </row>
    <row r="17006" spans="12:12">
      <c r="L17006"/>
    </row>
    <row r="17007" spans="12:12">
      <c r="L17007"/>
    </row>
    <row r="17008" spans="12:12">
      <c r="L17008"/>
    </row>
    <row r="17009" spans="12:12">
      <c r="L17009"/>
    </row>
    <row r="17010" spans="12:12">
      <c r="L17010"/>
    </row>
    <row r="17011" spans="12:12">
      <c r="L17011"/>
    </row>
    <row r="17012" spans="12:12">
      <c r="L17012"/>
    </row>
    <row r="17013" spans="12:12">
      <c r="L17013"/>
    </row>
    <row r="17014" spans="12:12">
      <c r="L17014"/>
    </row>
    <row r="17015" spans="12:12">
      <c r="L17015"/>
    </row>
    <row r="17016" spans="12:12">
      <c r="L17016"/>
    </row>
    <row r="17017" spans="12:12">
      <c r="L17017"/>
    </row>
    <row r="17018" spans="12:12">
      <c r="L17018"/>
    </row>
    <row r="17019" spans="12:12">
      <c r="L17019"/>
    </row>
    <row r="17020" spans="12:12">
      <c r="L17020"/>
    </row>
    <row r="17021" spans="12:12">
      <c r="L17021"/>
    </row>
    <row r="17022" spans="12:12">
      <c r="L17022"/>
    </row>
    <row r="17023" spans="12:12">
      <c r="L17023"/>
    </row>
    <row r="17024" spans="12:12">
      <c r="L17024"/>
    </row>
    <row r="17025" spans="12:12">
      <c r="L17025"/>
    </row>
    <row r="17026" spans="12:12">
      <c r="L17026"/>
    </row>
    <row r="17027" spans="12:12">
      <c r="L17027"/>
    </row>
    <row r="17028" spans="12:12">
      <c r="L17028"/>
    </row>
    <row r="17029" spans="12:12">
      <c r="L17029"/>
    </row>
    <row r="17030" spans="12:12">
      <c r="L17030"/>
    </row>
    <row r="17031" spans="12:12">
      <c r="L17031"/>
    </row>
    <row r="17032" spans="12:12">
      <c r="L17032"/>
    </row>
    <row r="17033" spans="12:12">
      <c r="L17033"/>
    </row>
    <row r="17034" spans="12:12">
      <c r="L17034"/>
    </row>
    <row r="17035" spans="12:12">
      <c r="L17035"/>
    </row>
    <row r="17036" spans="12:12">
      <c r="L17036"/>
    </row>
    <row r="17037" spans="12:12">
      <c r="L17037"/>
    </row>
    <row r="17038" spans="12:12">
      <c r="L17038"/>
    </row>
    <row r="17039" spans="12:12">
      <c r="L17039"/>
    </row>
    <row r="17040" spans="12:12">
      <c r="L17040"/>
    </row>
    <row r="17041" spans="12:12">
      <c r="L17041"/>
    </row>
    <row r="17042" spans="12:12">
      <c r="L17042"/>
    </row>
    <row r="17043" spans="12:12">
      <c r="L17043"/>
    </row>
    <row r="17044" spans="12:12">
      <c r="L17044"/>
    </row>
    <row r="17045" spans="12:12">
      <c r="L17045"/>
    </row>
    <row r="17046" spans="12:12">
      <c r="L17046"/>
    </row>
    <row r="17047" spans="12:12">
      <c r="L17047"/>
    </row>
    <row r="17048" spans="12:12">
      <c r="L17048"/>
    </row>
    <row r="17049" spans="12:12">
      <c r="L17049"/>
    </row>
    <row r="17050" spans="12:12">
      <c r="L17050"/>
    </row>
    <row r="17051" spans="12:12">
      <c r="L17051"/>
    </row>
    <row r="17052" spans="12:12">
      <c r="L17052"/>
    </row>
    <row r="17053" spans="12:12">
      <c r="L17053"/>
    </row>
    <row r="17054" spans="12:12">
      <c r="L17054"/>
    </row>
    <row r="17055" spans="12:12">
      <c r="L17055"/>
    </row>
    <row r="17056" spans="12:12">
      <c r="L17056"/>
    </row>
    <row r="17057" spans="12:12">
      <c r="L17057"/>
    </row>
    <row r="17058" spans="12:12">
      <c r="L17058"/>
    </row>
    <row r="17059" spans="12:12">
      <c r="L17059"/>
    </row>
    <row r="17060" spans="12:12">
      <c r="L17060"/>
    </row>
    <row r="17061" spans="12:12">
      <c r="L17061"/>
    </row>
    <row r="17062" spans="12:12">
      <c r="L17062"/>
    </row>
    <row r="17063" spans="12:12">
      <c r="L17063"/>
    </row>
    <row r="17064" spans="12:12">
      <c r="L17064"/>
    </row>
    <row r="17065" spans="12:12">
      <c r="L17065"/>
    </row>
    <row r="17066" spans="12:12">
      <c r="L17066"/>
    </row>
    <row r="17067" spans="12:12">
      <c r="L17067"/>
    </row>
    <row r="17068" spans="12:12">
      <c r="L17068"/>
    </row>
    <row r="17069" spans="12:12">
      <c r="L17069"/>
    </row>
    <row r="17070" spans="12:12">
      <c r="L17070"/>
    </row>
    <row r="17071" spans="12:12">
      <c r="L17071"/>
    </row>
    <row r="17072" spans="12:12">
      <c r="L17072"/>
    </row>
    <row r="17073" spans="12:12">
      <c r="L17073"/>
    </row>
    <row r="17074" spans="12:12">
      <c r="L17074"/>
    </row>
    <row r="17075" spans="12:12">
      <c r="L17075"/>
    </row>
    <row r="17076" spans="12:12">
      <c r="L17076"/>
    </row>
    <row r="17077" spans="12:12">
      <c r="L17077"/>
    </row>
    <row r="17078" spans="12:12">
      <c r="L17078"/>
    </row>
    <row r="17079" spans="12:12">
      <c r="L17079"/>
    </row>
    <row r="17080" spans="12:12">
      <c r="L17080"/>
    </row>
    <row r="17081" spans="12:12">
      <c r="L17081"/>
    </row>
    <row r="17082" spans="12:12">
      <c r="L17082"/>
    </row>
    <row r="17083" spans="12:12">
      <c r="L17083"/>
    </row>
    <row r="17084" spans="12:12">
      <c r="L17084"/>
    </row>
    <row r="17085" spans="12:12">
      <c r="L17085"/>
    </row>
    <row r="17086" spans="12:12">
      <c r="L17086"/>
    </row>
    <row r="17087" spans="12:12">
      <c r="L17087"/>
    </row>
    <row r="17088" spans="12:12">
      <c r="L17088"/>
    </row>
    <row r="17089" spans="12:12">
      <c r="L17089"/>
    </row>
    <row r="17090" spans="12:12">
      <c r="L17090"/>
    </row>
    <row r="17091" spans="12:12">
      <c r="L17091"/>
    </row>
    <row r="17092" spans="12:12">
      <c r="L17092"/>
    </row>
    <row r="17093" spans="12:12">
      <c r="L17093"/>
    </row>
    <row r="17094" spans="12:12">
      <c r="L17094"/>
    </row>
    <row r="17095" spans="12:12">
      <c r="L17095"/>
    </row>
    <row r="17096" spans="12:12">
      <c r="L17096"/>
    </row>
    <row r="17097" spans="12:12">
      <c r="L17097"/>
    </row>
    <row r="17098" spans="12:12">
      <c r="L17098"/>
    </row>
    <row r="17099" spans="12:12">
      <c r="L17099"/>
    </row>
    <row r="17100" spans="12:12">
      <c r="L17100"/>
    </row>
    <row r="17101" spans="12:12">
      <c r="L17101"/>
    </row>
    <row r="17102" spans="12:12">
      <c r="L17102"/>
    </row>
    <row r="17103" spans="12:12">
      <c r="L17103"/>
    </row>
    <row r="17104" spans="12:12">
      <c r="L17104"/>
    </row>
    <row r="17105" spans="12:12">
      <c r="L17105"/>
    </row>
    <row r="17106" spans="12:12">
      <c r="L17106"/>
    </row>
    <row r="17107" spans="12:12">
      <c r="L17107"/>
    </row>
    <row r="17108" spans="12:12">
      <c r="L17108"/>
    </row>
    <row r="17109" spans="12:12">
      <c r="L17109"/>
    </row>
    <row r="17110" spans="12:12">
      <c r="L17110"/>
    </row>
    <row r="17111" spans="12:12">
      <c r="L17111"/>
    </row>
    <row r="17112" spans="12:12">
      <c r="L17112"/>
    </row>
    <row r="17113" spans="12:12">
      <c r="L17113"/>
    </row>
    <row r="17114" spans="12:12">
      <c r="L17114"/>
    </row>
    <row r="17115" spans="12:12">
      <c r="L17115"/>
    </row>
    <row r="17116" spans="12:12">
      <c r="L17116"/>
    </row>
    <row r="17117" spans="12:12">
      <c r="L17117"/>
    </row>
    <row r="17118" spans="12:12">
      <c r="L17118"/>
    </row>
    <row r="17119" spans="12:12">
      <c r="L17119"/>
    </row>
    <row r="17120" spans="12:12">
      <c r="L17120"/>
    </row>
    <row r="17121" spans="12:12">
      <c r="L17121"/>
    </row>
    <row r="17122" spans="12:12">
      <c r="L17122"/>
    </row>
    <row r="17123" spans="12:12">
      <c r="L17123"/>
    </row>
    <row r="17124" spans="12:12">
      <c r="L17124"/>
    </row>
    <row r="17125" spans="12:12">
      <c r="L17125"/>
    </row>
    <row r="17126" spans="12:12">
      <c r="L17126"/>
    </row>
    <row r="17127" spans="12:12">
      <c r="L17127"/>
    </row>
    <row r="17128" spans="12:12">
      <c r="L17128"/>
    </row>
    <row r="17129" spans="12:12">
      <c r="L17129"/>
    </row>
    <row r="17130" spans="12:12">
      <c r="L17130"/>
    </row>
    <row r="17131" spans="12:12">
      <c r="L17131"/>
    </row>
    <row r="17132" spans="12:12">
      <c r="L17132"/>
    </row>
    <row r="17133" spans="12:12">
      <c r="L17133"/>
    </row>
    <row r="17134" spans="12:12">
      <c r="L17134"/>
    </row>
    <row r="17135" spans="12:12">
      <c r="L17135"/>
    </row>
    <row r="17136" spans="12:12">
      <c r="L17136"/>
    </row>
    <row r="17137" spans="12:12">
      <c r="L17137"/>
    </row>
    <row r="17138" spans="12:12">
      <c r="L17138"/>
    </row>
    <row r="17139" spans="12:12">
      <c r="L17139"/>
    </row>
    <row r="17140" spans="12:12">
      <c r="L17140"/>
    </row>
    <row r="17141" spans="12:12">
      <c r="L17141"/>
    </row>
    <row r="17142" spans="12:12">
      <c r="L17142"/>
    </row>
    <row r="17143" spans="12:12">
      <c r="L17143"/>
    </row>
    <row r="17144" spans="12:12">
      <c r="L17144"/>
    </row>
    <row r="17145" spans="12:12">
      <c r="L17145"/>
    </row>
    <row r="17146" spans="12:12">
      <c r="L17146"/>
    </row>
    <row r="17147" spans="12:12">
      <c r="L17147"/>
    </row>
    <row r="17148" spans="12:12">
      <c r="L17148"/>
    </row>
    <row r="17149" spans="12:12">
      <c r="L17149"/>
    </row>
    <row r="17150" spans="12:12">
      <c r="L17150"/>
    </row>
    <row r="17151" spans="12:12">
      <c r="L17151"/>
    </row>
    <row r="17152" spans="12:12">
      <c r="L17152"/>
    </row>
    <row r="17153" spans="12:12">
      <c r="L17153"/>
    </row>
    <row r="17154" spans="12:12">
      <c r="L17154"/>
    </row>
    <row r="17155" spans="12:12">
      <c r="L17155"/>
    </row>
    <row r="17156" spans="12:12">
      <c r="L17156"/>
    </row>
    <row r="17157" spans="12:12">
      <c r="L17157"/>
    </row>
    <row r="17158" spans="12:12">
      <c r="L17158"/>
    </row>
    <row r="17159" spans="12:12">
      <c r="L17159"/>
    </row>
    <row r="17160" spans="12:12">
      <c r="L17160"/>
    </row>
    <row r="17161" spans="12:12">
      <c r="L17161"/>
    </row>
    <row r="17162" spans="12:12">
      <c r="L17162"/>
    </row>
    <row r="17163" spans="12:12">
      <c r="L17163"/>
    </row>
    <row r="17164" spans="12:12">
      <c r="L17164"/>
    </row>
    <row r="17165" spans="12:12">
      <c r="L17165"/>
    </row>
    <row r="17166" spans="12:12">
      <c r="L17166"/>
    </row>
    <row r="17167" spans="12:12">
      <c r="L17167"/>
    </row>
    <row r="17168" spans="12:12">
      <c r="L17168"/>
    </row>
    <row r="17169" spans="12:12">
      <c r="L17169"/>
    </row>
    <row r="17170" spans="12:12">
      <c r="L17170"/>
    </row>
    <row r="17171" spans="12:12">
      <c r="L17171"/>
    </row>
    <row r="17172" spans="12:12">
      <c r="L17172"/>
    </row>
    <row r="17173" spans="12:12">
      <c r="L17173"/>
    </row>
    <row r="17174" spans="12:12">
      <c r="L17174"/>
    </row>
    <row r="17175" spans="12:12">
      <c r="L17175"/>
    </row>
    <row r="17176" spans="12:12">
      <c r="L17176"/>
    </row>
    <row r="17177" spans="12:12">
      <c r="L17177"/>
    </row>
    <row r="17178" spans="12:12">
      <c r="L17178"/>
    </row>
    <row r="17179" spans="12:12">
      <c r="L17179"/>
    </row>
    <row r="17180" spans="12:12">
      <c r="L17180"/>
    </row>
    <row r="17181" spans="12:12">
      <c r="L17181"/>
    </row>
    <row r="17182" spans="12:12">
      <c r="L17182"/>
    </row>
    <row r="17183" spans="12:12">
      <c r="L17183"/>
    </row>
    <row r="17184" spans="12:12">
      <c r="L17184"/>
    </row>
    <row r="17185" spans="12:12">
      <c r="L17185"/>
    </row>
    <row r="17186" spans="12:12">
      <c r="L17186"/>
    </row>
    <row r="17187" spans="12:12">
      <c r="L17187"/>
    </row>
    <row r="17188" spans="12:12">
      <c r="L17188"/>
    </row>
    <row r="17189" spans="12:12">
      <c r="L17189"/>
    </row>
    <row r="17190" spans="12:12">
      <c r="L17190"/>
    </row>
    <row r="17191" spans="12:12">
      <c r="L17191"/>
    </row>
    <row r="17192" spans="12:12">
      <c r="L17192"/>
    </row>
    <row r="17193" spans="12:12">
      <c r="L17193"/>
    </row>
    <row r="17194" spans="12:12">
      <c r="L17194"/>
    </row>
    <row r="17195" spans="12:12">
      <c r="L17195"/>
    </row>
    <row r="17196" spans="12:12">
      <c r="L17196"/>
    </row>
    <row r="17197" spans="12:12">
      <c r="L17197"/>
    </row>
    <row r="17198" spans="12:12">
      <c r="L17198"/>
    </row>
    <row r="17199" spans="12:12">
      <c r="L17199"/>
    </row>
    <row r="17200" spans="12:12">
      <c r="L17200"/>
    </row>
    <row r="17201" spans="12:12">
      <c r="L17201"/>
    </row>
    <row r="17202" spans="12:12">
      <c r="L17202"/>
    </row>
    <row r="17203" spans="12:12">
      <c r="L17203"/>
    </row>
    <row r="17204" spans="12:12">
      <c r="L17204"/>
    </row>
    <row r="17205" spans="12:12">
      <c r="L17205"/>
    </row>
    <row r="17206" spans="12:12">
      <c r="L17206"/>
    </row>
    <row r="17207" spans="12:12">
      <c r="L17207"/>
    </row>
    <row r="17208" spans="12:12">
      <c r="L17208"/>
    </row>
    <row r="17209" spans="12:12">
      <c r="L17209"/>
    </row>
    <row r="17210" spans="12:12">
      <c r="L17210"/>
    </row>
    <row r="17211" spans="12:12">
      <c r="L17211"/>
    </row>
    <row r="17212" spans="12:12">
      <c r="L17212"/>
    </row>
    <row r="17213" spans="12:12">
      <c r="L17213"/>
    </row>
    <row r="17214" spans="12:12">
      <c r="L17214"/>
    </row>
    <row r="17215" spans="12:12">
      <c r="L17215"/>
    </row>
    <row r="17216" spans="12:12">
      <c r="L17216"/>
    </row>
    <row r="17217" spans="12:12">
      <c r="L17217"/>
    </row>
    <row r="17218" spans="12:12">
      <c r="L17218"/>
    </row>
    <row r="17219" spans="12:12">
      <c r="L17219"/>
    </row>
    <row r="17220" spans="12:12">
      <c r="L17220"/>
    </row>
    <row r="17221" spans="12:12">
      <c r="L17221"/>
    </row>
    <row r="17222" spans="12:12">
      <c r="L17222"/>
    </row>
    <row r="17223" spans="12:12">
      <c r="L17223"/>
    </row>
    <row r="17224" spans="12:12">
      <c r="L17224"/>
    </row>
    <row r="17225" spans="12:12">
      <c r="L17225"/>
    </row>
    <row r="17226" spans="12:12">
      <c r="L17226"/>
    </row>
    <row r="17227" spans="12:12">
      <c r="L17227"/>
    </row>
    <row r="17228" spans="12:12">
      <c r="L17228"/>
    </row>
    <row r="17229" spans="12:12">
      <c r="L17229"/>
    </row>
    <row r="17230" spans="12:12">
      <c r="L17230"/>
    </row>
    <row r="17231" spans="12:12">
      <c r="L17231"/>
    </row>
    <row r="17232" spans="12:12">
      <c r="L17232"/>
    </row>
    <row r="17233" spans="12:12">
      <c r="L17233"/>
    </row>
    <row r="17234" spans="12:12">
      <c r="L17234"/>
    </row>
    <row r="17235" spans="12:12">
      <c r="L17235"/>
    </row>
    <row r="17236" spans="12:12">
      <c r="L17236"/>
    </row>
    <row r="17237" spans="12:12">
      <c r="L17237"/>
    </row>
    <row r="17238" spans="12:12">
      <c r="L17238"/>
    </row>
    <row r="17239" spans="12:12">
      <c r="L17239"/>
    </row>
    <row r="17240" spans="12:12">
      <c r="L17240"/>
    </row>
    <row r="17241" spans="12:12">
      <c r="L17241"/>
    </row>
    <row r="17242" spans="12:12">
      <c r="L17242"/>
    </row>
    <row r="17243" spans="12:12">
      <c r="L17243"/>
    </row>
    <row r="17244" spans="12:12">
      <c r="L17244"/>
    </row>
    <row r="17245" spans="12:12">
      <c r="L17245"/>
    </row>
    <row r="17246" spans="12:12">
      <c r="L17246"/>
    </row>
    <row r="17247" spans="12:12">
      <c r="L17247"/>
    </row>
    <row r="17248" spans="12:12">
      <c r="L17248"/>
    </row>
    <row r="17249" spans="12:12">
      <c r="L17249"/>
    </row>
    <row r="17250" spans="12:12">
      <c r="L17250"/>
    </row>
    <row r="17251" spans="12:12">
      <c r="L17251"/>
    </row>
    <row r="17252" spans="12:12">
      <c r="L17252"/>
    </row>
    <row r="17253" spans="12:12">
      <c r="L17253"/>
    </row>
    <row r="17254" spans="12:12">
      <c r="L17254"/>
    </row>
    <row r="17255" spans="12:12">
      <c r="L17255"/>
    </row>
    <row r="17256" spans="12:12">
      <c r="L17256"/>
    </row>
    <row r="17257" spans="12:12">
      <c r="L17257"/>
    </row>
    <row r="17258" spans="12:12">
      <c r="L17258"/>
    </row>
    <row r="17259" spans="12:12">
      <c r="L17259"/>
    </row>
    <row r="17260" spans="12:12">
      <c r="L17260"/>
    </row>
    <row r="17261" spans="12:12">
      <c r="L17261"/>
    </row>
    <row r="17262" spans="12:12">
      <c r="L17262"/>
    </row>
    <row r="17263" spans="12:12">
      <c r="L17263"/>
    </row>
    <row r="17264" spans="12:12">
      <c r="L17264"/>
    </row>
    <row r="17265" spans="12:12">
      <c r="L17265"/>
    </row>
    <row r="17266" spans="12:12">
      <c r="L17266"/>
    </row>
    <row r="17267" spans="12:12">
      <c r="L17267"/>
    </row>
    <row r="17268" spans="12:12">
      <c r="L17268"/>
    </row>
    <row r="17269" spans="12:12">
      <c r="L17269"/>
    </row>
    <row r="17270" spans="12:12">
      <c r="L17270"/>
    </row>
    <row r="17271" spans="12:12">
      <c r="L17271"/>
    </row>
    <row r="17272" spans="12:12">
      <c r="L17272"/>
    </row>
    <row r="17273" spans="12:12">
      <c r="L17273"/>
    </row>
    <row r="17274" spans="12:12">
      <c r="L17274"/>
    </row>
    <row r="17275" spans="12:12">
      <c r="L17275"/>
    </row>
    <row r="17276" spans="12:12">
      <c r="L17276"/>
    </row>
    <row r="17277" spans="12:12">
      <c r="L17277"/>
    </row>
    <row r="17278" spans="12:12">
      <c r="L17278"/>
    </row>
    <row r="17279" spans="12:12">
      <c r="L17279"/>
    </row>
    <row r="17280" spans="12:12">
      <c r="L17280"/>
    </row>
    <row r="17281" spans="12:12">
      <c r="L17281"/>
    </row>
    <row r="17282" spans="12:12">
      <c r="L17282"/>
    </row>
    <row r="17283" spans="12:12">
      <c r="L17283"/>
    </row>
    <row r="17284" spans="12:12">
      <c r="L17284"/>
    </row>
    <row r="17285" spans="12:12">
      <c r="L17285"/>
    </row>
    <row r="17286" spans="12:12">
      <c r="L17286"/>
    </row>
    <row r="17287" spans="12:12">
      <c r="L17287"/>
    </row>
    <row r="17288" spans="12:12">
      <c r="L17288"/>
    </row>
    <row r="17289" spans="12:12">
      <c r="L17289"/>
    </row>
    <row r="17290" spans="12:12">
      <c r="L17290"/>
    </row>
    <row r="17291" spans="12:12">
      <c r="L17291"/>
    </row>
    <row r="17292" spans="12:12">
      <c r="L17292"/>
    </row>
    <row r="17293" spans="12:12">
      <c r="L17293"/>
    </row>
    <row r="17294" spans="12:12">
      <c r="L17294"/>
    </row>
    <row r="17295" spans="12:12">
      <c r="L17295"/>
    </row>
    <row r="17296" spans="12:12">
      <c r="L17296"/>
    </row>
    <row r="17297" spans="12:12">
      <c r="L17297"/>
    </row>
    <row r="17298" spans="12:12">
      <c r="L17298"/>
    </row>
    <row r="17299" spans="12:12">
      <c r="L17299"/>
    </row>
    <row r="17300" spans="12:12">
      <c r="L17300"/>
    </row>
    <row r="17301" spans="12:12">
      <c r="L17301"/>
    </row>
    <row r="17302" spans="12:12">
      <c r="L17302"/>
    </row>
    <row r="17303" spans="12:12">
      <c r="L17303"/>
    </row>
    <row r="17304" spans="12:12">
      <c r="L17304"/>
    </row>
    <row r="17305" spans="12:12">
      <c r="L17305"/>
    </row>
    <row r="17306" spans="12:12">
      <c r="L17306"/>
    </row>
    <row r="17307" spans="12:12">
      <c r="L17307"/>
    </row>
    <row r="17308" spans="12:12">
      <c r="L17308"/>
    </row>
    <row r="17309" spans="12:12">
      <c r="L17309"/>
    </row>
    <row r="17310" spans="12:12">
      <c r="L17310"/>
    </row>
    <row r="17311" spans="12:12">
      <c r="L17311"/>
    </row>
    <row r="17312" spans="12:12">
      <c r="L17312"/>
    </row>
    <row r="17313" spans="12:12">
      <c r="L17313"/>
    </row>
    <row r="17314" spans="12:12">
      <c r="L17314"/>
    </row>
    <row r="17315" spans="12:12">
      <c r="L17315"/>
    </row>
    <row r="17316" spans="12:12">
      <c r="L17316"/>
    </row>
    <row r="17317" spans="12:12">
      <c r="L17317"/>
    </row>
    <row r="17318" spans="12:12">
      <c r="L17318"/>
    </row>
    <row r="17319" spans="12:12">
      <c r="L17319"/>
    </row>
    <row r="17320" spans="12:12">
      <c r="L17320"/>
    </row>
    <row r="17321" spans="12:12">
      <c r="L17321"/>
    </row>
    <row r="17322" spans="12:12">
      <c r="L17322"/>
    </row>
    <row r="17323" spans="12:12">
      <c r="L17323"/>
    </row>
    <row r="17324" spans="12:12">
      <c r="L17324"/>
    </row>
    <row r="17325" spans="12:12">
      <c r="L17325"/>
    </row>
    <row r="17326" spans="12:12">
      <c r="L17326"/>
    </row>
    <row r="17327" spans="12:12">
      <c r="L17327"/>
    </row>
    <row r="17328" spans="12:12">
      <c r="L17328"/>
    </row>
    <row r="17329" spans="12:12">
      <c r="L17329"/>
    </row>
    <row r="17330" spans="12:12">
      <c r="L17330"/>
    </row>
    <row r="17331" spans="12:12">
      <c r="L17331"/>
    </row>
    <row r="17332" spans="12:12">
      <c r="L17332"/>
    </row>
    <row r="17333" spans="12:12">
      <c r="L17333"/>
    </row>
    <row r="17334" spans="12:12">
      <c r="L17334"/>
    </row>
    <row r="17335" spans="12:12">
      <c r="L17335"/>
    </row>
    <row r="17336" spans="12:12">
      <c r="L17336"/>
    </row>
    <row r="17337" spans="12:12">
      <c r="L17337"/>
    </row>
    <row r="17338" spans="12:12">
      <c r="L17338"/>
    </row>
    <row r="17339" spans="12:12">
      <c r="L17339"/>
    </row>
    <row r="17340" spans="12:12">
      <c r="L17340"/>
    </row>
    <row r="17341" spans="12:12">
      <c r="L17341"/>
    </row>
    <row r="17342" spans="12:12">
      <c r="L17342"/>
    </row>
    <row r="17343" spans="12:12">
      <c r="L17343"/>
    </row>
    <row r="17344" spans="12:12">
      <c r="L17344"/>
    </row>
    <row r="17345" spans="12:12">
      <c r="L17345"/>
    </row>
    <row r="17346" spans="12:12">
      <c r="L17346"/>
    </row>
    <row r="17347" spans="12:12">
      <c r="L17347"/>
    </row>
    <row r="17348" spans="12:12">
      <c r="L17348"/>
    </row>
    <row r="17349" spans="12:12">
      <c r="L17349"/>
    </row>
    <row r="17350" spans="12:12">
      <c r="L17350"/>
    </row>
    <row r="17351" spans="12:12">
      <c r="L17351"/>
    </row>
    <row r="17352" spans="12:12">
      <c r="L17352"/>
    </row>
    <row r="17353" spans="12:12">
      <c r="L17353"/>
    </row>
    <row r="17354" spans="12:12">
      <c r="L17354"/>
    </row>
    <row r="17355" spans="12:12">
      <c r="L17355"/>
    </row>
    <row r="17356" spans="12:12">
      <c r="L17356"/>
    </row>
    <row r="17357" spans="12:12">
      <c r="L17357"/>
    </row>
    <row r="17358" spans="12:12">
      <c r="L17358"/>
    </row>
    <row r="17359" spans="12:12">
      <c r="L17359"/>
    </row>
    <row r="17360" spans="12:12">
      <c r="L17360"/>
    </row>
    <row r="17361" spans="12:12">
      <c r="L17361"/>
    </row>
    <row r="17362" spans="12:12">
      <c r="L17362"/>
    </row>
    <row r="17363" spans="12:12">
      <c r="L17363"/>
    </row>
    <row r="17364" spans="12:12">
      <c r="L17364"/>
    </row>
    <row r="17365" spans="12:12">
      <c r="L17365"/>
    </row>
    <row r="17366" spans="12:12">
      <c r="L17366"/>
    </row>
    <row r="17367" spans="12:12">
      <c r="L17367"/>
    </row>
    <row r="17368" spans="12:12">
      <c r="L17368"/>
    </row>
    <row r="17369" spans="12:12">
      <c r="L17369"/>
    </row>
    <row r="17370" spans="12:12">
      <c r="L17370"/>
    </row>
    <row r="17371" spans="12:12">
      <c r="L17371"/>
    </row>
    <row r="17372" spans="12:12">
      <c r="L17372"/>
    </row>
    <row r="17373" spans="12:12">
      <c r="L17373"/>
    </row>
    <row r="17374" spans="12:12">
      <c r="L17374"/>
    </row>
    <row r="17375" spans="12:12">
      <c r="L17375"/>
    </row>
    <row r="17376" spans="12:12">
      <c r="L17376"/>
    </row>
    <row r="17377" spans="12:12">
      <c r="L17377"/>
    </row>
    <row r="17378" spans="12:12">
      <c r="L17378"/>
    </row>
    <row r="17379" spans="12:12">
      <c r="L17379"/>
    </row>
    <row r="17380" spans="12:12">
      <c r="L17380"/>
    </row>
    <row r="17381" spans="12:12">
      <c r="L17381"/>
    </row>
    <row r="17382" spans="12:12">
      <c r="L17382"/>
    </row>
    <row r="17383" spans="12:12">
      <c r="L17383"/>
    </row>
    <row r="17384" spans="12:12">
      <c r="L17384"/>
    </row>
    <row r="17385" spans="12:12">
      <c r="L17385"/>
    </row>
    <row r="17386" spans="12:12">
      <c r="L17386"/>
    </row>
    <row r="17387" spans="12:12">
      <c r="L17387"/>
    </row>
    <row r="17388" spans="12:12">
      <c r="L17388"/>
    </row>
    <row r="17389" spans="12:12">
      <c r="L17389"/>
    </row>
    <row r="17390" spans="12:12">
      <c r="L17390"/>
    </row>
    <row r="17391" spans="12:12">
      <c r="L17391"/>
    </row>
    <row r="17392" spans="12:12">
      <c r="L17392"/>
    </row>
    <row r="17393" spans="12:12">
      <c r="L17393"/>
    </row>
    <row r="17394" spans="12:12">
      <c r="L17394"/>
    </row>
    <row r="17395" spans="12:12">
      <c r="L17395"/>
    </row>
    <row r="17396" spans="12:12">
      <c r="L17396"/>
    </row>
    <row r="17397" spans="12:12">
      <c r="L17397"/>
    </row>
    <row r="17398" spans="12:12">
      <c r="L17398"/>
    </row>
    <row r="17399" spans="12:12">
      <c r="L17399"/>
    </row>
    <row r="17400" spans="12:12">
      <c r="L17400"/>
    </row>
    <row r="17401" spans="12:12">
      <c r="L17401"/>
    </row>
    <row r="17402" spans="12:12">
      <c r="L17402"/>
    </row>
    <row r="17403" spans="12:12">
      <c r="L17403"/>
    </row>
    <row r="17404" spans="12:12">
      <c r="L17404"/>
    </row>
    <row r="17405" spans="12:12">
      <c r="L17405"/>
    </row>
    <row r="17406" spans="12:12">
      <c r="L17406"/>
    </row>
    <row r="17407" spans="12:12">
      <c r="L17407"/>
    </row>
    <row r="17408" spans="12:12">
      <c r="L17408"/>
    </row>
    <row r="17409" spans="12:12">
      <c r="L17409"/>
    </row>
    <row r="17410" spans="12:12">
      <c r="L17410"/>
    </row>
    <row r="17411" spans="12:12">
      <c r="L17411"/>
    </row>
    <row r="17412" spans="12:12">
      <c r="L17412"/>
    </row>
    <row r="17413" spans="12:12">
      <c r="L17413"/>
    </row>
    <row r="17414" spans="12:12">
      <c r="L17414"/>
    </row>
    <row r="17415" spans="12:12">
      <c r="L17415"/>
    </row>
    <row r="17416" spans="12:12">
      <c r="L17416"/>
    </row>
    <row r="17417" spans="12:12">
      <c r="L17417"/>
    </row>
    <row r="17418" spans="12:12">
      <c r="L17418"/>
    </row>
    <row r="17419" spans="12:12">
      <c r="L17419"/>
    </row>
    <row r="17420" spans="12:12">
      <c r="L17420"/>
    </row>
    <row r="17421" spans="12:12">
      <c r="L17421"/>
    </row>
    <row r="17422" spans="12:12">
      <c r="L17422"/>
    </row>
    <row r="17423" spans="12:12">
      <c r="L17423"/>
    </row>
    <row r="17424" spans="12:12">
      <c r="L17424"/>
    </row>
    <row r="17425" spans="12:12">
      <c r="L17425"/>
    </row>
    <row r="17426" spans="12:12">
      <c r="L17426"/>
    </row>
    <row r="17427" spans="12:12">
      <c r="L17427"/>
    </row>
    <row r="17428" spans="12:12">
      <c r="L17428"/>
    </row>
    <row r="17429" spans="12:12">
      <c r="L17429"/>
    </row>
    <row r="17430" spans="12:12">
      <c r="L17430"/>
    </row>
    <row r="17431" spans="12:12">
      <c r="L17431"/>
    </row>
    <row r="17432" spans="12:12">
      <c r="L17432"/>
    </row>
    <row r="17433" spans="12:12">
      <c r="L17433"/>
    </row>
    <row r="17434" spans="12:12">
      <c r="L17434"/>
    </row>
    <row r="17435" spans="12:12">
      <c r="L17435"/>
    </row>
    <row r="17436" spans="12:12">
      <c r="L17436"/>
    </row>
    <row r="17437" spans="12:12">
      <c r="L17437"/>
    </row>
    <row r="17438" spans="12:12">
      <c r="L17438"/>
    </row>
    <row r="17439" spans="12:12">
      <c r="L17439"/>
    </row>
    <row r="17440" spans="12:12">
      <c r="L17440"/>
    </row>
    <row r="17441" spans="12:12">
      <c r="L17441"/>
    </row>
    <row r="17442" spans="12:12">
      <c r="L17442"/>
    </row>
    <row r="17443" spans="12:12">
      <c r="L17443"/>
    </row>
    <row r="17444" spans="12:12">
      <c r="L17444"/>
    </row>
    <row r="17445" spans="12:12">
      <c r="L17445"/>
    </row>
    <row r="17446" spans="12:12">
      <c r="L17446"/>
    </row>
    <row r="17447" spans="12:12">
      <c r="L17447"/>
    </row>
    <row r="17448" spans="12:12">
      <c r="L17448"/>
    </row>
    <row r="17449" spans="12:12">
      <c r="L17449"/>
    </row>
    <row r="17450" spans="12:12">
      <c r="L17450"/>
    </row>
    <row r="17451" spans="12:12">
      <c r="L17451"/>
    </row>
    <row r="17452" spans="12:12">
      <c r="L17452"/>
    </row>
    <row r="17453" spans="12:12">
      <c r="L17453"/>
    </row>
    <row r="17454" spans="12:12">
      <c r="L17454"/>
    </row>
    <row r="17455" spans="12:12">
      <c r="L17455"/>
    </row>
    <row r="17456" spans="12:12">
      <c r="L17456"/>
    </row>
    <row r="17457" spans="12:12">
      <c r="L17457"/>
    </row>
    <row r="17458" spans="12:12">
      <c r="L17458"/>
    </row>
    <row r="17459" spans="12:12">
      <c r="L17459"/>
    </row>
    <row r="17460" spans="12:12">
      <c r="L17460"/>
    </row>
    <row r="17461" spans="12:12">
      <c r="L17461"/>
    </row>
    <row r="17462" spans="12:12">
      <c r="L17462"/>
    </row>
    <row r="17463" spans="12:12">
      <c r="L17463"/>
    </row>
    <row r="17464" spans="12:12">
      <c r="L17464"/>
    </row>
    <row r="17465" spans="12:12">
      <c r="L17465"/>
    </row>
    <row r="17466" spans="12:12">
      <c r="L17466"/>
    </row>
    <row r="17467" spans="12:12">
      <c r="L17467"/>
    </row>
    <row r="17468" spans="12:12">
      <c r="L17468"/>
    </row>
    <row r="17469" spans="12:12">
      <c r="L17469"/>
    </row>
    <row r="17470" spans="12:12">
      <c r="L17470"/>
    </row>
    <row r="17471" spans="12:12">
      <c r="L17471"/>
    </row>
    <row r="17472" spans="12:12">
      <c r="L17472"/>
    </row>
    <row r="17473" spans="12:12">
      <c r="L17473"/>
    </row>
    <row r="17474" spans="12:12">
      <c r="L17474"/>
    </row>
    <row r="17475" spans="12:12">
      <c r="L17475"/>
    </row>
    <row r="17476" spans="12:12">
      <c r="L17476"/>
    </row>
    <row r="17477" spans="12:12">
      <c r="L17477"/>
    </row>
    <row r="17478" spans="12:12">
      <c r="L17478"/>
    </row>
    <row r="17479" spans="12:12">
      <c r="L17479"/>
    </row>
    <row r="17480" spans="12:12">
      <c r="L17480"/>
    </row>
    <row r="17481" spans="12:12">
      <c r="L17481"/>
    </row>
    <row r="17482" spans="12:12">
      <c r="L17482"/>
    </row>
    <row r="17483" spans="12:12">
      <c r="L17483"/>
    </row>
    <row r="17484" spans="12:12">
      <c r="L17484"/>
    </row>
    <row r="17485" spans="12:12">
      <c r="L17485"/>
    </row>
    <row r="17486" spans="12:12">
      <c r="L17486"/>
    </row>
    <row r="17487" spans="12:12">
      <c r="L17487"/>
    </row>
    <row r="17488" spans="12:12">
      <c r="L17488"/>
    </row>
    <row r="17489" spans="12:12">
      <c r="L17489"/>
    </row>
    <row r="17490" spans="12:12">
      <c r="L17490"/>
    </row>
    <row r="17491" spans="12:12">
      <c r="L17491"/>
    </row>
    <row r="17492" spans="12:12">
      <c r="L17492"/>
    </row>
    <row r="17493" spans="12:12">
      <c r="L17493"/>
    </row>
    <row r="17494" spans="12:12">
      <c r="L17494"/>
    </row>
    <row r="17495" spans="12:12">
      <c r="L17495"/>
    </row>
    <row r="17496" spans="12:12">
      <c r="L17496"/>
    </row>
    <row r="17497" spans="12:12">
      <c r="L17497"/>
    </row>
    <row r="17498" spans="12:12">
      <c r="L17498"/>
    </row>
    <row r="17499" spans="12:12">
      <c r="L17499"/>
    </row>
    <row r="17500" spans="12:12">
      <c r="L17500"/>
    </row>
    <row r="17501" spans="12:12">
      <c r="L17501"/>
    </row>
    <row r="17502" spans="12:12">
      <c r="L17502"/>
    </row>
    <row r="17503" spans="12:12">
      <c r="L17503"/>
    </row>
    <row r="17504" spans="12:12">
      <c r="L17504"/>
    </row>
    <row r="17505" spans="12:12">
      <c r="L17505"/>
    </row>
    <row r="17506" spans="12:12">
      <c r="L17506"/>
    </row>
    <row r="17507" spans="12:12">
      <c r="L17507"/>
    </row>
    <row r="17508" spans="12:12">
      <c r="L17508"/>
    </row>
    <row r="17509" spans="12:12">
      <c r="L17509"/>
    </row>
    <row r="17510" spans="12:12">
      <c r="L17510"/>
    </row>
    <row r="17511" spans="12:12">
      <c r="L17511"/>
    </row>
    <row r="17512" spans="12:12">
      <c r="L17512"/>
    </row>
    <row r="17513" spans="12:12">
      <c r="L17513"/>
    </row>
    <row r="17514" spans="12:12">
      <c r="L17514"/>
    </row>
    <row r="17515" spans="12:12">
      <c r="L17515"/>
    </row>
    <row r="17516" spans="12:12">
      <c r="L17516"/>
    </row>
    <row r="17517" spans="12:12">
      <c r="L17517"/>
    </row>
    <row r="17518" spans="12:12">
      <c r="L17518"/>
    </row>
    <row r="17519" spans="12:12">
      <c r="L17519"/>
    </row>
    <row r="17520" spans="12:12">
      <c r="L17520"/>
    </row>
    <row r="17521" spans="12:12">
      <c r="L17521"/>
    </row>
    <row r="17522" spans="12:12">
      <c r="L17522"/>
    </row>
    <row r="17523" spans="12:12">
      <c r="L17523"/>
    </row>
    <row r="17524" spans="12:12">
      <c r="L17524"/>
    </row>
    <row r="17525" spans="12:12">
      <c r="L17525"/>
    </row>
    <row r="17526" spans="12:12">
      <c r="L17526"/>
    </row>
    <row r="17527" spans="12:12">
      <c r="L17527"/>
    </row>
    <row r="17528" spans="12:12">
      <c r="L17528"/>
    </row>
    <row r="17529" spans="12:12">
      <c r="L17529"/>
    </row>
    <row r="17530" spans="12:12">
      <c r="L17530"/>
    </row>
    <row r="17531" spans="12:12">
      <c r="L17531"/>
    </row>
    <row r="17532" spans="12:12">
      <c r="L17532"/>
    </row>
    <row r="17533" spans="12:12">
      <c r="L17533"/>
    </row>
    <row r="17534" spans="12:12">
      <c r="L17534"/>
    </row>
    <row r="17535" spans="12:12">
      <c r="L17535"/>
    </row>
    <row r="17536" spans="12:12">
      <c r="L17536"/>
    </row>
    <row r="17537" spans="12:12">
      <c r="L17537"/>
    </row>
    <row r="17538" spans="12:12">
      <c r="L17538"/>
    </row>
    <row r="17539" spans="12:12">
      <c r="L17539"/>
    </row>
    <row r="17540" spans="12:12">
      <c r="L17540"/>
    </row>
    <row r="17541" spans="12:12">
      <c r="L17541"/>
    </row>
    <row r="17542" spans="12:12">
      <c r="L17542"/>
    </row>
    <row r="17543" spans="12:12">
      <c r="L17543"/>
    </row>
    <row r="17544" spans="12:12">
      <c r="L17544"/>
    </row>
    <row r="17545" spans="12:12">
      <c r="L17545"/>
    </row>
    <row r="17546" spans="12:12">
      <c r="L17546"/>
    </row>
    <row r="17547" spans="12:12">
      <c r="L17547"/>
    </row>
    <row r="17548" spans="12:12">
      <c r="L17548"/>
    </row>
    <row r="17549" spans="12:12">
      <c r="L17549"/>
    </row>
    <row r="17550" spans="12:12">
      <c r="L17550"/>
    </row>
    <row r="17551" spans="12:12">
      <c r="L17551"/>
    </row>
    <row r="17552" spans="12:12">
      <c r="L17552"/>
    </row>
    <row r="17553" spans="12:12">
      <c r="L17553"/>
    </row>
    <row r="17554" spans="12:12">
      <c r="L17554"/>
    </row>
    <row r="17555" spans="12:12">
      <c r="L17555"/>
    </row>
    <row r="17556" spans="12:12">
      <c r="L17556"/>
    </row>
    <row r="17557" spans="12:12">
      <c r="L17557"/>
    </row>
    <row r="17558" spans="12:12">
      <c r="L17558"/>
    </row>
    <row r="17559" spans="12:12">
      <c r="L17559"/>
    </row>
    <row r="17560" spans="12:12">
      <c r="L17560"/>
    </row>
    <row r="17561" spans="12:12">
      <c r="L17561"/>
    </row>
    <row r="17562" spans="12:12">
      <c r="L17562"/>
    </row>
    <row r="17563" spans="12:12">
      <c r="L17563"/>
    </row>
    <row r="17564" spans="12:12">
      <c r="L17564"/>
    </row>
    <row r="17565" spans="12:12">
      <c r="L17565"/>
    </row>
    <row r="17566" spans="12:12">
      <c r="L17566"/>
    </row>
    <row r="17567" spans="12:12">
      <c r="L17567"/>
    </row>
    <row r="17568" spans="12:12">
      <c r="L17568"/>
    </row>
    <row r="17569" spans="12:12">
      <c r="L17569"/>
    </row>
    <row r="17570" spans="12:12">
      <c r="L17570"/>
    </row>
    <row r="17571" spans="12:12">
      <c r="L17571"/>
    </row>
    <row r="17572" spans="12:12">
      <c r="L17572"/>
    </row>
    <row r="17573" spans="12:12">
      <c r="L17573"/>
    </row>
    <row r="17574" spans="12:12">
      <c r="L17574"/>
    </row>
    <row r="17575" spans="12:12">
      <c r="L17575"/>
    </row>
    <row r="17576" spans="12:12">
      <c r="L17576"/>
    </row>
    <row r="17577" spans="12:12">
      <c r="L17577"/>
    </row>
    <row r="17578" spans="12:12">
      <c r="L17578"/>
    </row>
    <row r="17579" spans="12:12">
      <c r="L17579"/>
    </row>
    <row r="17580" spans="12:12">
      <c r="L17580"/>
    </row>
    <row r="17581" spans="12:12">
      <c r="L17581"/>
    </row>
    <row r="17582" spans="12:12">
      <c r="L17582"/>
    </row>
    <row r="17583" spans="12:12">
      <c r="L17583"/>
    </row>
    <row r="17584" spans="12:12">
      <c r="L17584"/>
    </row>
    <row r="17585" spans="12:12">
      <c r="L17585"/>
    </row>
    <row r="17586" spans="12:12">
      <c r="L17586"/>
    </row>
    <row r="17587" spans="12:12">
      <c r="L17587"/>
    </row>
    <row r="17588" spans="12:12">
      <c r="L17588"/>
    </row>
    <row r="17589" spans="12:12">
      <c r="L17589"/>
    </row>
    <row r="17590" spans="12:12">
      <c r="L17590"/>
    </row>
    <row r="17591" spans="12:12">
      <c r="L17591"/>
    </row>
    <row r="17592" spans="12:12">
      <c r="L17592"/>
    </row>
    <row r="17593" spans="12:12">
      <c r="L17593"/>
    </row>
    <row r="17594" spans="12:12">
      <c r="L17594"/>
    </row>
    <row r="17595" spans="12:12">
      <c r="L17595"/>
    </row>
    <row r="17596" spans="12:12">
      <c r="L17596"/>
    </row>
    <row r="17597" spans="12:12">
      <c r="L17597"/>
    </row>
    <row r="17598" spans="12:12">
      <c r="L17598"/>
    </row>
    <row r="17599" spans="12:12">
      <c r="L17599"/>
    </row>
    <row r="17600" spans="12:12">
      <c r="L17600"/>
    </row>
    <row r="17601" spans="12:12">
      <c r="L17601"/>
    </row>
    <row r="17602" spans="12:12">
      <c r="L17602"/>
    </row>
    <row r="17603" spans="12:12">
      <c r="L17603"/>
    </row>
    <row r="17604" spans="12:12">
      <c r="L17604"/>
    </row>
    <row r="17605" spans="12:12">
      <c r="L17605"/>
    </row>
    <row r="17606" spans="12:12">
      <c r="L17606"/>
    </row>
    <row r="17607" spans="12:12">
      <c r="L17607"/>
    </row>
    <row r="17608" spans="12:12">
      <c r="L17608"/>
    </row>
    <row r="17609" spans="12:12">
      <c r="L17609"/>
    </row>
    <row r="17610" spans="12:12">
      <c r="L17610"/>
    </row>
    <row r="17611" spans="12:12">
      <c r="L17611"/>
    </row>
    <row r="17612" spans="12:12">
      <c r="L17612"/>
    </row>
    <row r="17613" spans="12:12">
      <c r="L17613"/>
    </row>
    <row r="17614" spans="12:12">
      <c r="L17614"/>
    </row>
    <row r="17615" spans="12:12">
      <c r="L17615"/>
    </row>
    <row r="17616" spans="12:12">
      <c r="L17616"/>
    </row>
    <row r="17617" spans="12:12">
      <c r="L17617"/>
    </row>
    <row r="17618" spans="12:12">
      <c r="L17618"/>
    </row>
    <row r="17619" spans="12:12">
      <c r="L17619"/>
    </row>
    <row r="17620" spans="12:12">
      <c r="L17620"/>
    </row>
    <row r="17621" spans="12:12">
      <c r="L17621"/>
    </row>
    <row r="17622" spans="12:12">
      <c r="L17622"/>
    </row>
    <row r="17623" spans="12:12">
      <c r="L17623"/>
    </row>
    <row r="17624" spans="12:12">
      <c r="L17624"/>
    </row>
    <row r="17625" spans="12:12">
      <c r="L17625"/>
    </row>
    <row r="17626" spans="12:12">
      <c r="L17626"/>
    </row>
    <row r="17627" spans="12:12">
      <c r="L17627"/>
    </row>
    <row r="17628" spans="12:12">
      <c r="L17628"/>
    </row>
    <row r="17629" spans="12:12">
      <c r="L17629"/>
    </row>
    <row r="17630" spans="12:12">
      <c r="L17630"/>
    </row>
    <row r="17631" spans="12:12">
      <c r="L17631"/>
    </row>
    <row r="17632" spans="12:12">
      <c r="L17632"/>
    </row>
    <row r="17633" spans="12:12">
      <c r="L17633"/>
    </row>
    <row r="17634" spans="12:12">
      <c r="L17634"/>
    </row>
    <row r="17635" spans="12:12">
      <c r="L17635"/>
    </row>
    <row r="17636" spans="12:12">
      <c r="L17636"/>
    </row>
    <row r="17637" spans="12:12">
      <c r="L17637"/>
    </row>
    <row r="17638" spans="12:12">
      <c r="L17638"/>
    </row>
    <row r="17639" spans="12:12">
      <c r="L17639"/>
    </row>
    <row r="17640" spans="12:12">
      <c r="L17640"/>
    </row>
    <row r="17641" spans="12:12">
      <c r="L17641"/>
    </row>
    <row r="17642" spans="12:12">
      <c r="L17642"/>
    </row>
    <row r="17643" spans="12:12">
      <c r="L17643"/>
    </row>
    <row r="17644" spans="12:12">
      <c r="L17644"/>
    </row>
    <row r="17645" spans="12:12">
      <c r="L17645"/>
    </row>
    <row r="17646" spans="12:12">
      <c r="L17646"/>
    </row>
    <row r="17647" spans="12:12">
      <c r="L17647"/>
    </row>
    <row r="17648" spans="12:12">
      <c r="L17648"/>
    </row>
    <row r="17649" spans="12:12">
      <c r="L17649"/>
    </row>
    <row r="17650" spans="12:12">
      <c r="L17650"/>
    </row>
    <row r="17651" spans="12:12">
      <c r="L17651"/>
    </row>
    <row r="17652" spans="12:12">
      <c r="L17652"/>
    </row>
    <row r="17653" spans="12:12">
      <c r="L17653"/>
    </row>
    <row r="17654" spans="12:12">
      <c r="L17654"/>
    </row>
    <row r="17655" spans="12:12">
      <c r="L17655"/>
    </row>
    <row r="17656" spans="12:12">
      <c r="L17656"/>
    </row>
    <row r="17657" spans="12:12">
      <c r="L17657"/>
    </row>
    <row r="17658" spans="12:12">
      <c r="L17658"/>
    </row>
    <row r="17659" spans="12:12">
      <c r="L17659"/>
    </row>
    <row r="17660" spans="12:12">
      <c r="L17660"/>
    </row>
    <row r="17661" spans="12:12">
      <c r="L17661"/>
    </row>
    <row r="17662" spans="12:12">
      <c r="L17662"/>
    </row>
    <row r="17663" spans="12:12">
      <c r="L17663"/>
    </row>
    <row r="17664" spans="12:12">
      <c r="L17664"/>
    </row>
    <row r="17665" spans="12:12">
      <c r="L17665"/>
    </row>
    <row r="17666" spans="12:12">
      <c r="L17666"/>
    </row>
    <row r="17667" spans="12:12">
      <c r="L17667"/>
    </row>
    <row r="17668" spans="12:12">
      <c r="L17668"/>
    </row>
    <row r="17669" spans="12:12">
      <c r="L17669"/>
    </row>
    <row r="17670" spans="12:12">
      <c r="L17670"/>
    </row>
    <row r="17671" spans="12:12">
      <c r="L17671"/>
    </row>
    <row r="17672" spans="12:12">
      <c r="L17672"/>
    </row>
    <row r="17673" spans="12:12">
      <c r="L17673"/>
    </row>
    <row r="17674" spans="12:12">
      <c r="L17674"/>
    </row>
    <row r="17675" spans="12:12">
      <c r="L17675"/>
    </row>
    <row r="17676" spans="12:12">
      <c r="L17676"/>
    </row>
    <row r="17677" spans="12:12">
      <c r="L17677"/>
    </row>
    <row r="17678" spans="12:12">
      <c r="L17678"/>
    </row>
    <row r="17679" spans="12:12">
      <c r="L17679"/>
    </row>
    <row r="17680" spans="12:12">
      <c r="L17680"/>
    </row>
    <row r="17681" spans="12:12">
      <c r="L17681"/>
    </row>
    <row r="17682" spans="12:12">
      <c r="L17682"/>
    </row>
    <row r="17683" spans="12:12">
      <c r="L17683"/>
    </row>
    <row r="17684" spans="12:12">
      <c r="L17684"/>
    </row>
    <row r="17685" spans="12:12">
      <c r="L17685"/>
    </row>
    <row r="17686" spans="12:12">
      <c r="L17686"/>
    </row>
    <row r="17687" spans="12:12">
      <c r="L17687"/>
    </row>
    <row r="17688" spans="12:12">
      <c r="L17688"/>
    </row>
    <row r="17689" spans="12:12">
      <c r="L17689"/>
    </row>
    <row r="17690" spans="12:12">
      <c r="L17690"/>
    </row>
    <row r="17691" spans="12:12">
      <c r="L17691"/>
    </row>
    <row r="17692" spans="12:12">
      <c r="L17692"/>
    </row>
    <row r="17693" spans="12:12">
      <c r="L17693"/>
    </row>
    <row r="17694" spans="12:12">
      <c r="L17694"/>
    </row>
    <row r="17695" spans="12:12">
      <c r="L17695"/>
    </row>
    <row r="17696" spans="12:12">
      <c r="L17696"/>
    </row>
    <row r="17697" spans="12:12">
      <c r="L17697"/>
    </row>
    <row r="17698" spans="12:12">
      <c r="L17698"/>
    </row>
    <row r="17699" spans="12:12">
      <c r="L17699"/>
    </row>
    <row r="17700" spans="12:12">
      <c r="L17700"/>
    </row>
    <row r="17701" spans="12:12">
      <c r="L17701"/>
    </row>
    <row r="17702" spans="12:12">
      <c r="L17702"/>
    </row>
    <row r="17703" spans="12:12">
      <c r="L17703"/>
    </row>
    <row r="17704" spans="12:12">
      <c r="L17704"/>
    </row>
    <row r="17705" spans="12:12">
      <c r="L17705"/>
    </row>
    <row r="17706" spans="12:12">
      <c r="L17706"/>
    </row>
    <row r="17707" spans="12:12">
      <c r="L17707"/>
    </row>
    <row r="17708" spans="12:12">
      <c r="L17708"/>
    </row>
    <row r="17709" spans="12:12">
      <c r="L17709"/>
    </row>
    <row r="17710" spans="12:12">
      <c r="L17710"/>
    </row>
    <row r="17711" spans="12:12">
      <c r="L17711"/>
    </row>
    <row r="17712" spans="12:12">
      <c r="L17712"/>
    </row>
    <row r="17713" spans="12:12">
      <c r="L17713"/>
    </row>
    <row r="17714" spans="12:12">
      <c r="L17714"/>
    </row>
    <row r="17715" spans="12:12">
      <c r="L17715"/>
    </row>
    <row r="17716" spans="12:12">
      <c r="L17716"/>
    </row>
    <row r="17717" spans="12:12">
      <c r="L17717"/>
    </row>
    <row r="17718" spans="12:12">
      <c r="L17718"/>
    </row>
    <row r="17719" spans="12:12">
      <c r="L17719"/>
    </row>
    <row r="17720" spans="12:12">
      <c r="L17720"/>
    </row>
    <row r="17721" spans="12:12">
      <c r="L17721"/>
    </row>
    <row r="17722" spans="12:12">
      <c r="L17722"/>
    </row>
    <row r="17723" spans="12:12">
      <c r="L17723"/>
    </row>
    <row r="17724" spans="12:12">
      <c r="L17724"/>
    </row>
    <row r="17725" spans="12:12">
      <c r="L17725"/>
    </row>
    <row r="17726" spans="12:12">
      <c r="L17726"/>
    </row>
    <row r="17727" spans="12:12">
      <c r="L17727"/>
    </row>
    <row r="17728" spans="12:12">
      <c r="L17728"/>
    </row>
    <row r="17729" spans="12:12">
      <c r="L17729"/>
    </row>
    <row r="17730" spans="12:12">
      <c r="L17730"/>
    </row>
    <row r="17731" spans="12:12">
      <c r="L17731"/>
    </row>
    <row r="17732" spans="12:12">
      <c r="L17732"/>
    </row>
    <row r="17733" spans="12:12">
      <c r="L17733"/>
    </row>
    <row r="17734" spans="12:12">
      <c r="L17734"/>
    </row>
    <row r="17735" spans="12:12">
      <c r="L17735"/>
    </row>
    <row r="17736" spans="12:12">
      <c r="L17736"/>
    </row>
    <row r="17737" spans="12:12">
      <c r="L17737"/>
    </row>
    <row r="17738" spans="12:12">
      <c r="L17738"/>
    </row>
    <row r="17739" spans="12:12">
      <c r="L17739"/>
    </row>
    <row r="17740" spans="12:12">
      <c r="L17740"/>
    </row>
    <row r="17741" spans="12:12">
      <c r="L17741"/>
    </row>
    <row r="17742" spans="12:12">
      <c r="L17742"/>
    </row>
    <row r="17743" spans="12:12">
      <c r="L17743"/>
    </row>
    <row r="17744" spans="12:12">
      <c r="L17744"/>
    </row>
    <row r="17745" spans="12:12">
      <c r="L17745"/>
    </row>
    <row r="17746" spans="12:12">
      <c r="L17746"/>
    </row>
    <row r="17747" spans="12:12">
      <c r="L17747"/>
    </row>
    <row r="17748" spans="12:12">
      <c r="L17748"/>
    </row>
    <row r="17749" spans="12:12">
      <c r="L17749"/>
    </row>
    <row r="17750" spans="12:12">
      <c r="L17750"/>
    </row>
    <row r="17751" spans="12:12">
      <c r="L17751"/>
    </row>
    <row r="17752" spans="12:12">
      <c r="L17752"/>
    </row>
    <row r="17753" spans="12:12">
      <c r="L17753"/>
    </row>
    <row r="17754" spans="12:12">
      <c r="L17754"/>
    </row>
    <row r="17755" spans="12:12">
      <c r="L17755"/>
    </row>
    <row r="17756" spans="12:12">
      <c r="L17756"/>
    </row>
    <row r="17757" spans="12:12">
      <c r="L17757"/>
    </row>
    <row r="17758" spans="12:12">
      <c r="L17758"/>
    </row>
    <row r="17759" spans="12:12">
      <c r="L17759"/>
    </row>
    <row r="17760" spans="12:12">
      <c r="L17760"/>
    </row>
    <row r="17761" spans="12:12">
      <c r="L17761"/>
    </row>
    <row r="17762" spans="12:12">
      <c r="L17762"/>
    </row>
    <row r="17763" spans="12:12">
      <c r="L17763"/>
    </row>
    <row r="17764" spans="12:12">
      <c r="L17764"/>
    </row>
    <row r="17765" spans="12:12">
      <c r="L17765"/>
    </row>
    <row r="17766" spans="12:12">
      <c r="L17766"/>
    </row>
    <row r="17767" spans="12:12">
      <c r="L17767"/>
    </row>
    <row r="17768" spans="12:12">
      <c r="L17768"/>
    </row>
    <row r="17769" spans="12:12">
      <c r="L17769"/>
    </row>
    <row r="17770" spans="12:12">
      <c r="L17770"/>
    </row>
    <row r="17771" spans="12:12">
      <c r="L17771"/>
    </row>
    <row r="17772" spans="12:12">
      <c r="L17772"/>
    </row>
    <row r="17773" spans="12:12">
      <c r="L17773"/>
    </row>
    <row r="17774" spans="12:12">
      <c r="L17774"/>
    </row>
    <row r="17775" spans="12:12">
      <c r="L17775"/>
    </row>
    <row r="17776" spans="12:12">
      <c r="L17776"/>
    </row>
    <row r="17777" spans="12:12">
      <c r="L17777"/>
    </row>
    <row r="17778" spans="12:12">
      <c r="L17778"/>
    </row>
    <row r="17779" spans="12:12">
      <c r="L17779"/>
    </row>
    <row r="17780" spans="12:12">
      <c r="L17780"/>
    </row>
    <row r="17781" spans="12:12">
      <c r="L17781"/>
    </row>
    <row r="17782" spans="12:12">
      <c r="L17782"/>
    </row>
    <row r="17783" spans="12:12">
      <c r="L17783"/>
    </row>
    <row r="17784" spans="12:12">
      <c r="L17784"/>
    </row>
    <row r="17785" spans="12:12">
      <c r="L17785"/>
    </row>
    <row r="17786" spans="12:12">
      <c r="L17786"/>
    </row>
    <row r="17787" spans="12:12">
      <c r="L17787"/>
    </row>
    <row r="17788" spans="12:12">
      <c r="L17788"/>
    </row>
    <row r="17789" spans="12:12">
      <c r="L17789"/>
    </row>
    <row r="17790" spans="12:12">
      <c r="L17790"/>
    </row>
    <row r="17791" spans="12:12">
      <c r="L17791"/>
    </row>
    <row r="17792" spans="12:12">
      <c r="L17792"/>
    </row>
    <row r="17793" spans="12:12">
      <c r="L17793"/>
    </row>
    <row r="17794" spans="12:12">
      <c r="L17794"/>
    </row>
    <row r="17795" spans="12:12">
      <c r="L17795"/>
    </row>
    <row r="17796" spans="12:12">
      <c r="L17796"/>
    </row>
    <row r="17797" spans="12:12">
      <c r="L17797"/>
    </row>
    <row r="17798" spans="12:12">
      <c r="L17798"/>
    </row>
    <row r="17799" spans="12:12">
      <c r="L17799"/>
    </row>
    <row r="17800" spans="12:12">
      <c r="L17800"/>
    </row>
    <row r="17801" spans="12:12">
      <c r="L17801"/>
    </row>
    <row r="17802" spans="12:12">
      <c r="L17802"/>
    </row>
    <row r="17803" spans="12:12">
      <c r="L17803"/>
    </row>
    <row r="17804" spans="12:12">
      <c r="L17804"/>
    </row>
    <row r="17805" spans="12:12">
      <c r="L17805"/>
    </row>
    <row r="17806" spans="12:12">
      <c r="L17806"/>
    </row>
    <row r="17807" spans="12:12">
      <c r="L17807"/>
    </row>
    <row r="17808" spans="12:12">
      <c r="L17808"/>
    </row>
    <row r="17809" spans="12:12">
      <c r="L17809"/>
    </row>
    <row r="17810" spans="12:12">
      <c r="L17810"/>
    </row>
    <row r="17811" spans="12:12">
      <c r="L17811"/>
    </row>
    <row r="17812" spans="12:12">
      <c r="L17812"/>
    </row>
    <row r="17813" spans="12:12">
      <c r="L17813"/>
    </row>
    <row r="17814" spans="12:12">
      <c r="L17814"/>
    </row>
    <row r="17815" spans="12:12">
      <c r="L17815"/>
    </row>
    <row r="17816" spans="12:12">
      <c r="L17816"/>
    </row>
    <row r="17817" spans="12:12">
      <c r="L17817"/>
    </row>
    <row r="17818" spans="12:12">
      <c r="L17818"/>
    </row>
    <row r="17819" spans="12:12">
      <c r="L17819"/>
    </row>
    <row r="17820" spans="12:12">
      <c r="L17820"/>
    </row>
    <row r="17821" spans="12:12">
      <c r="L17821"/>
    </row>
    <row r="17822" spans="12:12">
      <c r="L17822"/>
    </row>
    <row r="17823" spans="12:12">
      <c r="L17823"/>
    </row>
    <row r="17824" spans="12:12">
      <c r="L17824"/>
    </row>
    <row r="17825" spans="12:12">
      <c r="L17825"/>
    </row>
    <row r="17826" spans="12:12">
      <c r="L17826"/>
    </row>
    <row r="17827" spans="12:12">
      <c r="L17827"/>
    </row>
    <row r="17828" spans="12:12">
      <c r="L17828"/>
    </row>
    <row r="17829" spans="12:12">
      <c r="L17829"/>
    </row>
    <row r="17830" spans="12:12">
      <c r="L17830"/>
    </row>
    <row r="17831" spans="12:12">
      <c r="L17831"/>
    </row>
    <row r="17832" spans="12:12">
      <c r="L17832"/>
    </row>
    <row r="17833" spans="12:12">
      <c r="L17833"/>
    </row>
    <row r="17834" spans="12:12">
      <c r="L17834"/>
    </row>
    <row r="17835" spans="12:12">
      <c r="L17835"/>
    </row>
    <row r="17836" spans="12:12">
      <c r="L17836"/>
    </row>
    <row r="17837" spans="12:12">
      <c r="L17837"/>
    </row>
    <row r="17838" spans="12:12">
      <c r="L17838"/>
    </row>
    <row r="17839" spans="12:12">
      <c r="L17839"/>
    </row>
    <row r="17840" spans="12:12">
      <c r="L17840"/>
    </row>
    <row r="17841" spans="12:12">
      <c r="L17841"/>
    </row>
    <row r="17842" spans="12:12">
      <c r="L17842"/>
    </row>
    <row r="17843" spans="12:12">
      <c r="L17843"/>
    </row>
    <row r="17844" spans="12:12">
      <c r="L17844"/>
    </row>
    <row r="17845" spans="12:12">
      <c r="L17845"/>
    </row>
    <row r="17846" spans="12:12">
      <c r="L17846"/>
    </row>
    <row r="17847" spans="12:12">
      <c r="L17847"/>
    </row>
    <row r="17848" spans="12:12">
      <c r="L17848"/>
    </row>
    <row r="17849" spans="12:12">
      <c r="L17849"/>
    </row>
    <row r="17850" spans="12:12">
      <c r="L17850"/>
    </row>
    <row r="17851" spans="12:12">
      <c r="L17851"/>
    </row>
    <row r="17852" spans="12:12">
      <c r="L17852"/>
    </row>
    <row r="17853" spans="12:12">
      <c r="L17853"/>
    </row>
    <row r="17854" spans="12:12">
      <c r="L17854"/>
    </row>
    <row r="17855" spans="12:12">
      <c r="L17855"/>
    </row>
    <row r="17856" spans="12:12">
      <c r="L17856"/>
    </row>
    <row r="17857" spans="12:12">
      <c r="L17857"/>
    </row>
    <row r="17858" spans="12:12">
      <c r="L17858"/>
    </row>
    <row r="17859" spans="12:12">
      <c r="L17859"/>
    </row>
    <row r="17860" spans="12:12">
      <c r="L17860"/>
    </row>
    <row r="17861" spans="12:12">
      <c r="L17861"/>
    </row>
    <row r="17862" spans="12:12">
      <c r="L17862"/>
    </row>
    <row r="17863" spans="12:12">
      <c r="L17863"/>
    </row>
    <row r="17864" spans="12:12">
      <c r="L17864"/>
    </row>
    <row r="17865" spans="12:12">
      <c r="L17865"/>
    </row>
    <row r="17866" spans="12:12">
      <c r="L17866"/>
    </row>
    <row r="17867" spans="12:12">
      <c r="L17867"/>
    </row>
    <row r="17868" spans="12:12">
      <c r="L17868"/>
    </row>
    <row r="17869" spans="12:12">
      <c r="L17869"/>
    </row>
    <row r="17870" spans="12:12">
      <c r="L17870"/>
    </row>
    <row r="17871" spans="12:12">
      <c r="L17871"/>
    </row>
    <row r="17872" spans="12:12">
      <c r="L17872"/>
    </row>
    <row r="17873" spans="12:12">
      <c r="L17873"/>
    </row>
    <row r="17874" spans="12:12">
      <c r="L17874"/>
    </row>
    <row r="17875" spans="12:12">
      <c r="L17875"/>
    </row>
    <row r="17876" spans="12:12">
      <c r="L17876"/>
    </row>
    <row r="17877" spans="12:12">
      <c r="L17877"/>
    </row>
    <row r="17878" spans="12:12">
      <c r="L17878"/>
    </row>
    <row r="17879" spans="12:12">
      <c r="L17879"/>
    </row>
    <row r="17880" spans="12:12">
      <c r="L17880"/>
    </row>
    <row r="17881" spans="12:12">
      <c r="L17881"/>
    </row>
    <row r="17882" spans="12:12">
      <c r="L17882"/>
    </row>
    <row r="17883" spans="12:12">
      <c r="L17883"/>
    </row>
    <row r="17884" spans="12:12">
      <c r="L17884"/>
    </row>
    <row r="17885" spans="12:12">
      <c r="L17885"/>
    </row>
    <row r="17886" spans="12:12">
      <c r="L17886"/>
    </row>
    <row r="17887" spans="12:12">
      <c r="L17887"/>
    </row>
    <row r="17888" spans="12:12">
      <c r="L17888"/>
    </row>
    <row r="17889" spans="12:12">
      <c r="L17889"/>
    </row>
    <row r="17890" spans="12:12">
      <c r="L17890"/>
    </row>
    <row r="17891" spans="12:12">
      <c r="L17891"/>
    </row>
    <row r="17892" spans="12:12">
      <c r="L17892"/>
    </row>
    <row r="17893" spans="12:12">
      <c r="L17893"/>
    </row>
    <row r="17894" spans="12:12">
      <c r="L17894"/>
    </row>
    <row r="17895" spans="12:12">
      <c r="L17895"/>
    </row>
    <row r="17896" spans="12:12">
      <c r="L17896"/>
    </row>
    <row r="17897" spans="12:12">
      <c r="L17897"/>
    </row>
    <row r="17898" spans="12:12">
      <c r="L17898"/>
    </row>
    <row r="17899" spans="12:12">
      <c r="L17899"/>
    </row>
    <row r="17900" spans="12:12">
      <c r="L17900"/>
    </row>
    <row r="17901" spans="12:12">
      <c r="L17901"/>
    </row>
    <row r="17902" spans="12:12">
      <c r="L17902"/>
    </row>
    <row r="17903" spans="12:12">
      <c r="L17903"/>
    </row>
    <row r="17904" spans="12:12">
      <c r="L17904"/>
    </row>
    <row r="17905" spans="12:12">
      <c r="L17905"/>
    </row>
    <row r="17906" spans="12:12">
      <c r="L17906"/>
    </row>
    <row r="17907" spans="12:12">
      <c r="L17907"/>
    </row>
    <row r="17908" spans="12:12">
      <c r="L17908"/>
    </row>
    <row r="17909" spans="12:12">
      <c r="L17909"/>
    </row>
    <row r="17910" spans="12:12">
      <c r="L17910"/>
    </row>
    <row r="17911" spans="12:12">
      <c r="L17911"/>
    </row>
    <row r="17912" spans="12:12">
      <c r="L17912"/>
    </row>
    <row r="17913" spans="12:12">
      <c r="L17913"/>
    </row>
    <row r="17914" spans="12:12">
      <c r="L17914"/>
    </row>
    <row r="17915" spans="12:12">
      <c r="L17915"/>
    </row>
    <row r="17916" spans="12:12">
      <c r="L17916"/>
    </row>
    <row r="17917" spans="12:12">
      <c r="L17917"/>
    </row>
    <row r="17918" spans="12:12">
      <c r="L17918"/>
    </row>
    <row r="17919" spans="12:12">
      <c r="L17919"/>
    </row>
    <row r="17920" spans="12:12">
      <c r="L17920"/>
    </row>
    <row r="17921" spans="12:12">
      <c r="L17921"/>
    </row>
    <row r="17922" spans="12:12">
      <c r="L17922"/>
    </row>
    <row r="17923" spans="12:12">
      <c r="L17923"/>
    </row>
    <row r="17924" spans="12:12">
      <c r="L17924"/>
    </row>
    <row r="17925" spans="12:12">
      <c r="L17925"/>
    </row>
    <row r="17926" spans="12:12">
      <c r="L17926"/>
    </row>
    <row r="17927" spans="12:12">
      <c r="L17927"/>
    </row>
    <row r="17928" spans="12:12">
      <c r="L17928"/>
    </row>
    <row r="17929" spans="12:12">
      <c r="L17929"/>
    </row>
    <row r="17930" spans="12:12">
      <c r="L17930"/>
    </row>
    <row r="17931" spans="12:12">
      <c r="L17931"/>
    </row>
    <row r="17932" spans="12:12">
      <c r="L17932"/>
    </row>
    <row r="17933" spans="12:12">
      <c r="L17933"/>
    </row>
    <row r="17934" spans="12:12">
      <c r="L17934"/>
    </row>
    <row r="17935" spans="12:12">
      <c r="L17935"/>
    </row>
    <row r="17936" spans="12:12">
      <c r="L17936"/>
    </row>
    <row r="17937" spans="12:12">
      <c r="L17937"/>
    </row>
    <row r="17938" spans="12:12">
      <c r="L17938"/>
    </row>
    <row r="17939" spans="12:12">
      <c r="L17939"/>
    </row>
    <row r="17940" spans="12:12">
      <c r="L17940"/>
    </row>
    <row r="17941" spans="12:12">
      <c r="L17941"/>
    </row>
    <row r="17942" spans="12:12">
      <c r="L17942"/>
    </row>
    <row r="17943" spans="12:12">
      <c r="L17943"/>
    </row>
    <row r="17944" spans="12:12">
      <c r="L17944"/>
    </row>
    <row r="17945" spans="12:12">
      <c r="L17945"/>
    </row>
    <row r="17946" spans="12:12">
      <c r="L17946"/>
    </row>
    <row r="17947" spans="12:12">
      <c r="L17947"/>
    </row>
    <row r="17948" spans="12:12">
      <c r="L17948"/>
    </row>
    <row r="17949" spans="12:12">
      <c r="L17949"/>
    </row>
    <row r="17950" spans="12:12">
      <c r="L17950"/>
    </row>
    <row r="17951" spans="12:12">
      <c r="L17951"/>
    </row>
    <row r="17952" spans="12:12">
      <c r="L17952"/>
    </row>
    <row r="17953" spans="12:12">
      <c r="L17953"/>
    </row>
    <row r="17954" spans="12:12">
      <c r="L17954"/>
    </row>
    <row r="17955" spans="12:12">
      <c r="L17955"/>
    </row>
    <row r="17956" spans="12:12">
      <c r="L17956"/>
    </row>
    <row r="17957" spans="12:12">
      <c r="L17957"/>
    </row>
    <row r="17958" spans="12:12">
      <c r="L17958"/>
    </row>
    <row r="17959" spans="12:12">
      <c r="L17959"/>
    </row>
    <row r="17960" spans="12:12">
      <c r="L17960"/>
    </row>
    <row r="17961" spans="12:12">
      <c r="L17961"/>
    </row>
    <row r="17962" spans="12:12">
      <c r="L17962"/>
    </row>
    <row r="17963" spans="12:12">
      <c r="L17963"/>
    </row>
    <row r="17964" spans="12:12">
      <c r="L17964"/>
    </row>
    <row r="17965" spans="12:12">
      <c r="L17965"/>
    </row>
    <row r="17966" spans="12:12">
      <c r="L17966"/>
    </row>
    <row r="17967" spans="12:12">
      <c r="L17967"/>
    </row>
    <row r="17968" spans="12:12">
      <c r="L17968"/>
    </row>
    <row r="17969" spans="12:12">
      <c r="L17969"/>
    </row>
    <row r="17970" spans="12:12">
      <c r="L17970"/>
    </row>
    <row r="17971" spans="12:12">
      <c r="L17971"/>
    </row>
    <row r="17972" spans="12:12">
      <c r="L17972"/>
    </row>
    <row r="17973" spans="12:12">
      <c r="L17973"/>
    </row>
    <row r="17974" spans="12:12">
      <c r="L17974"/>
    </row>
    <row r="17975" spans="12:12">
      <c r="L17975"/>
    </row>
    <row r="17976" spans="12:12">
      <c r="L17976"/>
    </row>
    <row r="17977" spans="12:12">
      <c r="L17977"/>
    </row>
    <row r="17978" spans="12:12">
      <c r="L17978"/>
    </row>
    <row r="17979" spans="12:12">
      <c r="L17979"/>
    </row>
    <row r="17980" spans="12:12">
      <c r="L17980"/>
    </row>
    <row r="17981" spans="12:12">
      <c r="L17981"/>
    </row>
    <row r="17982" spans="12:12">
      <c r="L17982"/>
    </row>
    <row r="17983" spans="12:12">
      <c r="L17983"/>
    </row>
    <row r="17984" spans="12:12">
      <c r="L17984"/>
    </row>
    <row r="17985" spans="12:12">
      <c r="L17985"/>
    </row>
    <row r="17986" spans="12:12">
      <c r="L17986"/>
    </row>
    <row r="17987" spans="12:12">
      <c r="L17987"/>
    </row>
    <row r="17988" spans="12:12">
      <c r="L17988"/>
    </row>
    <row r="17989" spans="12:12">
      <c r="L17989"/>
    </row>
    <row r="17990" spans="12:12">
      <c r="L17990"/>
    </row>
    <row r="17991" spans="12:12">
      <c r="L17991"/>
    </row>
    <row r="17992" spans="12:12">
      <c r="L17992"/>
    </row>
    <row r="17993" spans="12:12">
      <c r="L17993"/>
    </row>
    <row r="17994" spans="12:12">
      <c r="L17994"/>
    </row>
    <row r="17995" spans="12:12">
      <c r="L17995"/>
    </row>
    <row r="17996" spans="12:12">
      <c r="L17996"/>
    </row>
    <row r="17997" spans="12:12">
      <c r="L17997"/>
    </row>
    <row r="17998" spans="12:12">
      <c r="L17998"/>
    </row>
    <row r="17999" spans="12:12">
      <c r="L17999"/>
    </row>
    <row r="18000" spans="12:12">
      <c r="L18000"/>
    </row>
    <row r="18001" spans="12:12">
      <c r="L18001"/>
    </row>
    <row r="18002" spans="12:12">
      <c r="L18002"/>
    </row>
    <row r="18003" spans="12:12">
      <c r="L18003"/>
    </row>
    <row r="18004" spans="12:12">
      <c r="L18004"/>
    </row>
    <row r="18005" spans="12:12">
      <c r="L18005"/>
    </row>
    <row r="18006" spans="12:12">
      <c r="L18006"/>
    </row>
    <row r="18007" spans="12:12">
      <c r="L18007"/>
    </row>
    <row r="18008" spans="12:12">
      <c r="L18008"/>
    </row>
    <row r="18009" spans="12:12">
      <c r="L18009"/>
    </row>
    <row r="18010" spans="12:12">
      <c r="L18010"/>
    </row>
    <row r="18011" spans="12:12">
      <c r="L18011"/>
    </row>
    <row r="18012" spans="12:12">
      <c r="L18012"/>
    </row>
    <row r="18013" spans="12:12">
      <c r="L18013"/>
    </row>
    <row r="18014" spans="12:12">
      <c r="L18014"/>
    </row>
    <row r="18015" spans="12:12">
      <c r="L18015"/>
    </row>
    <row r="18016" spans="12:12">
      <c r="L18016"/>
    </row>
    <row r="18017" spans="12:12">
      <c r="L18017"/>
    </row>
    <row r="18018" spans="12:12">
      <c r="L18018"/>
    </row>
    <row r="18019" spans="12:12">
      <c r="L18019"/>
    </row>
    <row r="18020" spans="12:12">
      <c r="L18020"/>
    </row>
    <row r="18021" spans="12:12">
      <c r="L18021"/>
    </row>
    <row r="18022" spans="12:12">
      <c r="L18022"/>
    </row>
    <row r="18023" spans="12:12">
      <c r="L18023"/>
    </row>
    <row r="18024" spans="12:12">
      <c r="L18024"/>
    </row>
    <row r="18025" spans="12:12">
      <c r="L18025"/>
    </row>
    <row r="18026" spans="12:12">
      <c r="L18026"/>
    </row>
    <row r="18027" spans="12:12">
      <c r="L18027"/>
    </row>
    <row r="18028" spans="12:12">
      <c r="L18028"/>
    </row>
    <row r="18029" spans="12:12">
      <c r="L18029"/>
    </row>
    <row r="18030" spans="12:12">
      <c r="L18030"/>
    </row>
    <row r="18031" spans="12:12">
      <c r="L18031"/>
    </row>
    <row r="18032" spans="12:12">
      <c r="L18032"/>
    </row>
    <row r="18033" spans="12:12">
      <c r="L18033"/>
    </row>
    <row r="18034" spans="12:12">
      <c r="L18034"/>
    </row>
    <row r="18035" spans="12:12">
      <c r="L18035"/>
    </row>
    <row r="18036" spans="12:12">
      <c r="L18036"/>
    </row>
    <row r="18037" spans="12:12">
      <c r="L18037"/>
    </row>
    <row r="18038" spans="12:12">
      <c r="L18038"/>
    </row>
    <row r="18039" spans="12:12">
      <c r="L18039"/>
    </row>
    <row r="18040" spans="12:12">
      <c r="L18040"/>
    </row>
    <row r="18041" spans="12:12">
      <c r="L18041"/>
    </row>
    <row r="18042" spans="12:12">
      <c r="L18042"/>
    </row>
    <row r="18043" spans="12:12">
      <c r="L18043"/>
    </row>
    <row r="18044" spans="12:12">
      <c r="L18044"/>
    </row>
    <row r="18045" spans="12:12">
      <c r="L18045"/>
    </row>
    <row r="18046" spans="12:12">
      <c r="L18046"/>
    </row>
    <row r="18047" spans="12:12">
      <c r="L18047"/>
    </row>
    <row r="18048" spans="12:12">
      <c r="L18048"/>
    </row>
    <row r="18049" spans="12:12">
      <c r="L18049"/>
    </row>
    <row r="18050" spans="12:12">
      <c r="L18050"/>
    </row>
    <row r="18051" spans="12:12">
      <c r="L18051"/>
    </row>
    <row r="18052" spans="12:12">
      <c r="L18052"/>
    </row>
    <row r="18053" spans="12:12">
      <c r="L18053"/>
    </row>
    <row r="18054" spans="12:12">
      <c r="L18054"/>
    </row>
    <row r="18055" spans="12:12">
      <c r="L18055"/>
    </row>
    <row r="18056" spans="12:12">
      <c r="L18056"/>
    </row>
    <row r="18057" spans="12:12">
      <c r="L18057"/>
    </row>
    <row r="18058" spans="12:12">
      <c r="L18058"/>
    </row>
    <row r="18059" spans="12:12">
      <c r="L18059"/>
    </row>
    <row r="18060" spans="12:12">
      <c r="L18060"/>
    </row>
    <row r="18061" spans="12:12">
      <c r="L18061"/>
    </row>
    <row r="18062" spans="12:12">
      <c r="L18062"/>
    </row>
    <row r="18063" spans="12:12">
      <c r="L18063"/>
    </row>
    <row r="18064" spans="12:12">
      <c r="L18064"/>
    </row>
    <row r="18065" spans="12:12">
      <c r="L18065"/>
    </row>
    <row r="18066" spans="12:12">
      <c r="L18066"/>
    </row>
    <row r="18067" spans="12:12">
      <c r="L18067"/>
    </row>
    <row r="18068" spans="12:12">
      <c r="L18068"/>
    </row>
    <row r="18069" spans="12:12">
      <c r="L18069"/>
    </row>
    <row r="18070" spans="12:12">
      <c r="L18070"/>
    </row>
    <row r="18071" spans="12:12">
      <c r="L18071"/>
    </row>
    <row r="18072" spans="12:12">
      <c r="L18072"/>
    </row>
    <row r="18073" spans="12:12">
      <c r="L18073"/>
    </row>
    <row r="18074" spans="12:12">
      <c r="L18074"/>
    </row>
    <row r="18075" spans="12:12">
      <c r="L18075"/>
    </row>
    <row r="18076" spans="12:12">
      <c r="L18076"/>
    </row>
    <row r="18077" spans="12:12">
      <c r="L18077"/>
    </row>
    <row r="18078" spans="12:12">
      <c r="L18078"/>
    </row>
    <row r="18079" spans="12:12">
      <c r="L18079"/>
    </row>
    <row r="18080" spans="12:12">
      <c r="L18080"/>
    </row>
    <row r="18081" spans="12:12">
      <c r="L18081"/>
    </row>
    <row r="18082" spans="12:12">
      <c r="L18082"/>
    </row>
    <row r="18083" spans="12:12">
      <c r="L18083"/>
    </row>
    <row r="18084" spans="12:12">
      <c r="L18084"/>
    </row>
    <row r="18085" spans="12:12">
      <c r="L18085"/>
    </row>
    <row r="18086" spans="12:12">
      <c r="L18086"/>
    </row>
    <row r="18087" spans="12:12">
      <c r="L18087"/>
    </row>
    <row r="18088" spans="12:12">
      <c r="L18088"/>
    </row>
    <row r="18089" spans="12:12">
      <c r="L18089"/>
    </row>
    <row r="18090" spans="12:12">
      <c r="L18090"/>
    </row>
    <row r="18091" spans="12:12">
      <c r="L18091"/>
    </row>
    <row r="18092" spans="12:12">
      <c r="L18092"/>
    </row>
    <row r="18093" spans="12:12">
      <c r="L18093"/>
    </row>
    <row r="18094" spans="12:12">
      <c r="L18094"/>
    </row>
    <row r="18095" spans="12:12">
      <c r="L18095"/>
    </row>
    <row r="18096" spans="12:12">
      <c r="L18096"/>
    </row>
    <row r="18097" spans="12:12">
      <c r="L18097"/>
    </row>
    <row r="18098" spans="12:12">
      <c r="L18098"/>
    </row>
    <row r="18099" spans="12:12">
      <c r="L18099"/>
    </row>
    <row r="18100" spans="12:12">
      <c r="L18100"/>
    </row>
    <row r="18101" spans="12:12">
      <c r="L18101"/>
    </row>
    <row r="18102" spans="12:12">
      <c r="L18102"/>
    </row>
    <row r="18103" spans="12:12">
      <c r="L18103"/>
    </row>
    <row r="18104" spans="12:12">
      <c r="L18104"/>
    </row>
    <row r="18105" spans="12:12">
      <c r="L18105"/>
    </row>
    <row r="18106" spans="12:12">
      <c r="L18106"/>
    </row>
    <row r="18107" spans="12:12">
      <c r="L18107"/>
    </row>
    <row r="18108" spans="12:12">
      <c r="L18108"/>
    </row>
    <row r="18109" spans="12:12">
      <c r="L18109"/>
    </row>
    <row r="18110" spans="12:12">
      <c r="L18110"/>
    </row>
    <row r="18111" spans="12:12">
      <c r="L18111"/>
    </row>
    <row r="18112" spans="12:12">
      <c r="L18112"/>
    </row>
    <row r="18113" spans="12:12">
      <c r="L18113"/>
    </row>
    <row r="18114" spans="12:12">
      <c r="L18114"/>
    </row>
    <row r="18115" spans="12:12">
      <c r="L18115"/>
    </row>
    <row r="18116" spans="12:12">
      <c r="L18116"/>
    </row>
    <row r="18117" spans="12:12">
      <c r="L18117"/>
    </row>
    <row r="18118" spans="12:12">
      <c r="L18118"/>
    </row>
    <row r="18119" spans="12:12">
      <c r="L18119"/>
    </row>
    <row r="18120" spans="12:12">
      <c r="L18120"/>
    </row>
    <row r="18121" spans="12:12">
      <c r="L18121"/>
    </row>
    <row r="18122" spans="12:12">
      <c r="L18122"/>
    </row>
    <row r="18123" spans="12:12">
      <c r="L18123"/>
    </row>
    <row r="18124" spans="12:12">
      <c r="L18124"/>
    </row>
    <row r="18125" spans="12:12">
      <c r="L18125"/>
    </row>
    <row r="18126" spans="12:12">
      <c r="L18126"/>
    </row>
    <row r="18127" spans="12:12">
      <c r="L18127"/>
    </row>
    <row r="18128" spans="12:12">
      <c r="L18128"/>
    </row>
    <row r="18129" spans="12:12">
      <c r="L18129"/>
    </row>
    <row r="18130" spans="12:12">
      <c r="L18130"/>
    </row>
    <row r="18131" spans="12:12">
      <c r="L18131"/>
    </row>
    <row r="18132" spans="12:12">
      <c r="L18132"/>
    </row>
    <row r="18133" spans="12:12">
      <c r="L18133"/>
    </row>
    <row r="18134" spans="12:12">
      <c r="L18134"/>
    </row>
    <row r="18135" spans="12:12">
      <c r="L18135"/>
    </row>
    <row r="18136" spans="12:12">
      <c r="L18136"/>
    </row>
    <row r="18137" spans="12:12">
      <c r="L18137"/>
    </row>
    <row r="18138" spans="12:12">
      <c r="L18138"/>
    </row>
    <row r="18139" spans="12:12">
      <c r="L18139"/>
    </row>
    <row r="18140" spans="12:12">
      <c r="L18140"/>
    </row>
    <row r="18141" spans="12:12">
      <c r="L18141"/>
    </row>
    <row r="18142" spans="12:12">
      <c r="L18142"/>
    </row>
    <row r="18143" spans="12:12">
      <c r="L18143"/>
    </row>
    <row r="18144" spans="12:12">
      <c r="L18144"/>
    </row>
    <row r="18145" spans="12:12">
      <c r="L18145"/>
    </row>
    <row r="18146" spans="12:12">
      <c r="L18146"/>
    </row>
    <row r="18147" spans="12:12">
      <c r="L18147"/>
    </row>
    <row r="18148" spans="12:12">
      <c r="L18148"/>
    </row>
    <row r="18149" spans="12:12">
      <c r="L18149"/>
    </row>
    <row r="18150" spans="12:12">
      <c r="L18150"/>
    </row>
    <row r="18151" spans="12:12">
      <c r="L18151"/>
    </row>
    <row r="18152" spans="12:12">
      <c r="L18152"/>
    </row>
    <row r="18153" spans="12:12">
      <c r="L18153"/>
    </row>
    <row r="18154" spans="12:12">
      <c r="L18154"/>
    </row>
    <row r="18155" spans="12:12">
      <c r="L18155"/>
    </row>
    <row r="18156" spans="12:12">
      <c r="L18156"/>
    </row>
    <row r="18157" spans="12:12">
      <c r="L18157"/>
    </row>
    <row r="18158" spans="12:12">
      <c r="L18158"/>
    </row>
    <row r="18159" spans="12:12">
      <c r="L18159"/>
    </row>
    <row r="18160" spans="12:12">
      <c r="L18160"/>
    </row>
    <row r="18161" spans="12:12">
      <c r="L18161"/>
    </row>
    <row r="18162" spans="12:12">
      <c r="L18162"/>
    </row>
    <row r="18163" spans="12:12">
      <c r="L18163"/>
    </row>
    <row r="18164" spans="12:12">
      <c r="L18164"/>
    </row>
    <row r="18165" spans="12:12">
      <c r="L18165"/>
    </row>
    <row r="18166" spans="12:12">
      <c r="L18166"/>
    </row>
    <row r="18167" spans="12:12">
      <c r="L18167"/>
    </row>
    <row r="18168" spans="12:12">
      <c r="L18168"/>
    </row>
    <row r="18169" spans="12:12">
      <c r="L18169"/>
    </row>
    <row r="18170" spans="12:12">
      <c r="L18170"/>
    </row>
    <row r="18171" spans="12:12">
      <c r="L18171"/>
    </row>
    <row r="18172" spans="12:12">
      <c r="L18172"/>
    </row>
    <row r="18173" spans="12:12">
      <c r="L18173"/>
    </row>
    <row r="18174" spans="12:12">
      <c r="L18174"/>
    </row>
    <row r="18175" spans="12:12">
      <c r="L18175"/>
    </row>
    <row r="18176" spans="12:12">
      <c r="L18176"/>
    </row>
    <row r="18177" spans="12:12">
      <c r="L18177"/>
    </row>
    <row r="18178" spans="12:12">
      <c r="L18178"/>
    </row>
    <row r="18179" spans="12:12">
      <c r="L18179"/>
    </row>
    <row r="18180" spans="12:12">
      <c r="L18180"/>
    </row>
    <row r="18181" spans="12:12">
      <c r="L18181"/>
    </row>
    <row r="18182" spans="12:12">
      <c r="L18182"/>
    </row>
    <row r="18183" spans="12:12">
      <c r="L18183"/>
    </row>
    <row r="18184" spans="12:12">
      <c r="L18184"/>
    </row>
    <row r="18185" spans="12:12">
      <c r="L18185"/>
    </row>
    <row r="18186" spans="12:12">
      <c r="L18186"/>
    </row>
    <row r="18187" spans="12:12">
      <c r="L18187"/>
    </row>
    <row r="18188" spans="12:12">
      <c r="L18188"/>
    </row>
    <row r="18189" spans="12:12">
      <c r="L18189"/>
    </row>
    <row r="18190" spans="12:12">
      <c r="L18190"/>
    </row>
    <row r="18191" spans="12:12">
      <c r="L18191"/>
    </row>
    <row r="18192" spans="12:12">
      <c r="L18192"/>
    </row>
    <row r="18193" spans="12:12">
      <c r="L18193"/>
    </row>
    <row r="18194" spans="12:12">
      <c r="L18194"/>
    </row>
    <row r="18195" spans="12:12">
      <c r="L18195"/>
    </row>
    <row r="18196" spans="12:12">
      <c r="L18196"/>
    </row>
    <row r="18197" spans="12:12">
      <c r="L18197"/>
    </row>
    <row r="18198" spans="12:12">
      <c r="L18198"/>
    </row>
    <row r="18199" spans="12:12">
      <c r="L18199"/>
    </row>
    <row r="18200" spans="12:12">
      <c r="L18200"/>
    </row>
    <row r="18201" spans="12:12">
      <c r="L18201"/>
    </row>
    <row r="18202" spans="12:12">
      <c r="L18202"/>
    </row>
    <row r="18203" spans="12:12">
      <c r="L18203"/>
    </row>
    <row r="18204" spans="12:12">
      <c r="L18204"/>
    </row>
    <row r="18205" spans="12:12">
      <c r="L18205"/>
    </row>
    <row r="18206" spans="12:12">
      <c r="L18206"/>
    </row>
    <row r="18207" spans="12:12">
      <c r="L18207"/>
    </row>
    <row r="18208" spans="12:12">
      <c r="L18208"/>
    </row>
    <row r="18209" spans="12:12">
      <c r="L18209"/>
    </row>
    <row r="18210" spans="12:12">
      <c r="L18210"/>
    </row>
    <row r="18211" spans="12:12">
      <c r="L18211"/>
    </row>
    <row r="18212" spans="12:12">
      <c r="L18212"/>
    </row>
    <row r="18213" spans="12:12">
      <c r="L18213"/>
    </row>
    <row r="18214" spans="12:12">
      <c r="L18214"/>
    </row>
    <row r="18215" spans="12:12">
      <c r="L18215"/>
    </row>
    <row r="18216" spans="12:12">
      <c r="L18216"/>
    </row>
    <row r="18217" spans="12:12">
      <c r="L18217"/>
    </row>
    <row r="18218" spans="12:12">
      <c r="L18218"/>
    </row>
    <row r="18219" spans="12:12">
      <c r="L18219"/>
    </row>
    <row r="18220" spans="12:12">
      <c r="L18220"/>
    </row>
    <row r="18221" spans="12:12">
      <c r="L18221"/>
    </row>
    <row r="18222" spans="12:12">
      <c r="L18222"/>
    </row>
    <row r="18223" spans="12:12">
      <c r="L18223"/>
    </row>
    <row r="18224" spans="12:12">
      <c r="L18224"/>
    </row>
    <row r="18225" spans="12:12">
      <c r="L18225"/>
    </row>
    <row r="18226" spans="12:12">
      <c r="L18226"/>
    </row>
    <row r="18227" spans="12:12">
      <c r="L18227"/>
    </row>
    <row r="18228" spans="12:12">
      <c r="L18228"/>
    </row>
    <row r="18229" spans="12:12">
      <c r="L18229"/>
    </row>
    <row r="18230" spans="12:12">
      <c r="L18230"/>
    </row>
    <row r="18231" spans="12:12">
      <c r="L18231"/>
    </row>
    <row r="18232" spans="12:12">
      <c r="L18232"/>
    </row>
    <row r="18233" spans="12:12">
      <c r="L18233"/>
    </row>
    <row r="18234" spans="12:12">
      <c r="L18234"/>
    </row>
    <row r="18235" spans="12:12">
      <c r="L18235"/>
    </row>
    <row r="18236" spans="12:12">
      <c r="L18236"/>
    </row>
    <row r="18237" spans="12:12">
      <c r="L18237"/>
    </row>
    <row r="18238" spans="12:12">
      <c r="L18238"/>
    </row>
    <row r="18239" spans="12:12">
      <c r="L18239"/>
    </row>
    <row r="18240" spans="12:12">
      <c r="L18240"/>
    </row>
    <row r="18241" spans="12:12">
      <c r="L18241"/>
    </row>
    <row r="18242" spans="12:12">
      <c r="L18242"/>
    </row>
    <row r="18243" spans="12:12">
      <c r="L18243"/>
    </row>
    <row r="18244" spans="12:12">
      <c r="L18244"/>
    </row>
    <row r="18245" spans="12:12">
      <c r="L18245"/>
    </row>
    <row r="18246" spans="12:12">
      <c r="L18246"/>
    </row>
    <row r="18247" spans="12:12">
      <c r="L18247"/>
    </row>
    <row r="18248" spans="12:12">
      <c r="L18248"/>
    </row>
    <row r="18249" spans="12:12">
      <c r="L18249"/>
    </row>
    <row r="18250" spans="12:12">
      <c r="L18250"/>
    </row>
    <row r="18251" spans="12:12">
      <c r="L18251"/>
    </row>
    <row r="18252" spans="12:12">
      <c r="L18252"/>
    </row>
    <row r="18253" spans="12:12">
      <c r="L18253"/>
    </row>
    <row r="18254" spans="12:12">
      <c r="L18254"/>
    </row>
    <row r="18255" spans="12:12">
      <c r="L18255"/>
    </row>
    <row r="18256" spans="12:12">
      <c r="L18256"/>
    </row>
    <row r="18257" spans="12:12">
      <c r="L18257"/>
    </row>
    <row r="18258" spans="12:12">
      <c r="L18258"/>
    </row>
    <row r="18259" spans="12:12">
      <c r="L18259"/>
    </row>
    <row r="18260" spans="12:12">
      <c r="L18260"/>
    </row>
    <row r="18261" spans="12:12">
      <c r="L18261"/>
    </row>
    <row r="18262" spans="12:12">
      <c r="L18262"/>
    </row>
    <row r="18263" spans="12:12">
      <c r="L18263"/>
    </row>
    <row r="18264" spans="12:12">
      <c r="L18264"/>
    </row>
    <row r="18265" spans="12:12">
      <c r="L18265"/>
    </row>
    <row r="18266" spans="12:12">
      <c r="L18266"/>
    </row>
    <row r="18267" spans="12:12">
      <c r="L18267"/>
    </row>
    <row r="18268" spans="12:12">
      <c r="L18268"/>
    </row>
    <row r="18269" spans="12:12">
      <c r="L18269"/>
    </row>
    <row r="18270" spans="12:12">
      <c r="L18270"/>
    </row>
    <row r="18271" spans="12:12">
      <c r="L18271"/>
    </row>
    <row r="18272" spans="12:12">
      <c r="L18272"/>
    </row>
    <row r="18273" spans="12:12">
      <c r="L18273"/>
    </row>
    <row r="18274" spans="12:12">
      <c r="L18274"/>
    </row>
    <row r="18275" spans="12:12">
      <c r="L18275"/>
    </row>
    <row r="18276" spans="12:12">
      <c r="L18276"/>
    </row>
    <row r="18277" spans="12:12">
      <c r="L18277"/>
    </row>
    <row r="18278" spans="12:12">
      <c r="L18278"/>
    </row>
    <row r="18279" spans="12:12">
      <c r="L18279"/>
    </row>
    <row r="18280" spans="12:12">
      <c r="L18280"/>
    </row>
    <row r="18281" spans="12:12">
      <c r="L18281"/>
    </row>
    <row r="18282" spans="12:12">
      <c r="L18282"/>
    </row>
    <row r="18283" spans="12:12">
      <c r="L18283"/>
    </row>
    <row r="18284" spans="12:12">
      <c r="L18284"/>
    </row>
    <row r="18285" spans="12:12">
      <c r="L18285"/>
    </row>
    <row r="18286" spans="12:12">
      <c r="L18286"/>
    </row>
    <row r="18287" spans="12:12">
      <c r="L18287"/>
    </row>
    <row r="18288" spans="12:12">
      <c r="L18288"/>
    </row>
    <row r="18289" spans="12:12">
      <c r="L18289"/>
    </row>
    <row r="18290" spans="12:12">
      <c r="L18290"/>
    </row>
    <row r="18291" spans="12:12">
      <c r="L18291"/>
    </row>
    <row r="18292" spans="12:12">
      <c r="L18292"/>
    </row>
    <row r="18293" spans="12:12">
      <c r="L18293"/>
    </row>
    <row r="18294" spans="12:12">
      <c r="L18294"/>
    </row>
    <row r="18295" spans="12:12">
      <c r="L18295"/>
    </row>
    <row r="18296" spans="12:12">
      <c r="L18296"/>
    </row>
    <row r="18297" spans="12:12">
      <c r="L18297"/>
    </row>
    <row r="18298" spans="12:12">
      <c r="L18298"/>
    </row>
    <row r="18299" spans="12:12">
      <c r="L18299"/>
    </row>
    <row r="18300" spans="12:12">
      <c r="L18300"/>
    </row>
    <row r="18301" spans="12:12">
      <c r="L18301"/>
    </row>
    <row r="18302" spans="12:12">
      <c r="L18302"/>
    </row>
    <row r="18303" spans="12:12">
      <c r="L18303"/>
    </row>
    <row r="18304" spans="12:12">
      <c r="L18304"/>
    </row>
    <row r="18305" spans="12:12">
      <c r="L18305"/>
    </row>
    <row r="18306" spans="12:12">
      <c r="L18306"/>
    </row>
    <row r="18307" spans="12:12">
      <c r="L18307"/>
    </row>
    <row r="18308" spans="12:12">
      <c r="L18308"/>
    </row>
    <row r="18309" spans="12:12">
      <c r="L18309"/>
    </row>
    <row r="18310" spans="12:12">
      <c r="L18310"/>
    </row>
    <row r="18311" spans="12:12">
      <c r="L18311"/>
    </row>
    <row r="18312" spans="12:12">
      <c r="L18312"/>
    </row>
    <row r="18313" spans="12:12">
      <c r="L18313"/>
    </row>
    <row r="18314" spans="12:12">
      <c r="L18314"/>
    </row>
    <row r="18315" spans="12:12">
      <c r="L18315"/>
    </row>
    <row r="18316" spans="12:12">
      <c r="L18316"/>
    </row>
    <row r="18317" spans="12:12">
      <c r="L18317"/>
    </row>
    <row r="18318" spans="12:12">
      <c r="L18318"/>
    </row>
    <row r="18319" spans="12:12">
      <c r="L18319"/>
    </row>
    <row r="18320" spans="12:12">
      <c r="L18320"/>
    </row>
    <row r="18321" spans="12:12">
      <c r="L18321"/>
    </row>
    <row r="18322" spans="12:12">
      <c r="L18322"/>
    </row>
    <row r="18323" spans="12:12">
      <c r="L18323"/>
    </row>
    <row r="18324" spans="12:12">
      <c r="L18324"/>
    </row>
    <row r="18325" spans="12:12">
      <c r="L18325"/>
    </row>
    <row r="18326" spans="12:12">
      <c r="L18326"/>
    </row>
    <row r="18327" spans="12:12">
      <c r="L18327"/>
    </row>
    <row r="18328" spans="12:12">
      <c r="L18328"/>
    </row>
    <row r="18329" spans="12:12">
      <c r="L18329"/>
    </row>
    <row r="18330" spans="12:12">
      <c r="L18330"/>
    </row>
    <row r="18331" spans="12:12">
      <c r="L18331"/>
    </row>
    <row r="18332" spans="12:12">
      <c r="L18332"/>
    </row>
    <row r="18333" spans="12:12">
      <c r="L18333"/>
    </row>
    <row r="18334" spans="12:12">
      <c r="L18334"/>
    </row>
    <row r="18335" spans="12:12">
      <c r="L18335"/>
    </row>
    <row r="18336" spans="12:12">
      <c r="L18336"/>
    </row>
    <row r="18337" spans="12:12">
      <c r="L18337"/>
    </row>
    <row r="18338" spans="12:12">
      <c r="L18338"/>
    </row>
    <row r="18339" spans="12:12">
      <c r="L18339"/>
    </row>
    <row r="18340" spans="12:12">
      <c r="L18340"/>
    </row>
    <row r="18341" spans="12:12">
      <c r="L18341"/>
    </row>
    <row r="18342" spans="12:12">
      <c r="L18342"/>
    </row>
    <row r="18343" spans="12:12">
      <c r="L18343"/>
    </row>
    <row r="18344" spans="12:12">
      <c r="L18344"/>
    </row>
    <row r="18345" spans="12:12">
      <c r="L18345"/>
    </row>
    <row r="18346" spans="12:12">
      <c r="L18346"/>
    </row>
    <row r="18347" spans="12:12">
      <c r="L18347"/>
    </row>
    <row r="18348" spans="12:12">
      <c r="L18348"/>
    </row>
    <row r="18349" spans="12:12">
      <c r="L18349"/>
    </row>
    <row r="18350" spans="12:12">
      <c r="L18350"/>
    </row>
    <row r="18351" spans="12:12">
      <c r="L18351"/>
    </row>
    <row r="18352" spans="12:12">
      <c r="L18352"/>
    </row>
    <row r="18353" spans="12:12">
      <c r="L18353"/>
    </row>
    <row r="18354" spans="12:12">
      <c r="L18354"/>
    </row>
    <row r="18355" spans="12:12">
      <c r="L18355"/>
    </row>
    <row r="18356" spans="12:12">
      <c r="L18356"/>
    </row>
    <row r="18357" spans="12:12">
      <c r="L18357"/>
    </row>
    <row r="18358" spans="12:12">
      <c r="L18358"/>
    </row>
    <row r="18359" spans="12:12">
      <c r="L18359"/>
    </row>
    <row r="18360" spans="12:12">
      <c r="L18360"/>
    </row>
    <row r="18361" spans="12:12">
      <c r="L18361"/>
    </row>
    <row r="18362" spans="12:12">
      <c r="L18362"/>
    </row>
    <row r="18363" spans="12:12">
      <c r="L18363"/>
    </row>
    <row r="18364" spans="12:12">
      <c r="L18364"/>
    </row>
    <row r="18365" spans="12:12">
      <c r="L18365"/>
    </row>
    <row r="18366" spans="12:12">
      <c r="L18366"/>
    </row>
    <row r="18367" spans="12:12">
      <c r="L18367"/>
    </row>
    <row r="18368" spans="12:12">
      <c r="L18368"/>
    </row>
    <row r="18369" spans="12:12">
      <c r="L18369"/>
    </row>
    <row r="18370" spans="12:12">
      <c r="L18370"/>
    </row>
    <row r="18371" spans="12:12">
      <c r="L18371"/>
    </row>
    <row r="18372" spans="12:12">
      <c r="L18372"/>
    </row>
    <row r="18373" spans="12:12">
      <c r="L18373"/>
    </row>
    <row r="18374" spans="12:12">
      <c r="L18374"/>
    </row>
    <row r="18375" spans="12:12">
      <c r="L18375"/>
    </row>
    <row r="18376" spans="12:12">
      <c r="L18376"/>
    </row>
    <row r="18377" spans="12:12">
      <c r="L18377"/>
    </row>
    <row r="18378" spans="12:12">
      <c r="L18378"/>
    </row>
    <row r="18379" spans="12:12">
      <c r="L18379"/>
    </row>
    <row r="18380" spans="12:12">
      <c r="L18380"/>
    </row>
    <row r="18381" spans="12:12">
      <c r="L18381"/>
    </row>
    <row r="18382" spans="12:12">
      <c r="L18382"/>
    </row>
    <row r="18383" spans="12:12">
      <c r="L18383"/>
    </row>
    <row r="18384" spans="12:12">
      <c r="L18384"/>
    </row>
    <row r="18385" spans="12:12">
      <c r="L18385"/>
    </row>
    <row r="18386" spans="12:12">
      <c r="L18386"/>
    </row>
    <row r="18387" spans="12:12">
      <c r="L18387"/>
    </row>
    <row r="18388" spans="12:12">
      <c r="L18388"/>
    </row>
    <row r="18389" spans="12:12">
      <c r="L18389"/>
    </row>
    <row r="18390" spans="12:12">
      <c r="L18390"/>
    </row>
    <row r="18391" spans="12:12">
      <c r="L18391"/>
    </row>
    <row r="18392" spans="12:12">
      <c r="L18392"/>
    </row>
    <row r="18393" spans="12:12">
      <c r="L18393"/>
    </row>
    <row r="18394" spans="12:12">
      <c r="L18394"/>
    </row>
    <row r="18395" spans="12:12">
      <c r="L18395"/>
    </row>
    <row r="18396" spans="12:12">
      <c r="L18396"/>
    </row>
    <row r="18397" spans="12:12">
      <c r="L18397"/>
    </row>
    <row r="18398" spans="12:12">
      <c r="L18398"/>
    </row>
    <row r="18399" spans="12:12">
      <c r="L18399"/>
    </row>
    <row r="18400" spans="12:12">
      <c r="L18400"/>
    </row>
    <row r="18401" spans="12:12">
      <c r="L18401"/>
    </row>
    <row r="18402" spans="12:12">
      <c r="L18402"/>
    </row>
    <row r="18403" spans="12:12">
      <c r="L18403"/>
    </row>
    <row r="18404" spans="12:12">
      <c r="L18404"/>
    </row>
    <row r="18405" spans="12:12">
      <c r="L18405"/>
    </row>
    <row r="18406" spans="12:12">
      <c r="L18406"/>
    </row>
    <row r="18407" spans="12:12">
      <c r="L18407"/>
    </row>
    <row r="18408" spans="12:12">
      <c r="L18408"/>
    </row>
    <row r="18409" spans="12:12">
      <c r="L18409"/>
    </row>
    <row r="18410" spans="12:12">
      <c r="L18410"/>
    </row>
    <row r="18411" spans="12:12">
      <c r="L18411"/>
    </row>
    <row r="18412" spans="12:12">
      <c r="L18412"/>
    </row>
    <row r="18413" spans="12:12">
      <c r="L18413"/>
    </row>
    <row r="18414" spans="12:12">
      <c r="L18414"/>
    </row>
    <row r="18415" spans="12:12">
      <c r="L18415"/>
    </row>
    <row r="18416" spans="12:12">
      <c r="L18416"/>
    </row>
    <row r="18417" spans="12:12">
      <c r="L18417"/>
    </row>
    <row r="18418" spans="12:12">
      <c r="L18418"/>
    </row>
    <row r="18419" spans="12:12">
      <c r="L18419"/>
    </row>
    <row r="18420" spans="12:12">
      <c r="L18420"/>
    </row>
    <row r="18421" spans="12:12">
      <c r="L18421"/>
    </row>
    <row r="18422" spans="12:12">
      <c r="L18422"/>
    </row>
    <row r="18423" spans="12:12">
      <c r="L18423"/>
    </row>
    <row r="18424" spans="12:12">
      <c r="L18424"/>
    </row>
    <row r="18425" spans="12:12">
      <c r="L18425"/>
    </row>
    <row r="18426" spans="12:12">
      <c r="L18426"/>
    </row>
    <row r="18427" spans="12:12">
      <c r="L18427"/>
    </row>
    <row r="18428" spans="12:12">
      <c r="L18428"/>
    </row>
    <row r="18429" spans="12:12">
      <c r="L18429"/>
    </row>
    <row r="18430" spans="12:12">
      <c r="L18430"/>
    </row>
    <row r="18431" spans="12:12">
      <c r="L18431"/>
    </row>
    <row r="18432" spans="12:12">
      <c r="L18432"/>
    </row>
    <row r="18433" spans="12:12">
      <c r="L18433"/>
    </row>
    <row r="18434" spans="12:12">
      <c r="L18434"/>
    </row>
    <row r="18435" spans="12:12">
      <c r="L18435"/>
    </row>
    <row r="18436" spans="12:12">
      <c r="L18436"/>
    </row>
    <row r="18437" spans="12:12">
      <c r="L18437"/>
    </row>
    <row r="18438" spans="12:12">
      <c r="L18438"/>
    </row>
    <row r="18439" spans="12:12">
      <c r="L18439"/>
    </row>
    <row r="18440" spans="12:12">
      <c r="L18440"/>
    </row>
    <row r="18441" spans="12:12">
      <c r="L18441"/>
    </row>
    <row r="18442" spans="12:12">
      <c r="L18442"/>
    </row>
    <row r="18443" spans="12:12">
      <c r="L18443"/>
    </row>
    <row r="18444" spans="12:12">
      <c r="L18444"/>
    </row>
    <row r="18445" spans="12:12">
      <c r="L18445"/>
    </row>
    <row r="18446" spans="12:12">
      <c r="L18446"/>
    </row>
    <row r="18447" spans="12:12">
      <c r="L18447"/>
    </row>
    <row r="18448" spans="12:12">
      <c r="L18448"/>
    </row>
    <row r="18449" spans="12:12">
      <c r="L18449"/>
    </row>
    <row r="18450" spans="12:12">
      <c r="L18450"/>
    </row>
    <row r="18451" spans="12:12">
      <c r="L18451"/>
    </row>
    <row r="18452" spans="12:12">
      <c r="L18452"/>
    </row>
    <row r="18453" spans="12:12">
      <c r="L18453"/>
    </row>
    <row r="18454" spans="12:12">
      <c r="L18454"/>
    </row>
    <row r="18455" spans="12:12">
      <c r="L18455"/>
    </row>
    <row r="18456" spans="12:12">
      <c r="L18456"/>
    </row>
    <row r="18457" spans="12:12">
      <c r="L18457"/>
    </row>
    <row r="18458" spans="12:12">
      <c r="L18458"/>
    </row>
    <row r="18459" spans="12:12">
      <c r="L18459"/>
    </row>
    <row r="18460" spans="12:12">
      <c r="L18460"/>
    </row>
    <row r="18461" spans="12:12">
      <c r="L18461"/>
    </row>
    <row r="18462" spans="12:12">
      <c r="L18462"/>
    </row>
    <row r="18463" spans="12:12">
      <c r="L18463"/>
    </row>
    <row r="18464" spans="12:12">
      <c r="L18464"/>
    </row>
    <row r="18465" spans="12:12">
      <c r="L18465"/>
    </row>
    <row r="18466" spans="12:12">
      <c r="L18466"/>
    </row>
    <row r="18467" spans="12:12">
      <c r="L18467"/>
    </row>
    <row r="18468" spans="12:12">
      <c r="L18468"/>
    </row>
    <row r="18469" spans="12:12">
      <c r="L18469"/>
    </row>
    <row r="18470" spans="12:12">
      <c r="L18470"/>
    </row>
    <row r="18471" spans="12:12">
      <c r="L18471"/>
    </row>
    <row r="18472" spans="12:12">
      <c r="L18472"/>
    </row>
    <row r="18473" spans="12:12">
      <c r="L18473"/>
    </row>
    <row r="18474" spans="12:12">
      <c r="L18474"/>
    </row>
    <row r="18475" spans="12:12">
      <c r="L18475"/>
    </row>
    <row r="18476" spans="12:12">
      <c r="L18476"/>
    </row>
    <row r="18477" spans="12:12">
      <c r="L18477"/>
    </row>
    <row r="18478" spans="12:12">
      <c r="L18478"/>
    </row>
    <row r="18479" spans="12:12">
      <c r="L18479"/>
    </row>
    <row r="18480" spans="12:12">
      <c r="L18480"/>
    </row>
    <row r="18481" spans="12:12">
      <c r="L18481"/>
    </row>
    <row r="18482" spans="12:12">
      <c r="L18482"/>
    </row>
    <row r="18483" spans="12:12">
      <c r="L18483"/>
    </row>
    <row r="18484" spans="12:12">
      <c r="L18484"/>
    </row>
    <row r="18485" spans="12:12">
      <c r="L18485"/>
    </row>
    <row r="18486" spans="12:12">
      <c r="L18486"/>
    </row>
    <row r="18487" spans="12:12">
      <c r="L18487"/>
    </row>
    <row r="18488" spans="12:12">
      <c r="L18488"/>
    </row>
    <row r="18489" spans="12:12">
      <c r="L18489"/>
    </row>
    <row r="18490" spans="12:12">
      <c r="L18490"/>
    </row>
    <row r="18491" spans="12:12">
      <c r="L18491"/>
    </row>
    <row r="18492" spans="12:12">
      <c r="L18492"/>
    </row>
    <row r="18493" spans="12:12">
      <c r="L18493"/>
    </row>
    <row r="18494" spans="12:12">
      <c r="L18494"/>
    </row>
    <row r="18495" spans="12:12">
      <c r="L18495"/>
    </row>
    <row r="18496" spans="12:12">
      <c r="L18496"/>
    </row>
    <row r="18497" spans="12:12">
      <c r="L18497"/>
    </row>
    <row r="18498" spans="12:12">
      <c r="L18498"/>
    </row>
    <row r="18499" spans="12:12">
      <c r="L18499"/>
    </row>
    <row r="18500" spans="12:12">
      <c r="L18500"/>
    </row>
    <row r="18501" spans="12:12">
      <c r="L18501"/>
    </row>
    <row r="18502" spans="12:12">
      <c r="L18502"/>
    </row>
    <row r="18503" spans="12:12">
      <c r="L18503"/>
    </row>
    <row r="18504" spans="12:12">
      <c r="L18504"/>
    </row>
    <row r="18505" spans="12:12">
      <c r="L18505"/>
    </row>
    <row r="18506" spans="12:12">
      <c r="L18506"/>
    </row>
    <row r="18507" spans="12:12">
      <c r="L18507"/>
    </row>
    <row r="18508" spans="12:12">
      <c r="L18508"/>
    </row>
    <row r="18509" spans="12:12">
      <c r="L18509"/>
    </row>
    <row r="18510" spans="12:12">
      <c r="L18510"/>
    </row>
    <row r="18511" spans="12:12">
      <c r="L18511"/>
    </row>
    <row r="18512" spans="12:12">
      <c r="L18512"/>
    </row>
    <row r="18513" spans="12:12">
      <c r="L18513"/>
    </row>
    <row r="18514" spans="12:12">
      <c r="L18514"/>
    </row>
    <row r="18515" spans="12:12">
      <c r="L18515"/>
    </row>
    <row r="18516" spans="12:12">
      <c r="L18516"/>
    </row>
    <row r="18517" spans="12:12">
      <c r="L18517"/>
    </row>
    <row r="18518" spans="12:12">
      <c r="L18518"/>
    </row>
    <row r="18519" spans="12:12">
      <c r="L18519"/>
    </row>
    <row r="18520" spans="12:12">
      <c r="L18520"/>
    </row>
    <row r="18521" spans="12:12">
      <c r="L18521"/>
    </row>
    <row r="18522" spans="12:12">
      <c r="L18522"/>
    </row>
    <row r="18523" spans="12:12">
      <c r="L18523"/>
    </row>
    <row r="18524" spans="12:12">
      <c r="L18524"/>
    </row>
    <row r="18525" spans="12:12">
      <c r="L18525"/>
    </row>
    <row r="18526" spans="12:12">
      <c r="L18526"/>
    </row>
    <row r="18527" spans="12:12">
      <c r="L18527"/>
    </row>
    <row r="18528" spans="12:12">
      <c r="L18528"/>
    </row>
    <row r="18529" spans="12:12">
      <c r="L18529"/>
    </row>
    <row r="18530" spans="12:12">
      <c r="L18530"/>
    </row>
    <row r="18531" spans="12:12">
      <c r="L18531"/>
    </row>
    <row r="18532" spans="12:12">
      <c r="L18532"/>
    </row>
    <row r="18533" spans="12:12">
      <c r="L18533"/>
    </row>
    <row r="18534" spans="12:12">
      <c r="L18534"/>
    </row>
    <row r="18535" spans="12:12">
      <c r="L18535"/>
    </row>
    <row r="18536" spans="12:12">
      <c r="L18536"/>
    </row>
    <row r="18537" spans="12:12">
      <c r="L18537"/>
    </row>
    <row r="18538" spans="12:12">
      <c r="L18538"/>
    </row>
    <row r="18539" spans="12:12">
      <c r="L18539"/>
    </row>
    <row r="18540" spans="12:12">
      <c r="L18540"/>
    </row>
    <row r="18541" spans="12:12">
      <c r="L18541"/>
    </row>
    <row r="18542" spans="12:12">
      <c r="L18542"/>
    </row>
    <row r="18543" spans="12:12">
      <c r="L18543"/>
    </row>
    <row r="18544" spans="12:12">
      <c r="L18544"/>
    </row>
    <row r="18545" spans="12:12">
      <c r="L18545"/>
    </row>
    <row r="18546" spans="12:12">
      <c r="L18546"/>
    </row>
    <row r="18547" spans="12:12">
      <c r="L18547"/>
    </row>
    <row r="18548" spans="12:12">
      <c r="L18548"/>
    </row>
    <row r="18549" spans="12:12">
      <c r="L18549"/>
    </row>
    <row r="18550" spans="12:12">
      <c r="L18550"/>
    </row>
    <row r="18551" spans="12:12">
      <c r="L18551"/>
    </row>
    <row r="18552" spans="12:12">
      <c r="L18552"/>
    </row>
    <row r="18553" spans="12:12">
      <c r="L18553"/>
    </row>
    <row r="18554" spans="12:12">
      <c r="L18554"/>
    </row>
    <row r="18555" spans="12:12">
      <c r="L18555"/>
    </row>
    <row r="18556" spans="12:12">
      <c r="L18556"/>
    </row>
    <row r="18557" spans="12:12">
      <c r="L18557"/>
    </row>
    <row r="18558" spans="12:12">
      <c r="L18558"/>
    </row>
    <row r="18559" spans="12:12">
      <c r="L18559"/>
    </row>
    <row r="18560" spans="12:12">
      <c r="L18560"/>
    </row>
    <row r="18561" spans="12:12">
      <c r="L18561"/>
    </row>
    <row r="18562" spans="12:12">
      <c r="L18562"/>
    </row>
    <row r="18563" spans="12:12">
      <c r="L18563"/>
    </row>
    <row r="18564" spans="12:12">
      <c r="L18564"/>
    </row>
    <row r="18565" spans="12:12">
      <c r="L18565"/>
    </row>
    <row r="18566" spans="12:12">
      <c r="L18566"/>
    </row>
    <row r="18567" spans="12:12">
      <c r="L18567"/>
    </row>
    <row r="18568" spans="12:12">
      <c r="L18568"/>
    </row>
    <row r="18569" spans="12:12">
      <c r="L18569"/>
    </row>
    <row r="18570" spans="12:12">
      <c r="L18570"/>
    </row>
    <row r="18571" spans="12:12">
      <c r="L18571"/>
    </row>
    <row r="18572" spans="12:12">
      <c r="L18572"/>
    </row>
    <row r="18573" spans="12:12">
      <c r="L18573"/>
    </row>
    <row r="18574" spans="12:12">
      <c r="L18574"/>
    </row>
    <row r="18575" spans="12:12">
      <c r="L18575"/>
    </row>
    <row r="18576" spans="12:12">
      <c r="L18576"/>
    </row>
    <row r="18577" spans="12:12">
      <c r="L18577"/>
    </row>
    <row r="18578" spans="12:12">
      <c r="L18578"/>
    </row>
    <row r="18579" spans="12:12">
      <c r="L18579"/>
    </row>
    <row r="18580" spans="12:12">
      <c r="L18580"/>
    </row>
    <row r="18581" spans="12:12">
      <c r="L18581"/>
    </row>
    <row r="18582" spans="12:12">
      <c r="L18582"/>
    </row>
    <row r="18583" spans="12:12">
      <c r="L18583"/>
    </row>
    <row r="18584" spans="12:12">
      <c r="L18584"/>
    </row>
    <row r="18585" spans="12:12">
      <c r="L18585"/>
    </row>
    <row r="18586" spans="12:12">
      <c r="L18586"/>
    </row>
    <row r="18587" spans="12:12">
      <c r="L18587"/>
    </row>
    <row r="18588" spans="12:12">
      <c r="L18588"/>
    </row>
    <row r="18589" spans="12:12">
      <c r="L18589"/>
    </row>
    <row r="18590" spans="12:12">
      <c r="L18590"/>
    </row>
    <row r="18591" spans="12:12">
      <c r="L18591"/>
    </row>
    <row r="18592" spans="12:12">
      <c r="L18592"/>
    </row>
    <row r="18593" spans="12:12">
      <c r="L18593"/>
    </row>
    <row r="18594" spans="12:12">
      <c r="L18594"/>
    </row>
    <row r="18595" spans="12:12">
      <c r="L18595"/>
    </row>
    <row r="18596" spans="12:12">
      <c r="L18596"/>
    </row>
    <row r="18597" spans="12:12">
      <c r="L18597"/>
    </row>
    <row r="18598" spans="12:12">
      <c r="L18598"/>
    </row>
    <row r="18599" spans="12:12">
      <c r="L18599"/>
    </row>
    <row r="18600" spans="12:12">
      <c r="L18600"/>
    </row>
    <row r="18601" spans="12:12">
      <c r="L18601"/>
    </row>
    <row r="18602" spans="12:12">
      <c r="L18602"/>
    </row>
    <row r="18603" spans="12:12">
      <c r="L18603"/>
    </row>
    <row r="18604" spans="12:12">
      <c r="L18604"/>
    </row>
    <row r="18605" spans="12:12">
      <c r="L18605"/>
    </row>
    <row r="18606" spans="12:12">
      <c r="L18606"/>
    </row>
    <row r="18607" spans="12:12">
      <c r="L18607"/>
    </row>
    <row r="18608" spans="12:12">
      <c r="L18608"/>
    </row>
    <row r="18609" spans="12:12">
      <c r="L18609"/>
    </row>
    <row r="18610" spans="12:12">
      <c r="L18610"/>
    </row>
    <row r="18611" spans="12:12">
      <c r="L18611"/>
    </row>
    <row r="18612" spans="12:12">
      <c r="L18612"/>
    </row>
    <row r="18613" spans="12:12">
      <c r="L18613"/>
    </row>
    <row r="18614" spans="12:12">
      <c r="L18614"/>
    </row>
    <row r="18615" spans="12:12">
      <c r="L18615"/>
    </row>
    <row r="18616" spans="12:12">
      <c r="L18616"/>
    </row>
    <row r="18617" spans="12:12">
      <c r="L18617"/>
    </row>
    <row r="18618" spans="12:12">
      <c r="L18618"/>
    </row>
    <row r="18619" spans="12:12">
      <c r="L18619"/>
    </row>
    <row r="18620" spans="12:12">
      <c r="L18620"/>
    </row>
    <row r="18621" spans="12:12">
      <c r="L18621"/>
    </row>
    <row r="18622" spans="12:12">
      <c r="L18622"/>
    </row>
    <row r="18623" spans="12:12">
      <c r="L18623"/>
    </row>
    <row r="18624" spans="12:12">
      <c r="L18624"/>
    </row>
    <row r="18625" spans="12:12">
      <c r="L18625"/>
    </row>
    <row r="18626" spans="12:12">
      <c r="L18626"/>
    </row>
    <row r="18627" spans="12:12">
      <c r="L18627"/>
    </row>
    <row r="18628" spans="12:12">
      <c r="L18628"/>
    </row>
    <row r="18629" spans="12:12">
      <c r="L18629"/>
    </row>
    <row r="18630" spans="12:12">
      <c r="L18630"/>
    </row>
    <row r="18631" spans="12:12">
      <c r="L18631"/>
    </row>
    <row r="18632" spans="12:12">
      <c r="L18632"/>
    </row>
    <row r="18633" spans="12:12">
      <c r="L18633"/>
    </row>
    <row r="18634" spans="12:12">
      <c r="L18634"/>
    </row>
    <row r="18635" spans="12:12">
      <c r="L18635"/>
    </row>
    <row r="18636" spans="12:12">
      <c r="L18636"/>
    </row>
    <row r="18637" spans="12:12">
      <c r="L18637"/>
    </row>
    <row r="18638" spans="12:12">
      <c r="L18638"/>
    </row>
    <row r="18639" spans="12:12">
      <c r="L18639"/>
    </row>
    <row r="18640" spans="12:12">
      <c r="L18640"/>
    </row>
    <row r="18641" spans="12:12">
      <c r="L18641"/>
    </row>
    <row r="18642" spans="12:12">
      <c r="L18642"/>
    </row>
    <row r="18643" spans="12:12">
      <c r="L18643"/>
    </row>
    <row r="18644" spans="12:12">
      <c r="L18644"/>
    </row>
    <row r="18645" spans="12:12">
      <c r="L18645"/>
    </row>
    <row r="18646" spans="12:12">
      <c r="L18646"/>
    </row>
    <row r="18647" spans="12:12">
      <c r="L18647"/>
    </row>
    <row r="18648" spans="12:12">
      <c r="L18648"/>
    </row>
    <row r="18649" spans="12:12">
      <c r="L18649"/>
    </row>
    <row r="18650" spans="12:12">
      <c r="L18650"/>
    </row>
    <row r="18651" spans="12:12">
      <c r="L18651"/>
    </row>
    <row r="18652" spans="12:12">
      <c r="L18652"/>
    </row>
    <row r="18653" spans="12:12">
      <c r="L18653"/>
    </row>
    <row r="18654" spans="12:12">
      <c r="L18654"/>
    </row>
    <row r="18655" spans="12:12">
      <c r="L18655"/>
    </row>
    <row r="18656" spans="12:12">
      <c r="L18656"/>
    </row>
    <row r="18657" spans="12:12">
      <c r="L18657"/>
    </row>
    <row r="18658" spans="12:12">
      <c r="L18658"/>
    </row>
    <row r="18659" spans="12:12">
      <c r="L18659"/>
    </row>
    <row r="18660" spans="12:12">
      <c r="L18660"/>
    </row>
    <row r="18661" spans="12:12">
      <c r="L18661"/>
    </row>
    <row r="18662" spans="12:12">
      <c r="L18662"/>
    </row>
    <row r="18663" spans="12:12">
      <c r="L18663"/>
    </row>
    <row r="18664" spans="12:12">
      <c r="L18664"/>
    </row>
    <row r="18665" spans="12:12">
      <c r="L18665"/>
    </row>
    <row r="18666" spans="12:12">
      <c r="L18666"/>
    </row>
    <row r="18667" spans="12:12">
      <c r="L18667"/>
    </row>
    <row r="18668" spans="12:12">
      <c r="L18668"/>
    </row>
    <row r="18669" spans="12:12">
      <c r="L18669"/>
    </row>
    <row r="18670" spans="12:12">
      <c r="L18670"/>
    </row>
    <row r="18671" spans="12:12">
      <c r="L18671"/>
    </row>
    <row r="18672" spans="12:12">
      <c r="L18672"/>
    </row>
    <row r="18673" spans="12:12">
      <c r="L18673"/>
    </row>
    <row r="18674" spans="12:12">
      <c r="L18674"/>
    </row>
    <row r="18675" spans="12:12">
      <c r="L18675"/>
    </row>
    <row r="18676" spans="12:12">
      <c r="L18676"/>
    </row>
    <row r="18677" spans="12:12">
      <c r="L18677"/>
    </row>
    <row r="18678" spans="12:12">
      <c r="L18678"/>
    </row>
    <row r="18679" spans="12:12">
      <c r="L18679"/>
    </row>
    <row r="18680" spans="12:12">
      <c r="L18680"/>
    </row>
    <row r="18681" spans="12:12">
      <c r="L18681"/>
    </row>
    <row r="18682" spans="12:12">
      <c r="L18682"/>
    </row>
    <row r="18683" spans="12:12">
      <c r="L18683"/>
    </row>
    <row r="18684" spans="12:12">
      <c r="L18684"/>
    </row>
    <row r="18685" spans="12:12">
      <c r="L18685"/>
    </row>
    <row r="18686" spans="12:12">
      <c r="L18686"/>
    </row>
    <row r="18687" spans="12:12">
      <c r="L18687"/>
    </row>
    <row r="18688" spans="12:12">
      <c r="L18688"/>
    </row>
    <row r="18689" spans="12:12">
      <c r="L18689"/>
    </row>
    <row r="18690" spans="12:12">
      <c r="L18690"/>
    </row>
    <row r="18691" spans="12:12">
      <c r="L18691"/>
    </row>
    <row r="18692" spans="12:12">
      <c r="L18692"/>
    </row>
    <row r="18693" spans="12:12">
      <c r="L18693"/>
    </row>
    <row r="18694" spans="12:12">
      <c r="L18694"/>
    </row>
    <row r="18695" spans="12:12">
      <c r="L18695"/>
    </row>
    <row r="18696" spans="12:12">
      <c r="L18696"/>
    </row>
    <row r="18697" spans="12:12">
      <c r="L18697"/>
    </row>
    <row r="18698" spans="12:12">
      <c r="L18698"/>
    </row>
    <row r="18699" spans="12:12">
      <c r="L18699"/>
    </row>
    <row r="18700" spans="12:12">
      <c r="L18700"/>
    </row>
    <row r="18701" spans="12:12">
      <c r="L18701"/>
    </row>
    <row r="18702" spans="12:12">
      <c r="L18702"/>
    </row>
    <row r="18703" spans="12:12">
      <c r="L18703"/>
    </row>
    <row r="18704" spans="12:12">
      <c r="L18704"/>
    </row>
    <row r="18705" spans="12:12">
      <c r="L18705"/>
    </row>
    <row r="18706" spans="12:12">
      <c r="L18706"/>
    </row>
    <row r="18707" spans="12:12">
      <c r="L18707"/>
    </row>
    <row r="18708" spans="12:12">
      <c r="L18708"/>
    </row>
    <row r="18709" spans="12:12">
      <c r="L18709"/>
    </row>
    <row r="18710" spans="12:12">
      <c r="L18710"/>
    </row>
    <row r="18711" spans="12:12">
      <c r="L18711"/>
    </row>
    <row r="18712" spans="12:12">
      <c r="L18712"/>
    </row>
    <row r="18713" spans="12:12">
      <c r="L18713"/>
    </row>
    <row r="18714" spans="12:12">
      <c r="L18714"/>
    </row>
    <row r="18715" spans="12:12">
      <c r="L18715"/>
    </row>
    <row r="18716" spans="12:12">
      <c r="L18716"/>
    </row>
    <row r="18717" spans="12:12">
      <c r="L18717"/>
    </row>
    <row r="18718" spans="12:12">
      <c r="L18718"/>
    </row>
    <row r="18719" spans="12:12">
      <c r="L18719"/>
    </row>
    <row r="18720" spans="12:12">
      <c r="L18720"/>
    </row>
    <row r="18721" spans="12:12">
      <c r="L18721"/>
    </row>
    <row r="18722" spans="12:12">
      <c r="L18722"/>
    </row>
    <row r="18723" spans="12:12">
      <c r="L18723"/>
    </row>
    <row r="18724" spans="12:12">
      <c r="L18724"/>
    </row>
    <row r="18725" spans="12:12">
      <c r="L18725"/>
    </row>
    <row r="18726" spans="12:12">
      <c r="L18726"/>
    </row>
    <row r="18727" spans="12:12">
      <c r="L18727"/>
    </row>
    <row r="18728" spans="12:12">
      <c r="L18728"/>
    </row>
    <row r="18729" spans="12:12">
      <c r="L18729"/>
    </row>
    <row r="18730" spans="12:12">
      <c r="L18730"/>
    </row>
    <row r="18731" spans="12:12">
      <c r="L18731"/>
    </row>
    <row r="18732" spans="12:12">
      <c r="L18732"/>
    </row>
    <row r="18733" spans="12:12">
      <c r="L18733"/>
    </row>
    <row r="18734" spans="12:12">
      <c r="L18734"/>
    </row>
    <row r="18735" spans="12:12">
      <c r="L18735"/>
    </row>
    <row r="18736" spans="12:12">
      <c r="L18736"/>
    </row>
    <row r="18737" spans="12:12">
      <c r="L18737"/>
    </row>
    <row r="18738" spans="12:12">
      <c r="L18738"/>
    </row>
    <row r="18739" spans="12:12">
      <c r="L18739"/>
    </row>
    <row r="18740" spans="12:12">
      <c r="L18740"/>
    </row>
    <row r="18741" spans="12:12">
      <c r="L18741"/>
    </row>
    <row r="18742" spans="12:12">
      <c r="L18742"/>
    </row>
    <row r="18743" spans="12:12">
      <c r="L18743"/>
    </row>
    <row r="18744" spans="12:12">
      <c r="L18744"/>
    </row>
    <row r="18745" spans="12:12">
      <c r="L18745"/>
    </row>
    <row r="18746" spans="12:12">
      <c r="L18746"/>
    </row>
    <row r="18747" spans="12:12">
      <c r="L18747"/>
    </row>
    <row r="18748" spans="12:12">
      <c r="L18748"/>
    </row>
    <row r="18749" spans="12:12">
      <c r="L18749"/>
    </row>
    <row r="18750" spans="12:12">
      <c r="L18750"/>
    </row>
    <row r="18751" spans="12:12">
      <c r="L18751"/>
    </row>
    <row r="18752" spans="12:12">
      <c r="L18752"/>
    </row>
    <row r="18753" spans="12:12">
      <c r="L18753"/>
    </row>
    <row r="18754" spans="12:12">
      <c r="L18754"/>
    </row>
    <row r="18755" spans="12:12">
      <c r="L18755"/>
    </row>
    <row r="18756" spans="12:12">
      <c r="L18756"/>
    </row>
    <row r="18757" spans="12:12">
      <c r="L18757"/>
    </row>
    <row r="18758" spans="12:12">
      <c r="L18758"/>
    </row>
    <row r="18759" spans="12:12">
      <c r="L18759"/>
    </row>
    <row r="18760" spans="12:12">
      <c r="L18760"/>
    </row>
    <row r="18761" spans="12:12">
      <c r="L18761"/>
    </row>
    <row r="18762" spans="12:12">
      <c r="L18762"/>
    </row>
    <row r="18763" spans="12:12">
      <c r="L18763"/>
    </row>
    <row r="18764" spans="12:12">
      <c r="L18764"/>
    </row>
    <row r="18765" spans="12:12">
      <c r="L18765"/>
    </row>
    <row r="18766" spans="12:12">
      <c r="L18766"/>
    </row>
    <row r="18767" spans="12:12">
      <c r="L18767"/>
    </row>
    <row r="18768" spans="12:12">
      <c r="L18768"/>
    </row>
    <row r="18769" spans="12:12">
      <c r="L18769"/>
    </row>
    <row r="18770" spans="12:12">
      <c r="L18770"/>
    </row>
    <row r="18771" spans="12:12">
      <c r="L18771"/>
    </row>
    <row r="18772" spans="12:12">
      <c r="L18772"/>
    </row>
    <row r="18773" spans="12:12">
      <c r="L18773"/>
    </row>
    <row r="18774" spans="12:12">
      <c r="L18774"/>
    </row>
    <row r="18775" spans="12:12">
      <c r="L18775"/>
    </row>
    <row r="18776" spans="12:12">
      <c r="L18776"/>
    </row>
    <row r="18777" spans="12:12">
      <c r="L18777"/>
    </row>
    <row r="18778" spans="12:12">
      <c r="L18778"/>
    </row>
    <row r="18779" spans="12:12">
      <c r="L18779"/>
    </row>
    <row r="18780" spans="12:12">
      <c r="L18780"/>
    </row>
    <row r="18781" spans="12:12">
      <c r="L18781"/>
    </row>
    <row r="18782" spans="12:12">
      <c r="L18782"/>
    </row>
    <row r="18783" spans="12:12">
      <c r="L18783"/>
    </row>
    <row r="18784" spans="12:12">
      <c r="L18784"/>
    </row>
    <row r="18785" spans="12:12">
      <c r="L18785"/>
    </row>
    <row r="18786" spans="12:12">
      <c r="L18786"/>
    </row>
    <row r="18787" spans="12:12">
      <c r="L18787"/>
    </row>
    <row r="18788" spans="12:12">
      <c r="L18788"/>
    </row>
    <row r="18789" spans="12:12">
      <c r="L18789"/>
    </row>
    <row r="18790" spans="12:12">
      <c r="L18790"/>
    </row>
    <row r="18791" spans="12:12">
      <c r="L18791"/>
    </row>
    <row r="18792" spans="12:12">
      <c r="L18792"/>
    </row>
    <row r="18793" spans="12:12">
      <c r="L18793"/>
    </row>
    <row r="18794" spans="12:12">
      <c r="L18794"/>
    </row>
    <row r="18795" spans="12:12">
      <c r="L18795"/>
    </row>
    <row r="18796" spans="12:12">
      <c r="L18796"/>
    </row>
    <row r="18797" spans="12:12">
      <c r="L18797"/>
    </row>
    <row r="18798" spans="12:12">
      <c r="L18798"/>
    </row>
    <row r="18799" spans="12:12">
      <c r="L18799"/>
    </row>
    <row r="18800" spans="12:12">
      <c r="L18800"/>
    </row>
    <row r="18801" spans="12:12">
      <c r="L18801"/>
    </row>
    <row r="18802" spans="12:12">
      <c r="L18802"/>
    </row>
    <row r="18803" spans="12:12">
      <c r="L18803"/>
    </row>
    <row r="18804" spans="12:12">
      <c r="L18804"/>
    </row>
    <row r="18805" spans="12:12">
      <c r="L18805"/>
    </row>
    <row r="18806" spans="12:12">
      <c r="L18806"/>
    </row>
    <row r="18807" spans="12:12">
      <c r="L18807"/>
    </row>
    <row r="18808" spans="12:12">
      <c r="L18808"/>
    </row>
    <row r="18809" spans="12:12">
      <c r="L18809"/>
    </row>
    <row r="18810" spans="12:12">
      <c r="L18810"/>
    </row>
    <row r="18811" spans="12:12">
      <c r="L18811"/>
    </row>
    <row r="18812" spans="12:12">
      <c r="L18812"/>
    </row>
    <row r="18813" spans="12:12">
      <c r="L18813"/>
    </row>
    <row r="18814" spans="12:12">
      <c r="L18814"/>
    </row>
    <row r="18815" spans="12:12">
      <c r="L18815"/>
    </row>
    <row r="18816" spans="12:12">
      <c r="L18816"/>
    </row>
    <row r="18817" spans="12:12">
      <c r="L18817"/>
    </row>
    <row r="18818" spans="12:12">
      <c r="L18818"/>
    </row>
    <row r="18819" spans="12:12">
      <c r="L18819"/>
    </row>
    <row r="18820" spans="12:12">
      <c r="L18820"/>
    </row>
    <row r="18821" spans="12:12">
      <c r="L18821"/>
    </row>
    <row r="18822" spans="12:12">
      <c r="L18822"/>
    </row>
    <row r="18823" spans="12:12">
      <c r="L18823"/>
    </row>
    <row r="18824" spans="12:12">
      <c r="L18824"/>
    </row>
    <row r="18825" spans="12:12">
      <c r="L18825"/>
    </row>
    <row r="18826" spans="12:12">
      <c r="L18826"/>
    </row>
    <row r="18827" spans="12:12">
      <c r="L18827"/>
    </row>
    <row r="18828" spans="12:12">
      <c r="L18828"/>
    </row>
    <row r="18829" spans="12:12">
      <c r="L18829"/>
    </row>
    <row r="18830" spans="12:12">
      <c r="L18830"/>
    </row>
    <row r="18831" spans="12:12">
      <c r="L18831"/>
    </row>
    <row r="18832" spans="12:12">
      <c r="L18832"/>
    </row>
    <row r="18833" spans="12:12">
      <c r="L18833"/>
    </row>
    <row r="18834" spans="12:12">
      <c r="L18834"/>
    </row>
    <row r="18835" spans="12:12">
      <c r="L18835"/>
    </row>
    <row r="18836" spans="12:12">
      <c r="L18836"/>
    </row>
    <row r="18837" spans="12:12">
      <c r="L18837"/>
    </row>
    <row r="18838" spans="12:12">
      <c r="L18838"/>
    </row>
    <row r="18839" spans="12:12">
      <c r="L18839"/>
    </row>
    <row r="18840" spans="12:12">
      <c r="L18840"/>
    </row>
    <row r="18841" spans="12:12">
      <c r="L18841"/>
    </row>
    <row r="18842" spans="12:12">
      <c r="L18842"/>
    </row>
    <row r="18843" spans="12:12">
      <c r="L18843"/>
    </row>
    <row r="18844" spans="12:12">
      <c r="L18844"/>
    </row>
    <row r="18845" spans="12:12">
      <c r="L18845"/>
    </row>
    <row r="18846" spans="12:12">
      <c r="L18846"/>
    </row>
    <row r="18847" spans="12:12">
      <c r="L18847"/>
    </row>
    <row r="18848" spans="12:12">
      <c r="L18848"/>
    </row>
    <row r="18849" spans="12:12">
      <c r="L18849"/>
    </row>
    <row r="18850" spans="12:12">
      <c r="L18850"/>
    </row>
    <row r="18851" spans="12:12">
      <c r="L18851"/>
    </row>
    <row r="18852" spans="12:12">
      <c r="L18852"/>
    </row>
    <row r="18853" spans="12:12">
      <c r="L18853"/>
    </row>
    <row r="18854" spans="12:12">
      <c r="L18854"/>
    </row>
    <row r="18855" spans="12:12">
      <c r="L18855"/>
    </row>
    <row r="18856" spans="12:12">
      <c r="L18856"/>
    </row>
    <row r="18857" spans="12:12">
      <c r="L18857"/>
    </row>
    <row r="18858" spans="12:12">
      <c r="L18858"/>
    </row>
    <row r="18859" spans="12:12">
      <c r="L18859"/>
    </row>
    <row r="18860" spans="12:12">
      <c r="L18860"/>
    </row>
    <row r="18861" spans="12:12">
      <c r="L18861"/>
    </row>
    <row r="18862" spans="12:12">
      <c r="L18862"/>
    </row>
    <row r="18863" spans="12:12">
      <c r="L18863"/>
    </row>
    <row r="18864" spans="12:12">
      <c r="L18864"/>
    </row>
    <row r="18865" spans="12:12">
      <c r="L18865"/>
    </row>
    <row r="18866" spans="12:12">
      <c r="L18866"/>
    </row>
    <row r="18867" spans="12:12">
      <c r="L18867"/>
    </row>
    <row r="18868" spans="12:12">
      <c r="L18868"/>
    </row>
    <row r="18869" spans="12:12">
      <c r="L18869"/>
    </row>
    <row r="18870" spans="12:12">
      <c r="L18870"/>
    </row>
    <row r="18871" spans="12:12">
      <c r="L18871"/>
    </row>
    <row r="18872" spans="12:12">
      <c r="L18872"/>
    </row>
    <row r="18873" spans="12:12">
      <c r="L18873"/>
    </row>
    <row r="18874" spans="12:12">
      <c r="L18874"/>
    </row>
    <row r="18875" spans="12:12">
      <c r="L18875"/>
    </row>
    <row r="18876" spans="12:12">
      <c r="L18876"/>
    </row>
    <row r="18877" spans="12:12">
      <c r="L18877"/>
    </row>
    <row r="18878" spans="12:12">
      <c r="L18878"/>
    </row>
    <row r="18879" spans="12:12">
      <c r="L18879"/>
    </row>
    <row r="18880" spans="12:12">
      <c r="L18880"/>
    </row>
    <row r="18881" spans="12:12">
      <c r="L18881"/>
    </row>
    <row r="18882" spans="12:12">
      <c r="L18882"/>
    </row>
    <row r="18883" spans="12:12">
      <c r="L18883"/>
    </row>
    <row r="18884" spans="12:12">
      <c r="L18884"/>
    </row>
    <row r="18885" spans="12:12">
      <c r="L18885"/>
    </row>
    <row r="18886" spans="12:12">
      <c r="L18886"/>
    </row>
    <row r="18887" spans="12:12">
      <c r="L18887"/>
    </row>
    <row r="18888" spans="12:12">
      <c r="L18888"/>
    </row>
    <row r="18889" spans="12:12">
      <c r="L18889"/>
    </row>
    <row r="18890" spans="12:12">
      <c r="L18890"/>
    </row>
    <row r="18891" spans="12:12">
      <c r="L18891"/>
    </row>
    <row r="18892" spans="12:12">
      <c r="L18892"/>
    </row>
    <row r="18893" spans="12:12">
      <c r="L18893"/>
    </row>
    <row r="18894" spans="12:12">
      <c r="L18894"/>
    </row>
    <row r="18895" spans="12:12">
      <c r="L18895"/>
    </row>
    <row r="18896" spans="12:12">
      <c r="L18896"/>
    </row>
    <row r="18897" spans="12:12">
      <c r="L18897"/>
    </row>
    <row r="18898" spans="12:12">
      <c r="L18898"/>
    </row>
    <row r="18899" spans="12:12">
      <c r="L18899"/>
    </row>
    <row r="18900" spans="12:12">
      <c r="L18900"/>
    </row>
    <row r="18901" spans="12:12">
      <c r="L18901"/>
    </row>
    <row r="18902" spans="12:12">
      <c r="L18902"/>
    </row>
    <row r="18903" spans="12:12">
      <c r="L18903"/>
    </row>
    <row r="18904" spans="12:12">
      <c r="L18904"/>
    </row>
    <row r="18905" spans="12:12">
      <c r="L18905"/>
    </row>
    <row r="18906" spans="12:12">
      <c r="L18906"/>
    </row>
    <row r="18907" spans="12:12">
      <c r="L18907"/>
    </row>
    <row r="18908" spans="12:12">
      <c r="L18908"/>
    </row>
    <row r="18909" spans="12:12">
      <c r="L18909"/>
    </row>
    <row r="18910" spans="12:12">
      <c r="L18910"/>
    </row>
    <row r="18911" spans="12:12">
      <c r="L18911"/>
    </row>
    <row r="18912" spans="12:12">
      <c r="L18912"/>
    </row>
    <row r="18913" spans="12:12">
      <c r="L18913"/>
    </row>
    <row r="18914" spans="12:12">
      <c r="L18914"/>
    </row>
    <row r="18915" spans="12:12">
      <c r="L18915"/>
    </row>
    <row r="18916" spans="12:12">
      <c r="L18916"/>
    </row>
    <row r="18917" spans="12:12">
      <c r="L18917"/>
    </row>
    <row r="18918" spans="12:12">
      <c r="L18918"/>
    </row>
    <row r="18919" spans="12:12">
      <c r="L18919"/>
    </row>
    <row r="18920" spans="12:12">
      <c r="L18920"/>
    </row>
    <row r="18921" spans="12:12">
      <c r="L18921"/>
    </row>
    <row r="18922" spans="12:12">
      <c r="L18922"/>
    </row>
    <row r="18923" spans="12:12">
      <c r="L18923"/>
    </row>
    <row r="18924" spans="12:12">
      <c r="L18924"/>
    </row>
    <row r="18925" spans="12:12">
      <c r="L18925"/>
    </row>
    <row r="18926" spans="12:12">
      <c r="L18926"/>
    </row>
    <row r="18927" spans="12:12">
      <c r="L18927"/>
    </row>
    <row r="18928" spans="12:12">
      <c r="L18928"/>
    </row>
    <row r="18929" spans="12:12">
      <c r="L18929"/>
    </row>
    <row r="18930" spans="12:12">
      <c r="L18930"/>
    </row>
    <row r="18931" spans="12:12">
      <c r="L18931"/>
    </row>
    <row r="18932" spans="12:12">
      <c r="L18932"/>
    </row>
    <row r="18933" spans="12:12">
      <c r="L18933"/>
    </row>
    <row r="18934" spans="12:12">
      <c r="L18934"/>
    </row>
    <row r="18935" spans="12:12">
      <c r="L18935"/>
    </row>
    <row r="18936" spans="12:12">
      <c r="L18936"/>
    </row>
    <row r="18937" spans="12:12">
      <c r="L18937"/>
    </row>
    <row r="18938" spans="12:12">
      <c r="L18938"/>
    </row>
    <row r="18939" spans="12:12">
      <c r="L18939"/>
    </row>
    <row r="18940" spans="12:12">
      <c r="L18940"/>
    </row>
    <row r="18941" spans="12:12">
      <c r="L18941"/>
    </row>
    <row r="18942" spans="12:12">
      <c r="L18942"/>
    </row>
    <row r="18943" spans="12:12">
      <c r="L18943"/>
    </row>
    <row r="18944" spans="12:12">
      <c r="L18944"/>
    </row>
    <row r="18945" spans="12:12">
      <c r="L18945"/>
    </row>
    <row r="18946" spans="12:12">
      <c r="L18946"/>
    </row>
    <row r="18947" spans="12:12">
      <c r="L18947"/>
    </row>
    <row r="18948" spans="12:12">
      <c r="L18948"/>
    </row>
    <row r="18949" spans="12:12">
      <c r="L18949"/>
    </row>
    <row r="18950" spans="12:12">
      <c r="L18950"/>
    </row>
    <row r="18951" spans="12:12">
      <c r="L18951"/>
    </row>
    <row r="18952" spans="12:12">
      <c r="L18952"/>
    </row>
    <row r="18953" spans="12:12">
      <c r="L18953"/>
    </row>
    <row r="18954" spans="12:12">
      <c r="L18954"/>
    </row>
    <row r="18955" spans="12:12">
      <c r="L18955"/>
    </row>
    <row r="18956" spans="12:12">
      <c r="L18956"/>
    </row>
    <row r="18957" spans="12:12">
      <c r="L18957"/>
    </row>
    <row r="18958" spans="12:12">
      <c r="L18958"/>
    </row>
    <row r="18959" spans="12:12">
      <c r="L18959"/>
    </row>
    <row r="18960" spans="12:12">
      <c r="L18960"/>
    </row>
    <row r="18961" spans="12:12">
      <c r="L18961"/>
    </row>
    <row r="18962" spans="12:12">
      <c r="L18962"/>
    </row>
    <row r="18963" spans="12:12">
      <c r="L18963"/>
    </row>
    <row r="18964" spans="12:12">
      <c r="L18964"/>
    </row>
    <row r="18965" spans="12:12">
      <c r="L18965"/>
    </row>
    <row r="18966" spans="12:12">
      <c r="L18966"/>
    </row>
    <row r="18967" spans="12:12">
      <c r="L18967"/>
    </row>
    <row r="18968" spans="12:12">
      <c r="L18968"/>
    </row>
    <row r="18969" spans="12:12">
      <c r="L18969"/>
    </row>
    <row r="18970" spans="12:12">
      <c r="L18970"/>
    </row>
    <row r="18971" spans="12:12">
      <c r="L18971"/>
    </row>
    <row r="18972" spans="12:12">
      <c r="L18972"/>
    </row>
    <row r="18973" spans="12:12">
      <c r="L18973"/>
    </row>
    <row r="18974" spans="12:12">
      <c r="L18974"/>
    </row>
    <row r="18975" spans="12:12">
      <c r="L18975"/>
    </row>
    <row r="18976" spans="12:12">
      <c r="L18976"/>
    </row>
    <row r="18977" spans="12:12">
      <c r="L18977"/>
    </row>
    <row r="18978" spans="12:12">
      <c r="L18978"/>
    </row>
    <row r="18979" spans="12:12">
      <c r="L18979"/>
    </row>
    <row r="18980" spans="12:12">
      <c r="L18980"/>
    </row>
    <row r="18981" spans="12:12">
      <c r="L18981"/>
    </row>
    <row r="18982" spans="12:12">
      <c r="L18982"/>
    </row>
    <row r="18983" spans="12:12">
      <c r="L18983"/>
    </row>
    <row r="18984" spans="12:12">
      <c r="L18984"/>
    </row>
    <row r="18985" spans="12:12">
      <c r="L18985"/>
    </row>
    <row r="18986" spans="12:12">
      <c r="L18986"/>
    </row>
    <row r="18987" spans="12:12">
      <c r="L18987"/>
    </row>
    <row r="18988" spans="12:12">
      <c r="L18988"/>
    </row>
    <row r="18989" spans="12:12">
      <c r="L18989"/>
    </row>
    <row r="18990" spans="12:12">
      <c r="L18990"/>
    </row>
    <row r="18991" spans="12:12">
      <c r="L18991"/>
    </row>
    <row r="18992" spans="12:12">
      <c r="L18992"/>
    </row>
    <row r="18993" spans="12:12">
      <c r="L18993"/>
    </row>
    <row r="18994" spans="12:12">
      <c r="L18994"/>
    </row>
    <row r="18995" spans="12:12">
      <c r="L18995"/>
    </row>
    <row r="18996" spans="12:12">
      <c r="L18996"/>
    </row>
    <row r="18997" spans="12:12">
      <c r="L18997"/>
    </row>
    <row r="18998" spans="12:12">
      <c r="L18998"/>
    </row>
    <row r="18999" spans="12:12">
      <c r="L18999"/>
    </row>
    <row r="19000" spans="12:12">
      <c r="L19000"/>
    </row>
    <row r="19001" spans="12:12">
      <c r="L19001"/>
    </row>
    <row r="19002" spans="12:12">
      <c r="L19002"/>
    </row>
    <row r="19003" spans="12:12">
      <c r="L19003"/>
    </row>
    <row r="19004" spans="12:12">
      <c r="L19004"/>
    </row>
    <row r="19005" spans="12:12">
      <c r="L19005"/>
    </row>
    <row r="19006" spans="12:12">
      <c r="L19006"/>
    </row>
    <row r="19007" spans="12:12">
      <c r="L19007"/>
    </row>
    <row r="19008" spans="12:12">
      <c r="L19008"/>
    </row>
    <row r="19009" spans="12:12">
      <c r="L19009"/>
    </row>
    <row r="19010" spans="12:12">
      <c r="L19010"/>
    </row>
    <row r="19011" spans="12:12">
      <c r="L19011"/>
    </row>
    <row r="19012" spans="12:12">
      <c r="L19012"/>
    </row>
    <row r="19013" spans="12:12">
      <c r="L19013"/>
    </row>
    <row r="19014" spans="12:12">
      <c r="L19014"/>
    </row>
    <row r="19015" spans="12:12">
      <c r="L19015"/>
    </row>
    <row r="19016" spans="12:12">
      <c r="L19016"/>
    </row>
    <row r="19017" spans="12:12">
      <c r="L19017"/>
    </row>
    <row r="19018" spans="12:12">
      <c r="L19018"/>
    </row>
    <row r="19019" spans="12:12">
      <c r="L19019"/>
    </row>
    <row r="19020" spans="12:12">
      <c r="L19020"/>
    </row>
    <row r="19021" spans="12:12">
      <c r="L19021"/>
    </row>
    <row r="19022" spans="12:12">
      <c r="L19022"/>
    </row>
    <row r="19023" spans="12:12">
      <c r="L19023"/>
    </row>
    <row r="19024" spans="12:12">
      <c r="L19024"/>
    </row>
    <row r="19025" spans="12:12">
      <c r="L19025"/>
    </row>
    <row r="19026" spans="12:12">
      <c r="L19026"/>
    </row>
    <row r="19027" spans="12:12">
      <c r="L19027"/>
    </row>
    <row r="19028" spans="12:12">
      <c r="L19028"/>
    </row>
    <row r="19029" spans="12:12">
      <c r="L19029"/>
    </row>
    <row r="19030" spans="12:12">
      <c r="L19030"/>
    </row>
    <row r="19031" spans="12:12">
      <c r="L19031"/>
    </row>
    <row r="19032" spans="12:12">
      <c r="L19032"/>
    </row>
    <row r="19033" spans="12:12">
      <c r="L19033"/>
    </row>
    <row r="19034" spans="12:12">
      <c r="L19034"/>
    </row>
    <row r="19035" spans="12:12">
      <c r="L19035"/>
    </row>
    <row r="19036" spans="12:12">
      <c r="L19036"/>
    </row>
    <row r="19037" spans="12:12">
      <c r="L19037"/>
    </row>
    <row r="19038" spans="12:12">
      <c r="L19038"/>
    </row>
    <row r="19039" spans="12:12">
      <c r="L19039"/>
    </row>
    <row r="19040" spans="12:12">
      <c r="L19040"/>
    </row>
    <row r="19041" spans="12:12">
      <c r="L19041"/>
    </row>
    <row r="19042" spans="12:12">
      <c r="L19042"/>
    </row>
    <row r="19043" spans="12:12">
      <c r="L19043"/>
    </row>
    <row r="19044" spans="12:12">
      <c r="L19044"/>
    </row>
    <row r="19045" spans="12:12">
      <c r="L19045"/>
    </row>
    <row r="19046" spans="12:12">
      <c r="L19046"/>
    </row>
    <row r="19047" spans="12:12">
      <c r="L19047"/>
    </row>
    <row r="19048" spans="12:12">
      <c r="L19048"/>
    </row>
    <row r="19049" spans="12:12">
      <c r="L19049"/>
    </row>
    <row r="19050" spans="12:12">
      <c r="L19050"/>
    </row>
    <row r="19051" spans="12:12">
      <c r="L19051"/>
    </row>
    <row r="19052" spans="12:12">
      <c r="L19052"/>
    </row>
    <row r="19053" spans="12:12">
      <c r="L19053"/>
    </row>
    <row r="19054" spans="12:12">
      <c r="L19054"/>
    </row>
    <row r="19055" spans="12:12">
      <c r="L19055"/>
    </row>
    <row r="19056" spans="12:12">
      <c r="L19056"/>
    </row>
    <row r="19057" spans="12:12">
      <c r="L19057"/>
    </row>
    <row r="19058" spans="12:12">
      <c r="L19058"/>
    </row>
    <row r="19059" spans="12:12">
      <c r="L19059"/>
    </row>
    <row r="19060" spans="12:12">
      <c r="L19060"/>
    </row>
    <row r="19061" spans="12:12">
      <c r="L19061"/>
    </row>
    <row r="19062" spans="12:12">
      <c r="L19062"/>
    </row>
    <row r="19063" spans="12:12">
      <c r="L19063"/>
    </row>
    <row r="19064" spans="12:12">
      <c r="L19064"/>
    </row>
    <row r="19065" spans="12:12">
      <c r="L19065"/>
    </row>
    <row r="19066" spans="12:12">
      <c r="L19066"/>
    </row>
    <row r="19067" spans="12:12">
      <c r="L19067"/>
    </row>
    <row r="19068" spans="12:12">
      <c r="L19068"/>
    </row>
    <row r="19069" spans="12:12">
      <c r="L19069"/>
    </row>
    <row r="19070" spans="12:12">
      <c r="L19070"/>
    </row>
    <row r="19071" spans="12:12">
      <c r="L19071"/>
    </row>
    <row r="19072" spans="12:12">
      <c r="L19072"/>
    </row>
    <row r="19073" spans="12:12">
      <c r="L19073"/>
    </row>
    <row r="19074" spans="12:12">
      <c r="L19074"/>
    </row>
    <row r="19075" spans="12:12">
      <c r="L19075"/>
    </row>
    <row r="19076" spans="12:12">
      <c r="L19076"/>
    </row>
    <row r="19077" spans="12:12">
      <c r="L19077"/>
    </row>
    <row r="19078" spans="12:12">
      <c r="L19078"/>
    </row>
    <row r="19079" spans="12:12">
      <c r="L19079"/>
    </row>
    <row r="19080" spans="12:12">
      <c r="L19080"/>
    </row>
    <row r="19081" spans="12:12">
      <c r="L19081"/>
    </row>
    <row r="19082" spans="12:12">
      <c r="L19082"/>
    </row>
    <row r="19083" spans="12:12">
      <c r="L19083"/>
    </row>
    <row r="19084" spans="12:12">
      <c r="L19084"/>
    </row>
    <row r="19085" spans="12:12">
      <c r="L19085"/>
    </row>
    <row r="19086" spans="12:12">
      <c r="L19086"/>
    </row>
    <row r="19087" spans="12:12">
      <c r="L19087"/>
    </row>
    <row r="19088" spans="12:12">
      <c r="L19088"/>
    </row>
    <row r="19089" spans="12:12">
      <c r="L19089"/>
    </row>
    <row r="19090" spans="12:12">
      <c r="L19090"/>
    </row>
    <row r="19091" spans="12:12">
      <c r="L19091"/>
    </row>
    <row r="19092" spans="12:12">
      <c r="L19092"/>
    </row>
    <row r="19093" spans="12:12">
      <c r="L19093"/>
    </row>
    <row r="19094" spans="12:12">
      <c r="L19094"/>
    </row>
    <row r="19095" spans="12:12">
      <c r="L19095"/>
    </row>
    <row r="19096" spans="12:12">
      <c r="L19096"/>
    </row>
    <row r="19097" spans="12:12">
      <c r="L19097"/>
    </row>
    <row r="19098" spans="12:12">
      <c r="L19098"/>
    </row>
    <row r="19099" spans="12:12">
      <c r="L19099"/>
    </row>
    <row r="19100" spans="12:12">
      <c r="L19100"/>
    </row>
    <row r="19101" spans="12:12">
      <c r="L19101"/>
    </row>
    <row r="19102" spans="12:12">
      <c r="L19102"/>
    </row>
    <row r="19103" spans="12:12">
      <c r="L19103"/>
    </row>
    <row r="19104" spans="12:12">
      <c r="L19104"/>
    </row>
    <row r="19105" spans="12:12">
      <c r="L19105"/>
    </row>
    <row r="19106" spans="12:12">
      <c r="L19106"/>
    </row>
    <row r="19107" spans="12:12">
      <c r="L19107"/>
    </row>
    <row r="19108" spans="12:12">
      <c r="L19108"/>
    </row>
    <row r="19109" spans="12:12">
      <c r="L19109"/>
    </row>
    <row r="19110" spans="12:12">
      <c r="L19110"/>
    </row>
    <row r="19111" spans="12:12">
      <c r="L19111"/>
    </row>
    <row r="19112" spans="12:12">
      <c r="L19112"/>
    </row>
    <row r="19113" spans="12:12">
      <c r="L19113"/>
    </row>
    <row r="19114" spans="12:12">
      <c r="L19114"/>
    </row>
    <row r="19115" spans="12:12">
      <c r="L19115"/>
    </row>
    <row r="19116" spans="12:12">
      <c r="L19116"/>
    </row>
    <row r="19117" spans="12:12">
      <c r="L19117"/>
    </row>
    <row r="19118" spans="12:12">
      <c r="L19118"/>
    </row>
    <row r="19119" spans="12:12">
      <c r="L19119"/>
    </row>
    <row r="19120" spans="12:12">
      <c r="L19120"/>
    </row>
    <row r="19121" spans="12:12">
      <c r="L19121"/>
    </row>
    <row r="19122" spans="12:12">
      <c r="L19122"/>
    </row>
    <row r="19123" spans="12:12">
      <c r="L19123"/>
    </row>
    <row r="19124" spans="12:12">
      <c r="L19124"/>
    </row>
    <row r="19125" spans="12:12">
      <c r="L19125"/>
    </row>
    <row r="19126" spans="12:12">
      <c r="L19126"/>
    </row>
    <row r="19127" spans="12:12">
      <c r="L19127"/>
    </row>
    <row r="19128" spans="12:12">
      <c r="L19128"/>
    </row>
    <row r="19129" spans="12:12">
      <c r="L19129"/>
    </row>
    <row r="19130" spans="12:12">
      <c r="L19130"/>
    </row>
    <row r="19131" spans="12:12">
      <c r="L19131"/>
    </row>
    <row r="19132" spans="12:12">
      <c r="L19132"/>
    </row>
    <row r="19133" spans="12:12">
      <c r="L19133"/>
    </row>
    <row r="19134" spans="12:12">
      <c r="L19134"/>
    </row>
    <row r="19135" spans="12:12">
      <c r="L19135"/>
    </row>
    <row r="19136" spans="12:12">
      <c r="L19136"/>
    </row>
    <row r="19137" spans="12:12">
      <c r="L19137"/>
    </row>
    <row r="19138" spans="12:12">
      <c r="L19138"/>
    </row>
    <row r="19139" spans="12:12">
      <c r="L19139"/>
    </row>
    <row r="19140" spans="12:12">
      <c r="L19140"/>
    </row>
    <row r="19141" spans="12:12">
      <c r="L19141"/>
    </row>
    <row r="19142" spans="12:12">
      <c r="L19142"/>
    </row>
    <row r="19143" spans="12:12">
      <c r="L19143"/>
    </row>
    <row r="19144" spans="12:12">
      <c r="L19144"/>
    </row>
    <row r="19145" spans="12:12">
      <c r="L19145"/>
    </row>
    <row r="19146" spans="12:12">
      <c r="L19146"/>
    </row>
    <row r="19147" spans="12:12">
      <c r="L19147"/>
    </row>
    <row r="19148" spans="12:12">
      <c r="L19148"/>
    </row>
    <row r="19149" spans="12:12">
      <c r="L19149"/>
    </row>
    <row r="19150" spans="12:12">
      <c r="L19150"/>
    </row>
    <row r="19151" spans="12:12">
      <c r="L19151"/>
    </row>
    <row r="19152" spans="12:12">
      <c r="L19152"/>
    </row>
    <row r="19153" spans="12:12">
      <c r="L19153"/>
    </row>
    <row r="19154" spans="12:12">
      <c r="L19154"/>
    </row>
    <row r="19155" spans="12:12">
      <c r="L19155"/>
    </row>
    <row r="19156" spans="12:12">
      <c r="L19156"/>
    </row>
    <row r="19157" spans="12:12">
      <c r="L19157"/>
    </row>
    <row r="19158" spans="12:12">
      <c r="L19158"/>
    </row>
    <row r="19159" spans="12:12">
      <c r="L19159"/>
    </row>
    <row r="19160" spans="12:12">
      <c r="L19160"/>
    </row>
    <row r="19161" spans="12:12">
      <c r="L19161"/>
    </row>
    <row r="19162" spans="12:12">
      <c r="L19162"/>
    </row>
    <row r="19163" spans="12:12">
      <c r="L19163"/>
    </row>
    <row r="19164" spans="12:12">
      <c r="L19164"/>
    </row>
    <row r="19165" spans="12:12">
      <c r="L19165"/>
    </row>
    <row r="19166" spans="12:12">
      <c r="L19166"/>
    </row>
    <row r="19167" spans="12:12">
      <c r="L19167"/>
    </row>
    <row r="19168" spans="12:12">
      <c r="L19168"/>
    </row>
    <row r="19169" spans="12:12">
      <c r="L19169"/>
    </row>
    <row r="19170" spans="12:12">
      <c r="L19170"/>
    </row>
    <row r="19171" spans="12:12">
      <c r="L19171"/>
    </row>
    <row r="19172" spans="12:12">
      <c r="L19172"/>
    </row>
    <row r="19173" spans="12:12">
      <c r="L19173"/>
    </row>
    <row r="19174" spans="12:12">
      <c r="L19174"/>
    </row>
    <row r="19175" spans="12:12">
      <c r="L19175"/>
    </row>
    <row r="19176" spans="12:12">
      <c r="L19176"/>
    </row>
    <row r="19177" spans="12:12">
      <c r="L19177"/>
    </row>
    <row r="19178" spans="12:12">
      <c r="L19178"/>
    </row>
    <row r="19179" spans="12:12">
      <c r="L19179"/>
    </row>
    <row r="19180" spans="12:12">
      <c r="L19180"/>
    </row>
    <row r="19181" spans="12:12">
      <c r="L19181"/>
    </row>
    <row r="19182" spans="12:12">
      <c r="L19182"/>
    </row>
    <row r="19183" spans="12:12">
      <c r="L19183"/>
    </row>
    <row r="19184" spans="12:12">
      <c r="L19184"/>
    </row>
    <row r="19185" spans="12:12">
      <c r="L19185"/>
    </row>
    <row r="19186" spans="12:12">
      <c r="L19186"/>
    </row>
    <row r="19187" spans="12:12">
      <c r="L19187"/>
    </row>
    <row r="19188" spans="12:12">
      <c r="L19188"/>
    </row>
    <row r="19189" spans="12:12">
      <c r="L19189"/>
    </row>
    <row r="19190" spans="12:12">
      <c r="L19190"/>
    </row>
    <row r="19191" spans="12:12">
      <c r="L19191"/>
    </row>
    <row r="19192" spans="12:12">
      <c r="L19192"/>
    </row>
    <row r="19193" spans="12:12">
      <c r="L19193"/>
    </row>
    <row r="19194" spans="12:12">
      <c r="L19194"/>
    </row>
    <row r="19195" spans="12:12">
      <c r="L19195"/>
    </row>
    <row r="19196" spans="12:12">
      <c r="L19196"/>
    </row>
    <row r="19197" spans="12:12">
      <c r="L19197"/>
    </row>
    <row r="19198" spans="12:12">
      <c r="L19198"/>
    </row>
    <row r="19199" spans="12:12">
      <c r="L19199"/>
    </row>
    <row r="19200" spans="12:12">
      <c r="L19200"/>
    </row>
    <row r="19201" spans="12:12">
      <c r="L19201"/>
    </row>
    <row r="19202" spans="12:12">
      <c r="L19202"/>
    </row>
    <row r="19203" spans="12:12">
      <c r="L19203"/>
    </row>
    <row r="19204" spans="12:12">
      <c r="L19204"/>
    </row>
    <row r="19205" spans="12:12">
      <c r="L19205"/>
    </row>
    <row r="19206" spans="12:12">
      <c r="L19206"/>
    </row>
    <row r="19207" spans="12:12">
      <c r="L19207"/>
    </row>
    <row r="19208" spans="12:12">
      <c r="L19208"/>
    </row>
    <row r="19209" spans="12:12">
      <c r="L19209"/>
    </row>
    <row r="19210" spans="12:12">
      <c r="L19210"/>
    </row>
    <row r="19211" spans="12:12">
      <c r="L19211"/>
    </row>
    <row r="19212" spans="12:12">
      <c r="L19212"/>
    </row>
    <row r="19213" spans="12:12">
      <c r="L19213"/>
    </row>
    <row r="19214" spans="12:12">
      <c r="L19214"/>
    </row>
    <row r="19215" spans="12:12">
      <c r="L19215"/>
    </row>
    <row r="19216" spans="12:12">
      <c r="L19216"/>
    </row>
    <row r="19217" spans="12:12">
      <c r="L19217"/>
    </row>
    <row r="19218" spans="12:12">
      <c r="L19218"/>
    </row>
    <row r="19219" spans="12:12">
      <c r="L19219"/>
    </row>
    <row r="19220" spans="12:12">
      <c r="L19220"/>
    </row>
    <row r="19221" spans="12:12">
      <c r="L19221"/>
    </row>
    <row r="19222" spans="12:12">
      <c r="L19222"/>
    </row>
    <row r="19223" spans="12:12">
      <c r="L19223"/>
    </row>
    <row r="19224" spans="12:12">
      <c r="L19224"/>
    </row>
    <row r="19225" spans="12:12">
      <c r="L19225"/>
    </row>
    <row r="19226" spans="12:12">
      <c r="L19226"/>
    </row>
    <row r="19227" spans="12:12">
      <c r="L19227"/>
    </row>
    <row r="19228" spans="12:12">
      <c r="L19228"/>
    </row>
    <row r="19229" spans="12:12">
      <c r="L19229"/>
    </row>
    <row r="19230" spans="12:12">
      <c r="L19230"/>
    </row>
    <row r="19231" spans="12:12">
      <c r="L19231"/>
    </row>
    <row r="19232" spans="12:12">
      <c r="L19232"/>
    </row>
    <row r="19233" spans="12:12">
      <c r="L19233"/>
    </row>
    <row r="19234" spans="12:12">
      <c r="L19234"/>
    </row>
    <row r="19235" spans="12:12">
      <c r="L19235"/>
    </row>
    <row r="19236" spans="12:12">
      <c r="L19236"/>
    </row>
    <row r="19237" spans="12:12">
      <c r="L19237"/>
    </row>
    <row r="19238" spans="12:12">
      <c r="L19238"/>
    </row>
    <row r="19239" spans="12:12">
      <c r="L19239"/>
    </row>
    <row r="19240" spans="12:12">
      <c r="L19240"/>
    </row>
    <row r="19241" spans="12:12">
      <c r="L19241"/>
    </row>
    <row r="19242" spans="12:12">
      <c r="L19242"/>
    </row>
    <row r="19243" spans="12:12">
      <c r="L19243"/>
    </row>
    <row r="19244" spans="12:12">
      <c r="L19244"/>
    </row>
    <row r="19245" spans="12:12">
      <c r="L19245"/>
    </row>
    <row r="19246" spans="12:12">
      <c r="L19246"/>
    </row>
    <row r="19247" spans="12:12">
      <c r="L19247"/>
    </row>
    <row r="19248" spans="12:12">
      <c r="L19248"/>
    </row>
    <row r="19249" spans="12:12">
      <c r="L19249"/>
    </row>
    <row r="19250" spans="12:12">
      <c r="L19250"/>
    </row>
    <row r="19251" spans="12:12">
      <c r="L19251"/>
    </row>
    <row r="19252" spans="12:12">
      <c r="L19252"/>
    </row>
    <row r="19253" spans="12:12">
      <c r="L19253"/>
    </row>
    <row r="19254" spans="12:12">
      <c r="L19254"/>
    </row>
    <row r="19255" spans="12:12">
      <c r="L19255"/>
    </row>
    <row r="19256" spans="12:12">
      <c r="L19256"/>
    </row>
    <row r="19257" spans="12:12">
      <c r="L19257"/>
    </row>
    <row r="19258" spans="12:12">
      <c r="L19258"/>
    </row>
    <row r="19259" spans="12:12">
      <c r="L19259"/>
    </row>
    <row r="19260" spans="12:12">
      <c r="L19260"/>
    </row>
    <row r="19261" spans="12:12">
      <c r="L19261"/>
    </row>
    <row r="19262" spans="12:12">
      <c r="L19262"/>
    </row>
    <row r="19263" spans="12:12">
      <c r="L19263"/>
    </row>
    <row r="19264" spans="12:12">
      <c r="L19264"/>
    </row>
    <row r="19265" spans="12:12">
      <c r="L19265"/>
    </row>
    <row r="19266" spans="12:12">
      <c r="L19266"/>
    </row>
    <row r="19267" spans="12:12">
      <c r="L19267"/>
    </row>
    <row r="19268" spans="12:12">
      <c r="L19268"/>
    </row>
    <row r="19269" spans="12:12">
      <c r="L19269"/>
    </row>
    <row r="19270" spans="12:12">
      <c r="L19270"/>
    </row>
    <row r="19271" spans="12:12">
      <c r="L19271"/>
    </row>
    <row r="19272" spans="12:12">
      <c r="L19272"/>
    </row>
    <row r="19273" spans="12:12">
      <c r="L19273"/>
    </row>
    <row r="19274" spans="12:12">
      <c r="L19274"/>
    </row>
    <row r="19275" spans="12:12">
      <c r="L19275"/>
    </row>
    <row r="19276" spans="12:12">
      <c r="L19276"/>
    </row>
    <row r="19277" spans="12:12">
      <c r="L19277"/>
    </row>
    <row r="19278" spans="12:12">
      <c r="L19278"/>
    </row>
    <row r="19279" spans="12:12">
      <c r="L19279"/>
    </row>
    <row r="19280" spans="12:12">
      <c r="L19280"/>
    </row>
    <row r="19281" spans="12:12">
      <c r="L19281"/>
    </row>
    <row r="19282" spans="12:12">
      <c r="L19282"/>
    </row>
    <row r="19283" spans="12:12">
      <c r="L19283"/>
    </row>
    <row r="19284" spans="12:12">
      <c r="L19284"/>
    </row>
    <row r="19285" spans="12:12">
      <c r="L19285"/>
    </row>
    <row r="19286" spans="12:12">
      <c r="L19286"/>
    </row>
    <row r="19287" spans="12:12">
      <c r="L19287"/>
    </row>
    <row r="19288" spans="12:12">
      <c r="L19288"/>
    </row>
    <row r="19289" spans="12:12">
      <c r="L19289"/>
    </row>
    <row r="19290" spans="12:12">
      <c r="L19290"/>
    </row>
    <row r="19291" spans="12:12">
      <c r="L19291"/>
    </row>
    <row r="19292" spans="12:12">
      <c r="L19292"/>
    </row>
    <row r="19293" spans="12:12">
      <c r="L19293"/>
    </row>
    <row r="19294" spans="12:12">
      <c r="L19294"/>
    </row>
    <row r="19295" spans="12:12">
      <c r="L19295"/>
    </row>
    <row r="19296" spans="12:12">
      <c r="L19296"/>
    </row>
    <row r="19297" spans="12:12">
      <c r="L19297"/>
    </row>
    <row r="19298" spans="12:12">
      <c r="L19298"/>
    </row>
    <row r="19299" spans="12:12">
      <c r="L19299"/>
    </row>
    <row r="19300" spans="12:12">
      <c r="L19300"/>
    </row>
    <row r="19301" spans="12:12">
      <c r="L19301"/>
    </row>
    <row r="19302" spans="12:12">
      <c r="L19302"/>
    </row>
    <row r="19303" spans="12:12">
      <c r="L19303"/>
    </row>
    <row r="19304" spans="12:12">
      <c r="L19304"/>
    </row>
    <row r="19305" spans="12:12">
      <c r="L19305"/>
    </row>
    <row r="19306" spans="12:12">
      <c r="L19306"/>
    </row>
    <row r="19307" spans="12:12">
      <c r="L19307"/>
    </row>
    <row r="19308" spans="12:12">
      <c r="L19308"/>
    </row>
    <row r="19309" spans="12:12">
      <c r="L19309"/>
    </row>
    <row r="19310" spans="12:12">
      <c r="L19310"/>
    </row>
    <row r="19311" spans="12:12">
      <c r="L19311"/>
    </row>
    <row r="19312" spans="12:12">
      <c r="L19312"/>
    </row>
    <row r="19313" spans="12:12">
      <c r="L19313"/>
    </row>
    <row r="19314" spans="12:12">
      <c r="L19314"/>
    </row>
    <row r="19315" spans="12:12">
      <c r="L19315"/>
    </row>
    <row r="19316" spans="12:12">
      <c r="L19316"/>
    </row>
    <row r="19317" spans="12:12">
      <c r="L19317"/>
    </row>
    <row r="19318" spans="12:12">
      <c r="L19318"/>
    </row>
    <row r="19319" spans="12:12">
      <c r="L19319"/>
    </row>
    <row r="19320" spans="12:12">
      <c r="L19320"/>
    </row>
    <row r="19321" spans="12:12">
      <c r="L19321"/>
    </row>
    <row r="19322" spans="12:12">
      <c r="L19322"/>
    </row>
    <row r="19323" spans="12:12">
      <c r="L19323"/>
    </row>
    <row r="19324" spans="12:12">
      <c r="L19324"/>
    </row>
    <row r="19325" spans="12:12">
      <c r="L19325"/>
    </row>
    <row r="19326" spans="12:12">
      <c r="L19326"/>
    </row>
    <row r="19327" spans="12:12">
      <c r="L19327"/>
    </row>
    <row r="19328" spans="12:12">
      <c r="L19328"/>
    </row>
    <row r="19329" spans="12:12">
      <c r="L19329"/>
    </row>
    <row r="19330" spans="12:12">
      <c r="L19330"/>
    </row>
    <row r="19331" spans="12:12">
      <c r="L19331"/>
    </row>
    <row r="19332" spans="12:12">
      <c r="L19332"/>
    </row>
    <row r="19333" spans="12:12">
      <c r="L19333"/>
    </row>
    <row r="19334" spans="12:12">
      <c r="L19334"/>
    </row>
    <row r="19335" spans="12:12">
      <c r="L19335"/>
    </row>
    <row r="19336" spans="12:12">
      <c r="L19336"/>
    </row>
    <row r="19337" spans="12:12">
      <c r="L19337"/>
    </row>
    <row r="19338" spans="12:12">
      <c r="L19338"/>
    </row>
    <row r="19339" spans="12:12">
      <c r="L19339"/>
    </row>
    <row r="19340" spans="12:12">
      <c r="L19340"/>
    </row>
    <row r="19341" spans="12:12">
      <c r="L19341"/>
    </row>
    <row r="19342" spans="12:12">
      <c r="L19342"/>
    </row>
    <row r="19343" spans="12:12">
      <c r="L19343"/>
    </row>
    <row r="19344" spans="12:12">
      <c r="L19344"/>
    </row>
    <row r="19345" spans="12:12">
      <c r="L19345"/>
    </row>
    <row r="19346" spans="12:12">
      <c r="L19346"/>
    </row>
    <row r="19347" spans="12:12">
      <c r="L19347"/>
    </row>
    <row r="19348" spans="12:12">
      <c r="L19348"/>
    </row>
    <row r="19349" spans="12:12">
      <c r="L19349"/>
    </row>
    <row r="19350" spans="12:12">
      <c r="L19350"/>
    </row>
    <row r="19351" spans="12:12">
      <c r="L19351"/>
    </row>
    <row r="19352" spans="12:12">
      <c r="L19352"/>
    </row>
    <row r="19353" spans="12:12">
      <c r="L19353"/>
    </row>
    <row r="19354" spans="12:12">
      <c r="L19354"/>
    </row>
    <row r="19355" spans="12:12">
      <c r="L19355"/>
    </row>
    <row r="19356" spans="12:12">
      <c r="L19356"/>
    </row>
    <row r="19357" spans="12:12">
      <c r="L19357"/>
    </row>
    <row r="19358" spans="12:12">
      <c r="L19358"/>
    </row>
    <row r="19359" spans="12:12">
      <c r="L19359"/>
    </row>
    <row r="19360" spans="12:12">
      <c r="L19360"/>
    </row>
    <row r="19361" spans="12:12">
      <c r="L19361"/>
    </row>
    <row r="19362" spans="12:12">
      <c r="L19362"/>
    </row>
    <row r="19363" spans="12:12">
      <c r="L19363"/>
    </row>
    <row r="19364" spans="12:12">
      <c r="L19364"/>
    </row>
    <row r="19365" spans="12:12">
      <c r="L19365"/>
    </row>
    <row r="19366" spans="12:12">
      <c r="L19366"/>
    </row>
    <row r="19367" spans="12:12">
      <c r="L19367"/>
    </row>
    <row r="19368" spans="12:12">
      <c r="L19368"/>
    </row>
    <row r="19369" spans="12:12">
      <c r="L19369"/>
    </row>
    <row r="19370" spans="12:12">
      <c r="L19370"/>
    </row>
    <row r="19371" spans="12:12">
      <c r="L19371"/>
    </row>
    <row r="19372" spans="12:12">
      <c r="L19372"/>
    </row>
    <row r="19373" spans="12:12">
      <c r="L19373"/>
    </row>
    <row r="19374" spans="12:12">
      <c r="L19374"/>
    </row>
    <row r="19375" spans="12:12">
      <c r="L19375"/>
    </row>
    <row r="19376" spans="12:12">
      <c r="L19376"/>
    </row>
    <row r="19377" spans="12:12">
      <c r="L19377"/>
    </row>
    <row r="19378" spans="12:12">
      <c r="L19378"/>
    </row>
    <row r="19379" spans="12:12">
      <c r="L19379"/>
    </row>
    <row r="19380" spans="12:12">
      <c r="L19380"/>
    </row>
    <row r="19381" spans="12:12">
      <c r="L19381"/>
    </row>
    <row r="19382" spans="12:12">
      <c r="L19382"/>
    </row>
    <row r="19383" spans="12:12">
      <c r="L19383"/>
    </row>
    <row r="19384" spans="12:12">
      <c r="L19384"/>
    </row>
    <row r="19385" spans="12:12">
      <c r="L19385"/>
    </row>
    <row r="19386" spans="12:12">
      <c r="L19386"/>
    </row>
    <row r="19387" spans="12:12">
      <c r="L19387"/>
    </row>
    <row r="19388" spans="12:12">
      <c r="L19388"/>
    </row>
    <row r="19389" spans="12:12">
      <c r="L19389"/>
    </row>
    <row r="19390" spans="12:12">
      <c r="L19390"/>
    </row>
    <row r="19391" spans="12:12">
      <c r="L19391"/>
    </row>
    <row r="19392" spans="12:12">
      <c r="L19392"/>
    </row>
    <row r="19393" spans="12:12">
      <c r="L19393"/>
    </row>
    <row r="19394" spans="12:12">
      <c r="L19394"/>
    </row>
    <row r="19395" spans="12:12">
      <c r="L19395"/>
    </row>
    <row r="19396" spans="12:12">
      <c r="L19396"/>
    </row>
    <row r="19397" spans="12:12">
      <c r="L19397"/>
    </row>
    <row r="19398" spans="12:12">
      <c r="L19398"/>
    </row>
    <row r="19399" spans="12:12">
      <c r="L19399"/>
    </row>
    <row r="19400" spans="12:12">
      <c r="L19400"/>
    </row>
    <row r="19401" spans="12:12">
      <c r="L19401"/>
    </row>
    <row r="19402" spans="12:12">
      <c r="L19402"/>
    </row>
    <row r="19403" spans="12:12">
      <c r="L19403"/>
    </row>
    <row r="19404" spans="12:12">
      <c r="L19404"/>
    </row>
    <row r="19405" spans="12:12">
      <c r="L19405"/>
    </row>
    <row r="19406" spans="12:12">
      <c r="L19406"/>
    </row>
    <row r="19407" spans="12:12">
      <c r="L19407"/>
    </row>
    <row r="19408" spans="12:12">
      <c r="L19408"/>
    </row>
    <row r="19409" spans="12:12">
      <c r="L19409"/>
    </row>
    <row r="19410" spans="12:12">
      <c r="L19410"/>
    </row>
    <row r="19411" spans="12:12">
      <c r="L19411"/>
    </row>
    <row r="19412" spans="12:12">
      <c r="L19412"/>
    </row>
    <row r="19413" spans="12:12">
      <c r="L19413"/>
    </row>
    <row r="19414" spans="12:12">
      <c r="L19414"/>
    </row>
    <row r="19415" spans="12:12">
      <c r="L19415"/>
    </row>
    <row r="19416" spans="12:12">
      <c r="L19416"/>
    </row>
    <row r="19417" spans="12:12">
      <c r="L19417"/>
    </row>
    <row r="19418" spans="12:12">
      <c r="L19418"/>
    </row>
    <row r="19419" spans="12:12">
      <c r="L19419"/>
    </row>
    <row r="19420" spans="12:12">
      <c r="L19420"/>
    </row>
    <row r="19421" spans="12:12">
      <c r="L19421"/>
    </row>
    <row r="19422" spans="12:12">
      <c r="L19422"/>
    </row>
    <row r="19423" spans="12:12">
      <c r="L19423"/>
    </row>
    <row r="19424" spans="12:12">
      <c r="L19424"/>
    </row>
    <row r="19425" spans="12:12">
      <c r="L19425"/>
    </row>
    <row r="19426" spans="12:12">
      <c r="L19426"/>
    </row>
    <row r="19427" spans="12:12">
      <c r="L19427"/>
    </row>
    <row r="19428" spans="12:12">
      <c r="L19428"/>
    </row>
    <row r="19429" spans="12:12">
      <c r="L19429"/>
    </row>
    <row r="19430" spans="12:12">
      <c r="L19430"/>
    </row>
    <row r="19431" spans="12:12">
      <c r="L19431"/>
    </row>
    <row r="19432" spans="12:12">
      <c r="L19432"/>
    </row>
    <row r="19433" spans="12:12">
      <c r="L19433"/>
    </row>
    <row r="19434" spans="12:12">
      <c r="L19434"/>
    </row>
    <row r="19435" spans="12:12">
      <c r="L19435"/>
    </row>
    <row r="19436" spans="12:12">
      <c r="L19436"/>
    </row>
    <row r="19437" spans="12:12">
      <c r="L19437"/>
    </row>
    <row r="19438" spans="12:12">
      <c r="L19438"/>
    </row>
    <row r="19439" spans="12:12">
      <c r="L19439"/>
    </row>
    <row r="19440" spans="12:12">
      <c r="L19440"/>
    </row>
    <row r="19441" spans="12:12">
      <c r="L19441"/>
    </row>
    <row r="19442" spans="12:12">
      <c r="L19442"/>
    </row>
    <row r="19443" spans="12:12">
      <c r="L19443"/>
    </row>
    <row r="19444" spans="12:12">
      <c r="L19444"/>
    </row>
    <row r="19445" spans="12:12">
      <c r="L19445"/>
    </row>
    <row r="19446" spans="12:12">
      <c r="L19446"/>
    </row>
    <row r="19447" spans="12:12">
      <c r="L19447"/>
    </row>
    <row r="19448" spans="12:12">
      <c r="L19448"/>
    </row>
    <row r="19449" spans="12:12">
      <c r="L19449"/>
    </row>
    <row r="19450" spans="12:12">
      <c r="L19450"/>
    </row>
    <row r="19451" spans="12:12">
      <c r="L19451"/>
    </row>
    <row r="19452" spans="12:12">
      <c r="L19452"/>
    </row>
    <row r="19453" spans="12:12">
      <c r="L19453"/>
    </row>
    <row r="19454" spans="12:12">
      <c r="L19454"/>
    </row>
    <row r="19455" spans="12:12">
      <c r="L19455"/>
    </row>
    <row r="19456" spans="12:12">
      <c r="L19456"/>
    </row>
    <row r="19457" spans="12:12">
      <c r="L19457"/>
    </row>
    <row r="19458" spans="12:12">
      <c r="L19458"/>
    </row>
    <row r="19459" spans="12:12">
      <c r="L19459"/>
    </row>
    <row r="19460" spans="12:12">
      <c r="L19460"/>
    </row>
    <row r="19461" spans="12:12">
      <c r="L19461"/>
    </row>
    <row r="19462" spans="12:12">
      <c r="L19462"/>
    </row>
    <row r="19463" spans="12:12">
      <c r="L19463"/>
    </row>
    <row r="19464" spans="12:12">
      <c r="L19464"/>
    </row>
    <row r="19465" spans="12:12">
      <c r="L19465"/>
    </row>
    <row r="19466" spans="12:12">
      <c r="L19466"/>
    </row>
    <row r="19467" spans="12:12">
      <c r="L19467"/>
    </row>
    <row r="19468" spans="12:12">
      <c r="L19468"/>
    </row>
    <row r="19469" spans="12:12">
      <c r="L19469"/>
    </row>
    <row r="19470" spans="12:12">
      <c r="L19470"/>
    </row>
    <row r="19471" spans="12:12">
      <c r="L19471"/>
    </row>
    <row r="19472" spans="12:12">
      <c r="L19472"/>
    </row>
    <row r="19473" spans="12:12">
      <c r="L19473"/>
    </row>
    <row r="19474" spans="12:12">
      <c r="L19474"/>
    </row>
    <row r="19475" spans="12:12">
      <c r="L19475"/>
    </row>
    <row r="19476" spans="12:12">
      <c r="L19476"/>
    </row>
    <row r="19477" spans="12:12">
      <c r="L19477"/>
    </row>
    <row r="19478" spans="12:12">
      <c r="L19478"/>
    </row>
    <row r="19479" spans="12:12">
      <c r="L19479"/>
    </row>
    <row r="19480" spans="12:12">
      <c r="L19480"/>
    </row>
    <row r="19481" spans="12:12">
      <c r="L19481"/>
    </row>
    <row r="19482" spans="12:12">
      <c r="L19482"/>
    </row>
    <row r="19483" spans="12:12">
      <c r="L19483"/>
    </row>
    <row r="19484" spans="12:12">
      <c r="L19484"/>
    </row>
    <row r="19485" spans="12:12">
      <c r="L19485"/>
    </row>
    <row r="19486" spans="12:12">
      <c r="L19486"/>
    </row>
    <row r="19487" spans="12:12">
      <c r="L19487"/>
    </row>
    <row r="19488" spans="12:12">
      <c r="L19488"/>
    </row>
    <row r="19489" spans="12:12">
      <c r="L19489"/>
    </row>
    <row r="19490" spans="12:12">
      <c r="L19490"/>
    </row>
    <row r="19491" spans="12:12">
      <c r="L19491"/>
    </row>
    <row r="19492" spans="12:12">
      <c r="L19492"/>
    </row>
    <row r="19493" spans="12:12">
      <c r="L19493"/>
    </row>
    <row r="19494" spans="12:12">
      <c r="L19494"/>
    </row>
    <row r="19495" spans="12:12">
      <c r="L19495"/>
    </row>
    <row r="19496" spans="12:12">
      <c r="L19496"/>
    </row>
    <row r="19497" spans="12:12">
      <c r="L19497"/>
    </row>
    <row r="19498" spans="12:12">
      <c r="L19498"/>
    </row>
    <row r="19499" spans="12:12">
      <c r="L19499"/>
    </row>
    <row r="19500" spans="12:12">
      <c r="L19500"/>
    </row>
    <row r="19501" spans="12:12">
      <c r="L19501"/>
    </row>
    <row r="19502" spans="12:12">
      <c r="L19502"/>
    </row>
    <row r="19503" spans="12:12">
      <c r="L19503"/>
    </row>
    <row r="19504" spans="12:12">
      <c r="L19504"/>
    </row>
    <row r="19505" spans="12:12">
      <c r="L19505"/>
    </row>
    <row r="19506" spans="12:12">
      <c r="L19506"/>
    </row>
    <row r="19507" spans="12:12">
      <c r="L19507"/>
    </row>
    <row r="19508" spans="12:12">
      <c r="L19508"/>
    </row>
    <row r="19509" spans="12:12">
      <c r="L19509"/>
    </row>
    <row r="19510" spans="12:12">
      <c r="L19510"/>
    </row>
    <row r="19511" spans="12:12">
      <c r="L19511"/>
    </row>
    <row r="19512" spans="12:12">
      <c r="L19512"/>
    </row>
    <row r="19513" spans="12:12">
      <c r="L19513"/>
    </row>
    <row r="19514" spans="12:12">
      <c r="L19514"/>
    </row>
    <row r="19515" spans="12:12">
      <c r="L19515"/>
    </row>
    <row r="19516" spans="12:12">
      <c r="L19516"/>
    </row>
    <row r="19517" spans="12:12">
      <c r="L19517"/>
    </row>
    <row r="19518" spans="12:12">
      <c r="L19518"/>
    </row>
    <row r="19519" spans="12:12">
      <c r="L19519"/>
    </row>
    <row r="19520" spans="12:12">
      <c r="L19520"/>
    </row>
    <row r="19521" spans="12:12">
      <c r="L19521"/>
    </row>
    <row r="19522" spans="12:12">
      <c r="L19522"/>
    </row>
    <row r="19523" spans="12:12">
      <c r="L19523"/>
    </row>
    <row r="19524" spans="12:12">
      <c r="L19524"/>
    </row>
    <row r="19525" spans="12:12">
      <c r="L19525"/>
    </row>
    <row r="19526" spans="12:12">
      <c r="L19526"/>
    </row>
    <row r="19527" spans="12:12">
      <c r="L19527"/>
    </row>
    <row r="19528" spans="12:12">
      <c r="L19528"/>
    </row>
    <row r="19529" spans="12:12">
      <c r="L19529"/>
    </row>
    <row r="19530" spans="12:12">
      <c r="L19530"/>
    </row>
    <row r="19531" spans="12:12">
      <c r="L19531"/>
    </row>
    <row r="19532" spans="12:12">
      <c r="L19532"/>
    </row>
    <row r="19533" spans="12:12">
      <c r="L19533"/>
    </row>
    <row r="19534" spans="12:12">
      <c r="L19534"/>
    </row>
    <row r="19535" spans="12:12">
      <c r="L19535"/>
    </row>
    <row r="19536" spans="12:12">
      <c r="L19536"/>
    </row>
    <row r="19537" spans="12:12">
      <c r="L19537"/>
    </row>
    <row r="19538" spans="12:12">
      <c r="L19538"/>
    </row>
    <row r="19539" spans="12:12">
      <c r="L19539"/>
    </row>
    <row r="19540" spans="12:12">
      <c r="L19540"/>
    </row>
    <row r="19541" spans="12:12">
      <c r="L19541"/>
    </row>
    <row r="19542" spans="12:12">
      <c r="L19542"/>
    </row>
    <row r="19543" spans="12:12">
      <c r="L19543"/>
    </row>
    <row r="19544" spans="12:12">
      <c r="L19544"/>
    </row>
    <row r="19545" spans="12:12">
      <c r="L19545"/>
    </row>
    <row r="19546" spans="12:12">
      <c r="L19546"/>
    </row>
    <row r="19547" spans="12:12">
      <c r="L19547"/>
    </row>
    <row r="19548" spans="12:12">
      <c r="L19548"/>
    </row>
    <row r="19549" spans="12:12">
      <c r="L19549"/>
    </row>
    <row r="19550" spans="12:12">
      <c r="L19550"/>
    </row>
    <row r="19551" spans="12:12">
      <c r="L19551"/>
    </row>
    <row r="19552" spans="12:12">
      <c r="L19552"/>
    </row>
    <row r="19553" spans="12:12">
      <c r="L19553"/>
    </row>
    <row r="19554" spans="12:12">
      <c r="L19554"/>
    </row>
    <row r="19555" spans="12:12">
      <c r="L19555"/>
    </row>
    <row r="19556" spans="12:12">
      <c r="L19556"/>
    </row>
    <row r="19557" spans="12:12">
      <c r="L19557"/>
    </row>
    <row r="19558" spans="12:12">
      <c r="L19558"/>
    </row>
    <row r="19559" spans="12:12">
      <c r="L19559"/>
    </row>
    <row r="19560" spans="12:12">
      <c r="L19560"/>
    </row>
    <row r="19561" spans="12:12">
      <c r="L19561"/>
    </row>
    <row r="19562" spans="12:12">
      <c r="L19562"/>
    </row>
    <row r="19563" spans="12:12">
      <c r="L19563"/>
    </row>
    <row r="19564" spans="12:12">
      <c r="L19564"/>
    </row>
    <row r="19565" spans="12:12">
      <c r="L19565"/>
    </row>
    <row r="19566" spans="12:12">
      <c r="L19566"/>
    </row>
    <row r="19567" spans="12:12">
      <c r="L19567"/>
    </row>
    <row r="19568" spans="12:12">
      <c r="L19568"/>
    </row>
    <row r="19569" spans="12:12">
      <c r="L19569"/>
    </row>
    <row r="19570" spans="12:12">
      <c r="L19570"/>
    </row>
    <row r="19571" spans="12:12">
      <c r="L19571"/>
    </row>
    <row r="19572" spans="12:12">
      <c r="L19572"/>
    </row>
    <row r="19573" spans="12:12">
      <c r="L19573"/>
    </row>
    <row r="19574" spans="12:12">
      <c r="L19574"/>
    </row>
    <row r="19575" spans="12:12">
      <c r="L19575"/>
    </row>
    <row r="19576" spans="12:12">
      <c r="L19576"/>
    </row>
    <row r="19577" spans="12:12">
      <c r="L19577"/>
    </row>
    <row r="19578" spans="12:12">
      <c r="L19578"/>
    </row>
    <row r="19579" spans="12:12">
      <c r="L19579"/>
    </row>
    <row r="19580" spans="12:12">
      <c r="L19580"/>
    </row>
    <row r="19581" spans="12:12">
      <c r="L19581"/>
    </row>
    <row r="19582" spans="12:12">
      <c r="L19582"/>
    </row>
    <row r="19583" spans="12:12">
      <c r="L19583"/>
    </row>
    <row r="19584" spans="12:12">
      <c r="L19584"/>
    </row>
    <row r="19585" spans="12:12">
      <c r="L19585"/>
    </row>
    <row r="19586" spans="12:12">
      <c r="L19586"/>
    </row>
    <row r="19587" spans="12:12">
      <c r="L19587"/>
    </row>
    <row r="19588" spans="12:12">
      <c r="L19588"/>
    </row>
    <row r="19589" spans="12:12">
      <c r="L19589"/>
    </row>
    <row r="19590" spans="12:12">
      <c r="L19590"/>
    </row>
    <row r="19591" spans="12:12">
      <c r="L19591"/>
    </row>
    <row r="19592" spans="12:12">
      <c r="L19592"/>
    </row>
    <row r="19593" spans="12:12">
      <c r="L19593"/>
    </row>
    <row r="19594" spans="12:12">
      <c r="L19594"/>
    </row>
    <row r="19595" spans="12:12">
      <c r="L19595"/>
    </row>
    <row r="19596" spans="12:12">
      <c r="L19596"/>
    </row>
    <row r="19597" spans="12:12">
      <c r="L19597"/>
    </row>
    <row r="19598" spans="12:12">
      <c r="L19598"/>
    </row>
    <row r="19599" spans="12:12">
      <c r="L19599"/>
    </row>
    <row r="19600" spans="12:12">
      <c r="L19600"/>
    </row>
    <row r="19601" spans="12:12">
      <c r="L19601"/>
    </row>
    <row r="19602" spans="12:12">
      <c r="L19602"/>
    </row>
    <row r="19603" spans="12:12">
      <c r="L19603"/>
    </row>
    <row r="19604" spans="12:12">
      <c r="L19604"/>
    </row>
    <row r="19605" spans="12:12">
      <c r="L19605"/>
    </row>
    <row r="19606" spans="12:12">
      <c r="L19606"/>
    </row>
    <row r="19607" spans="12:12">
      <c r="L19607"/>
    </row>
    <row r="19608" spans="12:12">
      <c r="L19608"/>
    </row>
    <row r="19609" spans="12:12">
      <c r="L19609"/>
    </row>
    <row r="19610" spans="12:12">
      <c r="L19610"/>
    </row>
    <row r="19611" spans="12:12">
      <c r="L19611"/>
    </row>
    <row r="19612" spans="12:12">
      <c r="L19612"/>
    </row>
    <row r="19613" spans="12:12">
      <c r="L19613"/>
    </row>
    <row r="19614" spans="12:12">
      <c r="L19614"/>
    </row>
    <row r="19615" spans="12:12">
      <c r="L19615"/>
    </row>
    <row r="19616" spans="12:12">
      <c r="L19616"/>
    </row>
    <row r="19617" spans="12:12">
      <c r="L19617"/>
    </row>
    <row r="19618" spans="12:12">
      <c r="L19618"/>
    </row>
    <row r="19619" spans="12:12">
      <c r="L19619"/>
    </row>
    <row r="19620" spans="12:12">
      <c r="L19620"/>
    </row>
    <row r="19621" spans="12:12">
      <c r="L19621"/>
    </row>
    <row r="19622" spans="12:12">
      <c r="L19622"/>
    </row>
    <row r="19623" spans="12:12">
      <c r="L19623"/>
    </row>
    <row r="19624" spans="12:12">
      <c r="L19624"/>
    </row>
    <row r="19625" spans="12:12">
      <c r="L19625"/>
    </row>
    <row r="19626" spans="12:12">
      <c r="L19626"/>
    </row>
    <row r="19627" spans="12:12">
      <c r="L19627"/>
    </row>
    <row r="19628" spans="12:12">
      <c r="L19628"/>
    </row>
    <row r="19629" spans="12:12">
      <c r="L19629"/>
    </row>
    <row r="19630" spans="12:12">
      <c r="L19630"/>
    </row>
    <row r="19631" spans="12:12">
      <c r="L19631"/>
    </row>
    <row r="19632" spans="12:12">
      <c r="L19632"/>
    </row>
    <row r="19633" spans="12:12">
      <c r="L19633"/>
    </row>
    <row r="19634" spans="12:12">
      <c r="L19634"/>
    </row>
    <row r="19635" spans="12:12">
      <c r="L19635"/>
    </row>
    <row r="19636" spans="12:12">
      <c r="L19636"/>
    </row>
    <row r="19637" spans="12:12">
      <c r="L19637"/>
    </row>
    <row r="19638" spans="12:12">
      <c r="L19638"/>
    </row>
    <row r="19639" spans="12:12">
      <c r="L19639"/>
    </row>
    <row r="19640" spans="12:12">
      <c r="L19640"/>
    </row>
    <row r="19641" spans="12:12">
      <c r="L19641"/>
    </row>
    <row r="19642" spans="12:12">
      <c r="L19642"/>
    </row>
    <row r="19643" spans="12:12">
      <c r="L19643"/>
    </row>
    <row r="19644" spans="12:12">
      <c r="L19644"/>
    </row>
    <row r="19645" spans="12:12">
      <c r="L19645"/>
    </row>
    <row r="19646" spans="12:12">
      <c r="L19646"/>
    </row>
    <row r="19647" spans="12:12">
      <c r="L19647"/>
    </row>
    <row r="19648" spans="12:12">
      <c r="L19648"/>
    </row>
    <row r="19649" spans="12:12">
      <c r="L19649"/>
    </row>
    <row r="19650" spans="12:12">
      <c r="L19650"/>
    </row>
    <row r="19651" spans="12:12">
      <c r="L19651"/>
    </row>
    <row r="19652" spans="12:12">
      <c r="L19652"/>
    </row>
    <row r="19653" spans="12:12">
      <c r="L19653"/>
    </row>
    <row r="19654" spans="12:12">
      <c r="L19654"/>
    </row>
    <row r="19655" spans="12:12">
      <c r="L19655"/>
    </row>
    <row r="19656" spans="12:12">
      <c r="L19656"/>
    </row>
    <row r="19657" spans="12:12">
      <c r="L19657"/>
    </row>
    <row r="19658" spans="12:12">
      <c r="L19658"/>
    </row>
    <row r="19659" spans="12:12">
      <c r="L19659"/>
    </row>
    <row r="19660" spans="12:12">
      <c r="L19660"/>
    </row>
    <row r="19661" spans="12:12">
      <c r="L19661"/>
    </row>
    <row r="19662" spans="12:12">
      <c r="L19662"/>
    </row>
    <row r="19663" spans="12:12">
      <c r="L19663"/>
    </row>
    <row r="19664" spans="12:12">
      <c r="L19664"/>
    </row>
    <row r="19665" spans="12:12">
      <c r="L19665"/>
    </row>
    <row r="19666" spans="12:12">
      <c r="L19666"/>
    </row>
    <row r="19667" spans="12:12">
      <c r="L19667"/>
    </row>
    <row r="19668" spans="12:12">
      <c r="L19668"/>
    </row>
    <row r="19669" spans="12:12">
      <c r="L19669"/>
    </row>
    <row r="19670" spans="12:12">
      <c r="L19670"/>
    </row>
    <row r="19671" spans="12:12">
      <c r="L19671"/>
    </row>
    <row r="19672" spans="12:12">
      <c r="L19672"/>
    </row>
    <row r="19673" spans="12:12">
      <c r="L19673"/>
    </row>
    <row r="19674" spans="12:12">
      <c r="L19674"/>
    </row>
    <row r="19675" spans="12:12">
      <c r="L19675"/>
    </row>
    <row r="19676" spans="12:12">
      <c r="L19676"/>
    </row>
    <row r="19677" spans="12:12">
      <c r="L19677"/>
    </row>
    <row r="19678" spans="12:12">
      <c r="L19678"/>
    </row>
    <row r="19679" spans="12:12">
      <c r="L19679"/>
    </row>
    <row r="19680" spans="12:12">
      <c r="L19680"/>
    </row>
    <row r="19681" spans="12:12">
      <c r="L19681"/>
    </row>
    <row r="19682" spans="12:12">
      <c r="L19682"/>
    </row>
    <row r="19683" spans="12:12">
      <c r="L19683"/>
    </row>
    <row r="19684" spans="12:12">
      <c r="L19684"/>
    </row>
    <row r="19685" spans="12:12">
      <c r="L19685"/>
    </row>
    <row r="19686" spans="12:12">
      <c r="L19686"/>
    </row>
    <row r="19687" spans="12:12">
      <c r="L19687"/>
    </row>
    <row r="19688" spans="12:12">
      <c r="L19688"/>
    </row>
    <row r="19689" spans="12:12">
      <c r="L19689"/>
    </row>
    <row r="19690" spans="12:12">
      <c r="L19690"/>
    </row>
    <row r="19691" spans="12:12">
      <c r="L19691"/>
    </row>
    <row r="19692" spans="12:12">
      <c r="L19692"/>
    </row>
    <row r="19693" spans="12:12">
      <c r="L19693"/>
    </row>
    <row r="19694" spans="12:12">
      <c r="L19694"/>
    </row>
    <row r="19695" spans="12:12">
      <c r="L19695"/>
    </row>
    <row r="19696" spans="12:12">
      <c r="L19696"/>
    </row>
    <row r="19697" spans="12:12">
      <c r="L19697"/>
    </row>
    <row r="19698" spans="12:12">
      <c r="L19698"/>
    </row>
    <row r="19699" spans="12:12">
      <c r="L19699"/>
    </row>
    <row r="19700" spans="12:12">
      <c r="L19700"/>
    </row>
    <row r="19701" spans="12:12">
      <c r="L19701"/>
    </row>
    <row r="19702" spans="12:12">
      <c r="L19702"/>
    </row>
    <row r="19703" spans="12:12">
      <c r="L19703"/>
    </row>
    <row r="19704" spans="12:12">
      <c r="L19704"/>
    </row>
    <row r="19705" spans="12:12">
      <c r="L19705"/>
    </row>
    <row r="19706" spans="12:12">
      <c r="L19706"/>
    </row>
    <row r="19707" spans="12:12">
      <c r="L19707"/>
    </row>
    <row r="19708" spans="12:12">
      <c r="L19708"/>
    </row>
    <row r="19709" spans="12:12">
      <c r="L19709"/>
    </row>
    <row r="19710" spans="12:12">
      <c r="L19710"/>
    </row>
    <row r="19711" spans="12:12">
      <c r="L19711"/>
    </row>
    <row r="19712" spans="12:12">
      <c r="L19712"/>
    </row>
    <row r="19713" spans="12:12">
      <c r="L19713"/>
    </row>
    <row r="19714" spans="12:12">
      <c r="L19714"/>
    </row>
    <row r="19715" spans="12:12">
      <c r="L19715"/>
    </row>
    <row r="19716" spans="12:12">
      <c r="L19716"/>
    </row>
    <row r="19717" spans="12:12">
      <c r="L19717"/>
    </row>
    <row r="19718" spans="12:12">
      <c r="L19718"/>
    </row>
    <row r="19719" spans="12:12">
      <c r="L19719"/>
    </row>
    <row r="19720" spans="12:12">
      <c r="L19720"/>
    </row>
    <row r="19721" spans="12:12">
      <c r="L19721"/>
    </row>
    <row r="19722" spans="12:12">
      <c r="L19722"/>
    </row>
    <row r="19723" spans="12:12">
      <c r="L19723"/>
    </row>
    <row r="19724" spans="12:12">
      <c r="L19724"/>
    </row>
    <row r="19725" spans="12:12">
      <c r="L19725"/>
    </row>
    <row r="19726" spans="12:12">
      <c r="L19726"/>
    </row>
    <row r="19727" spans="12:12">
      <c r="L19727"/>
    </row>
    <row r="19728" spans="12:12">
      <c r="L19728"/>
    </row>
    <row r="19729" spans="12:12">
      <c r="L19729"/>
    </row>
    <row r="19730" spans="12:12">
      <c r="L19730"/>
    </row>
    <row r="19731" spans="12:12">
      <c r="L19731"/>
    </row>
    <row r="19732" spans="12:12">
      <c r="L19732"/>
    </row>
    <row r="19733" spans="12:12">
      <c r="L19733"/>
    </row>
    <row r="19734" spans="12:12">
      <c r="L19734"/>
    </row>
    <row r="19735" spans="12:12">
      <c r="L19735"/>
    </row>
    <row r="19736" spans="12:12">
      <c r="L19736"/>
    </row>
    <row r="19737" spans="12:12">
      <c r="L19737"/>
    </row>
    <row r="19738" spans="12:12">
      <c r="L19738"/>
    </row>
    <row r="19739" spans="12:12">
      <c r="L19739"/>
    </row>
    <row r="19740" spans="12:12">
      <c r="L19740"/>
    </row>
    <row r="19741" spans="12:12">
      <c r="L19741"/>
    </row>
    <row r="19742" spans="12:12">
      <c r="L19742"/>
    </row>
    <row r="19743" spans="12:12">
      <c r="L19743"/>
    </row>
    <row r="19744" spans="12:12">
      <c r="L19744"/>
    </row>
    <row r="19745" spans="12:12">
      <c r="L19745"/>
    </row>
    <row r="19746" spans="12:12">
      <c r="L19746"/>
    </row>
    <row r="19747" spans="12:12">
      <c r="L19747"/>
    </row>
    <row r="19748" spans="12:12">
      <c r="L19748"/>
    </row>
    <row r="19749" spans="12:12">
      <c r="L19749"/>
    </row>
    <row r="19750" spans="12:12">
      <c r="L19750"/>
    </row>
    <row r="19751" spans="12:12">
      <c r="L19751"/>
    </row>
    <row r="19752" spans="12:12">
      <c r="L19752"/>
    </row>
    <row r="19753" spans="12:12">
      <c r="L19753"/>
    </row>
    <row r="19754" spans="12:12">
      <c r="L19754"/>
    </row>
    <row r="19755" spans="12:12">
      <c r="L19755"/>
    </row>
    <row r="19756" spans="12:12">
      <c r="L19756"/>
    </row>
    <row r="19757" spans="12:12">
      <c r="L19757"/>
    </row>
    <row r="19758" spans="12:12">
      <c r="L19758"/>
    </row>
    <row r="19759" spans="12:12">
      <c r="L19759"/>
    </row>
    <row r="19760" spans="12:12">
      <c r="L19760"/>
    </row>
    <row r="19761" spans="12:12">
      <c r="L19761"/>
    </row>
    <row r="19762" spans="12:12">
      <c r="L19762"/>
    </row>
    <row r="19763" spans="12:12">
      <c r="L19763"/>
    </row>
    <row r="19764" spans="12:12">
      <c r="L19764"/>
    </row>
    <row r="19765" spans="12:12">
      <c r="L19765"/>
    </row>
    <row r="19766" spans="12:12">
      <c r="L19766"/>
    </row>
    <row r="19767" spans="12:12">
      <c r="L19767"/>
    </row>
    <row r="19768" spans="12:12">
      <c r="L19768"/>
    </row>
    <row r="19769" spans="12:12">
      <c r="L19769"/>
    </row>
    <row r="19770" spans="12:12">
      <c r="L19770"/>
    </row>
    <row r="19771" spans="12:12">
      <c r="L19771"/>
    </row>
    <row r="19772" spans="12:12">
      <c r="L19772"/>
    </row>
    <row r="19773" spans="12:12">
      <c r="L19773"/>
    </row>
    <row r="19774" spans="12:12">
      <c r="L19774"/>
    </row>
    <row r="19775" spans="12:12">
      <c r="L19775"/>
    </row>
    <row r="19776" spans="12:12">
      <c r="L19776"/>
    </row>
    <row r="19777" spans="12:12">
      <c r="L19777"/>
    </row>
    <row r="19778" spans="12:12">
      <c r="L19778"/>
    </row>
    <row r="19779" spans="12:12">
      <c r="L19779"/>
    </row>
    <row r="19780" spans="12:12">
      <c r="L19780"/>
    </row>
    <row r="19781" spans="12:12">
      <c r="L19781"/>
    </row>
    <row r="19782" spans="12:12">
      <c r="L19782"/>
    </row>
    <row r="19783" spans="12:12">
      <c r="L19783"/>
    </row>
    <row r="19784" spans="12:12">
      <c r="L19784"/>
    </row>
    <row r="19785" spans="12:12">
      <c r="L19785"/>
    </row>
    <row r="19786" spans="12:12">
      <c r="L19786"/>
    </row>
    <row r="19787" spans="12:12">
      <c r="L19787"/>
    </row>
    <row r="19788" spans="12:12">
      <c r="L19788"/>
    </row>
    <row r="19789" spans="12:12">
      <c r="L19789"/>
    </row>
    <row r="19790" spans="12:12">
      <c r="L19790"/>
    </row>
    <row r="19791" spans="12:12">
      <c r="L19791"/>
    </row>
    <row r="19792" spans="12:12">
      <c r="L19792"/>
    </row>
    <row r="19793" spans="12:12">
      <c r="L19793"/>
    </row>
    <row r="19794" spans="12:12">
      <c r="L19794"/>
    </row>
    <row r="19795" spans="12:12">
      <c r="L19795"/>
    </row>
    <row r="19796" spans="12:12">
      <c r="L19796"/>
    </row>
    <row r="19797" spans="12:12">
      <c r="L19797"/>
    </row>
    <row r="19798" spans="12:12">
      <c r="L19798"/>
    </row>
    <row r="19799" spans="12:12">
      <c r="L19799"/>
    </row>
    <row r="19800" spans="12:12">
      <c r="L19800"/>
    </row>
    <row r="19801" spans="12:12">
      <c r="L19801"/>
    </row>
    <row r="19802" spans="12:12">
      <c r="L19802"/>
    </row>
    <row r="19803" spans="12:12">
      <c r="L19803"/>
    </row>
    <row r="19804" spans="12:12">
      <c r="L19804"/>
    </row>
    <row r="19805" spans="12:12">
      <c r="L19805"/>
    </row>
    <row r="19806" spans="12:12">
      <c r="L19806"/>
    </row>
    <row r="19807" spans="12:12">
      <c r="L19807"/>
    </row>
    <row r="19808" spans="12:12">
      <c r="L19808"/>
    </row>
    <row r="19809" spans="12:12">
      <c r="L19809"/>
    </row>
    <row r="19810" spans="12:12">
      <c r="L19810"/>
    </row>
    <row r="19811" spans="12:12">
      <c r="L19811"/>
    </row>
    <row r="19812" spans="12:12">
      <c r="L19812"/>
    </row>
    <row r="19813" spans="12:12">
      <c r="L19813"/>
    </row>
    <row r="19814" spans="12:12">
      <c r="L19814"/>
    </row>
    <row r="19815" spans="12:12">
      <c r="L19815"/>
    </row>
    <row r="19816" spans="12:12">
      <c r="L19816"/>
    </row>
    <row r="19817" spans="12:12">
      <c r="L19817"/>
    </row>
    <row r="19818" spans="12:12">
      <c r="L19818"/>
    </row>
    <row r="19819" spans="12:12">
      <c r="L19819"/>
    </row>
    <row r="19820" spans="12:12">
      <c r="L19820"/>
    </row>
    <row r="19821" spans="12:12">
      <c r="L19821"/>
    </row>
    <row r="19822" spans="12:12">
      <c r="L19822"/>
    </row>
    <row r="19823" spans="12:12">
      <c r="L19823"/>
    </row>
    <row r="19824" spans="12:12">
      <c r="L19824"/>
    </row>
    <row r="19825" spans="12:12">
      <c r="L19825"/>
    </row>
    <row r="19826" spans="12:12">
      <c r="L19826"/>
    </row>
    <row r="19827" spans="12:12">
      <c r="L19827"/>
    </row>
    <row r="19828" spans="12:12">
      <c r="L19828"/>
    </row>
    <row r="19829" spans="12:12">
      <c r="L19829"/>
    </row>
    <row r="19830" spans="12:12">
      <c r="L19830"/>
    </row>
    <row r="19831" spans="12:12">
      <c r="L19831"/>
    </row>
    <row r="19832" spans="12:12">
      <c r="L19832"/>
    </row>
    <row r="19833" spans="12:12">
      <c r="L19833"/>
    </row>
    <row r="19834" spans="12:12">
      <c r="L19834"/>
    </row>
    <row r="19835" spans="12:12">
      <c r="L19835"/>
    </row>
    <row r="19836" spans="12:12">
      <c r="L19836"/>
    </row>
    <row r="19837" spans="12:12">
      <c r="L19837"/>
    </row>
    <row r="19838" spans="12:12">
      <c r="L19838"/>
    </row>
    <row r="19839" spans="12:12">
      <c r="L19839"/>
    </row>
    <row r="19840" spans="12:12">
      <c r="L19840"/>
    </row>
    <row r="19841" spans="12:12">
      <c r="L19841"/>
    </row>
    <row r="19842" spans="12:12">
      <c r="L19842"/>
    </row>
    <row r="19843" spans="12:12">
      <c r="L19843"/>
    </row>
    <row r="19844" spans="12:12">
      <c r="L19844"/>
    </row>
    <row r="19845" spans="12:12">
      <c r="L19845"/>
    </row>
    <row r="19846" spans="12:12">
      <c r="L19846"/>
    </row>
    <row r="19847" spans="12:12">
      <c r="L19847"/>
    </row>
    <row r="19848" spans="12:12">
      <c r="L19848"/>
    </row>
    <row r="19849" spans="12:12">
      <c r="L19849"/>
    </row>
    <row r="19850" spans="12:12">
      <c r="L19850"/>
    </row>
    <row r="19851" spans="12:12">
      <c r="L19851"/>
    </row>
    <row r="19852" spans="12:12">
      <c r="L19852"/>
    </row>
    <row r="19853" spans="12:12">
      <c r="L19853"/>
    </row>
    <row r="19854" spans="12:12">
      <c r="L19854"/>
    </row>
    <row r="19855" spans="12:12">
      <c r="L19855"/>
    </row>
    <row r="19856" spans="12:12">
      <c r="L19856"/>
    </row>
    <row r="19857" spans="12:12">
      <c r="L19857"/>
    </row>
    <row r="19858" spans="12:12">
      <c r="L19858"/>
    </row>
    <row r="19859" spans="12:12">
      <c r="L19859"/>
    </row>
    <row r="19860" spans="12:12">
      <c r="L19860"/>
    </row>
    <row r="19861" spans="12:12">
      <c r="L19861"/>
    </row>
    <row r="19862" spans="12:12">
      <c r="L19862"/>
    </row>
    <row r="19863" spans="12:12">
      <c r="L19863"/>
    </row>
    <row r="19864" spans="12:12">
      <c r="L19864"/>
    </row>
    <row r="19865" spans="12:12">
      <c r="L19865"/>
    </row>
    <row r="19866" spans="12:12">
      <c r="L19866"/>
    </row>
    <row r="19867" spans="12:12">
      <c r="L19867"/>
    </row>
    <row r="19868" spans="12:12">
      <c r="L19868"/>
    </row>
    <row r="19869" spans="12:12">
      <c r="L19869"/>
    </row>
    <row r="19870" spans="12:12">
      <c r="L19870"/>
    </row>
    <row r="19871" spans="12:12">
      <c r="L19871"/>
    </row>
    <row r="19872" spans="12:12">
      <c r="L19872"/>
    </row>
    <row r="19873" spans="12:12">
      <c r="L19873"/>
    </row>
    <row r="19874" spans="12:12">
      <c r="L19874"/>
    </row>
    <row r="19875" spans="12:12">
      <c r="L19875"/>
    </row>
    <row r="19876" spans="12:12">
      <c r="L19876"/>
    </row>
    <row r="19877" spans="12:12">
      <c r="L19877"/>
    </row>
    <row r="19878" spans="12:12">
      <c r="L19878"/>
    </row>
    <row r="19879" spans="12:12">
      <c r="L19879"/>
    </row>
    <row r="19880" spans="12:12">
      <c r="L19880"/>
    </row>
    <row r="19881" spans="12:12">
      <c r="L19881"/>
    </row>
    <row r="19882" spans="12:12">
      <c r="L19882"/>
    </row>
    <row r="19883" spans="12:12">
      <c r="L19883"/>
    </row>
    <row r="19884" spans="12:12">
      <c r="L19884"/>
    </row>
    <row r="19885" spans="12:12">
      <c r="L19885"/>
    </row>
    <row r="19886" spans="12:12">
      <c r="L19886"/>
    </row>
    <row r="19887" spans="12:12">
      <c r="L19887"/>
    </row>
    <row r="19888" spans="12:12">
      <c r="L19888"/>
    </row>
    <row r="19889" spans="12:12">
      <c r="L19889"/>
    </row>
    <row r="19890" spans="12:12">
      <c r="L19890"/>
    </row>
    <row r="19891" spans="12:12">
      <c r="L19891"/>
    </row>
    <row r="19892" spans="12:12">
      <c r="L19892"/>
    </row>
    <row r="19893" spans="12:12">
      <c r="L19893"/>
    </row>
    <row r="19894" spans="12:12">
      <c r="L19894"/>
    </row>
    <row r="19895" spans="12:12">
      <c r="L19895"/>
    </row>
    <row r="19896" spans="12:12">
      <c r="L19896"/>
    </row>
    <row r="19897" spans="12:12">
      <c r="L19897"/>
    </row>
    <row r="19898" spans="12:12">
      <c r="L19898"/>
    </row>
    <row r="19899" spans="12:12">
      <c r="L19899"/>
    </row>
    <row r="19900" spans="12:12">
      <c r="L19900"/>
    </row>
    <row r="19901" spans="12:12">
      <c r="L19901"/>
    </row>
    <row r="19902" spans="12:12">
      <c r="L19902"/>
    </row>
    <row r="19903" spans="12:12">
      <c r="L19903"/>
    </row>
    <row r="19904" spans="12:12">
      <c r="L19904"/>
    </row>
    <row r="19905" spans="12:12">
      <c r="L19905"/>
    </row>
    <row r="19906" spans="12:12">
      <c r="L19906"/>
    </row>
    <row r="19907" spans="12:12">
      <c r="L19907"/>
    </row>
    <row r="19908" spans="12:12">
      <c r="L19908"/>
    </row>
    <row r="19909" spans="12:12">
      <c r="L19909"/>
    </row>
    <row r="19910" spans="12:12">
      <c r="L19910"/>
    </row>
    <row r="19911" spans="12:12">
      <c r="L19911"/>
    </row>
    <row r="19912" spans="12:12">
      <c r="L19912"/>
    </row>
    <row r="19913" spans="12:12">
      <c r="L19913"/>
    </row>
    <row r="19914" spans="12:12">
      <c r="L19914"/>
    </row>
    <row r="19915" spans="12:12">
      <c r="L19915"/>
    </row>
    <row r="19916" spans="12:12">
      <c r="L19916"/>
    </row>
    <row r="19917" spans="12:12">
      <c r="L19917"/>
    </row>
    <row r="19918" spans="12:12">
      <c r="L19918"/>
    </row>
    <row r="19919" spans="12:12">
      <c r="L19919"/>
    </row>
    <row r="19920" spans="12:12">
      <c r="L19920"/>
    </row>
    <row r="19921" spans="12:12">
      <c r="L19921"/>
    </row>
    <row r="19922" spans="12:12">
      <c r="L19922"/>
    </row>
    <row r="19923" spans="12:12">
      <c r="L19923"/>
    </row>
    <row r="19924" spans="12:12">
      <c r="L19924"/>
    </row>
    <row r="19925" spans="12:12">
      <c r="L19925"/>
    </row>
    <row r="19926" spans="12:12">
      <c r="L19926"/>
    </row>
    <row r="19927" spans="12:12">
      <c r="L19927"/>
    </row>
    <row r="19928" spans="12:12">
      <c r="L19928"/>
    </row>
    <row r="19929" spans="12:12">
      <c r="L19929"/>
    </row>
    <row r="19930" spans="12:12">
      <c r="L19930"/>
    </row>
    <row r="19931" spans="12:12">
      <c r="L19931"/>
    </row>
    <row r="19932" spans="12:12">
      <c r="L19932"/>
    </row>
    <row r="19933" spans="12:12">
      <c r="L19933"/>
    </row>
    <row r="19934" spans="12:12">
      <c r="L19934"/>
    </row>
    <row r="19935" spans="12:12">
      <c r="L19935"/>
    </row>
    <row r="19936" spans="12:12">
      <c r="L19936"/>
    </row>
    <row r="19937" spans="12:12">
      <c r="L19937"/>
    </row>
    <row r="19938" spans="12:12">
      <c r="L19938"/>
    </row>
    <row r="19939" spans="12:12">
      <c r="L19939"/>
    </row>
    <row r="19940" spans="12:12">
      <c r="L19940"/>
    </row>
    <row r="19941" spans="12:12">
      <c r="L19941"/>
    </row>
    <row r="19942" spans="12:12">
      <c r="L19942"/>
    </row>
    <row r="19943" spans="12:12">
      <c r="L19943"/>
    </row>
    <row r="19944" spans="12:12">
      <c r="L19944"/>
    </row>
    <row r="19945" spans="12:12">
      <c r="L19945"/>
    </row>
    <row r="19946" spans="12:12">
      <c r="L19946"/>
    </row>
    <row r="19947" spans="12:12">
      <c r="L19947"/>
    </row>
    <row r="19948" spans="12:12">
      <c r="L19948"/>
    </row>
    <row r="19949" spans="12:12">
      <c r="L19949"/>
    </row>
    <row r="19950" spans="12:12">
      <c r="L19950"/>
    </row>
    <row r="19951" spans="12:12">
      <c r="L19951"/>
    </row>
    <row r="19952" spans="12:12">
      <c r="L19952"/>
    </row>
    <row r="19953" spans="12:12">
      <c r="L19953"/>
    </row>
    <row r="19954" spans="12:12">
      <c r="L19954"/>
    </row>
    <row r="19955" spans="12:12">
      <c r="L19955"/>
    </row>
    <row r="19956" spans="12:12">
      <c r="L19956"/>
    </row>
    <row r="19957" spans="12:12">
      <c r="L19957"/>
    </row>
    <row r="19958" spans="12:12">
      <c r="L19958"/>
    </row>
    <row r="19959" spans="12:12">
      <c r="L19959"/>
    </row>
    <row r="19960" spans="12:12">
      <c r="L19960"/>
    </row>
    <row r="19961" spans="12:12">
      <c r="L19961"/>
    </row>
    <row r="19962" spans="12:12">
      <c r="L19962"/>
    </row>
    <row r="19963" spans="12:12">
      <c r="L19963"/>
    </row>
    <row r="19964" spans="12:12">
      <c r="L19964"/>
    </row>
    <row r="19965" spans="12:12">
      <c r="L19965"/>
    </row>
    <row r="19966" spans="12:12">
      <c r="L19966"/>
    </row>
    <row r="19967" spans="12:12">
      <c r="L19967"/>
    </row>
    <row r="19968" spans="12:12">
      <c r="L19968"/>
    </row>
    <row r="19969" spans="12:12">
      <c r="L19969"/>
    </row>
    <row r="19970" spans="12:12">
      <c r="L19970"/>
    </row>
    <row r="19971" spans="12:12">
      <c r="L19971"/>
    </row>
    <row r="19972" spans="12:12">
      <c r="L19972"/>
    </row>
    <row r="19973" spans="12:12">
      <c r="L19973"/>
    </row>
    <row r="19974" spans="12:12">
      <c r="L19974"/>
    </row>
    <row r="19975" spans="12:12">
      <c r="L19975"/>
    </row>
    <row r="19976" spans="12:12">
      <c r="L19976"/>
    </row>
    <row r="19977" spans="12:12">
      <c r="L19977"/>
    </row>
    <row r="19978" spans="12:12">
      <c r="L19978"/>
    </row>
    <row r="19979" spans="12:12">
      <c r="L19979"/>
    </row>
    <row r="19980" spans="12:12">
      <c r="L19980"/>
    </row>
    <row r="19981" spans="12:12">
      <c r="L19981"/>
    </row>
    <row r="19982" spans="12:12">
      <c r="L19982"/>
    </row>
    <row r="19983" spans="12:12">
      <c r="L19983"/>
    </row>
    <row r="19984" spans="12:12">
      <c r="L19984"/>
    </row>
    <row r="19985" spans="12:12">
      <c r="L19985"/>
    </row>
    <row r="19986" spans="12:12">
      <c r="L19986"/>
    </row>
    <row r="19987" spans="12:12">
      <c r="L19987"/>
    </row>
    <row r="19988" spans="12:12">
      <c r="L19988"/>
    </row>
    <row r="19989" spans="12:12">
      <c r="L19989"/>
    </row>
    <row r="19990" spans="12:12">
      <c r="L19990"/>
    </row>
    <row r="19991" spans="12:12">
      <c r="L19991"/>
    </row>
    <row r="19992" spans="12:12">
      <c r="L19992"/>
    </row>
    <row r="19993" spans="12:12">
      <c r="L19993"/>
    </row>
    <row r="19994" spans="12:12">
      <c r="L19994"/>
    </row>
    <row r="19995" spans="12:12">
      <c r="L19995"/>
    </row>
    <row r="19996" spans="12:12">
      <c r="L19996"/>
    </row>
    <row r="19997" spans="12:12">
      <c r="L19997"/>
    </row>
    <row r="19998" spans="12:12">
      <c r="L19998"/>
    </row>
    <row r="19999" spans="12:12">
      <c r="L19999"/>
    </row>
    <row r="20000" spans="12:12">
      <c r="L20000"/>
    </row>
    <row r="20001" spans="12:12">
      <c r="L20001"/>
    </row>
    <row r="20002" spans="12:12">
      <c r="L20002"/>
    </row>
    <row r="20003" spans="12:12">
      <c r="L20003"/>
    </row>
    <row r="20004" spans="12:12">
      <c r="L20004"/>
    </row>
    <row r="20005" spans="12:12">
      <c r="L20005"/>
    </row>
    <row r="20006" spans="12:12">
      <c r="L20006"/>
    </row>
    <row r="20007" spans="12:12">
      <c r="L20007"/>
    </row>
    <row r="20008" spans="12:12">
      <c r="L20008"/>
    </row>
    <row r="20009" spans="12:12">
      <c r="L20009"/>
    </row>
    <row r="20010" spans="12:12">
      <c r="L20010"/>
    </row>
    <row r="20011" spans="12:12">
      <c r="L20011"/>
    </row>
    <row r="20012" spans="12:12">
      <c r="L20012"/>
    </row>
    <row r="20013" spans="12:12">
      <c r="L20013"/>
    </row>
    <row r="20014" spans="12:12">
      <c r="L20014"/>
    </row>
    <row r="20015" spans="12:12">
      <c r="L20015"/>
    </row>
    <row r="20016" spans="12:12">
      <c r="L20016"/>
    </row>
    <row r="20017" spans="12:12">
      <c r="L20017"/>
    </row>
    <row r="20018" spans="12:12">
      <c r="L20018"/>
    </row>
    <row r="20019" spans="12:12">
      <c r="L2001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9B715-85CF-4824-88E7-A63C142F02E8}">
  <dimension ref="A1:Q39"/>
  <sheetViews>
    <sheetView workbookViewId="0">
      <selection activeCell="B2" sqref="B2"/>
    </sheetView>
  </sheetViews>
  <sheetFormatPr defaultRowHeight="15"/>
  <cols>
    <col min="2" max="2" width="28.5703125" customWidth="1"/>
    <col min="3" max="3" width="13.85546875" customWidth="1"/>
    <col min="4" max="4" width="28.140625" customWidth="1"/>
    <col min="5" max="5" width="9.28515625" bestFit="1" customWidth="1"/>
    <col min="7" max="7" width="25.42578125" customWidth="1"/>
    <col min="8" max="8" width="20.5703125" customWidth="1"/>
    <col min="9" max="9" width="40" customWidth="1"/>
    <col min="10" max="10" width="33" customWidth="1"/>
    <col min="12" max="12" width="54.140625" customWidth="1"/>
    <col min="13" max="13" width="14.85546875" bestFit="1" customWidth="1"/>
    <col min="14" max="14" width="27.28515625" customWidth="1"/>
    <col min="15" max="15" width="11.28515625" bestFit="1" customWidth="1"/>
    <col min="16" max="17" width="11.5703125" bestFit="1" customWidth="1"/>
  </cols>
  <sheetData>
    <row r="1" spans="1:17" ht="30.75">
      <c r="A1" s="135" t="s">
        <v>274</v>
      </c>
      <c r="B1" s="136" t="s">
        <v>275</v>
      </c>
      <c r="C1" s="137" t="s">
        <v>276</v>
      </c>
      <c r="D1" s="137" t="s">
        <v>277</v>
      </c>
      <c r="E1" s="137" t="s">
        <v>0</v>
      </c>
      <c r="F1" s="137" t="s">
        <v>278</v>
      </c>
      <c r="G1" s="137" t="s">
        <v>279</v>
      </c>
      <c r="H1" s="137" t="s">
        <v>1</v>
      </c>
      <c r="I1" s="137" t="s">
        <v>280</v>
      </c>
      <c r="J1" s="137" t="s">
        <v>281</v>
      </c>
      <c r="K1" s="137" t="s">
        <v>3</v>
      </c>
      <c r="L1" s="138" t="s">
        <v>282</v>
      </c>
      <c r="M1" s="252" t="s">
        <v>1023</v>
      </c>
      <c r="N1" s="137" t="s">
        <v>283</v>
      </c>
      <c r="O1" s="137" t="s">
        <v>285</v>
      </c>
      <c r="P1" s="137" t="s">
        <v>286</v>
      </c>
      <c r="Q1" s="137" t="s">
        <v>287</v>
      </c>
    </row>
    <row r="2" spans="1:17" ht="15.75" hidden="1">
      <c r="A2" s="251">
        <v>1</v>
      </c>
      <c r="B2" s="59">
        <v>45748</v>
      </c>
      <c r="C2" s="58" t="str">
        <f>TEXT(B2,"dddd")</f>
        <v>Tuesday</v>
      </c>
      <c r="D2" s="182" t="s">
        <v>290</v>
      </c>
      <c r="E2" s="58" t="str">
        <f>TEXT(B2,"mmmm")</f>
        <v>April</v>
      </c>
      <c r="F2" s="58">
        <v>2025</v>
      </c>
      <c r="G2" s="182">
        <f t="shared" ref="G2:G39" si="0">(TEXT(RIGHT(D2,8), "hh:mm AM/PM") - TEXT(LEFT(D2,8), "hh:mm AM/PM")) * 24</f>
        <v>2.5000000000000004</v>
      </c>
      <c r="H2" s="58" t="s">
        <v>292</v>
      </c>
      <c r="I2" s="142" t="s">
        <v>293</v>
      </c>
      <c r="J2" s="58"/>
      <c r="K2" s="58" t="s">
        <v>101</v>
      </c>
      <c r="L2" s="234"/>
      <c r="M2" s="58"/>
      <c r="N2" s="182"/>
      <c r="O2" s="182"/>
      <c r="P2" s="58"/>
      <c r="Q2" s="58"/>
    </row>
    <row r="3" spans="1:17" ht="15.75" hidden="1">
      <c r="A3" s="251">
        <v>2</v>
      </c>
      <c r="B3" s="59">
        <v>45749</v>
      </c>
      <c r="C3" s="58" t="str">
        <f t="shared" ref="C3:C39" si="1">TEXT(B3,"dddd")</f>
        <v>Wednesday</v>
      </c>
      <c r="D3" s="182" t="s">
        <v>290</v>
      </c>
      <c r="E3" s="58" t="str">
        <f t="shared" ref="E3:E39" si="2">TEXT(B3,"mmmm")</f>
        <v>April</v>
      </c>
      <c r="F3" s="58">
        <v>2025</v>
      </c>
      <c r="G3" s="182">
        <f t="shared" si="0"/>
        <v>2.5000000000000004</v>
      </c>
      <c r="H3" s="58" t="s">
        <v>292</v>
      </c>
      <c r="I3" s="142" t="s">
        <v>293</v>
      </c>
      <c r="J3" s="58"/>
      <c r="K3" s="58" t="s">
        <v>101</v>
      </c>
      <c r="L3" s="234"/>
      <c r="M3" s="58"/>
      <c r="N3" s="182"/>
      <c r="O3" s="182"/>
      <c r="P3" s="58"/>
      <c r="Q3" s="58"/>
    </row>
    <row r="4" spans="1:17" ht="16.5">
      <c r="A4" s="251">
        <v>3</v>
      </c>
      <c r="B4" s="59">
        <v>45749</v>
      </c>
      <c r="C4" s="58" t="str">
        <f t="shared" si="1"/>
        <v>Wednesday</v>
      </c>
      <c r="D4" s="182" t="s">
        <v>295</v>
      </c>
      <c r="E4" s="58" t="str">
        <f t="shared" si="2"/>
        <v>April</v>
      </c>
      <c r="F4" s="58">
        <v>2025</v>
      </c>
      <c r="G4" s="182">
        <f t="shared" si="0"/>
        <v>2.5000000000000004</v>
      </c>
      <c r="H4" s="58" t="s">
        <v>8</v>
      </c>
      <c r="I4" s="142" t="s">
        <v>296</v>
      </c>
      <c r="J4" s="58"/>
      <c r="K4" s="58" t="s">
        <v>10</v>
      </c>
      <c r="L4" s="234" t="s">
        <v>297</v>
      </c>
      <c r="M4" s="58"/>
      <c r="N4" s="182"/>
      <c r="O4" s="182" t="s">
        <v>12</v>
      </c>
      <c r="P4" s="58"/>
      <c r="Q4" s="58"/>
    </row>
    <row r="5" spans="1:17" ht="15.75" hidden="1">
      <c r="A5" s="251">
        <v>4</v>
      </c>
      <c r="B5" s="59">
        <v>45750</v>
      </c>
      <c r="C5" s="58" t="str">
        <f t="shared" si="1"/>
        <v>Thursday</v>
      </c>
      <c r="D5" s="182" t="s">
        <v>299</v>
      </c>
      <c r="E5" s="58" t="str">
        <f t="shared" si="2"/>
        <v>April</v>
      </c>
      <c r="F5" s="58">
        <v>2025</v>
      </c>
      <c r="G5" s="182">
        <f t="shared" si="0"/>
        <v>1.9999999999999996</v>
      </c>
      <c r="H5" s="58" t="s">
        <v>292</v>
      </c>
      <c r="I5" s="142" t="s">
        <v>293</v>
      </c>
      <c r="J5" s="58"/>
      <c r="K5" s="58" t="s">
        <v>101</v>
      </c>
      <c r="L5" s="234"/>
      <c r="M5" s="58"/>
      <c r="N5" s="182"/>
      <c r="O5" s="182"/>
      <c r="P5" s="58"/>
      <c r="Q5" s="58"/>
    </row>
    <row r="6" spans="1:17" ht="16.5">
      <c r="A6" s="251">
        <v>5</v>
      </c>
      <c r="B6" s="59">
        <v>45750</v>
      </c>
      <c r="C6" s="58" t="str">
        <f t="shared" si="1"/>
        <v>Thursday</v>
      </c>
      <c r="D6" s="182" t="s">
        <v>295</v>
      </c>
      <c r="E6" s="58" t="str">
        <f t="shared" si="2"/>
        <v>April</v>
      </c>
      <c r="F6" s="58">
        <v>2025</v>
      </c>
      <c r="G6" s="182">
        <f t="shared" si="0"/>
        <v>2.5000000000000004</v>
      </c>
      <c r="H6" s="58" t="s">
        <v>8</v>
      </c>
      <c r="I6" s="142" t="s">
        <v>296</v>
      </c>
      <c r="J6" s="58"/>
      <c r="K6" s="58" t="s">
        <v>10</v>
      </c>
      <c r="L6" s="234" t="s">
        <v>300</v>
      </c>
      <c r="M6" s="58"/>
      <c r="N6" s="182"/>
      <c r="O6" s="182" t="s">
        <v>12</v>
      </c>
      <c r="P6" s="58"/>
      <c r="Q6" s="58"/>
    </row>
    <row r="7" spans="1:17" ht="15.75" hidden="1">
      <c r="A7" s="251">
        <v>6</v>
      </c>
      <c r="B7" s="59">
        <v>45751</v>
      </c>
      <c r="C7" s="58" t="str">
        <f t="shared" si="1"/>
        <v>Friday</v>
      </c>
      <c r="D7" s="182" t="s">
        <v>299</v>
      </c>
      <c r="E7" s="58" t="str">
        <f t="shared" si="2"/>
        <v>April</v>
      </c>
      <c r="F7" s="58">
        <v>2025</v>
      </c>
      <c r="G7" s="182">
        <f t="shared" si="0"/>
        <v>1.9999999999999996</v>
      </c>
      <c r="H7" s="58"/>
      <c r="I7" s="142"/>
      <c r="J7" s="58"/>
      <c r="K7" s="58"/>
      <c r="L7" s="234"/>
      <c r="M7" s="58"/>
      <c r="N7" s="182"/>
      <c r="O7" s="182"/>
      <c r="P7" s="58"/>
      <c r="Q7" s="58"/>
    </row>
    <row r="8" spans="1:17" ht="15.75" hidden="1">
      <c r="A8" s="251">
        <v>7</v>
      </c>
      <c r="B8" s="59">
        <v>45754</v>
      </c>
      <c r="C8" s="58" t="str">
        <f t="shared" si="1"/>
        <v>Monday</v>
      </c>
      <c r="D8" s="182" t="s">
        <v>303</v>
      </c>
      <c r="E8" s="58" t="str">
        <f t="shared" si="2"/>
        <v>April</v>
      </c>
      <c r="F8" s="58">
        <v>2025</v>
      </c>
      <c r="G8" s="182">
        <f t="shared" si="0"/>
        <v>3.9999999999999991</v>
      </c>
      <c r="H8" s="58"/>
      <c r="I8" s="142"/>
      <c r="J8" s="58"/>
      <c r="K8" s="58"/>
      <c r="L8" s="234"/>
      <c r="M8" s="58"/>
      <c r="N8" s="182"/>
      <c r="O8" s="182"/>
      <c r="P8" s="58"/>
      <c r="Q8" s="58"/>
    </row>
    <row r="9" spans="1:17" ht="15.75" hidden="1">
      <c r="A9" s="251">
        <v>8</v>
      </c>
      <c r="B9" s="59">
        <v>45755</v>
      </c>
      <c r="C9" s="58" t="str">
        <f t="shared" si="1"/>
        <v>Tuesday</v>
      </c>
      <c r="D9" s="182" t="s">
        <v>290</v>
      </c>
      <c r="E9" s="58" t="str">
        <f t="shared" si="2"/>
        <v>April</v>
      </c>
      <c r="F9" s="58">
        <v>2025</v>
      </c>
      <c r="G9" s="182">
        <f t="shared" si="0"/>
        <v>2.5000000000000004</v>
      </c>
      <c r="H9" s="58" t="s">
        <v>292</v>
      </c>
      <c r="I9" s="142" t="s">
        <v>293</v>
      </c>
      <c r="J9" s="58"/>
      <c r="K9" s="58" t="s">
        <v>101</v>
      </c>
      <c r="L9" s="234"/>
      <c r="M9" s="58"/>
      <c r="N9" s="182"/>
      <c r="O9" s="182"/>
      <c r="P9" s="58"/>
      <c r="Q9" s="58"/>
    </row>
    <row r="10" spans="1:17" ht="15.75" hidden="1">
      <c r="A10" s="251">
        <v>9</v>
      </c>
      <c r="B10" s="59">
        <v>45756</v>
      </c>
      <c r="C10" s="58" t="str">
        <f t="shared" si="1"/>
        <v>Wednesday</v>
      </c>
      <c r="D10" s="182" t="s">
        <v>290</v>
      </c>
      <c r="E10" s="58" t="str">
        <f t="shared" si="2"/>
        <v>April</v>
      </c>
      <c r="F10" s="58">
        <v>2025</v>
      </c>
      <c r="G10" s="182">
        <f t="shared" si="0"/>
        <v>2.5000000000000004</v>
      </c>
      <c r="H10" s="58" t="s">
        <v>292</v>
      </c>
      <c r="I10" s="142" t="s">
        <v>293</v>
      </c>
      <c r="J10" s="58"/>
      <c r="K10" s="58" t="s">
        <v>101</v>
      </c>
      <c r="L10" s="234"/>
      <c r="M10" s="58"/>
      <c r="N10" s="182"/>
      <c r="O10" s="182"/>
      <c r="P10" s="58"/>
      <c r="Q10" s="58"/>
    </row>
    <row r="11" spans="1:17" ht="16.5">
      <c r="A11" s="251">
        <v>10</v>
      </c>
      <c r="B11" s="59">
        <v>45756</v>
      </c>
      <c r="C11" s="58" t="str">
        <f t="shared" si="1"/>
        <v>Wednesday</v>
      </c>
      <c r="D11" s="182" t="s">
        <v>295</v>
      </c>
      <c r="E11" s="58" t="str">
        <f t="shared" si="2"/>
        <v>April</v>
      </c>
      <c r="F11" s="58">
        <v>2025</v>
      </c>
      <c r="G11" s="182">
        <f t="shared" si="0"/>
        <v>2.5000000000000004</v>
      </c>
      <c r="H11" s="58" t="s">
        <v>8</v>
      </c>
      <c r="I11" s="142" t="s">
        <v>296</v>
      </c>
      <c r="J11" s="58"/>
      <c r="K11" s="58" t="s">
        <v>10</v>
      </c>
      <c r="L11" s="234" t="s">
        <v>304</v>
      </c>
      <c r="M11" s="58"/>
      <c r="N11" s="182"/>
      <c r="O11" s="182" t="s">
        <v>14</v>
      </c>
      <c r="P11" s="58"/>
      <c r="Q11" s="58"/>
    </row>
    <row r="12" spans="1:17" ht="15.75" hidden="1">
      <c r="A12" s="251">
        <v>11</v>
      </c>
      <c r="B12" s="59">
        <v>45757</v>
      </c>
      <c r="C12" s="58" t="str">
        <f t="shared" si="1"/>
        <v>Thursday</v>
      </c>
      <c r="D12" s="182" t="s">
        <v>303</v>
      </c>
      <c r="E12" s="58" t="str">
        <f t="shared" si="2"/>
        <v>April</v>
      </c>
      <c r="F12" s="58">
        <v>2025</v>
      </c>
      <c r="G12" s="182">
        <f t="shared" si="0"/>
        <v>3.9999999999999991</v>
      </c>
      <c r="H12" s="58" t="s">
        <v>292</v>
      </c>
      <c r="I12" s="142" t="s">
        <v>293</v>
      </c>
      <c r="J12" s="58"/>
      <c r="K12" s="58" t="s">
        <v>101</v>
      </c>
      <c r="L12" s="234"/>
      <c r="M12" s="58"/>
      <c r="N12" s="182"/>
      <c r="O12" s="182"/>
      <c r="P12" s="58"/>
      <c r="Q12" s="58"/>
    </row>
    <row r="13" spans="1:17" ht="16.5">
      <c r="A13" s="251">
        <v>12</v>
      </c>
      <c r="B13" s="59">
        <v>45757</v>
      </c>
      <c r="C13" s="58" t="str">
        <f t="shared" si="1"/>
        <v>Thursday</v>
      </c>
      <c r="D13" s="182" t="s">
        <v>295</v>
      </c>
      <c r="E13" s="58" t="str">
        <f t="shared" si="2"/>
        <v>April</v>
      </c>
      <c r="F13" s="58">
        <v>2025</v>
      </c>
      <c r="G13" s="182">
        <f t="shared" si="0"/>
        <v>2.5000000000000004</v>
      </c>
      <c r="H13" s="58" t="s">
        <v>8</v>
      </c>
      <c r="I13" s="142" t="s">
        <v>296</v>
      </c>
      <c r="J13" s="58"/>
      <c r="K13" s="58" t="s">
        <v>10</v>
      </c>
      <c r="L13" s="234" t="s">
        <v>305</v>
      </c>
      <c r="M13" s="58"/>
      <c r="N13" s="182"/>
      <c r="O13" s="182" t="s">
        <v>14</v>
      </c>
      <c r="P13" s="58"/>
      <c r="Q13" s="58"/>
    </row>
    <row r="14" spans="1:17" ht="15.75" hidden="1">
      <c r="A14" s="251">
        <v>13</v>
      </c>
      <c r="B14" s="59">
        <v>45758</v>
      </c>
      <c r="C14" s="58" t="str">
        <f t="shared" si="1"/>
        <v>Friday</v>
      </c>
      <c r="D14" s="182" t="s">
        <v>303</v>
      </c>
      <c r="E14" s="58" t="str">
        <f t="shared" si="2"/>
        <v>April</v>
      </c>
      <c r="F14" s="58">
        <v>2025</v>
      </c>
      <c r="G14" s="182">
        <f t="shared" si="0"/>
        <v>3.9999999999999991</v>
      </c>
      <c r="H14" s="58"/>
      <c r="I14" s="142"/>
      <c r="J14" s="58"/>
      <c r="K14" s="58"/>
      <c r="L14" s="234"/>
      <c r="M14" s="58"/>
      <c r="N14" s="182"/>
      <c r="O14" s="182"/>
      <c r="P14" s="58"/>
      <c r="Q14" s="58"/>
    </row>
    <row r="15" spans="1:17" ht="15.75" hidden="1">
      <c r="A15" s="251">
        <v>14</v>
      </c>
      <c r="B15" s="59">
        <v>45761</v>
      </c>
      <c r="C15" s="58" t="str">
        <f t="shared" si="1"/>
        <v>Monday</v>
      </c>
      <c r="D15" s="182" t="s">
        <v>303</v>
      </c>
      <c r="E15" s="58" t="str">
        <f t="shared" si="2"/>
        <v>April</v>
      </c>
      <c r="F15" s="58">
        <v>2025</v>
      </c>
      <c r="G15" s="182">
        <f t="shared" si="0"/>
        <v>3.9999999999999991</v>
      </c>
      <c r="H15" s="58"/>
      <c r="I15" s="142"/>
      <c r="J15" s="58"/>
      <c r="K15" s="58"/>
      <c r="L15" s="234"/>
      <c r="M15" s="58"/>
      <c r="N15" s="182"/>
      <c r="O15" s="182"/>
      <c r="P15" s="58"/>
      <c r="Q15" s="58"/>
    </row>
    <row r="16" spans="1:17" ht="15.75" hidden="1">
      <c r="A16" s="251">
        <v>15</v>
      </c>
      <c r="B16" s="59">
        <v>45762</v>
      </c>
      <c r="C16" s="58" t="str">
        <f t="shared" si="1"/>
        <v>Tuesday</v>
      </c>
      <c r="D16" s="182" t="s">
        <v>290</v>
      </c>
      <c r="E16" s="58" t="str">
        <f t="shared" si="2"/>
        <v>April</v>
      </c>
      <c r="F16" s="58">
        <v>2025</v>
      </c>
      <c r="G16" s="182">
        <f t="shared" si="0"/>
        <v>2.5000000000000004</v>
      </c>
      <c r="H16" s="58" t="s">
        <v>292</v>
      </c>
      <c r="I16" s="142" t="s">
        <v>293</v>
      </c>
      <c r="J16" s="58"/>
      <c r="K16" s="58" t="s">
        <v>101</v>
      </c>
      <c r="L16" s="234"/>
      <c r="M16" s="58"/>
      <c r="N16" s="182"/>
      <c r="O16" s="182"/>
      <c r="P16" s="58"/>
      <c r="Q16" s="58"/>
    </row>
    <row r="17" spans="1:17" ht="15.75" hidden="1">
      <c r="A17" s="251">
        <v>16</v>
      </c>
      <c r="B17" s="59">
        <v>45763</v>
      </c>
      <c r="C17" s="58" t="str">
        <f t="shared" si="1"/>
        <v>Wednesday</v>
      </c>
      <c r="D17" s="182" t="s">
        <v>290</v>
      </c>
      <c r="E17" s="58" t="str">
        <f t="shared" si="2"/>
        <v>April</v>
      </c>
      <c r="F17" s="58">
        <v>2025</v>
      </c>
      <c r="G17" s="182">
        <f t="shared" si="0"/>
        <v>2.5000000000000004</v>
      </c>
      <c r="H17" s="58" t="s">
        <v>292</v>
      </c>
      <c r="I17" s="142" t="s">
        <v>293</v>
      </c>
      <c r="J17" s="58"/>
      <c r="K17" s="58" t="s">
        <v>101</v>
      </c>
      <c r="L17" s="234"/>
      <c r="M17" s="58"/>
      <c r="N17" s="182"/>
      <c r="O17" s="182"/>
      <c r="P17" s="58"/>
      <c r="Q17" s="58"/>
    </row>
    <row r="18" spans="1:17" ht="16.5">
      <c r="A18" s="251">
        <v>17</v>
      </c>
      <c r="B18" s="59">
        <v>45763</v>
      </c>
      <c r="C18" s="58" t="str">
        <f t="shared" si="1"/>
        <v>Wednesday</v>
      </c>
      <c r="D18" s="182" t="s">
        <v>295</v>
      </c>
      <c r="E18" s="58" t="str">
        <f t="shared" si="2"/>
        <v>April</v>
      </c>
      <c r="F18" s="58">
        <v>2025</v>
      </c>
      <c r="G18" s="182">
        <f t="shared" si="0"/>
        <v>2.5000000000000004</v>
      </c>
      <c r="H18" s="58" t="s">
        <v>8</v>
      </c>
      <c r="I18" s="142" t="s">
        <v>296</v>
      </c>
      <c r="J18" s="58"/>
      <c r="K18" s="58" t="s">
        <v>10</v>
      </c>
      <c r="L18" s="234" t="s">
        <v>306</v>
      </c>
      <c r="M18" s="58"/>
      <c r="N18" s="182"/>
      <c r="O18" s="182" t="s">
        <v>14</v>
      </c>
      <c r="P18" s="58"/>
      <c r="Q18" s="58"/>
    </row>
    <row r="19" spans="1:17" ht="15.75" hidden="1">
      <c r="A19" s="251">
        <v>18</v>
      </c>
      <c r="B19" s="59">
        <v>45764</v>
      </c>
      <c r="C19" s="58" t="str">
        <f t="shared" si="1"/>
        <v>Thursday</v>
      </c>
      <c r="D19" s="182" t="s">
        <v>303</v>
      </c>
      <c r="E19" s="58" t="str">
        <f t="shared" si="2"/>
        <v>April</v>
      </c>
      <c r="F19" s="58">
        <v>2025</v>
      </c>
      <c r="G19" s="182">
        <f t="shared" si="0"/>
        <v>3.9999999999999991</v>
      </c>
      <c r="H19" s="58" t="s">
        <v>292</v>
      </c>
      <c r="I19" s="142" t="s">
        <v>293</v>
      </c>
      <c r="J19" s="58"/>
      <c r="K19" s="58" t="s">
        <v>101</v>
      </c>
      <c r="L19" s="234"/>
      <c r="M19" s="58"/>
      <c r="N19" s="182"/>
      <c r="O19" s="182"/>
      <c r="P19" s="58"/>
      <c r="Q19" s="58"/>
    </row>
    <row r="20" spans="1:17" ht="16.5">
      <c r="A20" s="251">
        <v>19</v>
      </c>
      <c r="B20" s="59">
        <v>45764</v>
      </c>
      <c r="C20" s="58" t="str">
        <f t="shared" si="1"/>
        <v>Thursday</v>
      </c>
      <c r="D20" s="182" t="s">
        <v>295</v>
      </c>
      <c r="E20" s="58" t="str">
        <f t="shared" si="2"/>
        <v>April</v>
      </c>
      <c r="F20" s="58">
        <v>2025</v>
      </c>
      <c r="G20" s="182">
        <f t="shared" si="0"/>
        <v>2.5000000000000004</v>
      </c>
      <c r="H20" s="58" t="s">
        <v>8</v>
      </c>
      <c r="I20" s="142" t="s">
        <v>296</v>
      </c>
      <c r="J20" s="58"/>
      <c r="K20" s="58" t="s">
        <v>10</v>
      </c>
      <c r="L20" s="234" t="s">
        <v>307</v>
      </c>
      <c r="M20" s="58"/>
      <c r="N20" s="182"/>
      <c r="O20" s="182" t="s">
        <v>14</v>
      </c>
      <c r="P20" s="58"/>
      <c r="Q20" s="58"/>
    </row>
    <row r="21" spans="1:17" ht="15.75" hidden="1">
      <c r="A21" s="251">
        <v>20</v>
      </c>
      <c r="B21" s="59">
        <v>45768</v>
      </c>
      <c r="C21" s="58" t="str">
        <f t="shared" si="1"/>
        <v>Monday</v>
      </c>
      <c r="D21" s="182" t="s">
        <v>303</v>
      </c>
      <c r="E21" s="58" t="str">
        <f t="shared" si="2"/>
        <v>April</v>
      </c>
      <c r="F21" s="58">
        <v>2025</v>
      </c>
      <c r="G21" s="182">
        <f t="shared" si="0"/>
        <v>3.9999999999999991</v>
      </c>
      <c r="H21" s="58"/>
      <c r="I21" s="142"/>
      <c r="J21" s="58"/>
      <c r="K21" s="58"/>
      <c r="L21" s="234"/>
      <c r="M21" s="58"/>
      <c r="N21" s="182"/>
      <c r="O21" s="182"/>
      <c r="P21" s="58"/>
      <c r="Q21" s="58"/>
    </row>
    <row r="22" spans="1:17" ht="15.75" hidden="1">
      <c r="A22" s="251">
        <v>21</v>
      </c>
      <c r="B22" s="59">
        <v>45769</v>
      </c>
      <c r="C22" s="58" t="str">
        <f t="shared" si="1"/>
        <v>Tuesday</v>
      </c>
      <c r="D22" s="182" t="s">
        <v>290</v>
      </c>
      <c r="E22" s="58" t="str">
        <f t="shared" si="2"/>
        <v>April</v>
      </c>
      <c r="F22" s="58">
        <v>2025</v>
      </c>
      <c r="G22" s="182">
        <f t="shared" si="0"/>
        <v>2.5000000000000004</v>
      </c>
      <c r="H22" s="58" t="s">
        <v>292</v>
      </c>
      <c r="I22" s="142" t="s">
        <v>293</v>
      </c>
      <c r="J22" s="58"/>
      <c r="K22" s="58" t="s">
        <v>101</v>
      </c>
      <c r="L22" s="234"/>
      <c r="M22" s="58"/>
      <c r="N22" s="182"/>
      <c r="O22" s="182"/>
      <c r="P22" s="58"/>
      <c r="Q22" s="58"/>
    </row>
    <row r="23" spans="1:17" ht="15.75" hidden="1">
      <c r="A23" s="251">
        <v>22</v>
      </c>
      <c r="B23" s="59">
        <v>45770</v>
      </c>
      <c r="C23" s="58" t="str">
        <f t="shared" si="1"/>
        <v>Wednesday</v>
      </c>
      <c r="D23" s="182" t="s">
        <v>290</v>
      </c>
      <c r="E23" s="58" t="str">
        <f t="shared" si="2"/>
        <v>April</v>
      </c>
      <c r="F23" s="58">
        <v>2025</v>
      </c>
      <c r="G23" s="182">
        <f t="shared" si="0"/>
        <v>2.5000000000000004</v>
      </c>
      <c r="H23" s="58" t="s">
        <v>292</v>
      </c>
      <c r="I23" s="142" t="s">
        <v>293</v>
      </c>
      <c r="J23" s="58"/>
      <c r="K23" s="58" t="s">
        <v>101</v>
      </c>
      <c r="L23" s="234"/>
      <c r="M23" s="58"/>
      <c r="N23" s="182"/>
      <c r="O23" s="182"/>
      <c r="P23" s="58"/>
      <c r="Q23" s="58"/>
    </row>
    <row r="24" spans="1:17" ht="16.5">
      <c r="A24" s="251">
        <v>23</v>
      </c>
      <c r="B24" s="59">
        <v>45770</v>
      </c>
      <c r="C24" s="58" t="str">
        <f t="shared" si="1"/>
        <v>Wednesday</v>
      </c>
      <c r="D24" s="182" t="s">
        <v>295</v>
      </c>
      <c r="E24" s="58" t="str">
        <f t="shared" si="2"/>
        <v>April</v>
      </c>
      <c r="F24" s="58">
        <v>2025</v>
      </c>
      <c r="G24" s="182">
        <f t="shared" si="0"/>
        <v>2.5000000000000004</v>
      </c>
      <c r="H24" s="58" t="s">
        <v>8</v>
      </c>
      <c r="I24" s="142" t="s">
        <v>296</v>
      </c>
      <c r="J24" s="58"/>
      <c r="K24" s="58" t="s">
        <v>10</v>
      </c>
      <c r="L24" s="234" t="s">
        <v>308</v>
      </c>
      <c r="M24" s="58"/>
      <c r="N24" s="182"/>
      <c r="O24" s="182" t="s">
        <v>12</v>
      </c>
      <c r="P24" s="58"/>
      <c r="Q24" s="58"/>
    </row>
    <row r="25" spans="1:17" ht="15.75" hidden="1">
      <c r="A25" s="251">
        <v>24</v>
      </c>
      <c r="B25" s="59">
        <v>45771</v>
      </c>
      <c r="C25" s="58" t="str">
        <f t="shared" si="1"/>
        <v>Thursday</v>
      </c>
      <c r="D25" s="182" t="s">
        <v>299</v>
      </c>
      <c r="E25" s="58" t="str">
        <f t="shared" si="2"/>
        <v>April</v>
      </c>
      <c r="F25" s="58">
        <v>2025</v>
      </c>
      <c r="G25" s="182">
        <f t="shared" si="0"/>
        <v>1.9999999999999996</v>
      </c>
      <c r="H25" s="58" t="s">
        <v>292</v>
      </c>
      <c r="I25" s="142" t="s">
        <v>293</v>
      </c>
      <c r="J25" s="58"/>
      <c r="K25" s="58" t="s">
        <v>101</v>
      </c>
      <c r="L25" s="234"/>
      <c r="M25" s="58"/>
      <c r="N25" s="182"/>
      <c r="O25" s="182"/>
      <c r="P25" s="58"/>
      <c r="Q25" s="58"/>
    </row>
    <row r="26" spans="1:17" ht="16.5">
      <c r="A26" s="251">
        <v>25</v>
      </c>
      <c r="B26" s="59">
        <v>45771</v>
      </c>
      <c r="C26" s="58" t="str">
        <f t="shared" si="1"/>
        <v>Thursday</v>
      </c>
      <c r="D26" s="182" t="s">
        <v>295</v>
      </c>
      <c r="E26" s="58" t="str">
        <f t="shared" si="2"/>
        <v>April</v>
      </c>
      <c r="F26" s="58">
        <v>2025</v>
      </c>
      <c r="G26" s="182">
        <f t="shared" si="0"/>
        <v>2.5000000000000004</v>
      </c>
      <c r="H26" s="58" t="s">
        <v>8</v>
      </c>
      <c r="I26" s="142" t="s">
        <v>296</v>
      </c>
      <c r="J26" s="58"/>
      <c r="K26" s="58" t="s">
        <v>10</v>
      </c>
      <c r="L26" s="234" t="s">
        <v>309</v>
      </c>
      <c r="M26" s="58"/>
      <c r="N26" s="182"/>
      <c r="O26" s="182" t="s">
        <v>11</v>
      </c>
      <c r="P26" s="58"/>
      <c r="Q26" s="58"/>
    </row>
    <row r="27" spans="1:17" ht="15.75" hidden="1">
      <c r="A27" s="251">
        <v>26</v>
      </c>
      <c r="B27" s="59">
        <v>45772</v>
      </c>
      <c r="C27" s="58" t="str">
        <f t="shared" si="1"/>
        <v>Friday</v>
      </c>
      <c r="D27" s="182" t="s">
        <v>303</v>
      </c>
      <c r="E27" s="58" t="str">
        <f t="shared" si="2"/>
        <v>April</v>
      </c>
      <c r="F27" s="58">
        <v>2025</v>
      </c>
      <c r="G27" s="182">
        <f t="shared" si="0"/>
        <v>3.9999999999999991</v>
      </c>
      <c r="H27" s="58"/>
      <c r="I27" s="142"/>
      <c r="J27" s="58"/>
      <c r="K27" s="58"/>
      <c r="L27" s="234"/>
      <c r="M27" s="58"/>
      <c r="N27" s="182"/>
      <c r="O27" s="182"/>
      <c r="P27" s="58"/>
      <c r="Q27" s="58"/>
    </row>
    <row r="28" spans="1:17" ht="15.75" hidden="1">
      <c r="A28" s="251">
        <v>27</v>
      </c>
      <c r="B28" s="59">
        <v>45775</v>
      </c>
      <c r="C28" s="58" t="str">
        <f t="shared" si="1"/>
        <v>Monday</v>
      </c>
      <c r="D28" s="182" t="s">
        <v>303</v>
      </c>
      <c r="E28" s="58" t="str">
        <f t="shared" si="2"/>
        <v>April</v>
      </c>
      <c r="F28" s="58">
        <v>2025</v>
      </c>
      <c r="G28" s="182">
        <f t="shared" si="0"/>
        <v>3.9999999999999991</v>
      </c>
      <c r="H28" s="58"/>
      <c r="I28" s="142"/>
      <c r="J28" s="58"/>
      <c r="K28" s="58"/>
      <c r="L28" s="234"/>
      <c r="M28" s="58"/>
      <c r="N28" s="182"/>
      <c r="O28" s="182"/>
      <c r="P28" s="58"/>
      <c r="Q28" s="58"/>
    </row>
    <row r="29" spans="1:17" ht="15.75" hidden="1">
      <c r="A29" s="251">
        <v>28</v>
      </c>
      <c r="B29" s="59">
        <v>45776</v>
      </c>
      <c r="C29" s="58" t="str">
        <f t="shared" si="1"/>
        <v>Tuesday</v>
      </c>
      <c r="D29" s="182" t="s">
        <v>290</v>
      </c>
      <c r="E29" s="58" t="str">
        <f t="shared" si="2"/>
        <v>April</v>
      </c>
      <c r="F29" s="58">
        <v>2025</v>
      </c>
      <c r="G29" s="182">
        <f t="shared" si="0"/>
        <v>2.5000000000000004</v>
      </c>
      <c r="H29" s="58" t="s">
        <v>292</v>
      </c>
      <c r="I29" s="142" t="s">
        <v>293</v>
      </c>
      <c r="J29" s="58"/>
      <c r="K29" s="58" t="s">
        <v>101</v>
      </c>
      <c r="L29" s="234"/>
      <c r="M29" s="58"/>
      <c r="N29" s="182"/>
      <c r="O29" s="182"/>
      <c r="P29" s="58"/>
      <c r="Q29" s="58"/>
    </row>
    <row r="30" spans="1:17" ht="32.25">
      <c r="A30" s="251">
        <v>29</v>
      </c>
      <c r="B30" s="59">
        <v>45784</v>
      </c>
      <c r="C30" s="58" t="str">
        <f t="shared" si="1"/>
        <v>Wednesday</v>
      </c>
      <c r="D30" s="182" t="s">
        <v>317</v>
      </c>
      <c r="E30" s="58" t="str">
        <f t="shared" si="2"/>
        <v>May</v>
      </c>
      <c r="F30" s="58">
        <v>2025</v>
      </c>
      <c r="G30" s="182">
        <f t="shared" si="0"/>
        <v>4</v>
      </c>
      <c r="H30" s="58" t="s">
        <v>8</v>
      </c>
      <c r="I30" s="142" t="s">
        <v>296</v>
      </c>
      <c r="J30" s="58"/>
      <c r="K30" s="58" t="s">
        <v>10</v>
      </c>
      <c r="L30" s="234" t="s">
        <v>319</v>
      </c>
      <c r="M30" s="58"/>
      <c r="N30" s="182"/>
      <c r="O30" s="182" t="s">
        <v>23</v>
      </c>
      <c r="P30" s="58"/>
      <c r="Q30" s="58"/>
    </row>
    <row r="31" spans="1:17" ht="32.25">
      <c r="A31" s="251">
        <v>30</v>
      </c>
      <c r="B31" s="59">
        <v>45785</v>
      </c>
      <c r="C31" s="58" t="str">
        <f t="shared" si="1"/>
        <v>Thursday</v>
      </c>
      <c r="D31" s="182" t="s">
        <v>320</v>
      </c>
      <c r="E31" s="58" t="str">
        <f t="shared" si="2"/>
        <v>May</v>
      </c>
      <c r="F31" s="58">
        <v>2025</v>
      </c>
      <c r="G31" s="182">
        <f t="shared" si="0"/>
        <v>13.999999999999998</v>
      </c>
      <c r="H31" s="58" t="s">
        <v>8</v>
      </c>
      <c r="I31" s="142" t="s">
        <v>296</v>
      </c>
      <c r="J31" s="58"/>
      <c r="K31" s="58" t="s">
        <v>10</v>
      </c>
      <c r="L31" s="234" t="s">
        <v>321</v>
      </c>
      <c r="M31" s="58"/>
      <c r="N31" s="182"/>
      <c r="O31" s="182" t="s">
        <v>14</v>
      </c>
      <c r="P31" s="58"/>
      <c r="Q31" s="58"/>
    </row>
    <row r="32" spans="1:17" ht="16.5">
      <c r="A32" s="251">
        <v>31</v>
      </c>
      <c r="B32" s="59">
        <v>45787</v>
      </c>
      <c r="C32" s="58" t="str">
        <f t="shared" si="1"/>
        <v>Saturday</v>
      </c>
      <c r="D32" s="182" t="s">
        <v>295</v>
      </c>
      <c r="E32" s="58" t="str">
        <f t="shared" si="2"/>
        <v>May</v>
      </c>
      <c r="F32" s="58">
        <v>2025</v>
      </c>
      <c r="G32" s="182">
        <f t="shared" si="0"/>
        <v>2.5000000000000004</v>
      </c>
      <c r="H32" s="58" t="s">
        <v>8</v>
      </c>
      <c r="I32" s="142" t="s">
        <v>296</v>
      </c>
      <c r="J32" s="58"/>
      <c r="K32" s="58" t="s">
        <v>10</v>
      </c>
      <c r="L32" s="234" t="s">
        <v>323</v>
      </c>
      <c r="M32" s="58"/>
      <c r="N32" s="182"/>
      <c r="O32" s="182" t="s">
        <v>14</v>
      </c>
      <c r="P32" s="58"/>
      <c r="Q32" s="58"/>
    </row>
    <row r="33" spans="1:17" ht="16.5">
      <c r="A33" s="251">
        <v>32</v>
      </c>
      <c r="B33" s="59">
        <v>45788</v>
      </c>
      <c r="C33" s="58" t="str">
        <f t="shared" si="1"/>
        <v>Sunday</v>
      </c>
      <c r="D33" s="182" t="s">
        <v>295</v>
      </c>
      <c r="E33" s="58" t="str">
        <f t="shared" si="2"/>
        <v>May</v>
      </c>
      <c r="F33" s="58">
        <v>2025</v>
      </c>
      <c r="G33" s="182">
        <f t="shared" si="0"/>
        <v>2.5000000000000004</v>
      </c>
      <c r="H33" s="58" t="s">
        <v>8</v>
      </c>
      <c r="I33" s="142" t="s">
        <v>296</v>
      </c>
      <c r="J33" s="58"/>
      <c r="K33" s="58" t="s">
        <v>10</v>
      </c>
      <c r="L33" s="234" t="s">
        <v>325</v>
      </c>
      <c r="M33" s="58"/>
      <c r="N33" s="182"/>
      <c r="O33" s="182" t="s">
        <v>23</v>
      </c>
      <c r="P33" s="58"/>
      <c r="Q33" s="58"/>
    </row>
    <row r="34" spans="1:17" ht="16.5">
      <c r="A34" s="251">
        <v>33</v>
      </c>
      <c r="B34" s="59">
        <v>45791</v>
      </c>
      <c r="C34" s="58" t="str">
        <f t="shared" si="1"/>
        <v>Wednesday</v>
      </c>
      <c r="D34" s="182" t="s">
        <v>320</v>
      </c>
      <c r="E34" s="58" t="str">
        <f t="shared" si="2"/>
        <v>May</v>
      </c>
      <c r="F34" s="58">
        <v>2025</v>
      </c>
      <c r="G34" s="182">
        <f t="shared" si="0"/>
        <v>13.999999999999998</v>
      </c>
      <c r="H34" s="58" t="s">
        <v>8</v>
      </c>
      <c r="I34" s="142" t="s">
        <v>296</v>
      </c>
      <c r="J34" s="58"/>
      <c r="K34" s="58" t="s">
        <v>10</v>
      </c>
      <c r="L34" s="234" t="s">
        <v>326</v>
      </c>
      <c r="M34" s="58"/>
      <c r="N34" s="182"/>
      <c r="O34" s="182" t="s">
        <v>23</v>
      </c>
      <c r="P34" s="58"/>
      <c r="Q34" s="58"/>
    </row>
    <row r="35" spans="1:17" ht="16.5">
      <c r="A35" s="251">
        <v>34</v>
      </c>
      <c r="B35" s="59">
        <v>45792</v>
      </c>
      <c r="C35" s="58" t="str">
        <f t="shared" si="1"/>
        <v>Thursday</v>
      </c>
      <c r="D35" s="182" t="s">
        <v>295</v>
      </c>
      <c r="E35" s="58" t="str">
        <f t="shared" si="2"/>
        <v>May</v>
      </c>
      <c r="F35" s="58">
        <v>2025</v>
      </c>
      <c r="G35" s="182">
        <f t="shared" si="0"/>
        <v>2.5000000000000004</v>
      </c>
      <c r="H35" s="58" t="s">
        <v>8</v>
      </c>
      <c r="I35" s="142" t="s">
        <v>296</v>
      </c>
      <c r="J35" s="58"/>
      <c r="K35" s="58" t="s">
        <v>10</v>
      </c>
      <c r="L35" s="234" t="s">
        <v>327</v>
      </c>
      <c r="M35" s="58"/>
      <c r="N35" s="182"/>
      <c r="O35" s="182" t="s">
        <v>23</v>
      </c>
      <c r="P35" s="58"/>
      <c r="Q35" s="58"/>
    </row>
    <row r="36" spans="1:17" ht="32.25">
      <c r="A36" s="251">
        <v>35</v>
      </c>
      <c r="B36" s="59">
        <v>45798</v>
      </c>
      <c r="C36" s="58" t="str">
        <f t="shared" si="1"/>
        <v>Wednesday</v>
      </c>
      <c r="D36" s="182" t="s">
        <v>320</v>
      </c>
      <c r="E36" s="58" t="str">
        <f t="shared" si="2"/>
        <v>May</v>
      </c>
      <c r="F36" s="58">
        <v>2025</v>
      </c>
      <c r="G36" s="182">
        <f t="shared" si="0"/>
        <v>13.999999999999998</v>
      </c>
      <c r="H36" s="58" t="s">
        <v>8</v>
      </c>
      <c r="I36" s="142" t="s">
        <v>296</v>
      </c>
      <c r="J36" s="58"/>
      <c r="K36" s="58" t="s">
        <v>10</v>
      </c>
      <c r="L36" s="234" t="s">
        <v>329</v>
      </c>
      <c r="M36" s="58"/>
      <c r="N36" s="182"/>
      <c r="O36" s="182" t="s">
        <v>12</v>
      </c>
      <c r="P36" s="58"/>
      <c r="Q36" s="58"/>
    </row>
    <row r="37" spans="1:17" ht="16.5">
      <c r="A37" s="251">
        <v>36</v>
      </c>
      <c r="B37" s="59">
        <v>45799</v>
      </c>
      <c r="C37" s="58" t="str">
        <f t="shared" si="1"/>
        <v>Thursday</v>
      </c>
      <c r="D37" s="182" t="s">
        <v>295</v>
      </c>
      <c r="E37" s="58" t="str">
        <f t="shared" si="2"/>
        <v>May</v>
      </c>
      <c r="F37" s="58">
        <v>2025</v>
      </c>
      <c r="G37" s="182">
        <f t="shared" si="0"/>
        <v>2.5000000000000004</v>
      </c>
      <c r="H37" s="58" t="s">
        <v>8</v>
      </c>
      <c r="I37" s="142" t="s">
        <v>296</v>
      </c>
      <c r="J37" s="58"/>
      <c r="K37" s="58" t="s">
        <v>10</v>
      </c>
      <c r="L37" s="234" t="s">
        <v>330</v>
      </c>
      <c r="M37" s="58"/>
      <c r="N37" s="182"/>
      <c r="O37" s="182" t="s">
        <v>14</v>
      </c>
      <c r="P37" s="58"/>
      <c r="Q37" s="58"/>
    </row>
    <row r="38" spans="1:17" ht="16.5">
      <c r="A38" s="251">
        <v>37</v>
      </c>
      <c r="B38" s="59">
        <v>45805</v>
      </c>
      <c r="C38" s="58" t="str">
        <f t="shared" si="1"/>
        <v>Wednesday</v>
      </c>
      <c r="D38" s="182" t="s">
        <v>295</v>
      </c>
      <c r="E38" s="58" t="str">
        <f t="shared" si="2"/>
        <v>May</v>
      </c>
      <c r="F38" s="58">
        <v>2025</v>
      </c>
      <c r="G38" s="182">
        <f t="shared" si="0"/>
        <v>2.5000000000000004</v>
      </c>
      <c r="H38" s="58" t="s">
        <v>8</v>
      </c>
      <c r="I38" s="142" t="s">
        <v>296</v>
      </c>
      <c r="J38" s="58"/>
      <c r="K38" s="58" t="s">
        <v>10</v>
      </c>
      <c r="L38" s="234" t="s">
        <v>333</v>
      </c>
      <c r="M38" s="58"/>
      <c r="N38" s="182"/>
      <c r="O38" s="182" t="s">
        <v>12</v>
      </c>
      <c r="P38" s="58"/>
      <c r="Q38" s="58"/>
    </row>
    <row r="39" spans="1:17" ht="16.5">
      <c r="A39" s="253">
        <v>38</v>
      </c>
      <c r="B39" s="101">
        <v>45806</v>
      </c>
      <c r="C39" s="100" t="str">
        <f t="shared" si="1"/>
        <v>Thursday</v>
      </c>
      <c r="D39" s="254" t="s">
        <v>295</v>
      </c>
      <c r="E39" s="100" t="str">
        <f t="shared" si="2"/>
        <v>May</v>
      </c>
      <c r="F39" s="100">
        <v>2025</v>
      </c>
      <c r="G39" s="254">
        <f t="shared" si="0"/>
        <v>2.5000000000000004</v>
      </c>
      <c r="H39" s="100" t="s">
        <v>8</v>
      </c>
      <c r="I39" s="147" t="s">
        <v>296</v>
      </c>
      <c r="J39" s="100"/>
      <c r="K39" s="100" t="s">
        <v>10</v>
      </c>
      <c r="L39" s="255" t="s">
        <v>335</v>
      </c>
      <c r="M39" s="100"/>
      <c r="N39" s="254"/>
      <c r="O39" s="254" t="s">
        <v>14</v>
      </c>
      <c r="P39" s="100"/>
      <c r="Q39" s="10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1626-A1C4-4920-BB2E-242A20263EF1}">
  <dimension ref="A1:Q19"/>
  <sheetViews>
    <sheetView workbookViewId="0"/>
  </sheetViews>
  <sheetFormatPr defaultRowHeight="15"/>
  <cols>
    <col min="2" max="2" width="19.42578125" customWidth="1"/>
    <col min="3" max="3" width="13.42578125" customWidth="1"/>
    <col min="4" max="4" width="23.5703125" customWidth="1"/>
    <col min="5" max="5" width="22" customWidth="1"/>
    <col min="7" max="7" width="18.42578125" bestFit="1" customWidth="1"/>
    <col min="8" max="8" width="13.140625"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182">
        <v>1</v>
      </c>
      <c r="B2" s="59">
        <v>46140</v>
      </c>
      <c r="C2" s="58" t="str">
        <f t="shared" ref="C2:C19" si="0">TEXT(B2,"dddd")</f>
        <v>Tuesday</v>
      </c>
      <c r="D2" s="182" t="s">
        <v>643</v>
      </c>
      <c r="E2" s="58" t="str">
        <f t="shared" ref="E2:E19" si="1">TEXT(B2,"mmmm")</f>
        <v>April</v>
      </c>
      <c r="F2" s="58">
        <v>2026</v>
      </c>
      <c r="G2" s="182">
        <v>2.5</v>
      </c>
      <c r="H2" s="58" t="s">
        <v>161</v>
      </c>
      <c r="I2" s="142" t="s">
        <v>644</v>
      </c>
      <c r="J2" s="58" t="s">
        <v>438</v>
      </c>
      <c r="K2" s="58" t="s">
        <v>101</v>
      </c>
      <c r="L2" s="203" t="s">
        <v>645</v>
      </c>
      <c r="M2" s="58"/>
      <c r="N2" s="182">
        <v>2.5</v>
      </c>
      <c r="O2" s="182" t="s">
        <v>163</v>
      </c>
      <c r="P2" s="58"/>
      <c r="Q2" s="58"/>
    </row>
    <row r="3" spans="1:17">
      <c r="A3" s="182">
        <v>2</v>
      </c>
      <c r="B3" s="59">
        <v>46149</v>
      </c>
      <c r="C3" s="58" t="str">
        <f t="shared" si="0"/>
        <v>Thursday</v>
      </c>
      <c r="D3" s="182" t="s">
        <v>643</v>
      </c>
      <c r="E3" s="58" t="str">
        <f t="shared" si="1"/>
        <v>May</v>
      </c>
      <c r="F3" s="58">
        <v>2026</v>
      </c>
      <c r="G3" s="182">
        <v>2.5</v>
      </c>
      <c r="H3" s="58" t="s">
        <v>161</v>
      </c>
      <c r="I3" s="142" t="s">
        <v>644</v>
      </c>
      <c r="J3" s="58" t="s">
        <v>438</v>
      </c>
      <c r="K3" s="58" t="s">
        <v>101</v>
      </c>
      <c r="L3" s="203" t="s">
        <v>645</v>
      </c>
      <c r="M3" s="58"/>
      <c r="N3" s="182">
        <v>2.5</v>
      </c>
      <c r="O3" s="182" t="s">
        <v>163</v>
      </c>
      <c r="P3" s="58"/>
      <c r="Q3" s="58"/>
    </row>
    <row r="4" spans="1:17">
      <c r="A4" s="182">
        <v>3</v>
      </c>
      <c r="B4" s="59">
        <v>46149</v>
      </c>
      <c r="C4" s="58" t="str">
        <f t="shared" si="0"/>
        <v>Thursday</v>
      </c>
      <c r="D4" s="182" t="s">
        <v>672</v>
      </c>
      <c r="E4" s="58" t="str">
        <f t="shared" si="1"/>
        <v>May</v>
      </c>
      <c r="F4" s="58">
        <v>2026</v>
      </c>
      <c r="G4" s="182">
        <v>1.5</v>
      </c>
      <c r="H4" s="58" t="s">
        <v>161</v>
      </c>
      <c r="I4" s="142" t="s">
        <v>644</v>
      </c>
      <c r="J4" s="58" t="s">
        <v>438</v>
      </c>
      <c r="K4" s="58" t="s">
        <v>101</v>
      </c>
      <c r="L4" s="203" t="s">
        <v>673</v>
      </c>
      <c r="M4" s="58"/>
      <c r="N4" s="182">
        <v>1.5</v>
      </c>
      <c r="O4" s="182" t="s">
        <v>163</v>
      </c>
      <c r="P4" s="58"/>
      <c r="Q4" s="58"/>
    </row>
    <row r="5" spans="1:17">
      <c r="A5" s="182">
        <v>4</v>
      </c>
      <c r="B5" s="59">
        <v>46162</v>
      </c>
      <c r="C5" s="58" t="str">
        <f t="shared" si="0"/>
        <v>Wednesday</v>
      </c>
      <c r="D5" s="182" t="s">
        <v>643</v>
      </c>
      <c r="E5" s="58" t="str">
        <f t="shared" si="1"/>
        <v>May</v>
      </c>
      <c r="F5" s="58">
        <v>2026</v>
      </c>
      <c r="G5" s="182">
        <v>2.5</v>
      </c>
      <c r="H5" s="58" t="s">
        <v>161</v>
      </c>
      <c r="I5" s="142" t="s">
        <v>644</v>
      </c>
      <c r="J5" s="58" t="s">
        <v>438</v>
      </c>
      <c r="K5" s="58" t="s">
        <v>101</v>
      </c>
      <c r="L5" s="203" t="s">
        <v>645</v>
      </c>
      <c r="M5" s="58"/>
      <c r="N5" s="182">
        <v>2.5</v>
      </c>
      <c r="O5" s="182" t="s">
        <v>163</v>
      </c>
      <c r="P5" s="58"/>
      <c r="Q5" s="58"/>
    </row>
    <row r="6" spans="1:17">
      <c r="A6" s="182">
        <v>5</v>
      </c>
      <c r="B6" s="59">
        <v>46162</v>
      </c>
      <c r="C6" s="58" t="str">
        <f t="shared" si="0"/>
        <v>Wednesday</v>
      </c>
      <c r="D6" s="182" t="s">
        <v>672</v>
      </c>
      <c r="E6" s="58" t="str">
        <f t="shared" si="1"/>
        <v>May</v>
      </c>
      <c r="F6" s="58">
        <v>2026</v>
      </c>
      <c r="G6" s="182">
        <v>1.5</v>
      </c>
      <c r="H6" s="58" t="s">
        <v>161</v>
      </c>
      <c r="I6" s="142" t="s">
        <v>644</v>
      </c>
      <c r="J6" s="58" t="s">
        <v>438</v>
      </c>
      <c r="K6" s="58" t="s">
        <v>101</v>
      </c>
      <c r="L6" s="203" t="s">
        <v>673</v>
      </c>
      <c r="M6" s="58"/>
      <c r="N6" s="182">
        <v>1.5</v>
      </c>
      <c r="O6" s="182" t="s">
        <v>163</v>
      </c>
      <c r="P6" s="58"/>
      <c r="Q6" s="58"/>
    </row>
    <row r="7" spans="1:17">
      <c r="A7" s="182">
        <v>6</v>
      </c>
      <c r="B7" s="59">
        <v>46164</v>
      </c>
      <c r="C7" s="58" t="str">
        <f t="shared" si="0"/>
        <v>Friday</v>
      </c>
      <c r="D7" s="182" t="s">
        <v>740</v>
      </c>
      <c r="E7" s="58" t="str">
        <f t="shared" si="1"/>
        <v>May</v>
      </c>
      <c r="F7" s="58">
        <v>2026</v>
      </c>
      <c r="G7" s="182">
        <v>8</v>
      </c>
      <c r="H7" s="58" t="s">
        <v>161</v>
      </c>
      <c r="I7" s="142" t="s">
        <v>644</v>
      </c>
      <c r="J7" s="58" t="s">
        <v>438</v>
      </c>
      <c r="K7" s="58" t="s">
        <v>101</v>
      </c>
      <c r="L7" s="203" t="s">
        <v>741</v>
      </c>
      <c r="M7" s="58"/>
      <c r="N7" s="182">
        <v>8</v>
      </c>
      <c r="O7" s="182" t="s">
        <v>163</v>
      </c>
      <c r="P7" s="58"/>
      <c r="Q7" s="58"/>
    </row>
    <row r="8" spans="1:17">
      <c r="A8" s="182">
        <v>7</v>
      </c>
      <c r="B8" s="59">
        <v>46176</v>
      </c>
      <c r="C8" s="58" t="str">
        <f t="shared" si="0"/>
        <v>Wednesday</v>
      </c>
      <c r="D8" s="182" t="s">
        <v>643</v>
      </c>
      <c r="E8" s="58" t="str">
        <f t="shared" si="1"/>
        <v>June</v>
      </c>
      <c r="F8" s="58">
        <v>2026</v>
      </c>
      <c r="G8" s="182">
        <v>2.5</v>
      </c>
      <c r="H8" s="58" t="s">
        <v>161</v>
      </c>
      <c r="I8" s="142" t="s">
        <v>644</v>
      </c>
      <c r="J8" s="58" t="s">
        <v>438</v>
      </c>
      <c r="K8" s="58" t="s">
        <v>101</v>
      </c>
      <c r="L8" s="203" t="s">
        <v>645</v>
      </c>
      <c r="M8" s="58"/>
      <c r="N8" s="182">
        <v>2.5</v>
      </c>
      <c r="O8" s="182" t="s">
        <v>163</v>
      </c>
      <c r="P8" s="58"/>
      <c r="Q8" s="58"/>
    </row>
    <row r="9" spans="1:17">
      <c r="A9" s="182">
        <v>8</v>
      </c>
      <c r="B9" s="59">
        <v>46183</v>
      </c>
      <c r="C9" s="58" t="str">
        <f t="shared" si="0"/>
        <v>Wednesday</v>
      </c>
      <c r="D9" s="182" t="s">
        <v>643</v>
      </c>
      <c r="E9" s="58" t="str">
        <f t="shared" si="1"/>
        <v>June</v>
      </c>
      <c r="F9" s="58">
        <v>2026</v>
      </c>
      <c r="G9" s="182">
        <v>2.5</v>
      </c>
      <c r="H9" s="58" t="s">
        <v>161</v>
      </c>
      <c r="I9" s="142" t="s">
        <v>644</v>
      </c>
      <c r="J9" s="58" t="s">
        <v>438</v>
      </c>
      <c r="K9" s="58" t="s">
        <v>101</v>
      </c>
      <c r="L9" s="203" t="s">
        <v>645</v>
      </c>
      <c r="M9" s="58"/>
      <c r="N9" s="182">
        <v>2.5</v>
      </c>
      <c r="O9" s="182" t="s">
        <v>163</v>
      </c>
      <c r="P9" s="58"/>
      <c r="Q9" s="58"/>
    </row>
    <row r="10" spans="1:17">
      <c r="A10" s="182">
        <v>9</v>
      </c>
      <c r="B10" s="59">
        <v>46183</v>
      </c>
      <c r="C10" s="58" t="str">
        <f t="shared" si="0"/>
        <v>Wednesday</v>
      </c>
      <c r="D10" s="182" t="s">
        <v>672</v>
      </c>
      <c r="E10" s="58" t="str">
        <f t="shared" si="1"/>
        <v>June</v>
      </c>
      <c r="F10" s="58">
        <v>2026</v>
      </c>
      <c r="G10" s="182">
        <v>1.5</v>
      </c>
      <c r="H10" s="58" t="s">
        <v>161</v>
      </c>
      <c r="I10" s="142" t="s">
        <v>644</v>
      </c>
      <c r="J10" s="58" t="s">
        <v>438</v>
      </c>
      <c r="K10" s="58" t="s">
        <v>101</v>
      </c>
      <c r="L10" s="203" t="s">
        <v>673</v>
      </c>
      <c r="M10" s="58"/>
      <c r="N10" s="182">
        <v>1.5</v>
      </c>
      <c r="O10" s="182" t="s">
        <v>163</v>
      </c>
      <c r="P10" s="58"/>
      <c r="Q10" s="58"/>
    </row>
    <row r="11" spans="1:17">
      <c r="A11" s="182">
        <v>10</v>
      </c>
      <c r="B11" s="59">
        <v>46190</v>
      </c>
      <c r="C11" s="58" t="str">
        <f t="shared" si="0"/>
        <v>Wednesday</v>
      </c>
      <c r="D11" s="182" t="s">
        <v>643</v>
      </c>
      <c r="E11" s="58" t="str">
        <f t="shared" si="1"/>
        <v>June</v>
      </c>
      <c r="F11" s="58">
        <v>2026</v>
      </c>
      <c r="G11" s="182">
        <v>2.5</v>
      </c>
      <c r="H11" s="58" t="s">
        <v>161</v>
      </c>
      <c r="I11" s="142" t="s">
        <v>644</v>
      </c>
      <c r="J11" s="58" t="s">
        <v>438</v>
      </c>
      <c r="K11" s="58" t="s">
        <v>101</v>
      </c>
      <c r="L11" s="203" t="s">
        <v>645</v>
      </c>
      <c r="M11" s="58"/>
      <c r="N11" s="182">
        <v>2.5</v>
      </c>
      <c r="O11" s="182" t="s">
        <v>163</v>
      </c>
      <c r="P11" s="58"/>
      <c r="Q11" s="58"/>
    </row>
    <row r="12" spans="1:17">
      <c r="A12" s="182">
        <v>11</v>
      </c>
      <c r="B12" s="59">
        <v>46190</v>
      </c>
      <c r="C12" s="58" t="str">
        <f t="shared" si="0"/>
        <v>Wednesday</v>
      </c>
      <c r="D12" s="182" t="s">
        <v>672</v>
      </c>
      <c r="E12" s="58" t="str">
        <f t="shared" si="1"/>
        <v>June</v>
      </c>
      <c r="F12" s="58">
        <v>2026</v>
      </c>
      <c r="G12" s="182">
        <v>1.5</v>
      </c>
      <c r="H12" s="58" t="s">
        <v>161</v>
      </c>
      <c r="I12" s="142" t="s">
        <v>644</v>
      </c>
      <c r="J12" s="58" t="s">
        <v>438</v>
      </c>
      <c r="K12" s="58" t="s">
        <v>101</v>
      </c>
      <c r="L12" s="203" t="s">
        <v>673</v>
      </c>
      <c r="M12" s="58"/>
      <c r="N12" s="182">
        <v>1.5</v>
      </c>
      <c r="O12" s="182" t="s">
        <v>163</v>
      </c>
      <c r="P12" s="58"/>
      <c r="Q12" s="58"/>
    </row>
    <row r="13" spans="1:17">
      <c r="A13" s="182">
        <v>12</v>
      </c>
      <c r="B13" s="59">
        <v>46199</v>
      </c>
      <c r="C13" s="58" t="str">
        <f t="shared" si="0"/>
        <v>Friday</v>
      </c>
      <c r="D13" s="182" t="s">
        <v>740</v>
      </c>
      <c r="E13" s="58" t="str">
        <f t="shared" si="1"/>
        <v>June</v>
      </c>
      <c r="F13" s="58">
        <v>2026</v>
      </c>
      <c r="G13" s="182">
        <v>8</v>
      </c>
      <c r="H13" s="58" t="s">
        <v>161</v>
      </c>
      <c r="I13" s="142" t="s">
        <v>644</v>
      </c>
      <c r="J13" s="58" t="s">
        <v>438</v>
      </c>
      <c r="K13" s="58" t="s">
        <v>101</v>
      </c>
      <c r="L13" s="203" t="s">
        <v>741</v>
      </c>
      <c r="M13" s="58"/>
      <c r="N13" s="182">
        <v>8</v>
      </c>
      <c r="O13" s="182" t="s">
        <v>163</v>
      </c>
      <c r="P13" s="58"/>
      <c r="Q13" s="58"/>
    </row>
    <row r="14" spans="1:17">
      <c r="A14" s="182">
        <v>13</v>
      </c>
      <c r="B14" s="59">
        <v>46204</v>
      </c>
      <c r="C14" s="58" t="str">
        <f t="shared" si="0"/>
        <v>Wednesday</v>
      </c>
      <c r="D14" s="182" t="s">
        <v>643</v>
      </c>
      <c r="E14" s="58" t="str">
        <f t="shared" si="1"/>
        <v>July</v>
      </c>
      <c r="F14" s="58">
        <v>2026</v>
      </c>
      <c r="G14" s="182">
        <v>2.5</v>
      </c>
      <c r="H14" s="58" t="s">
        <v>161</v>
      </c>
      <c r="I14" s="142" t="s">
        <v>644</v>
      </c>
      <c r="J14" s="58" t="s">
        <v>438</v>
      </c>
      <c r="K14" s="58" t="s">
        <v>101</v>
      </c>
      <c r="L14" s="203" t="s">
        <v>645</v>
      </c>
      <c r="M14" s="58"/>
      <c r="N14" s="182">
        <v>2.5</v>
      </c>
      <c r="O14" s="182" t="s">
        <v>163</v>
      </c>
      <c r="P14" s="58"/>
      <c r="Q14" s="58"/>
    </row>
    <row r="15" spans="1:17">
      <c r="A15" s="182">
        <v>14</v>
      </c>
      <c r="B15" s="59">
        <v>46211</v>
      </c>
      <c r="C15" s="58" t="str">
        <f t="shared" si="0"/>
        <v>Wednesday</v>
      </c>
      <c r="D15" s="182" t="s">
        <v>643</v>
      </c>
      <c r="E15" s="58" t="str">
        <f t="shared" si="1"/>
        <v>July</v>
      </c>
      <c r="F15" s="58">
        <v>2026</v>
      </c>
      <c r="G15" s="182">
        <v>2.5</v>
      </c>
      <c r="H15" s="58" t="s">
        <v>161</v>
      </c>
      <c r="I15" s="142" t="s">
        <v>644</v>
      </c>
      <c r="J15" s="58" t="s">
        <v>438</v>
      </c>
      <c r="K15" s="58" t="s">
        <v>101</v>
      </c>
      <c r="L15" s="203" t="s">
        <v>645</v>
      </c>
      <c r="M15" s="58"/>
      <c r="N15" s="182">
        <v>2.5</v>
      </c>
      <c r="O15" s="182" t="s">
        <v>163</v>
      </c>
      <c r="P15" s="58"/>
      <c r="Q15" s="58"/>
    </row>
    <row r="16" spans="1:17">
      <c r="A16" s="182">
        <v>15</v>
      </c>
      <c r="B16" s="59">
        <v>46211</v>
      </c>
      <c r="C16" s="58" t="str">
        <f t="shared" si="0"/>
        <v>Wednesday</v>
      </c>
      <c r="D16" s="182" t="s">
        <v>672</v>
      </c>
      <c r="E16" s="58" t="str">
        <f t="shared" si="1"/>
        <v>July</v>
      </c>
      <c r="F16" s="58">
        <v>2026</v>
      </c>
      <c r="G16" s="182">
        <v>1.5</v>
      </c>
      <c r="H16" s="58" t="s">
        <v>161</v>
      </c>
      <c r="I16" s="142" t="s">
        <v>644</v>
      </c>
      <c r="J16" s="58" t="s">
        <v>438</v>
      </c>
      <c r="K16" s="58" t="s">
        <v>101</v>
      </c>
      <c r="L16" s="203" t="s">
        <v>673</v>
      </c>
      <c r="M16" s="58"/>
      <c r="N16" s="182">
        <v>1.5</v>
      </c>
      <c r="O16" s="182" t="s">
        <v>163</v>
      </c>
      <c r="P16" s="58"/>
      <c r="Q16" s="58"/>
    </row>
    <row r="17" spans="1:17">
      <c r="A17" s="182">
        <v>16</v>
      </c>
      <c r="B17" s="59">
        <v>46218</v>
      </c>
      <c r="C17" s="58" t="str">
        <f t="shared" si="0"/>
        <v>Wednesday</v>
      </c>
      <c r="D17" s="182" t="s">
        <v>643</v>
      </c>
      <c r="E17" s="58" t="str">
        <f t="shared" si="1"/>
        <v>July</v>
      </c>
      <c r="F17" s="58">
        <v>2026</v>
      </c>
      <c r="G17" s="182">
        <v>2.5</v>
      </c>
      <c r="H17" s="58" t="s">
        <v>161</v>
      </c>
      <c r="I17" s="142" t="s">
        <v>644</v>
      </c>
      <c r="J17" s="58" t="s">
        <v>438</v>
      </c>
      <c r="K17" s="58" t="s">
        <v>101</v>
      </c>
      <c r="L17" s="203" t="s">
        <v>645</v>
      </c>
      <c r="M17" s="58"/>
      <c r="N17" s="182">
        <v>2.5</v>
      </c>
      <c r="O17" s="182" t="s">
        <v>163</v>
      </c>
      <c r="P17" s="58"/>
      <c r="Q17" s="58"/>
    </row>
    <row r="18" spans="1:17">
      <c r="A18" s="182">
        <v>17</v>
      </c>
      <c r="B18" s="59">
        <v>46218</v>
      </c>
      <c r="C18" s="58" t="str">
        <f t="shared" si="0"/>
        <v>Wednesday</v>
      </c>
      <c r="D18" s="182" t="s">
        <v>672</v>
      </c>
      <c r="E18" s="58" t="str">
        <f t="shared" si="1"/>
        <v>July</v>
      </c>
      <c r="F18" s="58">
        <v>2026</v>
      </c>
      <c r="G18" s="182">
        <v>1.5</v>
      </c>
      <c r="H18" s="58" t="s">
        <v>161</v>
      </c>
      <c r="I18" s="142" t="s">
        <v>644</v>
      </c>
      <c r="J18" s="58" t="s">
        <v>438</v>
      </c>
      <c r="K18" s="58" t="s">
        <v>101</v>
      </c>
      <c r="L18" s="203" t="s">
        <v>673</v>
      </c>
      <c r="M18" s="58"/>
      <c r="N18" s="182">
        <v>1.5</v>
      </c>
      <c r="O18" s="182" t="s">
        <v>163</v>
      </c>
      <c r="P18" s="58"/>
      <c r="Q18" s="58"/>
    </row>
    <row r="19" spans="1:17">
      <c r="A19" s="182">
        <v>18</v>
      </c>
      <c r="B19" s="59">
        <v>46227</v>
      </c>
      <c r="C19" s="58" t="str">
        <f t="shared" si="0"/>
        <v>Friday</v>
      </c>
      <c r="D19" s="182" t="s">
        <v>740</v>
      </c>
      <c r="E19" s="58" t="str">
        <f t="shared" si="1"/>
        <v>July</v>
      </c>
      <c r="F19" s="58">
        <v>2026</v>
      </c>
      <c r="G19" s="182">
        <v>8</v>
      </c>
      <c r="H19" s="58" t="s">
        <v>161</v>
      </c>
      <c r="I19" s="142" t="s">
        <v>644</v>
      </c>
      <c r="J19" s="58" t="s">
        <v>438</v>
      </c>
      <c r="K19" s="58" t="s">
        <v>101</v>
      </c>
      <c r="L19" s="203" t="s">
        <v>741</v>
      </c>
      <c r="M19" s="58"/>
      <c r="N19" s="182">
        <v>8</v>
      </c>
      <c r="O19" s="182" t="s">
        <v>163</v>
      </c>
      <c r="P19" s="58"/>
      <c r="Q19" s="5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EBF82-11AE-4B32-A6A0-AFEDDEB4EF59}">
  <dimension ref="A1:Q13"/>
  <sheetViews>
    <sheetView workbookViewId="0">
      <selection activeCell="J3" sqref="J3:J13"/>
    </sheetView>
  </sheetViews>
  <sheetFormatPr defaultRowHeight="15"/>
  <cols>
    <col min="2" max="2" width="19.42578125" customWidth="1"/>
    <col min="3" max="3" width="13.42578125" customWidth="1"/>
    <col min="4" max="4" width="23.5703125" customWidth="1"/>
    <col min="5" max="5" width="22" customWidth="1"/>
    <col min="7" max="7" width="18.42578125" bestFit="1" customWidth="1"/>
    <col min="8" max="8" width="13.140625"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182">
        <v>0</v>
      </c>
      <c r="B2" s="59">
        <v>46150</v>
      </c>
      <c r="C2" s="58" t="str">
        <f>TEXT(B2,"dddd")</f>
        <v>Friday</v>
      </c>
      <c r="D2" s="182" t="s">
        <v>679</v>
      </c>
      <c r="E2" s="58" t="str">
        <f>TEXT(B2,"mmmm")</f>
        <v>May</v>
      </c>
      <c r="F2" s="58">
        <v>2026</v>
      </c>
      <c r="G2" s="182">
        <v>0.75</v>
      </c>
      <c r="H2" s="58" t="s">
        <v>204</v>
      </c>
      <c r="I2" s="142" t="s">
        <v>205</v>
      </c>
      <c r="J2" s="58" t="s">
        <v>680</v>
      </c>
      <c r="K2" s="58"/>
      <c r="L2" s="186" t="s">
        <v>681</v>
      </c>
      <c r="M2" s="58"/>
      <c r="N2" s="182">
        <v>0.75</v>
      </c>
      <c r="O2" s="182"/>
      <c r="P2" s="58"/>
      <c r="Q2" s="58"/>
    </row>
    <row r="3" spans="1:17">
      <c r="A3" s="182">
        <v>1</v>
      </c>
      <c r="B3" s="59">
        <v>46155</v>
      </c>
      <c r="C3" s="58" t="str">
        <f t="shared" ref="C2:C3" si="0">TEXT(B3,"dddd")</f>
        <v>Wednesday</v>
      </c>
      <c r="D3" s="182" t="s">
        <v>697</v>
      </c>
      <c r="E3" s="58" t="str">
        <f t="shared" ref="E2:E3" si="1">TEXT(B3,"mmmm")</f>
        <v>May</v>
      </c>
      <c r="F3" s="58">
        <v>2026</v>
      </c>
      <c r="G3" s="182">
        <v>5</v>
      </c>
      <c r="H3" s="58" t="s">
        <v>204</v>
      </c>
      <c r="I3" s="142" t="s">
        <v>205</v>
      </c>
      <c r="J3" s="58" t="s">
        <v>680</v>
      </c>
      <c r="K3" s="58"/>
      <c r="L3" s="203" t="s">
        <v>698</v>
      </c>
      <c r="M3" s="58"/>
      <c r="N3" s="182">
        <v>5</v>
      </c>
      <c r="O3" s="182" t="s">
        <v>699</v>
      </c>
      <c r="P3" s="58"/>
      <c r="Q3" s="58"/>
    </row>
    <row r="4" spans="1:17" ht="16.5">
      <c r="A4" s="182">
        <v>2</v>
      </c>
      <c r="B4" s="59">
        <v>46156</v>
      </c>
      <c r="C4" s="58" t="str">
        <f t="shared" ref="C4:C13" si="2">TEXT(B4,"dddd")</f>
        <v>Thursday</v>
      </c>
      <c r="D4" s="182" t="s">
        <v>697</v>
      </c>
      <c r="E4" s="58" t="str">
        <f t="shared" ref="E4:E13" si="3">TEXT(B4,"mmmm")</f>
        <v>May</v>
      </c>
      <c r="F4" s="58">
        <v>2026</v>
      </c>
      <c r="G4" s="182">
        <v>5</v>
      </c>
      <c r="H4" s="58" t="s">
        <v>204</v>
      </c>
      <c r="I4" s="142" t="s">
        <v>205</v>
      </c>
      <c r="J4" s="58" t="s">
        <v>680</v>
      </c>
      <c r="K4" s="58"/>
      <c r="L4" s="234" t="s">
        <v>704</v>
      </c>
      <c r="M4" s="58"/>
      <c r="N4" s="182">
        <v>5</v>
      </c>
      <c r="O4" s="182" t="s">
        <v>699</v>
      </c>
      <c r="P4" s="58"/>
      <c r="Q4" s="58"/>
    </row>
    <row r="5" spans="1:17" ht="32.25">
      <c r="A5" s="182">
        <v>3</v>
      </c>
      <c r="B5" s="59">
        <v>46157</v>
      </c>
      <c r="C5" s="58" t="str">
        <f t="shared" si="2"/>
        <v>Friday</v>
      </c>
      <c r="D5" s="182" t="s">
        <v>697</v>
      </c>
      <c r="E5" s="58" t="str">
        <f t="shared" si="3"/>
        <v>May</v>
      </c>
      <c r="F5" s="58">
        <v>2026</v>
      </c>
      <c r="G5" s="182">
        <v>5</v>
      </c>
      <c r="H5" s="58" t="s">
        <v>204</v>
      </c>
      <c r="I5" s="142" t="s">
        <v>205</v>
      </c>
      <c r="J5" s="58" t="s">
        <v>680</v>
      </c>
      <c r="K5" s="58"/>
      <c r="L5" s="234" t="s">
        <v>707</v>
      </c>
      <c r="M5" s="58"/>
      <c r="N5" s="182">
        <v>5</v>
      </c>
      <c r="O5" s="182" t="s">
        <v>699</v>
      </c>
      <c r="P5" s="58"/>
      <c r="Q5" s="58"/>
    </row>
    <row r="6" spans="1:17" ht="16.5">
      <c r="A6" s="182">
        <v>4</v>
      </c>
      <c r="B6" s="59">
        <v>46160</v>
      </c>
      <c r="C6" s="58" t="str">
        <f t="shared" si="2"/>
        <v>Monday</v>
      </c>
      <c r="D6" s="182" t="s">
        <v>697</v>
      </c>
      <c r="E6" s="58" t="str">
        <f t="shared" si="3"/>
        <v>May</v>
      </c>
      <c r="F6" s="58">
        <v>2026</v>
      </c>
      <c r="G6" s="182">
        <v>5</v>
      </c>
      <c r="H6" s="58" t="s">
        <v>204</v>
      </c>
      <c r="I6" s="142" t="s">
        <v>205</v>
      </c>
      <c r="J6" s="58" t="s">
        <v>680</v>
      </c>
      <c r="K6" s="58"/>
      <c r="L6" s="234" t="s">
        <v>711</v>
      </c>
      <c r="M6" s="58"/>
      <c r="N6" s="182">
        <v>5</v>
      </c>
      <c r="O6" s="182" t="s">
        <v>699</v>
      </c>
      <c r="P6" s="58"/>
      <c r="Q6" s="58"/>
    </row>
    <row r="7" spans="1:17" ht="16.5">
      <c r="A7" s="182">
        <v>5</v>
      </c>
      <c r="B7" s="59">
        <v>46161</v>
      </c>
      <c r="C7" s="58" t="str">
        <f t="shared" si="2"/>
        <v>Tuesday</v>
      </c>
      <c r="D7" s="182" t="s">
        <v>697</v>
      </c>
      <c r="E7" s="58" t="str">
        <f t="shared" si="3"/>
        <v>May</v>
      </c>
      <c r="F7" s="58">
        <v>2026</v>
      </c>
      <c r="G7" s="182">
        <v>5</v>
      </c>
      <c r="H7" s="58" t="s">
        <v>204</v>
      </c>
      <c r="I7" s="142" t="s">
        <v>205</v>
      </c>
      <c r="J7" s="58" t="s">
        <v>680</v>
      </c>
      <c r="K7" s="58"/>
      <c r="L7" s="234" t="s">
        <v>719</v>
      </c>
      <c r="M7" s="58"/>
      <c r="N7" s="182">
        <v>5</v>
      </c>
      <c r="O7" s="182" t="s">
        <v>699</v>
      </c>
      <c r="P7" s="58"/>
      <c r="Q7" s="58"/>
    </row>
    <row r="8" spans="1:17" ht="16.5">
      <c r="A8" s="182">
        <v>6</v>
      </c>
      <c r="B8" s="59">
        <v>46162</v>
      </c>
      <c r="C8" s="58" t="str">
        <f t="shared" si="2"/>
        <v>Wednesday</v>
      </c>
      <c r="D8" s="182" t="s">
        <v>697</v>
      </c>
      <c r="E8" s="58" t="str">
        <f t="shared" si="3"/>
        <v>May</v>
      </c>
      <c r="F8" s="58">
        <v>2026</v>
      </c>
      <c r="G8" s="182">
        <v>5</v>
      </c>
      <c r="H8" s="58" t="s">
        <v>204</v>
      </c>
      <c r="I8" s="142" t="s">
        <v>205</v>
      </c>
      <c r="J8" s="58" t="s">
        <v>680</v>
      </c>
      <c r="K8" s="58"/>
      <c r="L8" s="234" t="s">
        <v>727</v>
      </c>
      <c r="M8" s="58"/>
      <c r="N8" s="182">
        <v>5</v>
      </c>
      <c r="O8" s="182" t="s">
        <v>699</v>
      </c>
      <c r="P8" s="58"/>
      <c r="Q8" s="58"/>
    </row>
    <row r="9" spans="1:17" ht="16.5">
      <c r="A9" s="182">
        <v>7</v>
      </c>
      <c r="B9" s="59">
        <v>46163</v>
      </c>
      <c r="C9" s="58" t="str">
        <f t="shared" si="2"/>
        <v>Thursday</v>
      </c>
      <c r="D9" s="182" t="s">
        <v>697</v>
      </c>
      <c r="E9" s="58" t="str">
        <f t="shared" si="3"/>
        <v>May</v>
      </c>
      <c r="F9" s="58">
        <v>2026</v>
      </c>
      <c r="G9" s="182">
        <v>5</v>
      </c>
      <c r="H9" s="58" t="s">
        <v>204</v>
      </c>
      <c r="I9" s="142" t="s">
        <v>205</v>
      </c>
      <c r="J9" s="58" t="s">
        <v>680</v>
      </c>
      <c r="K9" s="58"/>
      <c r="L9" s="234" t="s">
        <v>734</v>
      </c>
      <c r="M9" s="58"/>
      <c r="N9" s="182">
        <v>5</v>
      </c>
      <c r="O9" s="182" t="s">
        <v>699</v>
      </c>
      <c r="P9" s="58"/>
      <c r="Q9" s="58"/>
    </row>
    <row r="10" spans="1:17" ht="16.5">
      <c r="A10" s="182">
        <v>8</v>
      </c>
      <c r="B10" s="59">
        <v>46164</v>
      </c>
      <c r="C10" s="58" t="str">
        <f t="shared" si="2"/>
        <v>Friday</v>
      </c>
      <c r="D10" s="182" t="s">
        <v>697</v>
      </c>
      <c r="E10" s="58" t="str">
        <f t="shared" si="3"/>
        <v>May</v>
      </c>
      <c r="F10" s="58">
        <v>2026</v>
      </c>
      <c r="G10" s="182">
        <v>5</v>
      </c>
      <c r="H10" s="58" t="s">
        <v>204</v>
      </c>
      <c r="I10" s="142" t="s">
        <v>205</v>
      </c>
      <c r="J10" s="58" t="s">
        <v>680</v>
      </c>
      <c r="K10" s="58"/>
      <c r="L10" s="234" t="s">
        <v>742</v>
      </c>
      <c r="M10" s="58"/>
      <c r="N10" s="182">
        <v>5</v>
      </c>
      <c r="O10" s="182" t="s">
        <v>699</v>
      </c>
      <c r="P10" s="58"/>
      <c r="Q10" s="58"/>
    </row>
    <row r="11" spans="1:17" ht="16.5">
      <c r="A11" s="182">
        <v>9</v>
      </c>
      <c r="B11" s="59">
        <v>46167</v>
      </c>
      <c r="C11" s="58" t="str">
        <f t="shared" si="2"/>
        <v>Monday</v>
      </c>
      <c r="D11" s="182" t="s">
        <v>697</v>
      </c>
      <c r="E11" s="58" t="str">
        <f t="shared" si="3"/>
        <v>May</v>
      </c>
      <c r="F11" s="58">
        <v>2026</v>
      </c>
      <c r="G11" s="182">
        <v>5</v>
      </c>
      <c r="H11" s="58" t="s">
        <v>204</v>
      </c>
      <c r="I11" s="142" t="s">
        <v>205</v>
      </c>
      <c r="J11" s="58" t="s">
        <v>680</v>
      </c>
      <c r="K11" s="58"/>
      <c r="L11" s="234" t="s">
        <v>750</v>
      </c>
      <c r="M11" s="58"/>
      <c r="N11" s="182">
        <v>5</v>
      </c>
      <c r="O11" s="182" t="s">
        <v>699</v>
      </c>
      <c r="P11" s="58"/>
      <c r="Q11" s="58"/>
    </row>
    <row r="12" spans="1:17" ht="16.5">
      <c r="A12" s="182">
        <v>10</v>
      </c>
      <c r="B12" s="59">
        <v>46168</v>
      </c>
      <c r="C12" s="58" t="str">
        <f t="shared" si="2"/>
        <v>Tuesday</v>
      </c>
      <c r="D12" s="182" t="s">
        <v>697</v>
      </c>
      <c r="E12" s="58" t="str">
        <f t="shared" si="3"/>
        <v>May</v>
      </c>
      <c r="F12" s="58">
        <v>2026</v>
      </c>
      <c r="G12" s="182">
        <v>5</v>
      </c>
      <c r="H12" s="58" t="s">
        <v>204</v>
      </c>
      <c r="I12" s="142" t="s">
        <v>205</v>
      </c>
      <c r="J12" s="58" t="s">
        <v>680</v>
      </c>
      <c r="K12" s="58"/>
      <c r="L12" s="234" t="s">
        <v>752</v>
      </c>
      <c r="M12" s="58"/>
      <c r="N12" s="182">
        <v>5</v>
      </c>
      <c r="O12" s="182" t="s">
        <v>699</v>
      </c>
      <c r="P12" s="58"/>
      <c r="Q12" s="58"/>
    </row>
    <row r="13" spans="1:17" ht="16.5">
      <c r="A13" s="182">
        <v>11</v>
      </c>
      <c r="B13" s="59">
        <v>46175</v>
      </c>
      <c r="C13" s="58" t="str">
        <f t="shared" si="2"/>
        <v>Tuesday</v>
      </c>
      <c r="D13" s="182" t="s">
        <v>762</v>
      </c>
      <c r="E13" s="58" t="str">
        <f t="shared" si="3"/>
        <v>June</v>
      </c>
      <c r="F13" s="58">
        <v>2026</v>
      </c>
      <c r="G13" s="187">
        <v>1.5</v>
      </c>
      <c r="H13" s="58" t="s">
        <v>204</v>
      </c>
      <c r="I13" s="142" t="s">
        <v>205</v>
      </c>
      <c r="J13" s="58" t="s">
        <v>680</v>
      </c>
      <c r="K13" s="58"/>
      <c r="L13" s="235" t="s">
        <v>763</v>
      </c>
      <c r="M13" s="58"/>
      <c r="N13" s="187">
        <v>1.5</v>
      </c>
      <c r="O13" s="182" t="s">
        <v>699</v>
      </c>
      <c r="P13" s="58"/>
      <c r="Q13" s="58"/>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490A-2382-479E-A8D5-FE4D81A86A6F}">
  <dimension ref="A1:Q9"/>
  <sheetViews>
    <sheetView workbookViewId="0">
      <selection activeCell="B6" sqref="B6"/>
    </sheetView>
  </sheetViews>
  <sheetFormatPr defaultRowHeight="15"/>
  <cols>
    <col min="2" max="2" width="19.42578125" customWidth="1"/>
    <col min="3" max="3" width="13.42578125" customWidth="1"/>
    <col min="4" max="4" width="23.5703125" customWidth="1"/>
    <col min="5" max="5" width="22" customWidth="1"/>
    <col min="7" max="7" width="18.42578125" bestFit="1" customWidth="1"/>
    <col min="8" max="8" width="13.140625"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182" t="s">
        <v>1024</v>
      </c>
      <c r="B2" s="59">
        <v>46153</v>
      </c>
      <c r="C2" s="58" t="str">
        <f t="shared" ref="C2:C9" si="0">TEXT(B2,"dddd")</f>
        <v>Monday</v>
      </c>
      <c r="D2" s="182" t="s">
        <v>683</v>
      </c>
      <c r="E2" s="58" t="str">
        <f t="shared" ref="E2:E9" si="1">TEXT(B2,"mmmm")</f>
        <v>May</v>
      </c>
      <c r="F2" s="58">
        <v>2026</v>
      </c>
      <c r="G2" s="182">
        <v>4</v>
      </c>
      <c r="H2" s="58" t="s">
        <v>215</v>
      </c>
      <c r="I2" s="142" t="s">
        <v>218</v>
      </c>
      <c r="J2" s="58" t="s">
        <v>366</v>
      </c>
      <c r="K2" s="58" t="s">
        <v>106</v>
      </c>
      <c r="L2" s="203" t="s">
        <v>376</v>
      </c>
      <c r="M2" s="58"/>
      <c r="N2" s="182">
        <v>4</v>
      </c>
      <c r="O2" s="182" t="s">
        <v>432</v>
      </c>
      <c r="P2" s="58"/>
      <c r="Q2" s="58"/>
    </row>
    <row r="3" spans="1:17">
      <c r="A3" s="182">
        <v>2</v>
      </c>
      <c r="B3" s="59">
        <v>46154</v>
      </c>
      <c r="C3" s="58" t="str">
        <f t="shared" si="0"/>
        <v>Tuesday</v>
      </c>
      <c r="D3" s="182" t="s">
        <v>683</v>
      </c>
      <c r="E3" s="58" t="str">
        <f t="shared" si="1"/>
        <v>May</v>
      </c>
      <c r="F3" s="58">
        <v>2026</v>
      </c>
      <c r="G3" s="182">
        <v>4</v>
      </c>
      <c r="H3" s="58" t="s">
        <v>215</v>
      </c>
      <c r="I3" s="142" t="s">
        <v>218</v>
      </c>
      <c r="J3" s="58" t="s">
        <v>366</v>
      </c>
      <c r="K3" s="58" t="s">
        <v>106</v>
      </c>
      <c r="L3" s="203" t="s">
        <v>379</v>
      </c>
      <c r="M3" s="58"/>
      <c r="N3" s="182">
        <v>4</v>
      </c>
      <c r="O3" s="182" t="s">
        <v>432</v>
      </c>
      <c r="P3" s="58"/>
      <c r="Q3" s="58"/>
    </row>
    <row r="4" spans="1:17" ht="15.75">
      <c r="A4" s="182">
        <v>3</v>
      </c>
      <c r="B4" s="59">
        <v>46156</v>
      </c>
      <c r="C4" s="58" t="str">
        <f t="shared" si="0"/>
        <v>Thursday</v>
      </c>
      <c r="D4" s="182" t="s">
        <v>683</v>
      </c>
      <c r="E4" s="58" t="str">
        <f t="shared" si="1"/>
        <v>May</v>
      </c>
      <c r="F4" s="58">
        <v>2026</v>
      </c>
      <c r="G4" s="187">
        <v>4</v>
      </c>
      <c r="H4" s="58" t="s">
        <v>215</v>
      </c>
      <c r="I4" s="142" t="s">
        <v>218</v>
      </c>
      <c r="J4" s="58" t="s">
        <v>366</v>
      </c>
      <c r="K4" s="58" t="s">
        <v>106</v>
      </c>
      <c r="L4" s="203" t="s">
        <v>705</v>
      </c>
      <c r="M4" s="58"/>
      <c r="N4" s="187">
        <v>4</v>
      </c>
      <c r="O4" s="182" t="s">
        <v>432</v>
      </c>
      <c r="P4" s="58"/>
      <c r="Q4" s="58"/>
    </row>
    <row r="5" spans="1:17" ht="15.75">
      <c r="A5" s="182">
        <v>4</v>
      </c>
      <c r="B5" s="59">
        <v>46157</v>
      </c>
      <c r="C5" s="58" t="str">
        <f t="shared" si="0"/>
        <v>Friday</v>
      </c>
      <c r="D5" s="182" t="s">
        <v>683</v>
      </c>
      <c r="E5" s="58" t="str">
        <f t="shared" si="1"/>
        <v>May</v>
      </c>
      <c r="F5" s="58">
        <v>2026</v>
      </c>
      <c r="G5" s="187">
        <v>4</v>
      </c>
      <c r="H5" s="58" t="s">
        <v>215</v>
      </c>
      <c r="I5" s="142" t="s">
        <v>218</v>
      </c>
      <c r="J5" s="58" t="s">
        <v>366</v>
      </c>
      <c r="K5" s="58" t="s">
        <v>106</v>
      </c>
      <c r="L5" s="203" t="s">
        <v>708</v>
      </c>
      <c r="M5" s="58"/>
      <c r="N5" s="187">
        <v>4</v>
      </c>
      <c r="O5" s="182" t="s">
        <v>432</v>
      </c>
      <c r="P5" s="58"/>
      <c r="Q5" s="58"/>
    </row>
    <row r="6" spans="1:17" ht="15.75">
      <c r="A6" s="182">
        <v>5</v>
      </c>
      <c r="B6" s="59">
        <v>46160</v>
      </c>
      <c r="C6" s="58" t="str">
        <f t="shared" si="0"/>
        <v>Monday</v>
      </c>
      <c r="D6" s="182" t="s">
        <v>683</v>
      </c>
      <c r="E6" s="58" t="str">
        <f t="shared" si="1"/>
        <v>May</v>
      </c>
      <c r="F6" s="58">
        <v>2026</v>
      </c>
      <c r="G6" s="187">
        <v>4</v>
      </c>
      <c r="H6" s="58" t="s">
        <v>215</v>
      </c>
      <c r="I6" s="142" t="s">
        <v>218</v>
      </c>
      <c r="J6" s="58" t="s">
        <v>366</v>
      </c>
      <c r="K6" s="58" t="s">
        <v>106</v>
      </c>
      <c r="L6" s="203" t="s">
        <v>712</v>
      </c>
      <c r="M6" s="58"/>
      <c r="N6" s="187">
        <v>4</v>
      </c>
      <c r="O6" s="182" t="s">
        <v>432</v>
      </c>
      <c r="P6" s="58"/>
      <c r="Q6" s="58"/>
    </row>
    <row r="7" spans="1:17" ht="15.75">
      <c r="A7" s="182">
        <v>6</v>
      </c>
      <c r="B7" s="59">
        <v>46161</v>
      </c>
      <c r="C7" s="58" t="str">
        <f t="shared" si="0"/>
        <v>Tuesday</v>
      </c>
      <c r="D7" s="182" t="s">
        <v>683</v>
      </c>
      <c r="E7" s="58" t="str">
        <f t="shared" si="1"/>
        <v>May</v>
      </c>
      <c r="F7" s="58">
        <v>2026</v>
      </c>
      <c r="G7" s="187">
        <v>4</v>
      </c>
      <c r="H7" s="58" t="s">
        <v>215</v>
      </c>
      <c r="I7" s="142" t="s">
        <v>218</v>
      </c>
      <c r="J7" s="58" t="s">
        <v>366</v>
      </c>
      <c r="K7" s="58" t="s">
        <v>106</v>
      </c>
      <c r="L7" s="203" t="s">
        <v>720</v>
      </c>
      <c r="M7" s="58"/>
      <c r="N7" s="187">
        <v>4</v>
      </c>
      <c r="O7" s="182" t="s">
        <v>432</v>
      </c>
      <c r="P7" s="58"/>
      <c r="Q7" s="58"/>
    </row>
    <row r="8" spans="1:17" ht="15.75">
      <c r="A8" s="182">
        <v>7</v>
      </c>
      <c r="B8" s="59">
        <v>46163</v>
      </c>
      <c r="C8" s="58" t="str">
        <f t="shared" si="0"/>
        <v>Thursday</v>
      </c>
      <c r="D8" s="182" t="s">
        <v>683</v>
      </c>
      <c r="E8" s="58" t="str">
        <f t="shared" si="1"/>
        <v>May</v>
      </c>
      <c r="F8" s="58">
        <v>2026</v>
      </c>
      <c r="G8" s="187">
        <v>4</v>
      </c>
      <c r="H8" s="58" t="s">
        <v>215</v>
      </c>
      <c r="I8" s="142" t="s">
        <v>218</v>
      </c>
      <c r="J8" s="58" t="s">
        <v>366</v>
      </c>
      <c r="K8" s="58" t="s">
        <v>106</v>
      </c>
      <c r="L8" s="203" t="s">
        <v>735</v>
      </c>
      <c r="M8" s="58"/>
      <c r="N8" s="187">
        <v>4</v>
      </c>
      <c r="O8" s="182" t="s">
        <v>432</v>
      </c>
      <c r="P8" s="58"/>
      <c r="Q8" s="58"/>
    </row>
    <row r="9" spans="1:17" ht="15.75">
      <c r="A9" s="182">
        <v>8</v>
      </c>
      <c r="B9" s="59">
        <v>46164</v>
      </c>
      <c r="C9" s="58" t="str">
        <f t="shared" si="0"/>
        <v>Friday</v>
      </c>
      <c r="D9" s="182" t="s">
        <v>683</v>
      </c>
      <c r="E9" s="58" t="str">
        <f t="shared" si="1"/>
        <v>May</v>
      </c>
      <c r="F9" s="58">
        <v>2026</v>
      </c>
      <c r="G9" s="187">
        <v>4</v>
      </c>
      <c r="H9" s="58" t="s">
        <v>215</v>
      </c>
      <c r="I9" s="142" t="s">
        <v>218</v>
      </c>
      <c r="J9" s="58" t="s">
        <v>366</v>
      </c>
      <c r="K9" s="58" t="s">
        <v>106</v>
      </c>
      <c r="L9" s="203" t="s">
        <v>743</v>
      </c>
      <c r="M9" s="58"/>
      <c r="N9" s="187">
        <v>4</v>
      </c>
      <c r="O9" s="182" t="s">
        <v>432</v>
      </c>
      <c r="P9" s="58"/>
      <c r="Q9" s="58"/>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B02D-7B97-47D7-9222-11B59F28326F}">
  <dimension ref="A1:Q9"/>
  <sheetViews>
    <sheetView workbookViewId="0">
      <selection activeCell="D3" sqref="D3:D9"/>
    </sheetView>
  </sheetViews>
  <sheetFormatPr defaultRowHeight="15"/>
  <cols>
    <col min="2" max="2" width="19.42578125" customWidth="1"/>
    <col min="3" max="3" width="13.42578125" customWidth="1"/>
    <col min="4" max="4" width="23.5703125" customWidth="1"/>
    <col min="5" max="5" width="22" customWidth="1"/>
    <col min="7" max="7" width="18.42578125" bestFit="1" customWidth="1"/>
    <col min="8" max="8" width="13.140625"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182" t="s">
        <v>1024</v>
      </c>
      <c r="B2" s="59">
        <v>46160</v>
      </c>
      <c r="C2" s="58" t="str">
        <f t="shared" ref="C2:C3" si="0">TEXT(B2,"dddd")</f>
        <v>Monday</v>
      </c>
      <c r="D2" s="182" t="s">
        <v>713</v>
      </c>
      <c r="E2" s="58" t="str">
        <f t="shared" ref="E2:E3" si="1">TEXT(B2,"mmmm")</f>
        <v>May</v>
      </c>
      <c r="F2" s="58">
        <v>2026</v>
      </c>
      <c r="G2" s="182">
        <v>4</v>
      </c>
      <c r="H2" s="58" t="s">
        <v>215</v>
      </c>
      <c r="I2" s="142" t="s">
        <v>714</v>
      </c>
      <c r="J2" s="58" t="s">
        <v>366</v>
      </c>
      <c r="K2" s="58" t="s">
        <v>106</v>
      </c>
      <c r="L2" s="203" t="s">
        <v>376</v>
      </c>
      <c r="M2" s="58"/>
      <c r="N2" s="182">
        <v>4</v>
      </c>
      <c r="O2" s="182" t="s">
        <v>432</v>
      </c>
      <c r="P2" s="58"/>
      <c r="Q2" s="58"/>
    </row>
    <row r="3" spans="1:17">
      <c r="A3" s="182">
        <v>2</v>
      </c>
      <c r="B3" s="59">
        <v>46161</v>
      </c>
      <c r="C3" s="58" t="str">
        <f t="shared" si="0"/>
        <v>Tuesday</v>
      </c>
      <c r="D3" s="182" t="s">
        <v>713</v>
      </c>
      <c r="E3" s="58" t="str">
        <f t="shared" si="1"/>
        <v>May</v>
      </c>
      <c r="F3" s="58">
        <v>2026</v>
      </c>
      <c r="G3" s="182">
        <v>4</v>
      </c>
      <c r="H3" s="58" t="s">
        <v>215</v>
      </c>
      <c r="I3" s="142" t="s">
        <v>714</v>
      </c>
      <c r="J3" s="58" t="s">
        <v>366</v>
      </c>
      <c r="K3" s="58" t="s">
        <v>106</v>
      </c>
      <c r="L3" s="203" t="s">
        <v>379</v>
      </c>
      <c r="M3" s="58"/>
      <c r="N3" s="182">
        <v>4</v>
      </c>
      <c r="O3" s="182" t="s">
        <v>432</v>
      </c>
      <c r="P3" s="58"/>
      <c r="Q3" s="58"/>
    </row>
    <row r="4" spans="1:17" ht="15.75">
      <c r="A4" s="182">
        <v>3</v>
      </c>
      <c r="B4" s="59">
        <v>46162</v>
      </c>
      <c r="C4" s="58" t="str">
        <f t="shared" ref="C4:C9" si="2">TEXT(B4,"dddd")</f>
        <v>Wednesday</v>
      </c>
      <c r="D4" s="182" t="s">
        <v>713</v>
      </c>
      <c r="E4" s="58" t="str">
        <f t="shared" ref="E4:E9" si="3">TEXT(B4,"mmmm")</f>
        <v>May</v>
      </c>
      <c r="F4" s="58">
        <v>2026</v>
      </c>
      <c r="G4" s="187">
        <v>4</v>
      </c>
      <c r="H4" s="58" t="s">
        <v>215</v>
      </c>
      <c r="I4" s="142" t="s">
        <v>714</v>
      </c>
      <c r="J4" s="58" t="s">
        <v>366</v>
      </c>
      <c r="K4" s="58" t="s">
        <v>106</v>
      </c>
      <c r="L4" s="203" t="s">
        <v>705</v>
      </c>
      <c r="M4" s="58"/>
      <c r="N4" s="187">
        <v>4</v>
      </c>
      <c r="O4" s="182" t="s">
        <v>432</v>
      </c>
      <c r="P4" s="58"/>
      <c r="Q4" s="58"/>
    </row>
    <row r="5" spans="1:17" ht="15.75">
      <c r="A5" s="182">
        <v>4</v>
      </c>
      <c r="B5" s="59">
        <v>46163</v>
      </c>
      <c r="C5" s="58" t="str">
        <f t="shared" si="2"/>
        <v>Thursday</v>
      </c>
      <c r="D5" s="182" t="s">
        <v>713</v>
      </c>
      <c r="E5" s="58" t="str">
        <f t="shared" si="3"/>
        <v>May</v>
      </c>
      <c r="F5" s="58">
        <v>2026</v>
      </c>
      <c r="G5" s="187">
        <v>4</v>
      </c>
      <c r="H5" s="58" t="s">
        <v>215</v>
      </c>
      <c r="I5" s="142" t="s">
        <v>714</v>
      </c>
      <c r="J5" s="58" t="s">
        <v>366</v>
      </c>
      <c r="K5" s="58" t="s">
        <v>106</v>
      </c>
      <c r="L5" s="203" t="s">
        <v>708</v>
      </c>
      <c r="M5" s="58"/>
      <c r="N5" s="187">
        <v>4</v>
      </c>
      <c r="O5" s="182" t="s">
        <v>432</v>
      </c>
      <c r="P5" s="58"/>
      <c r="Q5" s="58"/>
    </row>
    <row r="6" spans="1:17" ht="15.75">
      <c r="A6" s="182">
        <v>5</v>
      </c>
      <c r="B6" s="59">
        <v>46164</v>
      </c>
      <c r="C6" s="58" t="str">
        <f t="shared" si="2"/>
        <v>Friday</v>
      </c>
      <c r="D6" s="182" t="s">
        <v>713</v>
      </c>
      <c r="E6" s="58" t="str">
        <f t="shared" si="3"/>
        <v>May</v>
      </c>
      <c r="F6" s="58">
        <v>2026</v>
      </c>
      <c r="G6" s="187">
        <v>4</v>
      </c>
      <c r="H6" s="58" t="s">
        <v>215</v>
      </c>
      <c r="I6" s="142" t="s">
        <v>714</v>
      </c>
      <c r="J6" s="58" t="s">
        <v>366</v>
      </c>
      <c r="K6" s="58" t="s">
        <v>106</v>
      </c>
      <c r="L6" s="203" t="s">
        <v>712</v>
      </c>
      <c r="M6" s="58"/>
      <c r="N6" s="187">
        <v>4</v>
      </c>
      <c r="O6" s="182" t="s">
        <v>432</v>
      </c>
      <c r="P6" s="58"/>
      <c r="Q6" s="58"/>
    </row>
    <row r="7" spans="1:17" ht="15.75">
      <c r="A7" s="182">
        <v>6</v>
      </c>
      <c r="B7" s="59">
        <v>46167</v>
      </c>
      <c r="C7" s="58" t="str">
        <f t="shared" si="2"/>
        <v>Monday</v>
      </c>
      <c r="D7" s="182" t="s">
        <v>713</v>
      </c>
      <c r="E7" s="58" t="str">
        <f t="shared" si="3"/>
        <v>May</v>
      </c>
      <c r="F7" s="58">
        <v>2026</v>
      </c>
      <c r="G7" s="187">
        <v>4</v>
      </c>
      <c r="H7" s="58" t="s">
        <v>215</v>
      </c>
      <c r="I7" s="142" t="s">
        <v>714</v>
      </c>
      <c r="J7" s="58" t="s">
        <v>366</v>
      </c>
      <c r="K7" s="58" t="s">
        <v>106</v>
      </c>
      <c r="L7" s="203" t="s">
        <v>720</v>
      </c>
      <c r="M7" s="58"/>
      <c r="N7" s="187">
        <v>4</v>
      </c>
      <c r="O7" s="182" t="s">
        <v>432</v>
      </c>
      <c r="P7" s="58"/>
      <c r="Q7" s="58"/>
    </row>
    <row r="8" spans="1:17" ht="15.75">
      <c r="A8" s="182">
        <v>7</v>
      </c>
      <c r="B8" s="59">
        <v>46168</v>
      </c>
      <c r="C8" s="58" t="str">
        <f t="shared" si="2"/>
        <v>Tuesday</v>
      </c>
      <c r="D8" s="182" t="s">
        <v>713</v>
      </c>
      <c r="E8" s="58" t="str">
        <f t="shared" si="3"/>
        <v>May</v>
      </c>
      <c r="F8" s="58">
        <v>2026</v>
      </c>
      <c r="G8" s="187">
        <v>4</v>
      </c>
      <c r="H8" s="58" t="s">
        <v>215</v>
      </c>
      <c r="I8" s="142" t="s">
        <v>714</v>
      </c>
      <c r="J8" s="58" t="s">
        <v>366</v>
      </c>
      <c r="K8" s="58" t="s">
        <v>106</v>
      </c>
      <c r="L8" s="203" t="s">
        <v>735</v>
      </c>
      <c r="M8" s="58"/>
      <c r="N8" s="187">
        <v>4</v>
      </c>
      <c r="O8" s="182" t="s">
        <v>432</v>
      </c>
      <c r="P8" s="58"/>
      <c r="Q8" s="58"/>
    </row>
    <row r="9" spans="1:17" ht="15.75">
      <c r="A9" s="182">
        <v>8</v>
      </c>
      <c r="B9" s="59">
        <v>46171</v>
      </c>
      <c r="C9" s="58" t="str">
        <f t="shared" si="2"/>
        <v>Friday</v>
      </c>
      <c r="D9" s="182" t="s">
        <v>713</v>
      </c>
      <c r="E9" s="58" t="str">
        <f t="shared" si="3"/>
        <v>May</v>
      </c>
      <c r="F9" s="58">
        <v>2026</v>
      </c>
      <c r="G9" s="187">
        <v>4</v>
      </c>
      <c r="H9" s="58" t="s">
        <v>215</v>
      </c>
      <c r="I9" s="142" t="s">
        <v>714</v>
      </c>
      <c r="J9" s="58" t="s">
        <v>366</v>
      </c>
      <c r="K9" s="58" t="s">
        <v>106</v>
      </c>
      <c r="L9" s="203" t="s">
        <v>743</v>
      </c>
      <c r="M9" s="58"/>
      <c r="N9" s="187">
        <v>4</v>
      </c>
      <c r="O9" s="182" t="s">
        <v>432</v>
      </c>
      <c r="P9" s="58"/>
      <c r="Q9" s="58"/>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3BC7D-D0F1-4053-9148-40DEA56F2BF8}">
  <dimension ref="A1:Q3"/>
  <sheetViews>
    <sheetView workbookViewId="0"/>
  </sheetViews>
  <sheetFormatPr defaultRowHeight="15"/>
  <cols>
    <col min="2" max="2" width="19.42578125" customWidth="1"/>
    <col min="3" max="3" width="13.42578125" customWidth="1"/>
    <col min="4" max="4" width="23.5703125" customWidth="1"/>
    <col min="5" max="5" width="22" customWidth="1"/>
    <col min="7" max="7" width="18.42578125" bestFit="1" customWidth="1"/>
    <col min="8" max="8" width="13.140625"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182" t="s">
        <v>1024</v>
      </c>
      <c r="B2" s="59">
        <v>46128</v>
      </c>
      <c r="C2" s="58" t="str">
        <f t="shared" ref="C2:C3" si="0">TEXT(B2,"dddd")</f>
        <v>Thursday</v>
      </c>
      <c r="D2" s="182"/>
      <c r="E2" s="58" t="str">
        <f t="shared" ref="E2:E3" si="1">TEXT(B2,"mmmm")</f>
        <v>April</v>
      </c>
      <c r="F2" s="58">
        <v>2026</v>
      </c>
      <c r="G2" s="182">
        <v>8</v>
      </c>
      <c r="H2" s="58" t="s">
        <v>76</v>
      </c>
      <c r="I2" s="142" t="s">
        <v>158</v>
      </c>
      <c r="J2" s="58" t="s">
        <v>366</v>
      </c>
      <c r="K2" s="58" t="s">
        <v>101</v>
      </c>
      <c r="L2" s="203" t="s">
        <v>601</v>
      </c>
      <c r="M2" s="58"/>
      <c r="N2" s="182">
        <v>8</v>
      </c>
      <c r="O2" s="182" t="s">
        <v>159</v>
      </c>
      <c r="P2" s="58"/>
      <c r="Q2" s="58"/>
    </row>
    <row r="3" spans="1:17">
      <c r="A3" s="182">
        <v>2</v>
      </c>
      <c r="B3" s="59">
        <v>46141</v>
      </c>
      <c r="C3" s="58" t="str">
        <f t="shared" si="0"/>
        <v>Wednesday</v>
      </c>
      <c r="D3" s="182"/>
      <c r="E3" s="58" t="str">
        <f t="shared" si="1"/>
        <v>April</v>
      </c>
      <c r="F3" s="58">
        <v>2026</v>
      </c>
      <c r="G3" s="182">
        <v>8</v>
      </c>
      <c r="H3" s="58" t="s">
        <v>76</v>
      </c>
      <c r="I3" s="142" t="s">
        <v>158</v>
      </c>
      <c r="J3" s="58" t="s">
        <v>366</v>
      </c>
      <c r="K3" s="58" t="s">
        <v>101</v>
      </c>
      <c r="L3" s="203" t="s">
        <v>601</v>
      </c>
      <c r="M3" s="58"/>
      <c r="N3" s="182">
        <v>8</v>
      </c>
      <c r="O3" s="182" t="s">
        <v>159</v>
      </c>
      <c r="P3" s="58"/>
      <c r="Q3" s="58"/>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44331-8171-42B5-B027-A0851AC152A7}">
  <dimension ref="A1:Q31"/>
  <sheetViews>
    <sheetView workbookViewId="0"/>
  </sheetViews>
  <sheetFormatPr defaultRowHeight="15"/>
  <cols>
    <col min="2" max="2" width="19.42578125" customWidth="1"/>
    <col min="3" max="3" width="13.42578125" customWidth="1"/>
    <col min="4" max="4" width="23.5703125" customWidth="1"/>
    <col min="5" max="5" width="22" customWidth="1"/>
    <col min="7" max="7" width="18.42578125" bestFit="1" customWidth="1"/>
    <col min="8" max="8" width="13.140625"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8.140625" customWidth="1"/>
    <col min="16" max="16" width="19"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ht="16.5">
      <c r="A2" s="182"/>
      <c r="B2" s="59">
        <v>46169</v>
      </c>
      <c r="C2" s="58" t="str">
        <f t="shared" ref="C2:C31" si="0">TEXT(B2,"dddd")</f>
        <v>Wednesday</v>
      </c>
      <c r="D2" s="182"/>
      <c r="E2" s="58" t="str">
        <f t="shared" ref="E2:E31" si="1">TEXT(B2,"mmmm")</f>
        <v>May</v>
      </c>
      <c r="F2" s="58">
        <v>2026</v>
      </c>
      <c r="G2" s="182">
        <v>0.5</v>
      </c>
      <c r="H2" s="58" t="s">
        <v>201</v>
      </c>
      <c r="I2" s="142" t="s">
        <v>202</v>
      </c>
      <c r="J2" s="58" t="s">
        <v>373</v>
      </c>
      <c r="K2" s="58" t="s">
        <v>101</v>
      </c>
      <c r="L2" s="261" t="s">
        <v>756</v>
      </c>
      <c r="M2" s="58"/>
      <c r="N2" s="182">
        <v>0.5</v>
      </c>
      <c r="O2" s="247" t="s">
        <v>203</v>
      </c>
      <c r="P2" s="58"/>
      <c r="Q2" s="58"/>
    </row>
    <row r="3" spans="1:17" ht="16.5">
      <c r="A3" s="182">
        <v>1</v>
      </c>
      <c r="B3" s="59">
        <v>46176</v>
      </c>
      <c r="C3" s="58" t="str">
        <f t="shared" si="0"/>
        <v>Wednesday</v>
      </c>
      <c r="D3" s="182" t="s">
        <v>767</v>
      </c>
      <c r="E3" s="58" t="str">
        <f t="shared" si="1"/>
        <v>June</v>
      </c>
      <c r="F3" s="58">
        <v>2026</v>
      </c>
      <c r="G3" s="182">
        <v>1.5</v>
      </c>
      <c r="H3" s="58" t="s">
        <v>201</v>
      </c>
      <c r="I3" s="142" t="s">
        <v>202</v>
      </c>
      <c r="J3" s="58" t="s">
        <v>373</v>
      </c>
      <c r="K3" s="58" t="s">
        <v>101</v>
      </c>
      <c r="L3" s="248" t="s">
        <v>768</v>
      </c>
      <c r="M3" s="58"/>
      <c r="N3" s="182">
        <v>1.5</v>
      </c>
      <c r="O3" s="247" t="s">
        <v>769</v>
      </c>
      <c r="P3" s="58"/>
      <c r="Q3" s="58"/>
    </row>
    <row r="4" spans="1:17" ht="16.5">
      <c r="A4" s="182">
        <v>2</v>
      </c>
      <c r="B4" s="59">
        <v>46178</v>
      </c>
      <c r="C4" s="58" t="str">
        <f t="shared" si="0"/>
        <v>Friday</v>
      </c>
      <c r="D4" s="182" t="s">
        <v>767</v>
      </c>
      <c r="E4" s="58" t="str">
        <f t="shared" si="1"/>
        <v>June</v>
      </c>
      <c r="F4" s="58">
        <v>2026</v>
      </c>
      <c r="G4" s="182">
        <v>1.5</v>
      </c>
      <c r="H4" s="58" t="s">
        <v>201</v>
      </c>
      <c r="I4" s="142" t="s">
        <v>202</v>
      </c>
      <c r="J4" s="58" t="s">
        <v>373</v>
      </c>
      <c r="K4" s="58" t="s">
        <v>101</v>
      </c>
      <c r="L4" s="248" t="s">
        <v>779</v>
      </c>
      <c r="M4" s="58"/>
      <c r="N4" s="182">
        <v>1.5</v>
      </c>
      <c r="O4" s="247" t="s">
        <v>769</v>
      </c>
      <c r="P4" s="58"/>
      <c r="Q4" s="58"/>
    </row>
    <row r="5" spans="1:17" ht="16.5">
      <c r="A5" s="182">
        <v>3</v>
      </c>
      <c r="B5" s="59">
        <v>46181</v>
      </c>
      <c r="C5" s="58" t="str">
        <f t="shared" si="0"/>
        <v>Monday</v>
      </c>
      <c r="D5" s="182" t="s">
        <v>767</v>
      </c>
      <c r="E5" s="58" t="str">
        <f t="shared" si="1"/>
        <v>June</v>
      </c>
      <c r="F5" s="58">
        <v>2026</v>
      </c>
      <c r="G5" s="182">
        <v>1.5</v>
      </c>
      <c r="H5" s="58" t="s">
        <v>201</v>
      </c>
      <c r="I5" s="142" t="s">
        <v>202</v>
      </c>
      <c r="J5" s="58" t="s">
        <v>373</v>
      </c>
      <c r="K5" s="58" t="s">
        <v>101</v>
      </c>
      <c r="L5" s="248" t="s">
        <v>781</v>
      </c>
      <c r="M5" s="58"/>
      <c r="N5" s="182">
        <v>1.5</v>
      </c>
      <c r="O5" s="247" t="s">
        <v>769</v>
      </c>
      <c r="P5" s="58"/>
      <c r="Q5" s="58"/>
    </row>
    <row r="6" spans="1:17" ht="16.5">
      <c r="A6" s="182">
        <v>4</v>
      </c>
      <c r="B6" s="59">
        <v>46183</v>
      </c>
      <c r="C6" s="58" t="str">
        <f t="shared" si="0"/>
        <v>Wednesday</v>
      </c>
      <c r="D6" s="182" t="s">
        <v>767</v>
      </c>
      <c r="E6" s="58" t="str">
        <f t="shared" si="1"/>
        <v>June</v>
      </c>
      <c r="F6" s="58">
        <v>2026</v>
      </c>
      <c r="G6" s="182">
        <v>1.5</v>
      </c>
      <c r="H6" s="58" t="s">
        <v>201</v>
      </c>
      <c r="I6" s="142" t="s">
        <v>202</v>
      </c>
      <c r="J6" s="58" t="s">
        <v>373</v>
      </c>
      <c r="K6" s="58" t="s">
        <v>101</v>
      </c>
      <c r="L6" s="248" t="s">
        <v>790</v>
      </c>
      <c r="M6" s="58"/>
      <c r="N6" s="182">
        <v>1.5</v>
      </c>
      <c r="O6" s="247" t="s">
        <v>769</v>
      </c>
      <c r="P6" s="58"/>
      <c r="Q6" s="58"/>
    </row>
    <row r="7" spans="1:17" ht="16.5">
      <c r="A7" s="182">
        <v>5</v>
      </c>
      <c r="B7" s="59">
        <v>46185</v>
      </c>
      <c r="C7" s="58" t="str">
        <f t="shared" si="0"/>
        <v>Friday</v>
      </c>
      <c r="D7" s="182" t="s">
        <v>767</v>
      </c>
      <c r="E7" s="58" t="str">
        <f t="shared" si="1"/>
        <v>June</v>
      </c>
      <c r="F7" s="58">
        <v>2026</v>
      </c>
      <c r="G7" s="182">
        <v>1.5</v>
      </c>
      <c r="H7" s="58" t="s">
        <v>201</v>
      </c>
      <c r="I7" s="142" t="s">
        <v>202</v>
      </c>
      <c r="J7" s="58" t="s">
        <v>373</v>
      </c>
      <c r="K7" s="58" t="s">
        <v>101</v>
      </c>
      <c r="L7" s="248" t="s">
        <v>798</v>
      </c>
      <c r="M7" s="58"/>
      <c r="N7" s="182">
        <v>1.5</v>
      </c>
      <c r="O7" s="247" t="s">
        <v>769</v>
      </c>
      <c r="P7" s="58"/>
      <c r="Q7" s="58"/>
    </row>
    <row r="8" spans="1:17" ht="16.5">
      <c r="A8" s="182"/>
      <c r="B8" s="59">
        <v>46188</v>
      </c>
      <c r="C8" s="58" t="str">
        <f t="shared" si="0"/>
        <v>Monday</v>
      </c>
      <c r="D8" s="182" t="s">
        <v>767</v>
      </c>
      <c r="E8" s="58" t="str">
        <f t="shared" si="1"/>
        <v>June</v>
      </c>
      <c r="F8" s="58">
        <v>2026</v>
      </c>
      <c r="G8" s="182"/>
      <c r="H8" s="58" t="s">
        <v>201</v>
      </c>
      <c r="I8" s="142" t="s">
        <v>202</v>
      </c>
      <c r="J8" s="58" t="s">
        <v>373</v>
      </c>
      <c r="K8" s="58" t="s">
        <v>101</v>
      </c>
      <c r="L8" s="249" t="s">
        <v>391</v>
      </c>
      <c r="M8" s="58"/>
      <c r="N8" s="182"/>
      <c r="O8" s="247"/>
      <c r="P8" s="58"/>
      <c r="Q8" s="58"/>
    </row>
    <row r="9" spans="1:17" ht="16.5">
      <c r="A9" s="182">
        <v>6</v>
      </c>
      <c r="B9" s="59">
        <v>46190</v>
      </c>
      <c r="C9" s="58" t="str">
        <f t="shared" si="0"/>
        <v>Wednesday</v>
      </c>
      <c r="D9" s="182" t="s">
        <v>767</v>
      </c>
      <c r="E9" s="58" t="str">
        <f t="shared" si="1"/>
        <v>June</v>
      </c>
      <c r="F9" s="58">
        <v>2026</v>
      </c>
      <c r="G9" s="182">
        <v>1.5</v>
      </c>
      <c r="H9" s="58" t="s">
        <v>201</v>
      </c>
      <c r="I9" s="142" t="s">
        <v>202</v>
      </c>
      <c r="J9" s="58" t="s">
        <v>373</v>
      </c>
      <c r="K9" s="58" t="s">
        <v>101</v>
      </c>
      <c r="L9" s="248" t="s">
        <v>809</v>
      </c>
      <c r="M9" s="58"/>
      <c r="N9" s="182">
        <v>1.5</v>
      </c>
      <c r="O9" s="247" t="s">
        <v>769</v>
      </c>
      <c r="P9" s="262" t="s">
        <v>234</v>
      </c>
      <c r="Q9" s="58"/>
    </row>
    <row r="10" spans="1:17" ht="16.5">
      <c r="A10" s="182">
        <v>7</v>
      </c>
      <c r="B10" s="59">
        <v>46192</v>
      </c>
      <c r="C10" s="58" t="str">
        <f t="shared" si="0"/>
        <v>Friday</v>
      </c>
      <c r="D10" s="182" t="s">
        <v>767</v>
      </c>
      <c r="E10" s="58" t="str">
        <f t="shared" si="1"/>
        <v>June</v>
      </c>
      <c r="F10" s="58">
        <v>2026</v>
      </c>
      <c r="G10" s="182">
        <v>1.5</v>
      </c>
      <c r="H10" s="58" t="s">
        <v>201</v>
      </c>
      <c r="I10" s="142" t="s">
        <v>202</v>
      </c>
      <c r="J10" s="58" t="s">
        <v>373</v>
      </c>
      <c r="K10" s="58" t="s">
        <v>101</v>
      </c>
      <c r="L10" s="248" t="s">
        <v>817</v>
      </c>
      <c r="M10" s="58"/>
      <c r="N10" s="182">
        <v>1.5</v>
      </c>
      <c r="O10" s="247" t="s">
        <v>769</v>
      </c>
      <c r="P10" s="263" t="s">
        <v>234</v>
      </c>
      <c r="Q10" s="58"/>
    </row>
    <row r="11" spans="1:17" ht="16.5">
      <c r="A11" s="182">
        <v>8</v>
      </c>
      <c r="B11" s="59">
        <v>46195</v>
      </c>
      <c r="C11" s="58" t="str">
        <f t="shared" si="0"/>
        <v>Monday</v>
      </c>
      <c r="D11" s="182" t="s">
        <v>767</v>
      </c>
      <c r="E11" s="58" t="str">
        <f t="shared" si="1"/>
        <v>June</v>
      </c>
      <c r="F11" s="58">
        <v>2026</v>
      </c>
      <c r="G11" s="182">
        <v>1.5</v>
      </c>
      <c r="H11" s="58" t="s">
        <v>201</v>
      </c>
      <c r="I11" s="142" t="s">
        <v>202</v>
      </c>
      <c r="J11" s="58" t="s">
        <v>373</v>
      </c>
      <c r="K11" s="58" t="s">
        <v>101</v>
      </c>
      <c r="L11" s="248" t="s">
        <v>821</v>
      </c>
      <c r="M11" s="58"/>
      <c r="N11" s="182">
        <v>1.5</v>
      </c>
      <c r="O11" s="247" t="s">
        <v>769</v>
      </c>
      <c r="P11" s="58"/>
      <c r="Q11" s="58"/>
    </row>
    <row r="12" spans="1:17" ht="16.5">
      <c r="A12" s="182">
        <v>9</v>
      </c>
      <c r="B12" s="59">
        <v>46197</v>
      </c>
      <c r="C12" s="58" t="str">
        <f t="shared" si="0"/>
        <v>Wednesday</v>
      </c>
      <c r="D12" s="182" t="s">
        <v>767</v>
      </c>
      <c r="E12" s="58" t="str">
        <f t="shared" si="1"/>
        <v>June</v>
      </c>
      <c r="F12" s="58">
        <v>2026</v>
      </c>
      <c r="G12" s="182">
        <v>1.5</v>
      </c>
      <c r="H12" s="58" t="s">
        <v>201</v>
      </c>
      <c r="I12" s="142" t="s">
        <v>202</v>
      </c>
      <c r="J12" s="58" t="s">
        <v>373</v>
      </c>
      <c r="K12" s="58" t="s">
        <v>101</v>
      </c>
      <c r="L12" s="248" t="s">
        <v>830</v>
      </c>
      <c r="M12" s="58"/>
      <c r="N12" s="182">
        <v>1.5</v>
      </c>
      <c r="O12" s="247" t="s">
        <v>769</v>
      </c>
      <c r="P12" s="58"/>
      <c r="Q12" s="58"/>
    </row>
    <row r="13" spans="1:17" ht="16.5">
      <c r="A13" s="182">
        <v>10</v>
      </c>
      <c r="B13" s="59">
        <v>46199</v>
      </c>
      <c r="C13" s="58" t="str">
        <f t="shared" si="0"/>
        <v>Friday</v>
      </c>
      <c r="D13" s="182" t="s">
        <v>767</v>
      </c>
      <c r="E13" s="58" t="str">
        <f t="shared" si="1"/>
        <v>June</v>
      </c>
      <c r="F13" s="58">
        <v>2026</v>
      </c>
      <c r="G13" s="182">
        <v>1.5</v>
      </c>
      <c r="H13" s="58" t="s">
        <v>201</v>
      </c>
      <c r="I13" s="142" t="s">
        <v>202</v>
      </c>
      <c r="J13" s="58" t="s">
        <v>373</v>
      </c>
      <c r="K13" s="58" t="s">
        <v>101</v>
      </c>
      <c r="L13" s="248" t="s">
        <v>834</v>
      </c>
      <c r="M13" s="58"/>
      <c r="N13" s="182">
        <v>1.5</v>
      </c>
      <c r="O13" s="247" t="s">
        <v>769</v>
      </c>
      <c r="P13" s="263" t="s">
        <v>234</v>
      </c>
      <c r="Q13" s="58"/>
    </row>
    <row r="14" spans="1:17" ht="16.5">
      <c r="A14" s="182">
        <v>11</v>
      </c>
      <c r="B14" s="59">
        <v>46202</v>
      </c>
      <c r="C14" s="58" t="str">
        <f t="shared" si="0"/>
        <v>Monday</v>
      </c>
      <c r="D14" s="182" t="s">
        <v>767</v>
      </c>
      <c r="E14" s="58" t="str">
        <f t="shared" si="1"/>
        <v>June</v>
      </c>
      <c r="F14" s="58">
        <v>2026</v>
      </c>
      <c r="G14" s="182">
        <v>1.5</v>
      </c>
      <c r="H14" s="58" t="s">
        <v>201</v>
      </c>
      <c r="I14" s="142" t="s">
        <v>202</v>
      </c>
      <c r="J14" s="58" t="s">
        <v>373</v>
      </c>
      <c r="K14" s="58" t="s">
        <v>101</v>
      </c>
      <c r="L14" s="248" t="s">
        <v>836</v>
      </c>
      <c r="M14" s="58"/>
      <c r="N14" s="182">
        <v>1.5</v>
      </c>
      <c r="O14" s="247" t="s">
        <v>769</v>
      </c>
      <c r="P14" s="263" t="s">
        <v>234</v>
      </c>
      <c r="Q14" s="58"/>
    </row>
    <row r="15" spans="1:17" ht="16.5">
      <c r="A15" s="182">
        <v>12</v>
      </c>
      <c r="B15" s="59">
        <v>46204</v>
      </c>
      <c r="C15" s="58" t="str">
        <f t="shared" si="0"/>
        <v>Wednesday</v>
      </c>
      <c r="D15" s="182" t="s">
        <v>767</v>
      </c>
      <c r="E15" s="58" t="str">
        <f t="shared" si="1"/>
        <v>July</v>
      </c>
      <c r="F15" s="58">
        <v>2026</v>
      </c>
      <c r="G15" s="182">
        <v>1.5</v>
      </c>
      <c r="H15" s="58" t="s">
        <v>201</v>
      </c>
      <c r="I15" s="142" t="s">
        <v>202</v>
      </c>
      <c r="J15" s="58" t="s">
        <v>373</v>
      </c>
      <c r="K15" s="58" t="s">
        <v>101</v>
      </c>
      <c r="L15" s="248" t="s">
        <v>846</v>
      </c>
      <c r="M15" s="58"/>
      <c r="N15" s="182">
        <v>1.5</v>
      </c>
      <c r="O15" s="247" t="s">
        <v>769</v>
      </c>
      <c r="P15" s="58"/>
      <c r="Q15" s="58"/>
    </row>
    <row r="16" spans="1:17" ht="16.5">
      <c r="A16" s="182">
        <v>13</v>
      </c>
      <c r="B16" s="59">
        <v>46206</v>
      </c>
      <c r="C16" s="58" t="str">
        <f t="shared" si="0"/>
        <v>Friday</v>
      </c>
      <c r="D16" s="182" t="s">
        <v>767</v>
      </c>
      <c r="E16" s="58" t="str">
        <f t="shared" si="1"/>
        <v>July</v>
      </c>
      <c r="F16" s="58">
        <v>2026</v>
      </c>
      <c r="G16" s="182">
        <v>1.5</v>
      </c>
      <c r="H16" s="58" t="s">
        <v>201</v>
      </c>
      <c r="I16" s="142" t="s">
        <v>202</v>
      </c>
      <c r="J16" s="58" t="s">
        <v>373</v>
      </c>
      <c r="K16" s="58" t="s">
        <v>101</v>
      </c>
      <c r="L16" s="248" t="s">
        <v>849</v>
      </c>
      <c r="M16" s="58"/>
      <c r="N16" s="182">
        <v>1.5</v>
      </c>
      <c r="O16" s="247" t="s">
        <v>769</v>
      </c>
      <c r="P16" s="58"/>
      <c r="Q16" s="58"/>
    </row>
    <row r="17" spans="1:17" ht="16.5">
      <c r="A17" s="182">
        <v>14</v>
      </c>
      <c r="B17" s="59">
        <v>46209</v>
      </c>
      <c r="C17" s="58" t="str">
        <f t="shared" si="0"/>
        <v>Monday</v>
      </c>
      <c r="D17" s="182" t="s">
        <v>767</v>
      </c>
      <c r="E17" s="58" t="str">
        <f t="shared" si="1"/>
        <v>July</v>
      </c>
      <c r="F17" s="58">
        <v>2026</v>
      </c>
      <c r="G17" s="182">
        <v>1.5</v>
      </c>
      <c r="H17" s="58" t="s">
        <v>201</v>
      </c>
      <c r="I17" s="142" t="s">
        <v>202</v>
      </c>
      <c r="J17" s="58" t="s">
        <v>373</v>
      </c>
      <c r="K17" s="58" t="s">
        <v>101</v>
      </c>
      <c r="L17" s="248" t="s">
        <v>850</v>
      </c>
      <c r="M17" s="58"/>
      <c r="N17" s="182">
        <v>1.5</v>
      </c>
      <c r="O17" s="247" t="s">
        <v>769</v>
      </c>
      <c r="P17" s="263" t="s">
        <v>234</v>
      </c>
      <c r="Q17" s="58"/>
    </row>
    <row r="18" spans="1:17" ht="16.5">
      <c r="A18" s="182">
        <v>15</v>
      </c>
      <c r="B18" s="59">
        <v>46211</v>
      </c>
      <c r="C18" s="58" t="str">
        <f t="shared" si="0"/>
        <v>Wednesday</v>
      </c>
      <c r="D18" s="182" t="s">
        <v>767</v>
      </c>
      <c r="E18" s="58" t="str">
        <f t="shared" si="1"/>
        <v>July</v>
      </c>
      <c r="F18" s="58">
        <v>2026</v>
      </c>
      <c r="G18" s="182">
        <v>1.5</v>
      </c>
      <c r="H18" s="58" t="s">
        <v>201</v>
      </c>
      <c r="I18" s="142" t="s">
        <v>202</v>
      </c>
      <c r="J18" s="58" t="s">
        <v>373</v>
      </c>
      <c r="K18" s="58" t="s">
        <v>101</v>
      </c>
      <c r="L18" s="248" t="s">
        <v>857</v>
      </c>
      <c r="M18" s="58"/>
      <c r="N18" s="182">
        <v>1.5</v>
      </c>
      <c r="O18" s="247" t="s">
        <v>769</v>
      </c>
      <c r="P18" s="263" t="s">
        <v>234</v>
      </c>
      <c r="Q18" s="58"/>
    </row>
    <row r="19" spans="1:17" ht="16.5">
      <c r="A19" s="182">
        <v>16</v>
      </c>
      <c r="B19" s="59">
        <v>46213</v>
      </c>
      <c r="C19" s="58" t="str">
        <f t="shared" si="0"/>
        <v>Friday</v>
      </c>
      <c r="D19" s="182" t="s">
        <v>767</v>
      </c>
      <c r="E19" s="58" t="str">
        <f t="shared" si="1"/>
        <v>July</v>
      </c>
      <c r="F19" s="58">
        <v>2026</v>
      </c>
      <c r="G19" s="182">
        <v>1.5</v>
      </c>
      <c r="H19" s="58" t="s">
        <v>201</v>
      </c>
      <c r="I19" s="142" t="s">
        <v>202</v>
      </c>
      <c r="J19" s="58" t="s">
        <v>373</v>
      </c>
      <c r="K19" s="58" t="s">
        <v>101</v>
      </c>
      <c r="L19" s="248" t="s">
        <v>863</v>
      </c>
      <c r="M19" s="58"/>
      <c r="N19" s="182">
        <v>1.5</v>
      </c>
      <c r="O19" s="247" t="s">
        <v>769</v>
      </c>
      <c r="P19" s="58"/>
      <c r="Q19" s="58"/>
    </row>
    <row r="20" spans="1:17" ht="16.5">
      <c r="A20" s="182"/>
      <c r="B20" s="59">
        <v>46216</v>
      </c>
      <c r="C20" s="58" t="str">
        <f t="shared" si="0"/>
        <v>Monday</v>
      </c>
      <c r="D20" s="182" t="s">
        <v>767</v>
      </c>
      <c r="E20" s="58" t="str">
        <f t="shared" si="1"/>
        <v>July</v>
      </c>
      <c r="F20" s="58">
        <v>2026</v>
      </c>
      <c r="G20" s="182"/>
      <c r="H20" s="58" t="s">
        <v>201</v>
      </c>
      <c r="I20" s="142" t="s">
        <v>202</v>
      </c>
      <c r="J20" s="58" t="s">
        <v>373</v>
      </c>
      <c r="K20" s="58" t="s">
        <v>101</v>
      </c>
      <c r="L20" s="249" t="s">
        <v>391</v>
      </c>
      <c r="M20" s="58"/>
      <c r="N20" s="182"/>
      <c r="O20" s="247"/>
      <c r="P20" s="58"/>
      <c r="Q20" s="58"/>
    </row>
    <row r="21" spans="1:17" ht="16.5">
      <c r="A21" s="182">
        <v>17</v>
      </c>
      <c r="B21" s="59">
        <v>46218</v>
      </c>
      <c r="C21" s="58" t="str">
        <f t="shared" si="0"/>
        <v>Wednesday</v>
      </c>
      <c r="D21" s="182" t="s">
        <v>767</v>
      </c>
      <c r="E21" s="58" t="str">
        <f t="shared" si="1"/>
        <v>July</v>
      </c>
      <c r="F21" s="58">
        <v>2026</v>
      </c>
      <c r="G21" s="182">
        <v>1.5</v>
      </c>
      <c r="H21" s="58" t="s">
        <v>201</v>
      </c>
      <c r="I21" s="142" t="s">
        <v>202</v>
      </c>
      <c r="J21" s="58" t="s">
        <v>373</v>
      </c>
      <c r="K21" s="58" t="s">
        <v>101</v>
      </c>
      <c r="L21" s="248" t="s">
        <v>872</v>
      </c>
      <c r="M21" s="58"/>
      <c r="N21" s="182">
        <v>1.5</v>
      </c>
      <c r="O21" s="247" t="s">
        <v>769</v>
      </c>
      <c r="P21" s="58"/>
      <c r="Q21" s="58"/>
    </row>
    <row r="22" spans="1:17" ht="16.5">
      <c r="A22" s="182">
        <v>18</v>
      </c>
      <c r="B22" s="59">
        <v>46220</v>
      </c>
      <c r="C22" s="58" t="str">
        <f t="shared" si="0"/>
        <v>Friday</v>
      </c>
      <c r="D22" s="182" t="s">
        <v>767</v>
      </c>
      <c r="E22" s="58" t="str">
        <f t="shared" si="1"/>
        <v>July</v>
      </c>
      <c r="F22" s="58">
        <v>2026</v>
      </c>
      <c r="G22" s="182">
        <v>1.5</v>
      </c>
      <c r="H22" s="58" t="s">
        <v>201</v>
      </c>
      <c r="I22" s="142" t="s">
        <v>202</v>
      </c>
      <c r="J22" s="58" t="s">
        <v>373</v>
      </c>
      <c r="K22" s="58" t="s">
        <v>101</v>
      </c>
      <c r="L22" s="248" t="s">
        <v>878</v>
      </c>
      <c r="M22" s="58"/>
      <c r="N22" s="182">
        <v>1.5</v>
      </c>
      <c r="O22" s="247" t="s">
        <v>769</v>
      </c>
      <c r="P22" s="58"/>
      <c r="Q22" s="58"/>
    </row>
    <row r="23" spans="1:17" ht="16.5">
      <c r="A23" s="182">
        <v>19</v>
      </c>
      <c r="B23" s="59">
        <v>46223</v>
      </c>
      <c r="C23" s="58" t="str">
        <f t="shared" si="0"/>
        <v>Monday</v>
      </c>
      <c r="D23" s="182" t="s">
        <v>767</v>
      </c>
      <c r="E23" s="58" t="str">
        <f t="shared" si="1"/>
        <v>July</v>
      </c>
      <c r="F23" s="58">
        <v>2026</v>
      </c>
      <c r="G23" s="182">
        <v>1.5</v>
      </c>
      <c r="H23" s="58" t="s">
        <v>201</v>
      </c>
      <c r="I23" s="142" t="s">
        <v>202</v>
      </c>
      <c r="J23" s="58" t="s">
        <v>373</v>
      </c>
      <c r="K23" s="58" t="s">
        <v>101</v>
      </c>
      <c r="L23" s="248" t="s">
        <v>880</v>
      </c>
      <c r="M23" s="58"/>
      <c r="N23" s="182">
        <v>1.5</v>
      </c>
      <c r="O23" s="247" t="s">
        <v>881</v>
      </c>
      <c r="P23" s="58"/>
      <c r="Q23" s="58"/>
    </row>
    <row r="24" spans="1:17" ht="16.5">
      <c r="A24" s="182">
        <v>20</v>
      </c>
      <c r="B24" s="59">
        <v>46225</v>
      </c>
      <c r="C24" s="58" t="str">
        <f t="shared" si="0"/>
        <v>Wednesday</v>
      </c>
      <c r="D24" s="182" t="s">
        <v>767</v>
      </c>
      <c r="E24" s="58" t="str">
        <f t="shared" si="1"/>
        <v>July</v>
      </c>
      <c r="F24" s="58">
        <v>2026</v>
      </c>
      <c r="G24" s="182">
        <v>1.5</v>
      </c>
      <c r="H24" s="58" t="s">
        <v>201</v>
      </c>
      <c r="I24" s="142" t="s">
        <v>202</v>
      </c>
      <c r="J24" s="58" t="s">
        <v>373</v>
      </c>
      <c r="K24" s="58" t="s">
        <v>101</v>
      </c>
      <c r="L24" s="248" t="s">
        <v>889</v>
      </c>
      <c r="M24" s="58"/>
      <c r="N24" s="182">
        <v>1.5</v>
      </c>
      <c r="O24" s="247" t="s">
        <v>881</v>
      </c>
      <c r="P24" s="58"/>
      <c r="Q24" s="58"/>
    </row>
    <row r="25" spans="1:17" ht="16.5">
      <c r="A25" s="182">
        <v>21</v>
      </c>
      <c r="B25" s="59">
        <v>46227</v>
      </c>
      <c r="C25" s="58" t="str">
        <f t="shared" si="0"/>
        <v>Friday</v>
      </c>
      <c r="D25" s="182" t="s">
        <v>767</v>
      </c>
      <c r="E25" s="58" t="str">
        <f t="shared" si="1"/>
        <v>July</v>
      </c>
      <c r="F25" s="58">
        <v>2026</v>
      </c>
      <c r="G25" s="182">
        <v>1.5</v>
      </c>
      <c r="H25" s="58" t="s">
        <v>201</v>
      </c>
      <c r="I25" s="142" t="s">
        <v>202</v>
      </c>
      <c r="J25" s="58" t="s">
        <v>373</v>
      </c>
      <c r="K25" s="58" t="s">
        <v>101</v>
      </c>
      <c r="L25" s="248" t="s">
        <v>894</v>
      </c>
      <c r="M25" s="58"/>
      <c r="N25" s="182">
        <v>1.5</v>
      </c>
      <c r="O25" s="247" t="s">
        <v>881</v>
      </c>
      <c r="P25" s="58"/>
      <c r="Q25" s="58"/>
    </row>
    <row r="26" spans="1:17" ht="16.5">
      <c r="A26" s="182">
        <v>22</v>
      </c>
      <c r="B26" s="59">
        <v>46230</v>
      </c>
      <c r="C26" s="58" t="str">
        <f t="shared" si="0"/>
        <v>Monday</v>
      </c>
      <c r="D26" s="182" t="s">
        <v>767</v>
      </c>
      <c r="E26" s="58" t="str">
        <f t="shared" si="1"/>
        <v>July</v>
      </c>
      <c r="F26" s="58">
        <v>2026</v>
      </c>
      <c r="G26" s="182">
        <v>1.5</v>
      </c>
      <c r="H26" s="58" t="s">
        <v>201</v>
      </c>
      <c r="I26" s="142" t="s">
        <v>202</v>
      </c>
      <c r="J26" s="58" t="s">
        <v>373</v>
      </c>
      <c r="K26" s="58" t="s">
        <v>101</v>
      </c>
      <c r="L26" s="248" t="s">
        <v>897</v>
      </c>
      <c r="M26" s="58"/>
      <c r="N26" s="182">
        <v>1.5</v>
      </c>
      <c r="O26" s="247" t="s">
        <v>881</v>
      </c>
      <c r="P26" s="58"/>
      <c r="Q26" s="58"/>
    </row>
    <row r="27" spans="1:17" ht="16.5">
      <c r="A27" s="182">
        <v>23</v>
      </c>
      <c r="B27" s="59">
        <v>46232</v>
      </c>
      <c r="C27" s="58" t="str">
        <f t="shared" si="0"/>
        <v>Wednesday</v>
      </c>
      <c r="D27" s="182" t="s">
        <v>767</v>
      </c>
      <c r="E27" s="58" t="str">
        <f t="shared" si="1"/>
        <v>July</v>
      </c>
      <c r="F27" s="58">
        <v>2026</v>
      </c>
      <c r="G27" s="182">
        <v>1.5</v>
      </c>
      <c r="H27" s="58" t="s">
        <v>201</v>
      </c>
      <c r="I27" s="142" t="s">
        <v>202</v>
      </c>
      <c r="J27" s="58" t="s">
        <v>373</v>
      </c>
      <c r="K27" s="58" t="s">
        <v>101</v>
      </c>
      <c r="L27" s="248" t="s">
        <v>902</v>
      </c>
      <c r="M27" s="58"/>
      <c r="N27" s="182">
        <v>1.5</v>
      </c>
      <c r="O27" s="247" t="s">
        <v>881</v>
      </c>
      <c r="P27" s="58"/>
      <c r="Q27" s="58"/>
    </row>
    <row r="28" spans="1:17" ht="16.5">
      <c r="A28" s="182">
        <v>24</v>
      </c>
      <c r="B28" s="59">
        <v>46234</v>
      </c>
      <c r="C28" s="58" t="str">
        <f t="shared" si="0"/>
        <v>Friday</v>
      </c>
      <c r="D28" s="182" t="s">
        <v>767</v>
      </c>
      <c r="E28" s="58" t="str">
        <f t="shared" si="1"/>
        <v>July</v>
      </c>
      <c r="F28" s="58">
        <v>2026</v>
      </c>
      <c r="G28" s="182">
        <v>1.5</v>
      </c>
      <c r="H28" s="58" t="s">
        <v>201</v>
      </c>
      <c r="I28" s="142" t="s">
        <v>202</v>
      </c>
      <c r="J28" s="58" t="s">
        <v>373</v>
      </c>
      <c r="K28" s="58" t="s">
        <v>101</v>
      </c>
      <c r="L28" s="248" t="s">
        <v>905</v>
      </c>
      <c r="M28" s="58"/>
      <c r="N28" s="182">
        <v>1.5</v>
      </c>
      <c r="O28" s="247" t="s">
        <v>881</v>
      </c>
      <c r="P28" s="58"/>
      <c r="Q28" s="58"/>
    </row>
    <row r="29" spans="1:17" ht="16.5">
      <c r="A29" s="182"/>
      <c r="B29" s="59">
        <v>46237</v>
      </c>
      <c r="C29" s="58" t="str">
        <f t="shared" si="0"/>
        <v>Monday</v>
      </c>
      <c r="D29" s="182"/>
      <c r="E29" s="58" t="str">
        <f t="shared" si="1"/>
        <v>August</v>
      </c>
      <c r="F29" s="58">
        <v>2026</v>
      </c>
      <c r="G29" s="182"/>
      <c r="H29" s="58" t="s">
        <v>201</v>
      </c>
      <c r="I29" s="142" t="s">
        <v>202</v>
      </c>
      <c r="J29" s="58" t="s">
        <v>373</v>
      </c>
      <c r="K29" s="58" t="s">
        <v>101</v>
      </c>
      <c r="L29" s="249" t="s">
        <v>391</v>
      </c>
      <c r="M29" s="58"/>
      <c r="N29" s="182"/>
      <c r="O29" s="247"/>
      <c r="P29" s="58"/>
      <c r="Q29" s="58"/>
    </row>
    <row r="30" spans="1:17" ht="16.5">
      <c r="A30" s="182">
        <v>25</v>
      </c>
      <c r="B30" s="59">
        <v>46239</v>
      </c>
      <c r="C30" s="58" t="str">
        <f t="shared" si="0"/>
        <v>Wednesday</v>
      </c>
      <c r="D30" s="182" t="s">
        <v>767</v>
      </c>
      <c r="E30" s="58" t="str">
        <f t="shared" si="1"/>
        <v>August</v>
      </c>
      <c r="F30" s="58">
        <v>2026</v>
      </c>
      <c r="G30" s="182">
        <v>1.5</v>
      </c>
      <c r="H30" s="58" t="s">
        <v>201</v>
      </c>
      <c r="I30" s="142" t="s">
        <v>202</v>
      </c>
      <c r="J30" s="58" t="s">
        <v>373</v>
      </c>
      <c r="K30" s="58" t="s">
        <v>101</v>
      </c>
      <c r="L30" s="249" t="s">
        <v>913</v>
      </c>
      <c r="M30" s="58"/>
      <c r="N30" s="182">
        <v>1.5</v>
      </c>
      <c r="O30" s="247" t="s">
        <v>769</v>
      </c>
      <c r="P30" s="247" t="s">
        <v>266</v>
      </c>
      <c r="Q30" s="58"/>
    </row>
    <row r="31" spans="1:17" ht="16.5">
      <c r="A31" s="182">
        <v>26</v>
      </c>
      <c r="B31" s="59">
        <v>46241</v>
      </c>
      <c r="C31" s="58" t="str">
        <f t="shared" si="0"/>
        <v>Friday</v>
      </c>
      <c r="D31" s="182" t="s">
        <v>767</v>
      </c>
      <c r="E31" s="58" t="str">
        <f t="shared" si="1"/>
        <v>August</v>
      </c>
      <c r="F31" s="58">
        <v>2026</v>
      </c>
      <c r="G31" s="182">
        <v>1.5</v>
      </c>
      <c r="H31" s="58" t="s">
        <v>201</v>
      </c>
      <c r="I31" s="142" t="s">
        <v>202</v>
      </c>
      <c r="J31" s="58" t="s">
        <v>373</v>
      </c>
      <c r="K31" s="58" t="s">
        <v>101</v>
      </c>
      <c r="L31" s="264" t="s">
        <v>918</v>
      </c>
      <c r="M31" s="58"/>
      <c r="N31" s="182">
        <v>1.5</v>
      </c>
      <c r="O31" s="247" t="s">
        <v>769</v>
      </c>
      <c r="P31" s="247" t="s">
        <v>266</v>
      </c>
      <c r="Q31" s="58"/>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4290-1C44-4B31-B38B-DAD6D047C432}">
  <dimension ref="A1:Q39"/>
  <sheetViews>
    <sheetView topLeftCell="I1" workbookViewId="0">
      <selection activeCell="O19" sqref="O19"/>
    </sheetView>
  </sheetViews>
  <sheetFormatPr defaultRowHeight="15"/>
  <cols>
    <col min="2" max="2" width="19.42578125" customWidth="1"/>
    <col min="3" max="3" width="13.42578125" customWidth="1"/>
    <col min="4" max="4" width="23.5703125" customWidth="1"/>
    <col min="5" max="5" width="22" customWidth="1"/>
    <col min="7" max="7" width="18.42578125" bestFit="1" customWidth="1"/>
    <col min="8" max="8" width="13.140625"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ht="30.75">
      <c r="A2" s="182" t="s">
        <v>1024</v>
      </c>
      <c r="B2" s="59">
        <v>46164</v>
      </c>
      <c r="C2" s="58" t="str">
        <f t="shared" ref="C2:C18" si="0">TEXT(B2,"dddd")</f>
        <v>Friday</v>
      </c>
      <c r="D2" s="182" t="s">
        <v>744</v>
      </c>
      <c r="E2" s="58" t="str">
        <f t="shared" ref="E2:E11" si="1">TEXT(B2,"mmmm")</f>
        <v>May</v>
      </c>
      <c r="F2" s="58">
        <v>2026</v>
      </c>
      <c r="G2" s="182">
        <v>1</v>
      </c>
      <c r="H2" s="58" t="s">
        <v>132</v>
      </c>
      <c r="I2" s="142" t="s">
        <v>158</v>
      </c>
      <c r="J2" s="58" t="s">
        <v>360</v>
      </c>
      <c r="K2" s="58" t="s">
        <v>101</v>
      </c>
      <c r="L2" s="186" t="s">
        <v>1025</v>
      </c>
      <c r="M2" s="58"/>
      <c r="N2" s="182">
        <v>1</v>
      </c>
      <c r="O2" s="182"/>
      <c r="P2" s="58"/>
      <c r="Q2" s="58"/>
    </row>
    <row r="3" spans="1:17" ht="16.5">
      <c r="A3" s="182" t="s">
        <v>1026</v>
      </c>
      <c r="B3" s="59">
        <v>46175</v>
      </c>
      <c r="C3" s="58" t="str">
        <f t="shared" si="0"/>
        <v>Tuesday</v>
      </c>
      <c r="D3" s="182" t="s">
        <v>661</v>
      </c>
      <c r="E3" s="58" t="str">
        <f t="shared" si="1"/>
        <v>June</v>
      </c>
      <c r="F3" s="58">
        <v>2026</v>
      </c>
      <c r="G3" s="182">
        <v>2.5</v>
      </c>
      <c r="H3" s="58" t="s">
        <v>132</v>
      </c>
      <c r="I3" s="142" t="s">
        <v>158</v>
      </c>
      <c r="J3" s="58" t="s">
        <v>360</v>
      </c>
      <c r="K3" s="58" t="s">
        <v>101</v>
      </c>
      <c r="L3" s="246" t="s">
        <v>764</v>
      </c>
      <c r="M3" s="58"/>
      <c r="N3" s="182">
        <v>2.5</v>
      </c>
      <c r="O3" s="247" t="s">
        <v>63</v>
      </c>
      <c r="P3" s="58"/>
      <c r="Q3" s="58"/>
    </row>
    <row r="4" spans="1:17" ht="16.5">
      <c r="A4" s="182">
        <v>3</v>
      </c>
      <c r="B4" s="59">
        <v>46176</v>
      </c>
      <c r="C4" s="58" t="str">
        <f t="shared" si="0"/>
        <v>Wednesday</v>
      </c>
      <c r="D4" s="182" t="s">
        <v>661</v>
      </c>
      <c r="E4" s="58" t="str">
        <f t="shared" si="1"/>
        <v>June</v>
      </c>
      <c r="F4" s="58">
        <v>2026</v>
      </c>
      <c r="G4" s="182">
        <v>2.5</v>
      </c>
      <c r="H4" s="58" t="s">
        <v>132</v>
      </c>
      <c r="I4" s="142" t="s">
        <v>158</v>
      </c>
      <c r="J4" s="58" t="s">
        <v>360</v>
      </c>
      <c r="K4" s="58" t="s">
        <v>101</v>
      </c>
      <c r="L4" s="248" t="s">
        <v>770</v>
      </c>
      <c r="M4" s="58"/>
      <c r="N4" s="182">
        <v>2.5</v>
      </c>
      <c r="O4" s="247" t="s">
        <v>63</v>
      </c>
      <c r="P4" s="58"/>
      <c r="Q4" s="58"/>
    </row>
    <row r="5" spans="1:17" ht="16.5">
      <c r="A5" s="182">
        <v>4</v>
      </c>
      <c r="B5" s="59">
        <v>46177</v>
      </c>
      <c r="C5" s="58" t="str">
        <f t="shared" si="0"/>
        <v>Thursday</v>
      </c>
      <c r="D5" s="182" t="s">
        <v>661</v>
      </c>
      <c r="E5" s="58" t="str">
        <f t="shared" si="1"/>
        <v>June</v>
      </c>
      <c r="F5" s="58">
        <v>2026</v>
      </c>
      <c r="G5" s="182">
        <v>2.5</v>
      </c>
      <c r="H5" s="58" t="s">
        <v>132</v>
      </c>
      <c r="I5" s="142" t="s">
        <v>158</v>
      </c>
      <c r="J5" s="58" t="s">
        <v>360</v>
      </c>
      <c r="K5" s="58" t="s">
        <v>101</v>
      </c>
      <c r="L5" s="248" t="s">
        <v>774</v>
      </c>
      <c r="M5" s="58"/>
      <c r="N5" s="182">
        <v>2.5</v>
      </c>
      <c r="O5" s="247" t="s">
        <v>63</v>
      </c>
      <c r="P5" s="58"/>
      <c r="Q5" s="58"/>
    </row>
    <row r="6" spans="1:17" ht="16.5">
      <c r="A6" s="182">
        <v>5</v>
      </c>
      <c r="B6" s="59">
        <v>46182</v>
      </c>
      <c r="C6" s="58" t="str">
        <f t="shared" si="0"/>
        <v>Tuesday</v>
      </c>
      <c r="D6" s="182" t="s">
        <v>661</v>
      </c>
      <c r="E6" s="58" t="str">
        <f t="shared" si="1"/>
        <v>June</v>
      </c>
      <c r="F6" s="58">
        <v>2026</v>
      </c>
      <c r="G6" s="182">
        <v>2.5</v>
      </c>
      <c r="H6" s="58" t="s">
        <v>132</v>
      </c>
      <c r="I6" s="142" t="s">
        <v>158</v>
      </c>
      <c r="J6" s="58" t="s">
        <v>360</v>
      </c>
      <c r="K6" s="58" t="s">
        <v>101</v>
      </c>
      <c r="L6" s="248" t="s">
        <v>785</v>
      </c>
      <c r="M6" s="58"/>
      <c r="N6" s="182">
        <v>2.5</v>
      </c>
      <c r="O6" s="247" t="s">
        <v>63</v>
      </c>
      <c r="P6" s="58"/>
      <c r="Q6" s="58"/>
    </row>
    <row r="7" spans="1:17" ht="16.5">
      <c r="A7" s="182">
        <v>6</v>
      </c>
      <c r="B7" s="59">
        <v>46183</v>
      </c>
      <c r="C7" s="58" t="str">
        <f t="shared" si="0"/>
        <v>Wednesday</v>
      </c>
      <c r="D7" s="182" t="s">
        <v>661</v>
      </c>
      <c r="E7" s="58" t="str">
        <f t="shared" si="1"/>
        <v>June</v>
      </c>
      <c r="F7" s="58">
        <v>2026</v>
      </c>
      <c r="G7" s="182">
        <v>2.5</v>
      </c>
      <c r="H7" s="58" t="s">
        <v>132</v>
      </c>
      <c r="I7" s="142" t="s">
        <v>158</v>
      </c>
      <c r="J7" s="58" t="s">
        <v>360</v>
      </c>
      <c r="K7" s="58" t="s">
        <v>101</v>
      </c>
      <c r="L7" s="248" t="s">
        <v>791</v>
      </c>
      <c r="M7" s="58"/>
      <c r="N7" s="182">
        <v>2.5</v>
      </c>
      <c r="O7" s="247" t="s">
        <v>63</v>
      </c>
      <c r="P7" s="58"/>
      <c r="Q7" s="58"/>
    </row>
    <row r="8" spans="1:17" ht="16.5">
      <c r="A8" s="182">
        <v>7</v>
      </c>
      <c r="B8" s="59">
        <v>46184</v>
      </c>
      <c r="C8" s="58" t="str">
        <f t="shared" si="0"/>
        <v>Thursday</v>
      </c>
      <c r="D8" s="182" t="s">
        <v>661</v>
      </c>
      <c r="E8" s="58" t="str">
        <f t="shared" si="1"/>
        <v>June</v>
      </c>
      <c r="F8" s="58">
        <v>2026</v>
      </c>
      <c r="G8" s="182">
        <v>2.5</v>
      </c>
      <c r="H8" s="58" t="s">
        <v>132</v>
      </c>
      <c r="I8" s="142" t="s">
        <v>158</v>
      </c>
      <c r="J8" s="58" t="s">
        <v>360</v>
      </c>
      <c r="K8" s="58" t="s">
        <v>101</v>
      </c>
      <c r="L8" s="248" t="s">
        <v>792</v>
      </c>
      <c r="M8" s="58"/>
      <c r="N8" s="182">
        <v>2.5</v>
      </c>
      <c r="O8" s="247" t="s">
        <v>63</v>
      </c>
      <c r="P8" s="58"/>
      <c r="Q8" s="58"/>
    </row>
    <row r="9" spans="1:17" ht="16.5">
      <c r="A9" s="182">
        <v>8</v>
      </c>
      <c r="B9" s="59">
        <v>46189</v>
      </c>
      <c r="C9" s="58" t="str">
        <f t="shared" si="0"/>
        <v>Tuesday</v>
      </c>
      <c r="D9" s="182" t="s">
        <v>661</v>
      </c>
      <c r="E9" s="58" t="str">
        <f t="shared" si="1"/>
        <v>June</v>
      </c>
      <c r="F9" s="58">
        <v>2026</v>
      </c>
      <c r="G9" s="182">
        <v>2.5</v>
      </c>
      <c r="H9" s="58" t="s">
        <v>132</v>
      </c>
      <c r="I9" s="142" t="s">
        <v>158</v>
      </c>
      <c r="J9" s="58" t="s">
        <v>360</v>
      </c>
      <c r="K9" s="58" t="s">
        <v>101</v>
      </c>
      <c r="L9" s="248" t="s">
        <v>1027</v>
      </c>
      <c r="M9" s="58"/>
      <c r="N9" s="182">
        <v>2.5</v>
      </c>
      <c r="O9" s="247" t="s">
        <v>242</v>
      </c>
      <c r="P9" s="58"/>
      <c r="Q9" s="58"/>
    </row>
    <row r="10" spans="1:17" ht="16.5">
      <c r="A10" s="182">
        <v>9</v>
      </c>
      <c r="B10" s="59">
        <v>46190</v>
      </c>
      <c r="C10" s="58" t="str">
        <f t="shared" si="0"/>
        <v>Wednesday</v>
      </c>
      <c r="D10" s="182" t="s">
        <v>661</v>
      </c>
      <c r="E10" s="58" t="str">
        <f t="shared" si="1"/>
        <v>June</v>
      </c>
      <c r="F10" s="58">
        <v>2026</v>
      </c>
      <c r="G10" s="182">
        <v>2.5</v>
      </c>
      <c r="H10" s="58" t="s">
        <v>132</v>
      </c>
      <c r="I10" s="142" t="s">
        <v>158</v>
      </c>
      <c r="J10" s="58" t="s">
        <v>360</v>
      </c>
      <c r="K10" s="58" t="s">
        <v>101</v>
      </c>
      <c r="L10" s="248" t="s">
        <v>1028</v>
      </c>
      <c r="M10" s="58"/>
      <c r="N10" s="182">
        <v>2.5</v>
      </c>
      <c r="O10" s="247" t="s">
        <v>811</v>
      </c>
      <c r="P10" s="58"/>
      <c r="Q10" s="58"/>
    </row>
    <row r="11" spans="1:17" ht="16.5">
      <c r="A11" s="182"/>
      <c r="B11" s="59">
        <v>46191</v>
      </c>
      <c r="C11" s="58" t="str">
        <f t="shared" si="0"/>
        <v>Thursday</v>
      </c>
      <c r="D11" s="182"/>
      <c r="E11" s="58" t="str">
        <f t="shared" si="1"/>
        <v>June</v>
      </c>
      <c r="F11" s="58">
        <v>2026</v>
      </c>
      <c r="G11" s="182"/>
      <c r="H11" s="58" t="s">
        <v>132</v>
      </c>
      <c r="I11" s="142" t="s">
        <v>158</v>
      </c>
      <c r="J11" s="58" t="s">
        <v>360</v>
      </c>
      <c r="K11" s="58" t="s">
        <v>101</v>
      </c>
      <c r="L11" s="249" t="s">
        <v>391</v>
      </c>
      <c r="M11" s="58"/>
      <c r="N11" s="182"/>
      <c r="O11" s="182"/>
      <c r="P11" s="58"/>
      <c r="Q11" s="58"/>
    </row>
    <row r="12" spans="1:17" ht="16.5">
      <c r="A12" s="182">
        <v>10</v>
      </c>
      <c r="B12" s="59">
        <v>46196</v>
      </c>
      <c r="C12" s="58" t="str">
        <f>TEXT(B12,"dddd")</f>
        <v>Tuesday</v>
      </c>
      <c r="D12" s="182" t="s">
        <v>661</v>
      </c>
      <c r="E12" s="58" t="str">
        <f>TEXT(B12,"mmmm")</f>
        <v>June</v>
      </c>
      <c r="F12" s="58"/>
      <c r="G12" s="182">
        <v>2.5</v>
      </c>
      <c r="H12" s="58" t="s">
        <v>132</v>
      </c>
      <c r="I12" s="142" t="s">
        <v>158</v>
      </c>
      <c r="J12" s="58" t="s">
        <v>360</v>
      </c>
      <c r="K12" s="58" t="s">
        <v>101</v>
      </c>
      <c r="L12" s="248" t="s">
        <v>1029</v>
      </c>
      <c r="M12" s="58"/>
      <c r="N12" s="182">
        <v>2.5</v>
      </c>
      <c r="O12" s="182" t="s">
        <v>811</v>
      </c>
      <c r="P12" s="58"/>
      <c r="Q12" s="58"/>
    </row>
    <row r="13" spans="1:17" ht="16.5">
      <c r="A13" s="182" t="s">
        <v>1030</v>
      </c>
      <c r="B13" s="59">
        <v>46198</v>
      </c>
      <c r="C13" s="58" t="str">
        <f t="shared" si="0"/>
        <v>Thursday</v>
      </c>
      <c r="D13" s="182" t="s">
        <v>661</v>
      </c>
      <c r="E13" s="58" t="str">
        <f t="shared" ref="E13:E39" si="2">TEXT(B13,"mmmm")</f>
        <v>June</v>
      </c>
      <c r="F13" s="58">
        <v>2026</v>
      </c>
      <c r="G13" s="182">
        <v>2.5</v>
      </c>
      <c r="H13" s="58" t="s">
        <v>132</v>
      </c>
      <c r="I13" s="142" t="s">
        <v>158</v>
      </c>
      <c r="J13" s="58" t="s">
        <v>360</v>
      </c>
      <c r="K13" s="58" t="s">
        <v>101</v>
      </c>
      <c r="L13" s="248" t="s">
        <v>831</v>
      </c>
      <c r="M13" s="58"/>
      <c r="N13" s="182">
        <v>2.5</v>
      </c>
      <c r="O13" s="182" t="s">
        <v>811</v>
      </c>
      <c r="P13" s="58"/>
      <c r="Q13" s="58"/>
    </row>
    <row r="14" spans="1:17" ht="16.5">
      <c r="A14" s="182" t="s">
        <v>1031</v>
      </c>
      <c r="B14" s="59">
        <v>46203</v>
      </c>
      <c r="C14" s="58" t="str">
        <f t="shared" si="0"/>
        <v>Tuesday</v>
      </c>
      <c r="D14" s="182" t="s">
        <v>661</v>
      </c>
      <c r="E14" s="58" t="str">
        <f t="shared" si="2"/>
        <v>June</v>
      </c>
      <c r="F14" s="58">
        <v>2026</v>
      </c>
      <c r="G14" s="182">
        <v>2.5</v>
      </c>
      <c r="H14" s="58" t="s">
        <v>132</v>
      </c>
      <c r="I14" s="142" t="s">
        <v>158</v>
      </c>
      <c r="J14" s="58" t="s">
        <v>360</v>
      </c>
      <c r="K14" s="58" t="s">
        <v>101</v>
      </c>
      <c r="L14" s="248" t="s">
        <v>839</v>
      </c>
      <c r="M14" s="58"/>
      <c r="N14" s="182">
        <v>2.5</v>
      </c>
      <c r="O14" s="182" t="s">
        <v>811</v>
      </c>
      <c r="P14" s="58"/>
      <c r="Q14" s="58"/>
    </row>
    <row r="15" spans="1:17" ht="16.5">
      <c r="A15" s="182" t="s">
        <v>1032</v>
      </c>
      <c r="B15" s="59">
        <v>46204</v>
      </c>
      <c r="C15" s="58" t="str">
        <f t="shared" si="0"/>
        <v>Wednesday</v>
      </c>
      <c r="D15" s="182" t="s">
        <v>661</v>
      </c>
      <c r="E15" s="58" t="str">
        <f t="shared" si="2"/>
        <v>July</v>
      </c>
      <c r="F15" s="58">
        <v>2026</v>
      </c>
      <c r="G15" s="182">
        <v>2.5</v>
      </c>
      <c r="H15" s="58" t="s">
        <v>132</v>
      </c>
      <c r="I15" s="142" t="s">
        <v>158</v>
      </c>
      <c r="J15" s="58" t="s">
        <v>360</v>
      </c>
      <c r="K15" s="58" t="s">
        <v>101</v>
      </c>
      <c r="L15" s="248" t="s">
        <v>847</v>
      </c>
      <c r="M15" s="58"/>
      <c r="N15" s="182">
        <v>2.5</v>
      </c>
      <c r="O15" s="182" t="s">
        <v>811</v>
      </c>
      <c r="P15" s="58"/>
      <c r="Q15" s="58"/>
    </row>
    <row r="16" spans="1:17" ht="16.5">
      <c r="A16" s="182"/>
      <c r="B16" s="59">
        <v>46205</v>
      </c>
      <c r="C16" s="58" t="str">
        <f t="shared" si="0"/>
        <v>Thursday</v>
      </c>
      <c r="D16" s="182"/>
      <c r="E16" s="58" t="str">
        <f t="shared" si="2"/>
        <v>July</v>
      </c>
      <c r="F16" s="58">
        <v>2026</v>
      </c>
      <c r="G16" s="182"/>
      <c r="H16" s="58" t="s">
        <v>132</v>
      </c>
      <c r="I16" s="142" t="s">
        <v>158</v>
      </c>
      <c r="J16" s="58" t="s">
        <v>360</v>
      </c>
      <c r="K16" s="58" t="s">
        <v>101</v>
      </c>
      <c r="L16" s="249" t="s">
        <v>391</v>
      </c>
      <c r="M16" s="58"/>
      <c r="N16" s="182"/>
      <c r="O16" s="182"/>
      <c r="P16" s="58"/>
      <c r="Q16" s="58"/>
    </row>
    <row r="17" spans="1:17" ht="16.5">
      <c r="A17" s="182" t="s">
        <v>1033</v>
      </c>
      <c r="B17" s="59">
        <v>46210</v>
      </c>
      <c r="C17" s="58" t="str">
        <f t="shared" si="0"/>
        <v>Tuesday</v>
      </c>
      <c r="D17" s="182" t="s">
        <v>661</v>
      </c>
      <c r="E17" s="58" t="str">
        <f t="shared" si="2"/>
        <v>July</v>
      </c>
      <c r="F17" s="58">
        <v>2026</v>
      </c>
      <c r="G17" s="182">
        <v>2.5</v>
      </c>
      <c r="H17" s="58" t="s">
        <v>132</v>
      </c>
      <c r="I17" s="142" t="s">
        <v>158</v>
      </c>
      <c r="J17" s="58" t="s">
        <v>360</v>
      </c>
      <c r="K17" s="58" t="s">
        <v>101</v>
      </c>
      <c r="L17" s="248" t="s">
        <v>853</v>
      </c>
      <c r="M17" s="58"/>
      <c r="N17" s="182">
        <v>2.5</v>
      </c>
      <c r="O17" s="182" t="s">
        <v>811</v>
      </c>
      <c r="P17" s="58"/>
      <c r="Q17" s="58"/>
    </row>
    <row r="18" spans="1:17" ht="16.5">
      <c r="A18" s="182" t="s">
        <v>1034</v>
      </c>
      <c r="B18" s="59">
        <v>46211</v>
      </c>
      <c r="C18" s="58" t="str">
        <f t="shared" si="0"/>
        <v>Wednesday</v>
      </c>
      <c r="D18" s="182" t="s">
        <v>661</v>
      </c>
      <c r="E18" s="58" t="str">
        <f t="shared" si="2"/>
        <v>July</v>
      </c>
      <c r="F18" s="58">
        <v>2026</v>
      </c>
      <c r="G18" s="182">
        <v>2.5</v>
      </c>
      <c r="H18" s="58" t="s">
        <v>132</v>
      </c>
      <c r="I18" s="142" t="s">
        <v>158</v>
      </c>
      <c r="J18" s="58" t="s">
        <v>360</v>
      </c>
      <c r="K18" s="58" t="s">
        <v>101</v>
      </c>
      <c r="L18" s="248" t="s">
        <v>858</v>
      </c>
      <c r="M18" s="58"/>
      <c r="N18" s="182">
        <v>2.5</v>
      </c>
      <c r="O18" s="182" t="s">
        <v>811</v>
      </c>
      <c r="P18" s="58"/>
      <c r="Q18" s="58"/>
    </row>
    <row r="19" spans="1:17" ht="16.5">
      <c r="A19" s="182" t="s">
        <v>1035</v>
      </c>
      <c r="B19" s="59">
        <v>46212</v>
      </c>
      <c r="C19" s="58" t="str">
        <f t="shared" ref="C19:C34" si="3">TEXT(B19,"dddd")</f>
        <v>Thursday</v>
      </c>
      <c r="D19" s="182" t="s">
        <v>661</v>
      </c>
      <c r="E19" s="58" t="str">
        <f t="shared" si="2"/>
        <v>July</v>
      </c>
      <c r="F19" s="58">
        <v>2026</v>
      </c>
      <c r="G19" s="182">
        <v>2.5</v>
      </c>
      <c r="H19" s="58" t="s">
        <v>132</v>
      </c>
      <c r="I19" s="142" t="s">
        <v>158</v>
      </c>
      <c r="J19" s="58" t="s">
        <v>360</v>
      </c>
      <c r="K19" s="58" t="s">
        <v>101</v>
      </c>
      <c r="L19" s="248" t="s">
        <v>860</v>
      </c>
      <c r="M19" s="58"/>
      <c r="N19" s="182">
        <v>2.5</v>
      </c>
      <c r="O19" s="247" t="s">
        <v>63</v>
      </c>
      <c r="P19" s="58"/>
      <c r="Q19" s="58"/>
    </row>
    <row r="20" spans="1:17" ht="16.5">
      <c r="A20" s="182" t="s">
        <v>1036</v>
      </c>
      <c r="B20" s="59">
        <v>46217</v>
      </c>
      <c r="C20" s="58" t="str">
        <f t="shared" si="3"/>
        <v>Tuesday</v>
      </c>
      <c r="D20" s="182" t="s">
        <v>661</v>
      </c>
      <c r="E20" s="58" t="str">
        <f t="shared" si="2"/>
        <v>July</v>
      </c>
      <c r="F20" s="58">
        <v>2026</v>
      </c>
      <c r="G20" s="182">
        <v>2.5</v>
      </c>
      <c r="H20" s="58" t="s">
        <v>132</v>
      </c>
      <c r="I20" s="142" t="s">
        <v>158</v>
      </c>
      <c r="J20" s="58" t="s">
        <v>360</v>
      </c>
      <c r="K20" s="58" t="s">
        <v>101</v>
      </c>
      <c r="L20" s="248" t="s">
        <v>867</v>
      </c>
      <c r="M20" s="58"/>
      <c r="N20" s="182">
        <v>2.5</v>
      </c>
      <c r="O20" s="247" t="s">
        <v>811</v>
      </c>
      <c r="P20" s="58"/>
      <c r="Q20" s="58"/>
    </row>
    <row r="21" spans="1:17" ht="16.5">
      <c r="A21" s="182" t="s">
        <v>1037</v>
      </c>
      <c r="B21" s="59">
        <v>46218</v>
      </c>
      <c r="C21" s="58" t="str">
        <f t="shared" si="3"/>
        <v>Wednesday</v>
      </c>
      <c r="D21" s="182" t="s">
        <v>661</v>
      </c>
      <c r="E21" s="58" t="str">
        <f t="shared" si="2"/>
        <v>July</v>
      </c>
      <c r="F21" s="58">
        <v>2026</v>
      </c>
      <c r="G21" s="182">
        <v>2</v>
      </c>
      <c r="H21" s="58" t="s">
        <v>132</v>
      </c>
      <c r="I21" s="142" t="s">
        <v>158</v>
      </c>
      <c r="J21" s="58" t="s">
        <v>360</v>
      </c>
      <c r="K21" s="58" t="s">
        <v>101</v>
      </c>
      <c r="L21" s="248" t="s">
        <v>873</v>
      </c>
      <c r="M21" s="58"/>
      <c r="N21" s="182">
        <v>2</v>
      </c>
      <c r="O21" s="247" t="s">
        <v>559</v>
      </c>
      <c r="P21" s="58"/>
      <c r="Q21" s="58"/>
    </row>
    <row r="22" spans="1:17" ht="16.5">
      <c r="A22" s="182" t="s">
        <v>1038</v>
      </c>
      <c r="B22" s="59">
        <v>46219</v>
      </c>
      <c r="C22" s="58" t="str">
        <f t="shared" si="3"/>
        <v>Thursday</v>
      </c>
      <c r="D22" s="182" t="s">
        <v>661</v>
      </c>
      <c r="E22" s="58" t="str">
        <f t="shared" si="2"/>
        <v>July</v>
      </c>
      <c r="F22" s="58">
        <v>2026</v>
      </c>
      <c r="G22" s="182">
        <v>2</v>
      </c>
      <c r="H22" s="58" t="s">
        <v>132</v>
      </c>
      <c r="I22" s="142" t="s">
        <v>158</v>
      </c>
      <c r="J22" s="58" t="s">
        <v>360</v>
      </c>
      <c r="K22" s="58" t="s">
        <v>101</v>
      </c>
      <c r="L22" s="248" t="s">
        <v>874</v>
      </c>
      <c r="M22" s="58"/>
      <c r="N22" s="182">
        <v>2</v>
      </c>
      <c r="O22" s="247" t="s">
        <v>559</v>
      </c>
      <c r="P22" s="58"/>
      <c r="Q22" s="58"/>
    </row>
    <row r="23" spans="1:17" ht="16.5">
      <c r="A23" s="182" t="s">
        <v>1039</v>
      </c>
      <c r="B23" s="59">
        <v>46224</v>
      </c>
      <c r="C23" s="58" t="str">
        <f t="shared" si="3"/>
        <v>Tuesday</v>
      </c>
      <c r="D23" s="182" t="s">
        <v>661</v>
      </c>
      <c r="E23" s="58" t="str">
        <f t="shared" si="2"/>
        <v>July</v>
      </c>
      <c r="F23" s="58">
        <v>2026</v>
      </c>
      <c r="G23" s="182">
        <v>2.5</v>
      </c>
      <c r="H23" s="58" t="s">
        <v>132</v>
      </c>
      <c r="I23" s="142" t="s">
        <v>158</v>
      </c>
      <c r="J23" s="58" t="s">
        <v>360</v>
      </c>
      <c r="K23" s="58" t="s">
        <v>101</v>
      </c>
      <c r="L23" s="248" t="s">
        <v>884</v>
      </c>
      <c r="M23" s="58"/>
      <c r="N23" s="182">
        <v>2.5</v>
      </c>
      <c r="O23" s="247" t="s">
        <v>811</v>
      </c>
      <c r="P23" s="58"/>
      <c r="Q23" s="58"/>
    </row>
    <row r="24" spans="1:17" ht="16.5">
      <c r="A24" s="182"/>
      <c r="B24" s="59">
        <v>46225</v>
      </c>
      <c r="C24" s="58" t="str">
        <f t="shared" si="3"/>
        <v>Wednesday</v>
      </c>
      <c r="D24" s="182" t="s">
        <v>661</v>
      </c>
      <c r="E24" s="58" t="str">
        <f t="shared" si="2"/>
        <v>July</v>
      </c>
      <c r="F24" s="58">
        <v>2026</v>
      </c>
      <c r="G24" s="182">
        <v>2.5</v>
      </c>
      <c r="H24" s="58" t="s">
        <v>132</v>
      </c>
      <c r="I24" s="142" t="s">
        <v>158</v>
      </c>
      <c r="J24" s="58" t="s">
        <v>360</v>
      </c>
      <c r="K24" s="58" t="s">
        <v>101</v>
      </c>
      <c r="L24" s="248" t="s">
        <v>890</v>
      </c>
      <c r="M24" s="58"/>
      <c r="N24" s="182">
        <v>2.5</v>
      </c>
      <c r="O24" s="247" t="s">
        <v>811</v>
      </c>
      <c r="P24" s="58"/>
      <c r="Q24" s="58"/>
    </row>
    <row r="25" spans="1:17" ht="16.5">
      <c r="A25" s="182"/>
      <c r="B25" s="59">
        <v>46226</v>
      </c>
      <c r="C25" s="58" t="str">
        <f t="shared" si="3"/>
        <v>Thursday</v>
      </c>
      <c r="D25" s="182" t="s">
        <v>661</v>
      </c>
      <c r="E25" s="58" t="str">
        <f t="shared" si="2"/>
        <v>July</v>
      </c>
      <c r="F25" s="58">
        <v>2026</v>
      </c>
      <c r="G25" s="182">
        <v>2</v>
      </c>
      <c r="H25" s="58" t="s">
        <v>132</v>
      </c>
      <c r="I25" s="142" t="s">
        <v>158</v>
      </c>
      <c r="J25" s="58" t="s">
        <v>360</v>
      </c>
      <c r="K25" s="58" t="s">
        <v>101</v>
      </c>
      <c r="L25" s="248" t="s">
        <v>892</v>
      </c>
      <c r="M25" s="58"/>
      <c r="N25" s="182">
        <v>2</v>
      </c>
      <c r="O25" s="247" t="s">
        <v>811</v>
      </c>
      <c r="P25" s="58"/>
      <c r="Q25" s="58"/>
    </row>
    <row r="26" spans="1:17" ht="16.5">
      <c r="A26" s="182"/>
      <c r="B26" s="59">
        <v>46231</v>
      </c>
      <c r="C26" s="58" t="str">
        <f t="shared" si="3"/>
        <v>Tuesday</v>
      </c>
      <c r="D26" s="182" t="s">
        <v>661</v>
      </c>
      <c r="E26" s="58" t="str">
        <f t="shared" si="2"/>
        <v>July</v>
      </c>
      <c r="F26" s="58">
        <v>2026</v>
      </c>
      <c r="G26" s="182">
        <v>2</v>
      </c>
      <c r="H26" s="58" t="s">
        <v>132</v>
      </c>
      <c r="I26" s="142" t="s">
        <v>158</v>
      </c>
      <c r="J26" s="58" t="s">
        <v>360</v>
      </c>
      <c r="K26" s="58" t="s">
        <v>101</v>
      </c>
      <c r="L26" s="248" t="s">
        <v>899</v>
      </c>
      <c r="M26" s="58"/>
      <c r="N26" s="182">
        <v>2</v>
      </c>
      <c r="O26" s="247" t="s">
        <v>811</v>
      </c>
      <c r="P26" s="182"/>
      <c r="Q26" s="58"/>
    </row>
    <row r="27" spans="1:17" ht="16.5">
      <c r="A27" s="182"/>
      <c r="B27" s="59">
        <v>46232</v>
      </c>
      <c r="C27" s="58" t="str">
        <f t="shared" ref="C27" si="4">TEXT(B27,"dddd")</f>
        <v>Wednesday</v>
      </c>
      <c r="D27" s="182" t="s">
        <v>661</v>
      </c>
      <c r="E27" s="58" t="str">
        <f t="shared" ref="E27" si="5">TEXT(B27,"mmmm")</f>
        <v>July</v>
      </c>
      <c r="F27" s="58">
        <v>2026</v>
      </c>
      <c r="G27" s="182">
        <v>2.5</v>
      </c>
      <c r="H27" s="58" t="s">
        <v>132</v>
      </c>
      <c r="I27" s="142" t="s">
        <v>158</v>
      </c>
      <c r="J27" s="58" t="s">
        <v>360</v>
      </c>
      <c r="K27" s="58" t="s">
        <v>101</v>
      </c>
      <c r="L27" s="248" t="s">
        <v>899</v>
      </c>
      <c r="M27" s="58"/>
      <c r="N27" s="182">
        <v>2</v>
      </c>
      <c r="O27" s="247" t="s">
        <v>811</v>
      </c>
      <c r="P27" s="182"/>
      <c r="Q27" s="58"/>
    </row>
    <row r="28" spans="1:17" ht="16.5">
      <c r="A28" s="182" t="s">
        <v>1040</v>
      </c>
      <c r="B28" s="59">
        <v>46233</v>
      </c>
      <c r="C28" s="58" t="str">
        <f t="shared" si="3"/>
        <v>Thursday</v>
      </c>
      <c r="D28" s="182" t="s">
        <v>661</v>
      </c>
      <c r="E28" s="58" t="str">
        <f t="shared" si="2"/>
        <v>July</v>
      </c>
      <c r="F28" s="58">
        <v>2026</v>
      </c>
      <c r="G28" s="182">
        <v>2.5</v>
      </c>
      <c r="H28" s="58" t="s">
        <v>132</v>
      </c>
      <c r="I28" s="142" t="s">
        <v>158</v>
      </c>
      <c r="J28" s="58" t="s">
        <v>360</v>
      </c>
      <c r="K28" s="58" t="s">
        <v>101</v>
      </c>
      <c r="L28" s="248" t="s">
        <v>904</v>
      </c>
      <c r="M28" s="58"/>
      <c r="N28" s="182">
        <v>2.5</v>
      </c>
      <c r="O28" s="247" t="s">
        <v>811</v>
      </c>
      <c r="P28" s="182"/>
      <c r="Q28" s="58"/>
    </row>
    <row r="29" spans="1:17" ht="16.5">
      <c r="A29" s="182" t="s">
        <v>1041</v>
      </c>
      <c r="B29" s="59">
        <v>46238</v>
      </c>
      <c r="C29" s="58" t="str">
        <f t="shared" si="3"/>
        <v>Tuesday</v>
      </c>
      <c r="D29" s="182" t="s">
        <v>661</v>
      </c>
      <c r="E29" s="58" t="str">
        <f t="shared" si="2"/>
        <v>August</v>
      </c>
      <c r="F29" s="58">
        <v>2026</v>
      </c>
      <c r="G29" s="182">
        <v>2.5</v>
      </c>
      <c r="H29" s="58" t="s">
        <v>132</v>
      </c>
      <c r="I29" s="142" t="s">
        <v>158</v>
      </c>
      <c r="J29" s="58" t="s">
        <v>360</v>
      </c>
      <c r="K29" s="58" t="s">
        <v>101</v>
      </c>
      <c r="L29" s="248" t="s">
        <v>908</v>
      </c>
      <c r="M29" s="58"/>
      <c r="N29" s="182">
        <v>2.5</v>
      </c>
      <c r="O29" s="247" t="s">
        <v>23</v>
      </c>
      <c r="P29" s="182"/>
      <c r="Q29" s="58"/>
    </row>
    <row r="30" spans="1:17" ht="16.5">
      <c r="A30" s="182" t="s">
        <v>1042</v>
      </c>
      <c r="B30" s="59">
        <v>46239</v>
      </c>
      <c r="C30" s="58" t="str">
        <f t="shared" si="3"/>
        <v>Wednesday</v>
      </c>
      <c r="D30" s="182" t="s">
        <v>661</v>
      </c>
      <c r="E30" s="58" t="str">
        <f t="shared" si="2"/>
        <v>August</v>
      </c>
      <c r="F30" s="58">
        <v>2026</v>
      </c>
      <c r="G30" s="182">
        <v>2.5</v>
      </c>
      <c r="H30" s="58" t="s">
        <v>132</v>
      </c>
      <c r="I30" s="142" t="s">
        <v>158</v>
      </c>
      <c r="J30" s="58" t="s">
        <v>360</v>
      </c>
      <c r="K30" s="58" t="s">
        <v>101</v>
      </c>
      <c r="L30" s="248" t="s">
        <v>914</v>
      </c>
      <c r="M30" s="58"/>
      <c r="N30" s="182">
        <v>2.5</v>
      </c>
      <c r="O30" s="247" t="s">
        <v>23</v>
      </c>
      <c r="P30" s="182"/>
      <c r="Q30" s="58"/>
    </row>
    <row r="31" spans="1:17" ht="32.25">
      <c r="A31" s="182" t="s">
        <v>1043</v>
      </c>
      <c r="B31" s="59">
        <v>46240</v>
      </c>
      <c r="C31" s="58" t="str">
        <f t="shared" si="3"/>
        <v>Thursday</v>
      </c>
      <c r="D31" s="182" t="s">
        <v>661</v>
      </c>
      <c r="E31" s="58" t="str">
        <f t="shared" si="2"/>
        <v>August</v>
      </c>
      <c r="F31" s="58">
        <v>2026</v>
      </c>
      <c r="G31" s="182">
        <v>2.5</v>
      </c>
      <c r="H31" s="58" t="s">
        <v>132</v>
      </c>
      <c r="I31" s="142" t="s">
        <v>158</v>
      </c>
      <c r="J31" s="58" t="s">
        <v>360</v>
      </c>
      <c r="K31" s="58" t="s">
        <v>101</v>
      </c>
      <c r="L31" s="248" t="s">
        <v>916</v>
      </c>
      <c r="M31" s="58"/>
      <c r="N31" s="182">
        <v>2.5</v>
      </c>
      <c r="O31" s="247" t="s">
        <v>23</v>
      </c>
      <c r="P31" s="58"/>
      <c r="Q31" s="58"/>
    </row>
    <row r="32" spans="1:17" ht="16.5">
      <c r="A32" s="182" t="s">
        <v>1044</v>
      </c>
      <c r="B32" s="59">
        <v>46245</v>
      </c>
      <c r="C32" s="58" t="str">
        <f t="shared" si="3"/>
        <v>Tuesday</v>
      </c>
      <c r="D32" s="182" t="s">
        <v>661</v>
      </c>
      <c r="E32" s="58" t="str">
        <f t="shared" si="2"/>
        <v>August</v>
      </c>
      <c r="F32" s="58">
        <v>2026</v>
      </c>
      <c r="G32" s="182">
        <v>2.5</v>
      </c>
      <c r="H32" s="58" t="s">
        <v>132</v>
      </c>
      <c r="I32" s="142" t="s">
        <v>158</v>
      </c>
      <c r="J32" s="58" t="s">
        <v>360</v>
      </c>
      <c r="K32" s="58" t="s">
        <v>101</v>
      </c>
      <c r="L32" s="248" t="s">
        <v>921</v>
      </c>
      <c r="M32" s="58"/>
      <c r="N32" s="182">
        <v>2.5</v>
      </c>
      <c r="O32" s="247" t="s">
        <v>23</v>
      </c>
      <c r="P32" s="58"/>
      <c r="Q32" s="58"/>
    </row>
    <row r="33" spans="1:17" ht="16.5">
      <c r="A33" s="182" t="s">
        <v>1045</v>
      </c>
      <c r="B33" s="59">
        <v>46246</v>
      </c>
      <c r="C33" s="58" t="str">
        <f t="shared" si="3"/>
        <v>Wednesday</v>
      </c>
      <c r="D33" s="182" t="s">
        <v>661</v>
      </c>
      <c r="E33" s="58" t="str">
        <f t="shared" si="2"/>
        <v>August</v>
      </c>
      <c r="F33" s="58">
        <v>2026</v>
      </c>
      <c r="G33" s="182">
        <v>2.5</v>
      </c>
      <c r="H33" s="58" t="s">
        <v>132</v>
      </c>
      <c r="I33" s="142" t="s">
        <v>158</v>
      </c>
      <c r="J33" s="58" t="s">
        <v>360</v>
      </c>
      <c r="K33" s="58" t="s">
        <v>101</v>
      </c>
      <c r="L33" s="248" t="s">
        <v>924</v>
      </c>
      <c r="M33" s="58"/>
      <c r="N33" s="182">
        <v>2.5</v>
      </c>
      <c r="O33" s="247" t="s">
        <v>23</v>
      </c>
      <c r="P33" s="58"/>
      <c r="Q33" s="58"/>
    </row>
    <row r="34" spans="1:17" ht="16.5">
      <c r="A34" s="182" t="s">
        <v>1046</v>
      </c>
      <c r="B34" s="59">
        <v>46247</v>
      </c>
      <c r="C34" s="58" t="str">
        <f t="shared" si="3"/>
        <v>Thursday</v>
      </c>
      <c r="D34" s="182" t="s">
        <v>661</v>
      </c>
      <c r="E34" s="58" t="str">
        <f t="shared" si="2"/>
        <v>August</v>
      </c>
      <c r="F34" s="58">
        <v>2026</v>
      </c>
      <c r="G34" s="182">
        <v>2.5</v>
      </c>
      <c r="H34" s="58" t="s">
        <v>132</v>
      </c>
      <c r="I34" s="142" t="s">
        <v>158</v>
      </c>
      <c r="J34" s="58" t="s">
        <v>360</v>
      </c>
      <c r="K34" s="58" t="s">
        <v>101</v>
      </c>
      <c r="L34" s="248" t="s">
        <v>925</v>
      </c>
      <c r="M34" s="58"/>
      <c r="N34" s="182">
        <v>2.5</v>
      </c>
      <c r="O34" s="247" t="s">
        <v>23</v>
      </c>
      <c r="P34" s="58"/>
      <c r="Q34" s="58"/>
    </row>
    <row r="35" spans="1:17" ht="16.5">
      <c r="A35" s="182"/>
      <c r="B35" s="59">
        <v>46252</v>
      </c>
      <c r="C35" s="58" t="str">
        <f t="shared" ref="C35:C39" si="6">TEXT(B35,"dddd")</f>
        <v>Tuesday</v>
      </c>
      <c r="D35" s="182"/>
      <c r="E35" s="58" t="str">
        <f t="shared" si="2"/>
        <v>August</v>
      </c>
      <c r="F35" s="58">
        <v>2026</v>
      </c>
      <c r="G35" s="182"/>
      <c r="H35" s="58" t="s">
        <v>132</v>
      </c>
      <c r="I35" s="142" t="s">
        <v>158</v>
      </c>
      <c r="J35" s="58" t="s">
        <v>360</v>
      </c>
      <c r="K35" s="58" t="s">
        <v>101</v>
      </c>
      <c r="L35" s="249" t="s">
        <v>391</v>
      </c>
      <c r="M35" s="58"/>
      <c r="N35" s="182"/>
      <c r="O35" s="185"/>
      <c r="P35" s="58"/>
      <c r="Q35" s="58"/>
    </row>
    <row r="36" spans="1:17" ht="32.25">
      <c r="A36" s="182"/>
      <c r="B36" s="59">
        <v>46253</v>
      </c>
      <c r="C36" s="58" t="str">
        <f t="shared" si="6"/>
        <v>Wednesday</v>
      </c>
      <c r="D36" s="182"/>
      <c r="E36" s="58" t="str">
        <f t="shared" si="2"/>
        <v>August</v>
      </c>
      <c r="F36" s="58">
        <v>2026</v>
      </c>
      <c r="G36" s="182">
        <v>2</v>
      </c>
      <c r="H36" s="58" t="s">
        <v>132</v>
      </c>
      <c r="I36" s="142" t="s">
        <v>158</v>
      </c>
      <c r="J36" s="58" t="s">
        <v>360</v>
      </c>
      <c r="K36" s="58" t="s">
        <v>101</v>
      </c>
      <c r="L36" s="250" t="s">
        <v>929</v>
      </c>
      <c r="M36" s="58"/>
      <c r="N36" s="182">
        <v>2</v>
      </c>
      <c r="O36" s="247" t="s">
        <v>811</v>
      </c>
      <c r="P36" s="58"/>
      <c r="Q36" s="58"/>
    </row>
    <row r="37" spans="1:17" ht="32.25">
      <c r="A37" s="182"/>
      <c r="B37" s="59">
        <v>46254</v>
      </c>
      <c r="C37" s="58" t="str">
        <f t="shared" si="6"/>
        <v>Thursday</v>
      </c>
      <c r="D37" s="182"/>
      <c r="E37" s="58" t="str">
        <f t="shared" si="2"/>
        <v>August</v>
      </c>
      <c r="F37" s="58">
        <v>2026</v>
      </c>
      <c r="G37" s="182">
        <v>2</v>
      </c>
      <c r="H37" s="58" t="s">
        <v>132</v>
      </c>
      <c r="I37" s="142" t="s">
        <v>158</v>
      </c>
      <c r="J37" s="58" t="s">
        <v>360</v>
      </c>
      <c r="K37" s="58" t="s">
        <v>101</v>
      </c>
      <c r="L37" s="250" t="s">
        <v>931</v>
      </c>
      <c r="M37" s="58"/>
      <c r="N37" s="182">
        <v>2</v>
      </c>
      <c r="O37" s="247" t="s">
        <v>811</v>
      </c>
      <c r="P37" s="58"/>
      <c r="Q37" s="58"/>
    </row>
    <row r="38" spans="1:17" ht="32.25">
      <c r="A38" s="182"/>
      <c r="B38" s="59">
        <v>46259</v>
      </c>
      <c r="C38" s="58" t="str">
        <f t="shared" si="6"/>
        <v>Tuesday</v>
      </c>
      <c r="D38" s="182"/>
      <c r="E38" s="58" t="str">
        <f t="shared" si="2"/>
        <v>August</v>
      </c>
      <c r="F38" s="58">
        <v>2026</v>
      </c>
      <c r="G38" s="182">
        <v>2</v>
      </c>
      <c r="H38" s="58" t="s">
        <v>132</v>
      </c>
      <c r="I38" s="142" t="s">
        <v>158</v>
      </c>
      <c r="J38" s="58" t="s">
        <v>360</v>
      </c>
      <c r="K38" s="58" t="s">
        <v>101</v>
      </c>
      <c r="L38" s="250" t="s">
        <v>935</v>
      </c>
      <c r="M38" s="58"/>
      <c r="N38" s="182">
        <v>2</v>
      </c>
      <c r="O38" s="247" t="s">
        <v>811</v>
      </c>
      <c r="P38" s="58"/>
      <c r="Q38" s="58"/>
    </row>
    <row r="39" spans="1:17" ht="32.25">
      <c r="A39" s="182" t="s">
        <v>1039</v>
      </c>
      <c r="B39" s="59">
        <v>46261</v>
      </c>
      <c r="C39" s="100" t="str">
        <f t="shared" si="6"/>
        <v>Thursday</v>
      </c>
      <c r="D39" s="182"/>
      <c r="E39" s="58" t="str">
        <f t="shared" si="2"/>
        <v>August</v>
      </c>
      <c r="F39" s="58">
        <v>2026</v>
      </c>
      <c r="G39" s="182"/>
      <c r="H39" s="58" t="s">
        <v>132</v>
      </c>
      <c r="I39" s="142" t="s">
        <v>158</v>
      </c>
      <c r="J39" s="58" t="s">
        <v>360</v>
      </c>
      <c r="K39" s="58" t="s">
        <v>101</v>
      </c>
      <c r="L39" s="250" t="s">
        <v>1047</v>
      </c>
      <c r="M39" s="100"/>
      <c r="N39" s="182"/>
      <c r="O39" s="247" t="s">
        <v>70</v>
      </c>
      <c r="P39" s="100"/>
      <c r="Q39" s="100"/>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41B2-A82C-4B4E-99C4-3F678C8EEB60}">
  <dimension ref="A1:Q56"/>
  <sheetViews>
    <sheetView workbookViewId="0">
      <selection activeCell="O30" sqref="O30"/>
    </sheetView>
  </sheetViews>
  <sheetFormatPr defaultRowHeight="15"/>
  <cols>
    <col min="2" max="2" width="19.42578125" customWidth="1"/>
    <col min="3" max="3" width="13.42578125" customWidth="1"/>
    <col min="4" max="4" width="23.5703125" customWidth="1"/>
    <col min="5" max="5" width="22" customWidth="1"/>
    <col min="7" max="7" width="18.42578125" bestFit="1" customWidth="1"/>
    <col min="8" max="8" width="9.42578125" bestFit="1"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267"/>
      <c r="B2" s="268">
        <v>46154</v>
      </c>
      <c r="C2" s="58" t="str">
        <f t="shared" ref="C2:C3" si="0">TEXT(B2,"dddd")</f>
        <v>Tuesday</v>
      </c>
      <c r="D2" s="267" t="s">
        <v>686</v>
      </c>
      <c r="E2" s="58" t="str">
        <f t="shared" ref="E2:E3" si="1">TEXT(B2,"mmmm")</f>
        <v>May</v>
      </c>
      <c r="F2" s="58">
        <v>2026</v>
      </c>
      <c r="G2" s="182">
        <v>1</v>
      </c>
      <c r="H2" s="58" t="s">
        <v>196</v>
      </c>
      <c r="I2" s="142" t="s">
        <v>197</v>
      </c>
      <c r="J2" s="58" t="s">
        <v>687</v>
      </c>
      <c r="K2" s="58" t="s">
        <v>101</v>
      </c>
      <c r="L2" s="269" t="s">
        <v>688</v>
      </c>
      <c r="M2" s="58"/>
      <c r="N2" s="182">
        <v>1</v>
      </c>
      <c r="O2" s="266" t="s">
        <v>689</v>
      </c>
      <c r="P2" s="58"/>
      <c r="Q2" s="58"/>
    </row>
    <row r="3" spans="1:17">
      <c r="A3" s="267">
        <v>1</v>
      </c>
      <c r="B3" s="268">
        <v>46160</v>
      </c>
      <c r="C3" s="58" t="str">
        <f t="shared" si="0"/>
        <v>Monday</v>
      </c>
      <c r="D3" s="267" t="s">
        <v>715</v>
      </c>
      <c r="E3" s="58" t="str">
        <f t="shared" si="1"/>
        <v>May</v>
      </c>
      <c r="F3" s="58">
        <v>2026</v>
      </c>
      <c r="G3" s="182">
        <v>2</v>
      </c>
      <c r="H3" s="58" t="s">
        <v>196</v>
      </c>
      <c r="I3" s="142" t="s">
        <v>197</v>
      </c>
      <c r="J3" s="58" t="s">
        <v>687</v>
      </c>
      <c r="K3" s="58" t="s">
        <v>101</v>
      </c>
      <c r="L3" s="270" t="s">
        <v>716</v>
      </c>
      <c r="M3" s="58"/>
      <c r="N3" s="182">
        <v>2</v>
      </c>
      <c r="O3" s="273" t="s">
        <v>78</v>
      </c>
      <c r="P3" s="58"/>
      <c r="Q3" s="58"/>
    </row>
    <row r="4" spans="1:17">
      <c r="A4" s="267">
        <v>2</v>
      </c>
      <c r="B4" s="268">
        <v>46161</v>
      </c>
      <c r="C4" s="58" t="str">
        <f t="shared" ref="C4:C29" si="2">TEXT(B4,"dddd")</f>
        <v>Tuesday</v>
      </c>
      <c r="D4" s="267" t="s">
        <v>715</v>
      </c>
      <c r="E4" s="58" t="str">
        <f t="shared" ref="E4:E29" si="3">TEXT(B4,"mmmm")</f>
        <v>May</v>
      </c>
      <c r="F4" s="58">
        <v>2026</v>
      </c>
      <c r="G4" s="182">
        <v>2</v>
      </c>
      <c r="H4" s="58" t="s">
        <v>196</v>
      </c>
      <c r="I4" s="142" t="s">
        <v>197</v>
      </c>
      <c r="J4" s="58" t="s">
        <v>687</v>
      </c>
      <c r="K4" s="58" t="s">
        <v>101</v>
      </c>
      <c r="L4" s="270" t="s">
        <v>721</v>
      </c>
      <c r="M4" s="58"/>
      <c r="N4" s="182">
        <v>2</v>
      </c>
      <c r="O4" s="273" t="s">
        <v>78</v>
      </c>
      <c r="P4" s="58"/>
      <c r="Q4" s="58"/>
    </row>
    <row r="5" spans="1:17">
      <c r="A5" s="267"/>
      <c r="B5" s="268">
        <v>46164</v>
      </c>
      <c r="C5" s="58" t="str">
        <f t="shared" si="2"/>
        <v>Friday</v>
      </c>
      <c r="D5" s="267" t="s">
        <v>715</v>
      </c>
      <c r="E5" s="58" t="str">
        <f t="shared" si="3"/>
        <v>May</v>
      </c>
      <c r="F5" s="58">
        <v>2026</v>
      </c>
      <c r="G5" s="182">
        <v>2</v>
      </c>
      <c r="H5" s="58" t="s">
        <v>196</v>
      </c>
      <c r="I5" s="142" t="s">
        <v>197</v>
      </c>
      <c r="J5" s="58" t="s">
        <v>687</v>
      </c>
      <c r="K5" s="58" t="s">
        <v>101</v>
      </c>
      <c r="L5" s="271" t="s">
        <v>746</v>
      </c>
      <c r="M5" s="58"/>
      <c r="N5" s="182">
        <v>2</v>
      </c>
      <c r="O5" s="273"/>
      <c r="P5" s="58"/>
      <c r="Q5" s="58"/>
    </row>
    <row r="6" spans="1:17">
      <c r="A6" s="267"/>
      <c r="B6" s="268">
        <v>46169</v>
      </c>
      <c r="C6" s="58" t="str">
        <f t="shared" si="2"/>
        <v>Wednesday</v>
      </c>
      <c r="D6" s="267" t="s">
        <v>715</v>
      </c>
      <c r="E6" s="58" t="str">
        <f t="shared" si="3"/>
        <v>May</v>
      </c>
      <c r="F6" s="58">
        <v>2026</v>
      </c>
      <c r="G6" s="182">
        <v>2</v>
      </c>
      <c r="H6" s="58" t="s">
        <v>196</v>
      </c>
      <c r="I6" s="142" t="s">
        <v>197</v>
      </c>
      <c r="J6" s="58" t="s">
        <v>687</v>
      </c>
      <c r="K6" s="58" t="s">
        <v>101</v>
      </c>
      <c r="L6" s="271" t="s">
        <v>746</v>
      </c>
      <c r="M6" s="58"/>
      <c r="N6" s="182">
        <v>2</v>
      </c>
      <c r="O6" s="273"/>
      <c r="P6" s="58"/>
      <c r="Q6" s="58"/>
    </row>
    <row r="7" spans="1:17">
      <c r="A7" s="267">
        <v>3</v>
      </c>
      <c r="B7" s="268">
        <v>46174</v>
      </c>
      <c r="C7" s="58" t="str">
        <f t="shared" si="2"/>
        <v>Monday</v>
      </c>
      <c r="D7" s="267" t="s">
        <v>715</v>
      </c>
      <c r="E7" s="58" t="str">
        <f t="shared" si="3"/>
        <v>June</v>
      </c>
      <c r="F7" s="58">
        <v>2026</v>
      </c>
      <c r="G7" s="182">
        <v>2</v>
      </c>
      <c r="H7" s="58" t="s">
        <v>196</v>
      </c>
      <c r="I7" s="142" t="s">
        <v>197</v>
      </c>
      <c r="J7" s="58" t="s">
        <v>687</v>
      </c>
      <c r="K7" s="58" t="s">
        <v>101</v>
      </c>
      <c r="L7" s="270" t="s">
        <v>760</v>
      </c>
      <c r="M7" s="58"/>
      <c r="N7" s="182">
        <v>2</v>
      </c>
      <c r="O7" s="273" t="s">
        <v>230</v>
      </c>
      <c r="P7" s="58"/>
      <c r="Q7" s="58"/>
    </row>
    <row r="8" spans="1:17">
      <c r="A8" s="267">
        <v>4</v>
      </c>
      <c r="B8" s="268">
        <v>46176</v>
      </c>
      <c r="C8" s="58" t="str">
        <f t="shared" si="2"/>
        <v>Wednesday</v>
      </c>
      <c r="D8" s="267" t="s">
        <v>715</v>
      </c>
      <c r="E8" s="58" t="str">
        <f t="shared" si="3"/>
        <v>June</v>
      </c>
      <c r="F8" s="58">
        <v>2026</v>
      </c>
      <c r="G8" s="182">
        <v>2</v>
      </c>
      <c r="H8" s="58" t="s">
        <v>196</v>
      </c>
      <c r="I8" s="142" t="s">
        <v>197</v>
      </c>
      <c r="J8" s="58" t="s">
        <v>687</v>
      </c>
      <c r="K8" s="58" t="s">
        <v>101</v>
      </c>
      <c r="L8" s="270" t="s">
        <v>771</v>
      </c>
      <c r="M8" s="58"/>
      <c r="N8" s="182">
        <v>2</v>
      </c>
      <c r="O8" s="273" t="s">
        <v>230</v>
      </c>
      <c r="P8" s="58"/>
      <c r="Q8" s="58"/>
    </row>
    <row r="9" spans="1:17">
      <c r="A9" s="267">
        <v>5</v>
      </c>
      <c r="B9" s="268">
        <v>46177</v>
      </c>
      <c r="C9" s="58" t="str">
        <f t="shared" si="2"/>
        <v>Thursday</v>
      </c>
      <c r="D9" s="267" t="s">
        <v>715</v>
      </c>
      <c r="E9" s="58" t="str">
        <f t="shared" si="3"/>
        <v>June</v>
      </c>
      <c r="F9" s="58">
        <v>2026</v>
      </c>
      <c r="G9" s="182">
        <v>2</v>
      </c>
      <c r="H9" s="58" t="s">
        <v>196</v>
      </c>
      <c r="I9" s="142" t="s">
        <v>197</v>
      </c>
      <c r="J9" s="58" t="s">
        <v>687</v>
      </c>
      <c r="K9" s="58" t="s">
        <v>101</v>
      </c>
      <c r="L9" s="270" t="s">
        <v>775</v>
      </c>
      <c r="M9" s="58"/>
      <c r="N9" s="182">
        <v>2</v>
      </c>
      <c r="O9" s="273" t="s">
        <v>230</v>
      </c>
      <c r="P9" s="58"/>
      <c r="Q9" s="58"/>
    </row>
    <row r="10" spans="1:17">
      <c r="A10" s="267">
        <v>6</v>
      </c>
      <c r="B10" s="268">
        <v>46181</v>
      </c>
      <c r="C10" s="58" t="str">
        <f t="shared" si="2"/>
        <v>Monday</v>
      </c>
      <c r="D10" s="267" t="s">
        <v>715</v>
      </c>
      <c r="E10" s="58" t="str">
        <f t="shared" si="3"/>
        <v>June</v>
      </c>
      <c r="F10" s="58">
        <v>2026</v>
      </c>
      <c r="G10" s="182">
        <v>2</v>
      </c>
      <c r="H10" s="58" t="s">
        <v>196</v>
      </c>
      <c r="I10" s="142" t="s">
        <v>197</v>
      </c>
      <c r="J10" s="58" t="s">
        <v>687</v>
      </c>
      <c r="K10" s="58" t="s">
        <v>101</v>
      </c>
      <c r="L10" s="270" t="s">
        <v>782</v>
      </c>
      <c r="M10" s="58"/>
      <c r="N10" s="182">
        <v>2</v>
      </c>
      <c r="O10" s="273" t="s">
        <v>230</v>
      </c>
      <c r="P10" s="58"/>
      <c r="Q10" s="58"/>
    </row>
    <row r="11" spans="1:17">
      <c r="A11" s="267">
        <v>7</v>
      </c>
      <c r="B11" s="268">
        <v>46182</v>
      </c>
      <c r="C11" s="58" t="str">
        <f t="shared" si="2"/>
        <v>Tuesday</v>
      </c>
      <c r="D11" s="267" t="s">
        <v>715</v>
      </c>
      <c r="E11" s="58" t="str">
        <f t="shared" si="3"/>
        <v>June</v>
      </c>
      <c r="F11" s="58">
        <v>2026</v>
      </c>
      <c r="G11" s="182">
        <v>2</v>
      </c>
      <c r="H11" s="58" t="s">
        <v>196</v>
      </c>
      <c r="I11" s="142" t="s">
        <v>197</v>
      </c>
      <c r="J11" s="58" t="s">
        <v>687</v>
      </c>
      <c r="K11" s="58" t="s">
        <v>101</v>
      </c>
      <c r="L11" s="270" t="s">
        <v>786</v>
      </c>
      <c r="M11" s="58"/>
      <c r="N11" s="182">
        <v>2</v>
      </c>
      <c r="O11" s="273" t="s">
        <v>230</v>
      </c>
      <c r="P11" s="58"/>
      <c r="Q11" s="58"/>
    </row>
    <row r="12" spans="1:17">
      <c r="A12" s="267" t="s">
        <v>1048</v>
      </c>
      <c r="B12" s="268">
        <v>46184</v>
      </c>
      <c r="C12" s="58" t="str">
        <f t="shared" si="2"/>
        <v>Thursday</v>
      </c>
      <c r="D12" s="267" t="s">
        <v>715</v>
      </c>
      <c r="E12" s="58" t="str">
        <f t="shared" si="3"/>
        <v>June</v>
      </c>
      <c r="F12" s="58">
        <v>2026</v>
      </c>
      <c r="G12" s="182">
        <v>2</v>
      </c>
      <c r="H12" s="58" t="s">
        <v>196</v>
      </c>
      <c r="I12" s="142" t="s">
        <v>197</v>
      </c>
      <c r="J12" s="58" t="s">
        <v>687</v>
      </c>
      <c r="K12" s="58" t="s">
        <v>101</v>
      </c>
      <c r="L12" s="272" t="s">
        <v>793</v>
      </c>
      <c r="M12" s="58"/>
      <c r="N12" s="182">
        <v>2</v>
      </c>
      <c r="O12" s="273" t="s">
        <v>230</v>
      </c>
      <c r="P12" s="58"/>
      <c r="Q12" s="58"/>
    </row>
    <row r="13" spans="1:17">
      <c r="A13" s="267">
        <v>8</v>
      </c>
      <c r="B13" s="268">
        <v>46188</v>
      </c>
      <c r="C13" s="58" t="str">
        <f t="shared" si="2"/>
        <v>Monday</v>
      </c>
      <c r="D13" s="267" t="s">
        <v>715</v>
      </c>
      <c r="E13" s="58" t="str">
        <f t="shared" si="3"/>
        <v>June</v>
      </c>
      <c r="F13" s="58">
        <v>2026</v>
      </c>
      <c r="G13" s="182">
        <v>2</v>
      </c>
      <c r="H13" s="58" t="s">
        <v>196</v>
      </c>
      <c r="I13" s="142" t="s">
        <v>197</v>
      </c>
      <c r="J13" s="58" t="s">
        <v>687</v>
      </c>
      <c r="K13" s="58" t="s">
        <v>101</v>
      </c>
      <c r="L13" s="270" t="s">
        <v>801</v>
      </c>
      <c r="M13" s="58"/>
      <c r="N13" s="182">
        <v>2</v>
      </c>
      <c r="O13" s="273" t="s">
        <v>91</v>
      </c>
      <c r="P13" s="58"/>
      <c r="Q13" s="58"/>
    </row>
    <row r="14" spans="1:17">
      <c r="A14" s="267">
        <v>9</v>
      </c>
      <c r="B14" s="268">
        <v>46189</v>
      </c>
      <c r="C14" s="58" t="str">
        <f t="shared" si="2"/>
        <v>Tuesday</v>
      </c>
      <c r="D14" s="267" t="s">
        <v>715</v>
      </c>
      <c r="E14" s="58" t="str">
        <f t="shared" si="3"/>
        <v>June</v>
      </c>
      <c r="F14" s="58">
        <v>2026</v>
      </c>
      <c r="G14" s="182">
        <v>2</v>
      </c>
      <c r="H14" s="58" t="s">
        <v>196</v>
      </c>
      <c r="I14" s="142" t="s">
        <v>197</v>
      </c>
      <c r="J14" s="58" t="s">
        <v>687</v>
      </c>
      <c r="K14" s="58" t="s">
        <v>101</v>
      </c>
      <c r="L14" s="270" t="s">
        <v>805</v>
      </c>
      <c r="M14" s="58"/>
      <c r="N14" s="182">
        <v>2</v>
      </c>
      <c r="O14" s="273" t="s">
        <v>91</v>
      </c>
      <c r="P14" s="58"/>
      <c r="Q14" s="58"/>
    </row>
    <row r="15" spans="1:17">
      <c r="A15" s="267">
        <v>10</v>
      </c>
      <c r="B15" s="268">
        <v>46191</v>
      </c>
      <c r="C15" s="58" t="str">
        <f t="shared" si="2"/>
        <v>Thursday</v>
      </c>
      <c r="D15" s="267" t="s">
        <v>715</v>
      </c>
      <c r="E15" s="58" t="str">
        <f t="shared" si="3"/>
        <v>June</v>
      </c>
      <c r="F15" s="58">
        <v>2026</v>
      </c>
      <c r="G15" s="182">
        <v>2</v>
      </c>
      <c r="H15" s="58" t="s">
        <v>196</v>
      </c>
      <c r="I15" s="142" t="s">
        <v>197</v>
      </c>
      <c r="J15" s="58" t="s">
        <v>687</v>
      </c>
      <c r="K15" s="58" t="s">
        <v>101</v>
      </c>
      <c r="L15" s="270" t="s">
        <v>814</v>
      </c>
      <c r="M15" s="58"/>
      <c r="N15" s="182">
        <v>2</v>
      </c>
      <c r="O15" s="273" t="s">
        <v>91</v>
      </c>
      <c r="P15" s="58"/>
      <c r="Q15" s="58"/>
    </row>
    <row r="16" spans="1:17">
      <c r="A16" s="267">
        <v>11</v>
      </c>
      <c r="B16" s="268">
        <v>46195</v>
      </c>
      <c r="C16" s="58" t="str">
        <f t="shared" si="2"/>
        <v>Monday</v>
      </c>
      <c r="D16" s="267" t="s">
        <v>715</v>
      </c>
      <c r="E16" s="58" t="str">
        <f t="shared" si="3"/>
        <v>June</v>
      </c>
      <c r="F16" s="58">
        <v>2026</v>
      </c>
      <c r="G16" s="182">
        <v>2</v>
      </c>
      <c r="H16" s="58" t="s">
        <v>196</v>
      </c>
      <c r="I16" s="142" t="s">
        <v>197</v>
      </c>
      <c r="J16" s="58" t="s">
        <v>687</v>
      </c>
      <c r="K16" s="58" t="s">
        <v>101</v>
      </c>
      <c r="L16" s="270" t="s">
        <v>822</v>
      </c>
      <c r="M16" s="58"/>
      <c r="N16" s="182">
        <v>2</v>
      </c>
      <c r="O16" s="273" t="s">
        <v>91</v>
      </c>
      <c r="P16" s="58"/>
      <c r="Q16" s="58"/>
    </row>
    <row r="17" spans="1:17">
      <c r="A17" s="267">
        <v>12</v>
      </c>
      <c r="B17" s="268">
        <v>46196</v>
      </c>
      <c r="C17" s="58" t="str">
        <f t="shared" si="2"/>
        <v>Tuesday</v>
      </c>
      <c r="D17" s="267" t="s">
        <v>715</v>
      </c>
      <c r="E17" s="58" t="str">
        <f t="shared" si="3"/>
        <v>June</v>
      </c>
      <c r="F17" s="58">
        <v>2026</v>
      </c>
      <c r="G17" s="182">
        <v>2</v>
      </c>
      <c r="H17" s="58" t="s">
        <v>196</v>
      </c>
      <c r="I17" s="142" t="s">
        <v>197</v>
      </c>
      <c r="J17" s="58" t="s">
        <v>687</v>
      </c>
      <c r="K17" s="58" t="s">
        <v>101</v>
      </c>
      <c r="L17" s="270" t="s">
        <v>825</v>
      </c>
      <c r="M17" s="58"/>
      <c r="N17" s="182">
        <v>2</v>
      </c>
      <c r="O17" s="273" t="s">
        <v>91</v>
      </c>
      <c r="P17" s="58"/>
      <c r="Q17" s="58"/>
    </row>
    <row r="18" spans="1:17">
      <c r="A18" s="267"/>
      <c r="B18" s="268">
        <v>46199</v>
      </c>
      <c r="C18" s="58" t="str">
        <f t="shared" si="2"/>
        <v>Friday</v>
      </c>
      <c r="D18" s="267" t="s">
        <v>715</v>
      </c>
      <c r="E18" s="58" t="str">
        <f t="shared" si="3"/>
        <v>June</v>
      </c>
      <c r="F18" s="58">
        <v>2026</v>
      </c>
      <c r="G18" s="182">
        <v>2</v>
      </c>
      <c r="H18" s="58" t="s">
        <v>196</v>
      </c>
      <c r="I18" s="142" t="s">
        <v>197</v>
      </c>
      <c r="J18" s="58" t="s">
        <v>687</v>
      </c>
      <c r="K18" s="58" t="s">
        <v>101</v>
      </c>
      <c r="L18" s="271" t="s">
        <v>746</v>
      </c>
      <c r="M18" s="58"/>
      <c r="N18" s="182">
        <v>2</v>
      </c>
      <c r="O18" s="273"/>
      <c r="P18" s="58"/>
      <c r="Q18" s="58"/>
    </row>
    <row r="19" spans="1:17">
      <c r="A19" s="267">
        <v>13</v>
      </c>
      <c r="B19" s="268">
        <v>46202</v>
      </c>
      <c r="C19" s="58" t="str">
        <f t="shared" si="2"/>
        <v>Monday</v>
      </c>
      <c r="D19" s="267" t="s">
        <v>715</v>
      </c>
      <c r="E19" s="58" t="str">
        <f t="shared" si="3"/>
        <v>June</v>
      </c>
      <c r="F19" s="58">
        <v>2026</v>
      </c>
      <c r="G19" s="182">
        <v>2</v>
      </c>
      <c r="H19" s="58" t="s">
        <v>196</v>
      </c>
      <c r="I19" s="142" t="s">
        <v>197</v>
      </c>
      <c r="J19" s="58" t="s">
        <v>687</v>
      </c>
      <c r="K19" s="58" t="s">
        <v>101</v>
      </c>
      <c r="L19" s="270" t="s">
        <v>837</v>
      </c>
      <c r="M19" s="58"/>
      <c r="N19" s="182">
        <v>2</v>
      </c>
      <c r="O19" s="273" t="s">
        <v>91</v>
      </c>
      <c r="P19" s="58"/>
      <c r="Q19" s="58"/>
    </row>
    <row r="20" spans="1:17">
      <c r="A20" s="267">
        <v>14</v>
      </c>
      <c r="B20" s="268">
        <v>46203</v>
      </c>
      <c r="C20" s="58" t="str">
        <f t="shared" si="2"/>
        <v>Tuesday</v>
      </c>
      <c r="D20" s="267" t="s">
        <v>715</v>
      </c>
      <c r="E20" s="58" t="str">
        <f t="shared" si="3"/>
        <v>June</v>
      </c>
      <c r="F20" s="58">
        <v>2026</v>
      </c>
      <c r="G20" s="182">
        <v>2</v>
      </c>
      <c r="H20" s="58" t="s">
        <v>196</v>
      </c>
      <c r="I20" s="142" t="s">
        <v>197</v>
      </c>
      <c r="J20" s="58" t="s">
        <v>687</v>
      </c>
      <c r="K20" s="58" t="s">
        <v>101</v>
      </c>
      <c r="L20" s="270" t="s">
        <v>840</v>
      </c>
      <c r="M20" s="58"/>
      <c r="N20" s="182">
        <v>2</v>
      </c>
      <c r="O20" s="273" t="s">
        <v>91</v>
      </c>
      <c r="P20" s="58"/>
      <c r="Q20" s="58"/>
    </row>
    <row r="21" spans="1:17">
      <c r="A21" s="267" t="s">
        <v>1049</v>
      </c>
      <c r="B21" s="268">
        <v>46205</v>
      </c>
      <c r="C21" s="58" t="str">
        <f t="shared" si="2"/>
        <v>Thursday</v>
      </c>
      <c r="D21" s="267" t="s">
        <v>715</v>
      </c>
      <c r="E21" s="58" t="str">
        <f t="shared" si="3"/>
        <v>July</v>
      </c>
      <c r="F21" s="58">
        <v>2026</v>
      </c>
      <c r="G21" s="182">
        <v>2</v>
      </c>
      <c r="H21" s="58" t="s">
        <v>196</v>
      </c>
      <c r="I21" s="142" t="s">
        <v>197</v>
      </c>
      <c r="J21" s="58" t="s">
        <v>687</v>
      </c>
      <c r="K21" s="58" t="s">
        <v>101</v>
      </c>
      <c r="L21" s="272" t="s">
        <v>848</v>
      </c>
      <c r="M21" s="58"/>
      <c r="N21" s="182">
        <v>2</v>
      </c>
      <c r="O21" s="273" t="s">
        <v>91</v>
      </c>
      <c r="P21" s="58"/>
      <c r="Q21" s="58"/>
    </row>
    <row r="22" spans="1:17">
      <c r="A22" s="267"/>
      <c r="B22" s="268">
        <v>46211</v>
      </c>
      <c r="C22" s="58" t="str">
        <f t="shared" si="2"/>
        <v>Wednesday</v>
      </c>
      <c r="D22" s="267" t="s">
        <v>715</v>
      </c>
      <c r="E22" s="58" t="str">
        <f t="shared" si="3"/>
        <v>July</v>
      </c>
      <c r="F22" s="58">
        <v>2026</v>
      </c>
      <c r="G22" s="182">
        <v>2</v>
      </c>
      <c r="H22" s="58" t="s">
        <v>196</v>
      </c>
      <c r="I22" s="142" t="s">
        <v>197</v>
      </c>
      <c r="J22" s="58" t="s">
        <v>687</v>
      </c>
      <c r="K22" s="58" t="s">
        <v>101</v>
      </c>
      <c r="L22" s="271" t="s">
        <v>746</v>
      </c>
      <c r="M22" s="58"/>
      <c r="N22" s="182">
        <v>2</v>
      </c>
      <c r="O22" s="273"/>
      <c r="P22" s="58"/>
      <c r="Q22" s="58"/>
    </row>
    <row r="23" spans="1:17">
      <c r="A23" s="267">
        <v>15</v>
      </c>
      <c r="B23" s="268">
        <v>46216</v>
      </c>
      <c r="C23" s="58" t="str">
        <f t="shared" si="2"/>
        <v>Monday</v>
      </c>
      <c r="D23" s="267" t="s">
        <v>715</v>
      </c>
      <c r="E23" s="58" t="str">
        <f t="shared" si="3"/>
        <v>July</v>
      </c>
      <c r="F23" s="58">
        <v>2026</v>
      </c>
      <c r="G23" s="182">
        <v>2</v>
      </c>
      <c r="H23" s="58" t="s">
        <v>196</v>
      </c>
      <c r="I23" s="142" t="s">
        <v>197</v>
      </c>
      <c r="J23" s="58" t="s">
        <v>687</v>
      </c>
      <c r="K23" s="58" t="s">
        <v>101</v>
      </c>
      <c r="L23" s="270" t="s">
        <v>865</v>
      </c>
      <c r="M23" s="58"/>
      <c r="N23" s="182">
        <v>2</v>
      </c>
      <c r="O23" s="273" t="s">
        <v>254</v>
      </c>
      <c r="P23" s="58"/>
      <c r="Q23" s="58"/>
    </row>
    <row r="24" spans="1:17">
      <c r="A24" s="267">
        <v>16</v>
      </c>
      <c r="B24" s="268">
        <v>46217</v>
      </c>
      <c r="C24" s="58" t="str">
        <f t="shared" si="2"/>
        <v>Tuesday</v>
      </c>
      <c r="D24" s="267" t="s">
        <v>715</v>
      </c>
      <c r="E24" s="58" t="str">
        <f t="shared" si="3"/>
        <v>July</v>
      </c>
      <c r="F24" s="58">
        <v>2026</v>
      </c>
      <c r="G24" s="182">
        <v>2</v>
      </c>
      <c r="H24" s="58" t="s">
        <v>196</v>
      </c>
      <c r="I24" s="142" t="s">
        <v>197</v>
      </c>
      <c r="J24" s="58" t="s">
        <v>687</v>
      </c>
      <c r="K24" s="58" t="s">
        <v>101</v>
      </c>
      <c r="L24" s="270" t="s">
        <v>868</v>
      </c>
      <c r="M24" s="58"/>
      <c r="N24" s="182">
        <v>2</v>
      </c>
      <c r="O24" s="273" t="s">
        <v>254</v>
      </c>
      <c r="P24" s="58"/>
      <c r="Q24" s="58"/>
    </row>
    <row r="25" spans="1:17">
      <c r="A25" s="267">
        <v>17</v>
      </c>
      <c r="B25" s="268">
        <v>46219</v>
      </c>
      <c r="C25" s="58" t="str">
        <f t="shared" si="2"/>
        <v>Thursday</v>
      </c>
      <c r="D25" s="267" t="s">
        <v>715</v>
      </c>
      <c r="E25" s="58" t="str">
        <f t="shared" si="3"/>
        <v>July</v>
      </c>
      <c r="F25" s="58">
        <v>2026</v>
      </c>
      <c r="G25" s="182">
        <v>2</v>
      </c>
      <c r="H25" s="58" t="s">
        <v>196</v>
      </c>
      <c r="I25" s="142" t="s">
        <v>197</v>
      </c>
      <c r="J25" s="58" t="s">
        <v>687</v>
      </c>
      <c r="K25" s="58" t="s">
        <v>101</v>
      </c>
      <c r="L25" s="270" t="s">
        <v>875</v>
      </c>
      <c r="M25" s="58"/>
      <c r="N25" s="182">
        <v>2</v>
      </c>
      <c r="O25" s="273" t="s">
        <v>254</v>
      </c>
      <c r="P25" s="58"/>
      <c r="Q25" s="58"/>
    </row>
    <row r="26" spans="1:17" ht="16.5">
      <c r="A26" s="267">
        <v>18</v>
      </c>
      <c r="B26" s="268">
        <v>46223</v>
      </c>
      <c r="C26" s="58" t="str">
        <f t="shared" si="2"/>
        <v>Monday</v>
      </c>
      <c r="D26" s="267" t="s">
        <v>715</v>
      </c>
      <c r="E26" s="58" t="str">
        <f t="shared" si="3"/>
        <v>July</v>
      </c>
      <c r="F26" s="58">
        <v>2026</v>
      </c>
      <c r="G26" s="182">
        <v>2</v>
      </c>
      <c r="H26" s="58" t="s">
        <v>196</v>
      </c>
      <c r="I26" s="142" t="s">
        <v>197</v>
      </c>
      <c r="J26" s="58" t="s">
        <v>687</v>
      </c>
      <c r="K26" s="58" t="s">
        <v>101</v>
      </c>
      <c r="L26" s="270" t="s">
        <v>882</v>
      </c>
      <c r="M26" s="58"/>
      <c r="N26" s="182">
        <v>2</v>
      </c>
      <c r="O26" s="273" t="s">
        <v>254</v>
      </c>
      <c r="P26" s="58"/>
      <c r="Q26" s="58"/>
    </row>
    <row r="27" spans="1:17">
      <c r="A27" s="267">
        <v>19</v>
      </c>
      <c r="B27" s="268">
        <v>46224</v>
      </c>
      <c r="C27" s="58" t="str">
        <f t="shared" si="2"/>
        <v>Tuesday</v>
      </c>
      <c r="D27" s="267" t="s">
        <v>715</v>
      </c>
      <c r="E27" s="58" t="str">
        <f t="shared" si="3"/>
        <v>July</v>
      </c>
      <c r="F27" s="58">
        <v>2026</v>
      </c>
      <c r="G27" s="182">
        <v>2</v>
      </c>
      <c r="H27" s="58" t="s">
        <v>196</v>
      </c>
      <c r="I27" s="142" t="s">
        <v>197</v>
      </c>
      <c r="J27" s="58" t="s">
        <v>687</v>
      </c>
      <c r="K27" s="58" t="s">
        <v>101</v>
      </c>
      <c r="L27" s="270" t="s">
        <v>885</v>
      </c>
      <c r="M27" s="58"/>
      <c r="N27" s="182">
        <v>2</v>
      </c>
      <c r="O27" s="273" t="s">
        <v>254</v>
      </c>
      <c r="P27" s="58"/>
      <c r="Q27" s="58"/>
    </row>
    <row r="28" spans="1:17">
      <c r="A28" s="267"/>
      <c r="B28" s="268">
        <v>46227</v>
      </c>
      <c r="C28" s="58" t="str">
        <f t="shared" si="2"/>
        <v>Friday</v>
      </c>
      <c r="D28" s="267" t="s">
        <v>715</v>
      </c>
      <c r="E28" s="58" t="str">
        <f t="shared" si="3"/>
        <v>July</v>
      </c>
      <c r="F28" s="58">
        <v>2026</v>
      </c>
      <c r="G28" s="182">
        <v>2</v>
      </c>
      <c r="H28" s="58" t="s">
        <v>196</v>
      </c>
      <c r="I28" s="142" t="s">
        <v>197</v>
      </c>
      <c r="J28" s="58" t="s">
        <v>687</v>
      </c>
      <c r="K28" s="58" t="s">
        <v>101</v>
      </c>
      <c r="L28" s="271" t="s">
        <v>746</v>
      </c>
      <c r="M28" s="58"/>
      <c r="N28" s="182">
        <v>2</v>
      </c>
      <c r="O28" s="273"/>
      <c r="P28" s="58"/>
      <c r="Q28" s="58"/>
    </row>
    <row r="29" spans="1:17">
      <c r="A29" s="267">
        <v>20</v>
      </c>
      <c r="B29" s="268">
        <v>46230</v>
      </c>
      <c r="C29" s="58" t="str">
        <f t="shared" si="2"/>
        <v>Monday</v>
      </c>
      <c r="D29" s="267" t="s">
        <v>715</v>
      </c>
      <c r="E29" s="58" t="str">
        <f t="shared" si="3"/>
        <v>July</v>
      </c>
      <c r="F29" s="58">
        <v>2026</v>
      </c>
      <c r="G29" s="182">
        <v>2</v>
      </c>
      <c r="H29" s="58" t="s">
        <v>196</v>
      </c>
      <c r="I29" s="142" t="s">
        <v>197</v>
      </c>
      <c r="J29" s="58" t="s">
        <v>687</v>
      </c>
      <c r="K29" s="58" t="s">
        <v>101</v>
      </c>
      <c r="L29" s="270" t="s">
        <v>898</v>
      </c>
      <c r="M29" s="58"/>
      <c r="N29" s="182">
        <v>2</v>
      </c>
      <c r="O29" s="273" t="s">
        <v>254</v>
      </c>
      <c r="P29" s="58"/>
      <c r="Q29" s="58"/>
    </row>
    <row r="30" spans="1:17">
      <c r="A30" s="267" t="s">
        <v>1050</v>
      </c>
      <c r="B30" s="268">
        <v>46231</v>
      </c>
      <c r="C30" s="58" t="str">
        <f t="shared" ref="C30:C53" si="4">TEXT(B30,"dddd")</f>
        <v>Tuesday</v>
      </c>
      <c r="D30" s="267" t="s">
        <v>715</v>
      </c>
      <c r="E30" s="58" t="str">
        <f t="shared" ref="E30:E53" si="5">TEXT(B30,"mmmm")</f>
        <v>July</v>
      </c>
      <c r="F30" s="58">
        <v>2026</v>
      </c>
      <c r="G30" s="182">
        <v>2</v>
      </c>
      <c r="H30" s="58" t="s">
        <v>196</v>
      </c>
      <c r="I30" s="142" t="s">
        <v>197</v>
      </c>
      <c r="J30" s="58" t="s">
        <v>687</v>
      </c>
      <c r="K30" s="58" t="s">
        <v>101</v>
      </c>
      <c r="L30" s="272" t="s">
        <v>900</v>
      </c>
      <c r="M30" s="58"/>
      <c r="N30" s="182">
        <v>2</v>
      </c>
      <c r="O30" s="273" t="s">
        <v>254</v>
      </c>
      <c r="P30" s="58"/>
      <c r="Q30" s="58"/>
    </row>
    <row r="31" spans="1:17">
      <c r="A31" s="267">
        <v>21</v>
      </c>
      <c r="B31" s="268">
        <v>46237</v>
      </c>
      <c r="C31" s="58" t="str">
        <f t="shared" si="4"/>
        <v>Monday</v>
      </c>
      <c r="D31" s="267" t="s">
        <v>715</v>
      </c>
      <c r="E31" s="58" t="str">
        <f t="shared" si="5"/>
        <v>August</v>
      </c>
      <c r="F31" s="58">
        <v>2026</v>
      </c>
      <c r="G31" s="182">
        <v>2</v>
      </c>
      <c r="H31" s="58" t="s">
        <v>196</v>
      </c>
      <c r="I31" s="142" t="s">
        <v>197</v>
      </c>
      <c r="J31" s="58" t="s">
        <v>687</v>
      </c>
      <c r="K31" s="58" t="s">
        <v>101</v>
      </c>
      <c r="L31" s="270" t="s">
        <v>906</v>
      </c>
      <c r="M31" s="58"/>
      <c r="N31" s="182">
        <v>2</v>
      </c>
      <c r="O31" s="273" t="s">
        <v>881</v>
      </c>
      <c r="P31" s="58"/>
      <c r="Q31" s="58"/>
    </row>
    <row r="32" spans="1:17">
      <c r="A32" s="267">
        <v>22</v>
      </c>
      <c r="B32" s="268">
        <v>46238</v>
      </c>
      <c r="C32" s="58" t="str">
        <f t="shared" si="4"/>
        <v>Tuesday</v>
      </c>
      <c r="D32" s="267" t="s">
        <v>715</v>
      </c>
      <c r="E32" s="58" t="str">
        <f t="shared" si="5"/>
        <v>August</v>
      </c>
      <c r="F32" s="58">
        <v>2026</v>
      </c>
      <c r="G32" s="182">
        <v>2</v>
      </c>
      <c r="H32" s="58" t="s">
        <v>196</v>
      </c>
      <c r="I32" s="142" t="s">
        <v>197</v>
      </c>
      <c r="J32" s="58" t="s">
        <v>687</v>
      </c>
      <c r="K32" s="58" t="s">
        <v>101</v>
      </c>
      <c r="L32" s="270" t="s">
        <v>909</v>
      </c>
      <c r="M32" s="58"/>
      <c r="N32" s="182">
        <v>2</v>
      </c>
      <c r="O32" s="273" t="s">
        <v>881</v>
      </c>
      <c r="P32" s="58"/>
      <c r="Q32" s="58"/>
    </row>
    <row r="33" spans="1:17">
      <c r="A33" s="267"/>
      <c r="B33" s="268">
        <v>46241</v>
      </c>
      <c r="C33" s="58" t="str">
        <f t="shared" si="4"/>
        <v>Friday</v>
      </c>
      <c r="D33" s="267" t="s">
        <v>715</v>
      </c>
      <c r="E33" s="58" t="str">
        <f t="shared" si="5"/>
        <v>August</v>
      </c>
      <c r="F33" s="58">
        <v>2026</v>
      </c>
      <c r="G33" s="182">
        <v>2</v>
      </c>
      <c r="H33" s="58" t="s">
        <v>196</v>
      </c>
      <c r="I33" s="142" t="s">
        <v>197</v>
      </c>
      <c r="J33" s="58" t="s">
        <v>687</v>
      </c>
      <c r="K33" s="58" t="s">
        <v>101</v>
      </c>
      <c r="L33" s="271" t="s">
        <v>746</v>
      </c>
      <c r="M33" s="58"/>
      <c r="N33" s="182">
        <v>2</v>
      </c>
      <c r="O33" s="273"/>
      <c r="P33" s="58"/>
      <c r="Q33" s="58"/>
    </row>
    <row r="34" spans="1:17">
      <c r="A34" s="267">
        <v>23</v>
      </c>
      <c r="B34" s="268">
        <v>46244</v>
      </c>
      <c r="C34" s="58" t="str">
        <f t="shared" si="4"/>
        <v>Monday</v>
      </c>
      <c r="D34" s="267" t="s">
        <v>715</v>
      </c>
      <c r="E34" s="58" t="str">
        <f t="shared" si="5"/>
        <v>August</v>
      </c>
      <c r="F34" s="58">
        <v>2026</v>
      </c>
      <c r="G34" s="182">
        <v>2</v>
      </c>
      <c r="H34" s="58" t="s">
        <v>196</v>
      </c>
      <c r="I34" s="142" t="s">
        <v>197</v>
      </c>
      <c r="J34" s="58" t="s">
        <v>687</v>
      </c>
      <c r="K34" s="58" t="s">
        <v>101</v>
      </c>
      <c r="L34" s="270" t="s">
        <v>920</v>
      </c>
      <c r="M34" s="58"/>
      <c r="N34" s="182">
        <v>2</v>
      </c>
      <c r="O34" s="273" t="s">
        <v>881</v>
      </c>
      <c r="P34" s="58"/>
      <c r="Q34" s="58"/>
    </row>
    <row r="35" spans="1:17">
      <c r="A35" s="267">
        <v>24</v>
      </c>
      <c r="B35" s="268">
        <v>46245</v>
      </c>
      <c r="C35" s="58" t="str">
        <f t="shared" si="4"/>
        <v>Tuesday</v>
      </c>
      <c r="D35" s="267" t="s">
        <v>715</v>
      </c>
      <c r="E35" s="58" t="str">
        <f t="shared" si="5"/>
        <v>August</v>
      </c>
      <c r="F35" s="58">
        <v>2026</v>
      </c>
      <c r="G35" s="182">
        <v>2</v>
      </c>
      <c r="H35" s="58" t="s">
        <v>196</v>
      </c>
      <c r="I35" s="142" t="s">
        <v>197</v>
      </c>
      <c r="J35" s="58" t="s">
        <v>687</v>
      </c>
      <c r="K35" s="58" t="s">
        <v>101</v>
      </c>
      <c r="L35" s="270" t="s">
        <v>922</v>
      </c>
      <c r="M35" s="58"/>
      <c r="N35" s="182">
        <v>2</v>
      </c>
      <c r="O35" s="273" t="s">
        <v>881</v>
      </c>
      <c r="P35" s="58"/>
      <c r="Q35" s="58"/>
    </row>
    <row r="36" spans="1:17">
      <c r="A36" s="267">
        <v>25</v>
      </c>
      <c r="B36" s="268">
        <v>46247</v>
      </c>
      <c r="C36" s="58" t="str">
        <f t="shared" si="4"/>
        <v>Thursday</v>
      </c>
      <c r="D36" s="267" t="s">
        <v>715</v>
      </c>
      <c r="E36" s="58" t="str">
        <f t="shared" si="5"/>
        <v>August</v>
      </c>
      <c r="F36" s="58">
        <v>2026</v>
      </c>
      <c r="G36" s="182">
        <v>2</v>
      </c>
      <c r="H36" s="58" t="s">
        <v>196</v>
      </c>
      <c r="I36" s="142" t="s">
        <v>197</v>
      </c>
      <c r="J36" s="58" t="s">
        <v>687</v>
      </c>
      <c r="K36" s="58" t="s">
        <v>101</v>
      </c>
      <c r="L36" s="270" t="s">
        <v>926</v>
      </c>
      <c r="M36" s="58"/>
      <c r="N36" s="182">
        <v>2</v>
      </c>
      <c r="O36" s="273" t="s">
        <v>881</v>
      </c>
      <c r="P36" s="58"/>
      <c r="Q36" s="58"/>
    </row>
    <row r="37" spans="1:17" ht="30.75">
      <c r="A37" s="267">
        <v>26</v>
      </c>
      <c r="B37" s="268">
        <v>46251</v>
      </c>
      <c r="C37" s="58" t="str">
        <f t="shared" si="4"/>
        <v>Monday</v>
      </c>
      <c r="D37" s="267" t="s">
        <v>715</v>
      </c>
      <c r="E37" s="58" t="str">
        <f t="shared" si="5"/>
        <v>August</v>
      </c>
      <c r="F37" s="58">
        <v>2026</v>
      </c>
      <c r="G37" s="182">
        <v>2</v>
      </c>
      <c r="H37" s="58" t="s">
        <v>196</v>
      </c>
      <c r="I37" s="142" t="s">
        <v>197</v>
      </c>
      <c r="J37" s="58" t="s">
        <v>687</v>
      </c>
      <c r="K37" s="58" t="s">
        <v>101</v>
      </c>
      <c r="L37" s="270" t="s">
        <v>927</v>
      </c>
      <c r="M37" s="58"/>
      <c r="N37" s="182">
        <v>2</v>
      </c>
      <c r="O37" s="273" t="s">
        <v>881</v>
      </c>
      <c r="P37" s="58"/>
      <c r="Q37" s="58"/>
    </row>
    <row r="38" spans="1:17">
      <c r="A38" s="267">
        <v>27</v>
      </c>
      <c r="B38" s="268">
        <v>46252</v>
      </c>
      <c r="C38" s="58" t="str">
        <f t="shared" si="4"/>
        <v>Tuesday</v>
      </c>
      <c r="D38" s="267" t="s">
        <v>715</v>
      </c>
      <c r="E38" s="58" t="str">
        <f t="shared" si="5"/>
        <v>August</v>
      </c>
      <c r="F38" s="58">
        <v>2026</v>
      </c>
      <c r="G38" s="182">
        <v>2</v>
      </c>
      <c r="H38" s="58" t="s">
        <v>196</v>
      </c>
      <c r="I38" s="142" t="s">
        <v>197</v>
      </c>
      <c r="J38" s="58" t="s">
        <v>687</v>
      </c>
      <c r="K38" s="58" t="s">
        <v>101</v>
      </c>
      <c r="L38" s="270" t="s">
        <v>928</v>
      </c>
      <c r="M38" s="58"/>
      <c r="N38" s="182">
        <v>2</v>
      </c>
      <c r="O38" s="273" t="s">
        <v>881</v>
      </c>
      <c r="P38" s="58"/>
      <c r="Q38" s="58"/>
    </row>
    <row r="39" spans="1:17">
      <c r="A39" s="267" t="s">
        <v>1051</v>
      </c>
      <c r="B39" s="268">
        <v>46254</v>
      </c>
      <c r="C39" s="58" t="str">
        <f t="shared" si="4"/>
        <v>Thursday</v>
      </c>
      <c r="D39" s="267" t="s">
        <v>715</v>
      </c>
      <c r="E39" s="58" t="str">
        <f t="shared" si="5"/>
        <v>August</v>
      </c>
      <c r="F39" s="58">
        <v>2026</v>
      </c>
      <c r="G39" s="182">
        <v>2</v>
      </c>
      <c r="H39" s="58" t="s">
        <v>196</v>
      </c>
      <c r="I39" s="142" t="s">
        <v>197</v>
      </c>
      <c r="J39" s="58" t="s">
        <v>687</v>
      </c>
      <c r="K39" s="58" t="s">
        <v>101</v>
      </c>
      <c r="L39" s="272" t="s">
        <v>932</v>
      </c>
      <c r="M39" s="58"/>
      <c r="N39" s="182">
        <v>2</v>
      </c>
      <c r="O39" s="273" t="s">
        <v>881</v>
      </c>
      <c r="P39" s="58"/>
      <c r="Q39" s="58"/>
    </row>
    <row r="40" spans="1:17">
      <c r="A40" s="267"/>
      <c r="B40" s="268">
        <v>46255</v>
      </c>
      <c r="C40" s="58" t="str">
        <f t="shared" si="4"/>
        <v>Friday</v>
      </c>
      <c r="D40" s="267" t="s">
        <v>715</v>
      </c>
      <c r="E40" s="58" t="str">
        <f t="shared" si="5"/>
        <v>August</v>
      </c>
      <c r="F40" s="58">
        <v>2026</v>
      </c>
      <c r="G40" s="182">
        <v>2</v>
      </c>
      <c r="H40" s="58" t="s">
        <v>196</v>
      </c>
      <c r="I40" s="142" t="s">
        <v>197</v>
      </c>
      <c r="J40" s="58" t="s">
        <v>687</v>
      </c>
      <c r="K40" s="58" t="s">
        <v>101</v>
      </c>
      <c r="L40" s="271" t="s">
        <v>746</v>
      </c>
      <c r="M40" s="58"/>
      <c r="N40" s="182">
        <v>2</v>
      </c>
      <c r="O40" s="273"/>
      <c r="P40" s="58"/>
      <c r="Q40" s="58"/>
    </row>
    <row r="41" spans="1:17">
      <c r="A41" s="267">
        <v>28</v>
      </c>
      <c r="B41" s="268">
        <v>46258</v>
      </c>
      <c r="C41" s="58" t="str">
        <f t="shared" si="4"/>
        <v>Monday</v>
      </c>
      <c r="D41" s="267" t="s">
        <v>715</v>
      </c>
      <c r="E41" s="58" t="str">
        <f t="shared" si="5"/>
        <v>August</v>
      </c>
      <c r="F41" s="58">
        <v>2026</v>
      </c>
      <c r="G41" s="182">
        <v>2</v>
      </c>
      <c r="H41" s="58" t="s">
        <v>196</v>
      </c>
      <c r="I41" s="142" t="s">
        <v>197</v>
      </c>
      <c r="J41" s="58" t="s">
        <v>687</v>
      </c>
      <c r="K41" s="58" t="s">
        <v>101</v>
      </c>
      <c r="L41" s="270" t="s">
        <v>933</v>
      </c>
      <c r="M41" s="58"/>
      <c r="N41" s="182">
        <v>2</v>
      </c>
      <c r="O41" s="273" t="s">
        <v>91</v>
      </c>
      <c r="P41" s="58"/>
      <c r="Q41" s="58"/>
    </row>
    <row r="42" spans="1:17">
      <c r="A42" s="267">
        <v>29</v>
      </c>
      <c r="B42" s="268">
        <v>46259</v>
      </c>
      <c r="C42" s="58" t="str">
        <f t="shared" si="4"/>
        <v>Tuesday</v>
      </c>
      <c r="D42" s="267" t="s">
        <v>715</v>
      </c>
      <c r="E42" s="58" t="str">
        <f t="shared" si="5"/>
        <v>August</v>
      </c>
      <c r="F42" s="58">
        <v>2026</v>
      </c>
      <c r="G42" s="182">
        <v>2</v>
      </c>
      <c r="H42" s="58" t="s">
        <v>196</v>
      </c>
      <c r="I42" s="142" t="s">
        <v>197</v>
      </c>
      <c r="J42" s="58" t="s">
        <v>687</v>
      </c>
      <c r="K42" s="58" t="s">
        <v>101</v>
      </c>
      <c r="L42" s="270" t="s">
        <v>936</v>
      </c>
      <c r="M42" s="58"/>
      <c r="N42" s="182">
        <v>2</v>
      </c>
      <c r="O42" s="273" t="s">
        <v>91</v>
      </c>
      <c r="P42" s="58"/>
      <c r="Q42" s="58"/>
    </row>
    <row r="43" spans="1:17">
      <c r="A43" s="267">
        <v>30</v>
      </c>
      <c r="B43" s="268">
        <v>46265</v>
      </c>
      <c r="C43" s="58" t="str">
        <f t="shared" si="4"/>
        <v>Monday</v>
      </c>
      <c r="D43" s="267" t="s">
        <v>715</v>
      </c>
      <c r="E43" s="58" t="str">
        <f t="shared" si="5"/>
        <v>August</v>
      </c>
      <c r="F43" s="58">
        <v>2026</v>
      </c>
      <c r="G43" s="182">
        <v>2</v>
      </c>
      <c r="H43" s="58" t="s">
        <v>196</v>
      </c>
      <c r="I43" s="142" t="s">
        <v>197</v>
      </c>
      <c r="J43" s="58" t="s">
        <v>687</v>
      </c>
      <c r="K43" s="58" t="s">
        <v>101</v>
      </c>
      <c r="L43" s="270" t="s">
        <v>938</v>
      </c>
      <c r="M43" s="58"/>
      <c r="N43" s="182">
        <v>2</v>
      </c>
      <c r="O43" s="273" t="s">
        <v>91</v>
      </c>
      <c r="P43" s="58"/>
      <c r="Q43" s="58"/>
    </row>
    <row r="44" spans="1:17">
      <c r="A44" s="267">
        <v>31</v>
      </c>
      <c r="B44" s="268">
        <v>46266</v>
      </c>
      <c r="C44" s="58" t="str">
        <f t="shared" si="4"/>
        <v>Tuesday</v>
      </c>
      <c r="D44" s="267" t="s">
        <v>715</v>
      </c>
      <c r="E44" s="58" t="str">
        <f t="shared" si="5"/>
        <v>September</v>
      </c>
      <c r="F44" s="58">
        <v>2026</v>
      </c>
      <c r="G44" s="182">
        <v>2</v>
      </c>
      <c r="H44" s="58" t="s">
        <v>196</v>
      </c>
      <c r="I44" s="142" t="s">
        <v>197</v>
      </c>
      <c r="J44" s="58" t="s">
        <v>687</v>
      </c>
      <c r="K44" s="58" t="s">
        <v>101</v>
      </c>
      <c r="L44" s="270" t="s">
        <v>939</v>
      </c>
      <c r="M44" s="58"/>
      <c r="N44" s="182">
        <v>2</v>
      </c>
      <c r="O44" s="273" t="s">
        <v>91</v>
      </c>
      <c r="P44" s="58"/>
      <c r="Q44" s="58"/>
    </row>
    <row r="45" spans="1:17">
      <c r="A45" s="267"/>
      <c r="B45" s="268">
        <v>46269</v>
      </c>
      <c r="C45" s="58" t="str">
        <f t="shared" si="4"/>
        <v>Friday</v>
      </c>
      <c r="D45" s="267" t="s">
        <v>715</v>
      </c>
      <c r="E45" s="58" t="str">
        <f t="shared" si="5"/>
        <v>September</v>
      </c>
      <c r="F45" s="58">
        <v>2026</v>
      </c>
      <c r="G45" s="182">
        <v>2</v>
      </c>
      <c r="H45" s="58" t="s">
        <v>196</v>
      </c>
      <c r="I45" s="142" t="s">
        <v>197</v>
      </c>
      <c r="J45" s="58" t="s">
        <v>687</v>
      </c>
      <c r="K45" s="58" t="s">
        <v>101</v>
      </c>
      <c r="L45" s="271" t="s">
        <v>746</v>
      </c>
      <c r="M45" s="58"/>
      <c r="N45" s="182">
        <v>2</v>
      </c>
      <c r="O45" s="273"/>
      <c r="P45" s="58"/>
      <c r="Q45" s="58"/>
    </row>
    <row r="46" spans="1:17">
      <c r="A46" s="267">
        <v>32</v>
      </c>
      <c r="B46" s="268">
        <v>46272</v>
      </c>
      <c r="C46" s="58" t="str">
        <f t="shared" si="4"/>
        <v>Monday</v>
      </c>
      <c r="D46" s="267" t="s">
        <v>715</v>
      </c>
      <c r="E46" s="58" t="str">
        <f t="shared" si="5"/>
        <v>September</v>
      </c>
      <c r="F46" s="58">
        <v>2026</v>
      </c>
      <c r="G46" s="182">
        <v>2</v>
      </c>
      <c r="H46" s="58" t="s">
        <v>196</v>
      </c>
      <c r="I46" s="142" t="s">
        <v>197</v>
      </c>
      <c r="J46" s="58" t="s">
        <v>687</v>
      </c>
      <c r="K46" s="58" t="s">
        <v>101</v>
      </c>
      <c r="L46" s="270" t="s">
        <v>941</v>
      </c>
      <c r="M46" s="58"/>
      <c r="N46" s="182">
        <v>2</v>
      </c>
      <c r="O46" s="273" t="s">
        <v>91</v>
      </c>
      <c r="P46" s="58"/>
      <c r="Q46" s="58"/>
    </row>
    <row r="47" spans="1:17">
      <c r="A47" s="267" t="s">
        <v>1052</v>
      </c>
      <c r="B47" s="268">
        <v>46273</v>
      </c>
      <c r="C47" s="58" t="str">
        <f t="shared" si="4"/>
        <v>Tuesday</v>
      </c>
      <c r="D47" s="267" t="s">
        <v>715</v>
      </c>
      <c r="E47" s="58" t="str">
        <f t="shared" si="5"/>
        <v>September</v>
      </c>
      <c r="F47" s="58">
        <v>2026</v>
      </c>
      <c r="G47" s="182">
        <v>2</v>
      </c>
      <c r="H47" s="58" t="s">
        <v>196</v>
      </c>
      <c r="I47" s="142" t="s">
        <v>197</v>
      </c>
      <c r="J47" s="58" t="s">
        <v>687</v>
      </c>
      <c r="K47" s="58" t="s">
        <v>101</v>
      </c>
      <c r="L47" s="272" t="s">
        <v>942</v>
      </c>
      <c r="M47" s="58"/>
      <c r="N47" s="182">
        <v>2</v>
      </c>
      <c r="O47" s="273" t="s">
        <v>91</v>
      </c>
      <c r="P47" s="58"/>
      <c r="Q47" s="58"/>
    </row>
    <row r="48" spans="1:17">
      <c r="A48" s="267">
        <v>33</v>
      </c>
      <c r="B48" s="268">
        <v>46280</v>
      </c>
      <c r="C48" s="58" t="str">
        <f t="shared" si="4"/>
        <v>Tuesday</v>
      </c>
      <c r="D48" s="267" t="s">
        <v>715</v>
      </c>
      <c r="E48" s="58" t="str">
        <f t="shared" si="5"/>
        <v>September</v>
      </c>
      <c r="F48" s="58">
        <v>2026</v>
      </c>
      <c r="G48" s="182">
        <v>2</v>
      </c>
      <c r="H48" s="58" t="s">
        <v>196</v>
      </c>
      <c r="I48" s="142" t="s">
        <v>197</v>
      </c>
      <c r="J48" s="58" t="s">
        <v>687</v>
      </c>
      <c r="K48" s="58" t="s">
        <v>101</v>
      </c>
      <c r="L48" s="270" t="s">
        <v>944</v>
      </c>
      <c r="M48" s="58"/>
      <c r="N48" s="182">
        <v>2</v>
      </c>
      <c r="O48" s="273" t="s">
        <v>12</v>
      </c>
      <c r="P48" s="58"/>
      <c r="Q48" s="58"/>
    </row>
    <row r="49" spans="1:17">
      <c r="A49" s="267">
        <v>34</v>
      </c>
      <c r="B49" s="268">
        <v>46282</v>
      </c>
      <c r="C49" s="58" t="str">
        <f t="shared" si="4"/>
        <v>Thursday</v>
      </c>
      <c r="D49" s="267" t="s">
        <v>715</v>
      </c>
      <c r="E49" s="58" t="str">
        <f t="shared" si="5"/>
        <v>September</v>
      </c>
      <c r="F49" s="58">
        <v>2026</v>
      </c>
      <c r="G49" s="182">
        <v>2</v>
      </c>
      <c r="H49" s="58" t="s">
        <v>196</v>
      </c>
      <c r="I49" s="142" t="s">
        <v>197</v>
      </c>
      <c r="J49" s="58" t="s">
        <v>687</v>
      </c>
      <c r="K49" s="58" t="s">
        <v>101</v>
      </c>
      <c r="L49" s="270" t="s">
        <v>945</v>
      </c>
      <c r="M49" s="58"/>
      <c r="N49" s="182">
        <v>2</v>
      </c>
      <c r="O49" s="273" t="s">
        <v>12</v>
      </c>
      <c r="P49" s="58"/>
      <c r="Q49" s="58"/>
    </row>
    <row r="50" spans="1:17">
      <c r="A50" s="267"/>
      <c r="B50" s="268">
        <v>46283</v>
      </c>
      <c r="C50" s="58" t="str">
        <f t="shared" si="4"/>
        <v>Friday</v>
      </c>
      <c r="D50" s="267" t="s">
        <v>715</v>
      </c>
      <c r="E50" s="58" t="str">
        <f t="shared" si="5"/>
        <v>September</v>
      </c>
      <c r="F50" s="58">
        <v>2026</v>
      </c>
      <c r="G50" s="182">
        <v>2</v>
      </c>
      <c r="H50" s="58" t="s">
        <v>196</v>
      </c>
      <c r="I50" s="142" t="s">
        <v>197</v>
      </c>
      <c r="J50" s="58" t="s">
        <v>687</v>
      </c>
      <c r="K50" s="58" t="s">
        <v>101</v>
      </c>
      <c r="L50" s="271" t="s">
        <v>746</v>
      </c>
      <c r="M50" s="58"/>
      <c r="N50" s="182">
        <v>2</v>
      </c>
      <c r="O50" s="273"/>
      <c r="P50" s="58"/>
      <c r="Q50" s="58"/>
    </row>
    <row r="51" spans="1:17">
      <c r="A51" s="267">
        <v>35</v>
      </c>
      <c r="B51" s="268">
        <v>46286</v>
      </c>
      <c r="C51" s="58" t="str">
        <f t="shared" si="4"/>
        <v>Monday</v>
      </c>
      <c r="D51" s="267" t="s">
        <v>715</v>
      </c>
      <c r="E51" s="58" t="str">
        <f t="shared" si="5"/>
        <v>September</v>
      </c>
      <c r="F51" s="58">
        <v>2026</v>
      </c>
      <c r="G51" s="182">
        <v>2</v>
      </c>
      <c r="H51" s="58" t="s">
        <v>196</v>
      </c>
      <c r="I51" s="142" t="s">
        <v>197</v>
      </c>
      <c r="J51" s="58" t="s">
        <v>687</v>
      </c>
      <c r="K51" s="58" t="s">
        <v>101</v>
      </c>
      <c r="L51" s="270" t="s">
        <v>946</v>
      </c>
      <c r="M51" s="58"/>
      <c r="N51" s="182">
        <v>2</v>
      </c>
      <c r="O51" s="273" t="s">
        <v>12</v>
      </c>
      <c r="P51" s="58"/>
      <c r="Q51" s="58"/>
    </row>
    <row r="52" spans="1:17">
      <c r="A52" s="267">
        <v>36</v>
      </c>
      <c r="B52" s="268">
        <v>46287</v>
      </c>
      <c r="C52" s="58" t="str">
        <f t="shared" si="4"/>
        <v>Tuesday</v>
      </c>
      <c r="D52" s="267" t="s">
        <v>715</v>
      </c>
      <c r="E52" s="58" t="str">
        <f t="shared" si="5"/>
        <v>September</v>
      </c>
      <c r="F52" s="58">
        <v>2026</v>
      </c>
      <c r="G52" s="182">
        <v>2</v>
      </c>
      <c r="H52" s="58" t="s">
        <v>196</v>
      </c>
      <c r="I52" s="142" t="s">
        <v>197</v>
      </c>
      <c r="J52" s="58" t="s">
        <v>687</v>
      </c>
      <c r="K52" s="58" t="s">
        <v>101</v>
      </c>
      <c r="L52" s="270" t="s">
        <v>947</v>
      </c>
      <c r="M52" s="58"/>
      <c r="N52" s="182">
        <v>2</v>
      </c>
      <c r="O52" s="273" t="s">
        <v>12</v>
      </c>
      <c r="P52" s="58"/>
      <c r="Q52" s="58"/>
    </row>
    <row r="53" spans="1:17">
      <c r="A53" s="267">
        <v>37</v>
      </c>
      <c r="B53" s="268">
        <v>46289</v>
      </c>
      <c r="C53" s="58" t="str">
        <f t="shared" si="4"/>
        <v>Thursday</v>
      </c>
      <c r="D53" s="267" t="s">
        <v>715</v>
      </c>
      <c r="E53" s="58" t="str">
        <f t="shared" si="5"/>
        <v>September</v>
      </c>
      <c r="F53" s="58">
        <v>2026</v>
      </c>
      <c r="G53" s="182">
        <v>2</v>
      </c>
      <c r="H53" s="58" t="s">
        <v>196</v>
      </c>
      <c r="I53" s="142" t="s">
        <v>197</v>
      </c>
      <c r="J53" s="58" t="s">
        <v>687</v>
      </c>
      <c r="K53" s="58" t="s">
        <v>101</v>
      </c>
      <c r="L53" s="270" t="s">
        <v>948</v>
      </c>
      <c r="M53" s="58"/>
      <c r="N53" s="182">
        <v>2</v>
      </c>
      <c r="O53" s="273" t="s">
        <v>12</v>
      </c>
      <c r="P53" s="58"/>
      <c r="Q53" s="58"/>
    </row>
    <row r="54" spans="1:17">
      <c r="A54" s="267">
        <v>38</v>
      </c>
      <c r="B54" s="268">
        <v>46293</v>
      </c>
      <c r="C54" s="58" t="str">
        <f t="shared" ref="C54:C55" si="6">TEXT(B54,"dddd")</f>
        <v>Monday</v>
      </c>
      <c r="D54" s="267" t="s">
        <v>715</v>
      </c>
      <c r="E54" s="58" t="str">
        <f t="shared" ref="E54:E55" si="7">TEXT(B54,"mmmm")</f>
        <v>September</v>
      </c>
      <c r="F54" s="58">
        <v>2026</v>
      </c>
      <c r="G54" s="182">
        <v>2</v>
      </c>
      <c r="H54" s="58" t="s">
        <v>196</v>
      </c>
      <c r="I54" s="142" t="s">
        <v>197</v>
      </c>
      <c r="J54" s="58" t="s">
        <v>687</v>
      </c>
      <c r="K54" s="58" t="s">
        <v>101</v>
      </c>
      <c r="L54" s="269" t="s">
        <v>949</v>
      </c>
      <c r="M54" s="58"/>
      <c r="N54" s="182">
        <v>2</v>
      </c>
      <c r="O54" s="273" t="s">
        <v>12</v>
      </c>
      <c r="P54" s="58"/>
      <c r="Q54" s="58"/>
    </row>
    <row r="55" spans="1:17">
      <c r="A55" s="267" t="s">
        <v>1053</v>
      </c>
      <c r="B55" s="268">
        <v>46294</v>
      </c>
      <c r="C55" s="58" t="str">
        <f t="shared" si="6"/>
        <v>Tuesday</v>
      </c>
      <c r="D55" s="267" t="s">
        <v>715</v>
      </c>
      <c r="E55" s="58" t="str">
        <f t="shared" si="7"/>
        <v>September</v>
      </c>
      <c r="F55" s="58">
        <v>2026</v>
      </c>
      <c r="G55" s="182">
        <v>2</v>
      </c>
      <c r="H55" s="58" t="s">
        <v>196</v>
      </c>
      <c r="I55" s="142" t="s">
        <v>197</v>
      </c>
      <c r="J55" s="58" t="s">
        <v>687</v>
      </c>
      <c r="K55" s="58" t="s">
        <v>101</v>
      </c>
      <c r="L55" s="272" t="s">
        <v>950</v>
      </c>
      <c r="M55" s="58"/>
      <c r="N55" s="182">
        <v>2</v>
      </c>
      <c r="O55" s="273" t="s">
        <v>12</v>
      </c>
      <c r="P55" s="58"/>
      <c r="Q55" s="58"/>
    </row>
    <row r="56" spans="1:17">
      <c r="A56" s="267"/>
      <c r="B56" s="268">
        <v>46295</v>
      </c>
      <c r="C56" s="58" t="str">
        <f>TEXT(B56,"dddd")</f>
        <v>Wednesday</v>
      </c>
      <c r="D56" s="267"/>
      <c r="E56" s="58" t="str">
        <f>TEXT(B56,"mmmm")</f>
        <v>September</v>
      </c>
      <c r="F56" s="58"/>
      <c r="G56" s="182"/>
      <c r="H56" s="58"/>
      <c r="I56" s="142"/>
      <c r="J56" s="58"/>
      <c r="K56" s="58"/>
      <c r="L56" s="269" t="s">
        <v>951</v>
      </c>
      <c r="M56" s="58"/>
      <c r="N56" s="182"/>
      <c r="O56" s="273"/>
      <c r="P56" s="58"/>
      <c r="Q56" s="58"/>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0A20-561C-4D3B-8958-1EB30D70C864}">
  <dimension ref="A1:Q9"/>
  <sheetViews>
    <sheetView workbookViewId="0">
      <selection activeCell="A6" sqref="A6"/>
    </sheetView>
  </sheetViews>
  <sheetFormatPr defaultRowHeight="15"/>
  <cols>
    <col min="2" max="2" width="19.42578125" customWidth="1"/>
    <col min="3" max="3" width="13.42578125" customWidth="1"/>
    <col min="4" max="4" width="23.5703125" customWidth="1"/>
    <col min="5" max="5" width="10.42578125" bestFit="1" customWidth="1"/>
    <col min="7" max="7" width="18.42578125" bestFit="1" customWidth="1"/>
    <col min="8" max="8" width="9.42578125" bestFit="1"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182"/>
      <c r="B2" s="59">
        <v>46140</v>
      </c>
      <c r="C2" s="58" t="str">
        <f>TEXT(B2,"dddd")</f>
        <v>Tuesday</v>
      </c>
      <c r="D2" s="182" t="s">
        <v>646</v>
      </c>
      <c r="E2" s="58" t="str">
        <f>TEXT(B2,"mmmm")</f>
        <v>April</v>
      </c>
      <c r="F2" s="58">
        <v>2026</v>
      </c>
      <c r="G2" s="182">
        <v>0.5</v>
      </c>
      <c r="H2" s="58" t="s">
        <v>132</v>
      </c>
      <c r="I2" s="142" t="s">
        <v>184</v>
      </c>
      <c r="J2" s="58" t="s">
        <v>360</v>
      </c>
      <c r="K2" s="58" t="s">
        <v>101</v>
      </c>
      <c r="L2" s="184" t="s">
        <v>1054</v>
      </c>
      <c r="M2" s="58"/>
      <c r="N2" s="182">
        <v>0.5</v>
      </c>
      <c r="O2" s="182" t="s">
        <v>185</v>
      </c>
      <c r="P2" s="58"/>
      <c r="Q2" s="58"/>
    </row>
    <row r="3" spans="1:17">
      <c r="A3" s="182">
        <v>1</v>
      </c>
      <c r="B3" s="59">
        <v>46147</v>
      </c>
      <c r="C3" s="58" t="str">
        <f t="shared" ref="C3:C9" si="0">TEXT(B3,"dddd")</f>
        <v>Tuesday</v>
      </c>
      <c r="D3" s="182" t="s">
        <v>661</v>
      </c>
      <c r="E3" s="58" t="str">
        <f t="shared" ref="E3:E9" si="1">TEXT(B3,"mmmm")</f>
        <v>May</v>
      </c>
      <c r="F3" s="58">
        <v>2026</v>
      </c>
      <c r="G3" s="182">
        <v>2.5</v>
      </c>
      <c r="H3" s="58" t="s">
        <v>132</v>
      </c>
      <c r="I3" s="142" t="s">
        <v>184</v>
      </c>
      <c r="J3" s="58" t="s">
        <v>360</v>
      </c>
      <c r="K3" s="58" t="s">
        <v>101</v>
      </c>
      <c r="L3" s="183" t="s">
        <v>662</v>
      </c>
      <c r="M3" s="58"/>
      <c r="N3" s="182">
        <v>2.5</v>
      </c>
      <c r="O3" s="182" t="s">
        <v>63</v>
      </c>
      <c r="P3" s="58"/>
      <c r="Q3" s="58"/>
    </row>
    <row r="4" spans="1:17">
      <c r="A4" s="182">
        <v>2</v>
      </c>
      <c r="B4" s="59">
        <v>46148</v>
      </c>
      <c r="C4" s="58" t="str">
        <f t="shared" si="0"/>
        <v>Wednesday</v>
      </c>
      <c r="D4" s="182" t="s">
        <v>661</v>
      </c>
      <c r="E4" s="58" t="str">
        <f t="shared" si="1"/>
        <v>May</v>
      </c>
      <c r="F4" s="58">
        <v>2026</v>
      </c>
      <c r="G4" s="182">
        <v>2.5</v>
      </c>
      <c r="H4" s="58" t="s">
        <v>132</v>
      </c>
      <c r="I4" s="142" t="s">
        <v>184</v>
      </c>
      <c r="J4" s="58" t="s">
        <v>360</v>
      </c>
      <c r="K4" s="58" t="s">
        <v>101</v>
      </c>
      <c r="L4" s="183" t="s">
        <v>669</v>
      </c>
      <c r="M4" s="58"/>
      <c r="N4" s="182">
        <v>2.5</v>
      </c>
      <c r="O4" s="182" t="s">
        <v>63</v>
      </c>
      <c r="P4" s="58"/>
      <c r="Q4" s="58"/>
    </row>
    <row r="5" spans="1:17">
      <c r="A5" s="182">
        <v>3</v>
      </c>
      <c r="B5" s="59">
        <v>46149</v>
      </c>
      <c r="C5" s="58" t="str">
        <f t="shared" si="0"/>
        <v>Thursday</v>
      </c>
      <c r="D5" s="182" t="s">
        <v>661</v>
      </c>
      <c r="E5" s="58" t="str">
        <f t="shared" si="1"/>
        <v>May</v>
      </c>
      <c r="F5" s="58">
        <v>2026</v>
      </c>
      <c r="G5" s="182">
        <v>2.5</v>
      </c>
      <c r="H5" s="58" t="s">
        <v>132</v>
      </c>
      <c r="I5" s="142" t="s">
        <v>184</v>
      </c>
      <c r="J5" s="58" t="s">
        <v>360</v>
      </c>
      <c r="K5" s="58" t="s">
        <v>101</v>
      </c>
      <c r="L5" s="183" t="s">
        <v>674</v>
      </c>
      <c r="M5" s="58"/>
      <c r="N5" s="182">
        <v>2.5</v>
      </c>
      <c r="O5" s="182" t="s">
        <v>63</v>
      </c>
      <c r="P5" s="58"/>
      <c r="Q5" s="58"/>
    </row>
    <row r="6" spans="1:17">
      <c r="A6" s="182">
        <v>4</v>
      </c>
      <c r="B6" s="59">
        <v>46154</v>
      </c>
      <c r="C6" s="58" t="str">
        <f t="shared" si="0"/>
        <v>Tuesday</v>
      </c>
      <c r="D6" s="182" t="s">
        <v>661</v>
      </c>
      <c r="E6" s="58" t="str">
        <f t="shared" si="1"/>
        <v>May</v>
      </c>
      <c r="F6" s="58">
        <v>2026</v>
      </c>
      <c r="G6" s="182">
        <v>2.5</v>
      </c>
      <c r="H6" s="58" t="s">
        <v>132</v>
      </c>
      <c r="I6" s="142" t="s">
        <v>184</v>
      </c>
      <c r="J6" s="58" t="s">
        <v>360</v>
      </c>
      <c r="K6" s="58" t="s">
        <v>101</v>
      </c>
      <c r="L6" s="183" t="s">
        <v>690</v>
      </c>
      <c r="M6" s="58"/>
      <c r="N6" s="182">
        <v>2.5</v>
      </c>
      <c r="O6" s="182" t="s">
        <v>63</v>
      </c>
      <c r="P6" s="58"/>
      <c r="Q6" s="58"/>
    </row>
    <row r="7" spans="1:17">
      <c r="A7" s="182">
        <v>5</v>
      </c>
      <c r="B7" s="59">
        <v>46155</v>
      </c>
      <c r="C7" s="58" t="str">
        <f t="shared" si="0"/>
        <v>Wednesday</v>
      </c>
      <c r="D7" s="182" t="s">
        <v>661</v>
      </c>
      <c r="E7" s="58" t="str">
        <f t="shared" si="1"/>
        <v>May</v>
      </c>
      <c r="F7" s="58">
        <v>2026</v>
      </c>
      <c r="G7" s="182">
        <v>2.5</v>
      </c>
      <c r="H7" s="58" t="s">
        <v>132</v>
      </c>
      <c r="I7" s="142" t="s">
        <v>184</v>
      </c>
      <c r="J7" s="58" t="s">
        <v>360</v>
      </c>
      <c r="K7" s="58" t="s">
        <v>101</v>
      </c>
      <c r="L7" s="183" t="s">
        <v>700</v>
      </c>
      <c r="M7" s="58"/>
      <c r="N7" s="182">
        <v>2.5</v>
      </c>
      <c r="O7" s="182" t="s">
        <v>63</v>
      </c>
      <c r="P7" s="58"/>
      <c r="Q7" s="58"/>
    </row>
    <row r="8" spans="1:17">
      <c r="A8" s="182">
        <v>6</v>
      </c>
      <c r="B8" s="59">
        <v>46156</v>
      </c>
      <c r="C8" s="58" t="str">
        <f t="shared" si="0"/>
        <v>Thursday</v>
      </c>
      <c r="D8" s="182" t="s">
        <v>661</v>
      </c>
      <c r="E8" s="58" t="str">
        <f t="shared" si="1"/>
        <v>May</v>
      </c>
      <c r="F8" s="58">
        <v>2026</v>
      </c>
      <c r="G8" s="182">
        <v>2.5</v>
      </c>
      <c r="H8" s="58" t="s">
        <v>132</v>
      </c>
      <c r="I8" s="142" t="s">
        <v>184</v>
      </c>
      <c r="J8" s="58" t="s">
        <v>360</v>
      </c>
      <c r="K8" s="58" t="s">
        <v>101</v>
      </c>
      <c r="L8" s="183" t="s">
        <v>706</v>
      </c>
      <c r="M8" s="58"/>
      <c r="N8" s="182">
        <v>2.5</v>
      </c>
      <c r="O8" s="182" t="s">
        <v>63</v>
      </c>
      <c r="P8" s="58"/>
      <c r="Q8" s="58"/>
    </row>
    <row r="9" spans="1:17">
      <c r="A9" s="182"/>
      <c r="B9" s="59">
        <v>46162</v>
      </c>
      <c r="C9" s="58" t="str">
        <f t="shared" si="0"/>
        <v>Wednesday</v>
      </c>
      <c r="D9" s="182" t="s">
        <v>728</v>
      </c>
      <c r="E9" s="58" t="str">
        <f t="shared" si="1"/>
        <v>May</v>
      </c>
      <c r="F9" s="58">
        <v>2026</v>
      </c>
      <c r="G9" s="182">
        <v>3</v>
      </c>
      <c r="H9" s="58" t="s">
        <v>132</v>
      </c>
      <c r="I9" s="142" t="s">
        <v>184</v>
      </c>
      <c r="J9" s="58" t="s">
        <v>360</v>
      </c>
      <c r="K9" s="58" t="s">
        <v>101</v>
      </c>
      <c r="L9" s="183" t="s">
        <v>729</v>
      </c>
      <c r="M9" s="58"/>
      <c r="N9" s="182">
        <v>3</v>
      </c>
      <c r="O9" s="182" t="s">
        <v>63</v>
      </c>
      <c r="P9" s="58"/>
      <c r="Q9" s="58"/>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C365-9D7F-421F-9F72-E291B38599EA}">
  <dimension ref="A1:Q32"/>
  <sheetViews>
    <sheetView workbookViewId="0">
      <selection activeCell="I9" sqref="I9"/>
    </sheetView>
  </sheetViews>
  <sheetFormatPr defaultRowHeight="15"/>
  <cols>
    <col min="2" max="2" width="19.42578125" customWidth="1"/>
    <col min="3" max="3" width="13.42578125" customWidth="1"/>
    <col min="4" max="4" width="29.5703125" customWidth="1"/>
    <col min="5" max="5" width="10.42578125" bestFit="1" customWidth="1"/>
    <col min="7" max="7" width="18.42578125" bestFit="1" customWidth="1"/>
    <col min="8" max="8" width="9.42578125" bestFit="1"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182">
        <v>0</v>
      </c>
      <c r="B2" s="59">
        <v>46134</v>
      </c>
      <c r="C2" s="58" t="str">
        <f>TEXT(B2,"dddd")</f>
        <v>Wednesday</v>
      </c>
      <c r="D2" s="182" t="s">
        <v>622</v>
      </c>
      <c r="E2" s="58" t="str">
        <f>TEXT(B2,"mmmm")</f>
        <v>April</v>
      </c>
      <c r="F2" s="58">
        <v>2026</v>
      </c>
      <c r="G2" s="182">
        <v>1</v>
      </c>
      <c r="H2" s="58" t="s">
        <v>132</v>
      </c>
      <c r="I2" s="142" t="s">
        <v>183</v>
      </c>
      <c r="J2" s="58" t="s">
        <v>623</v>
      </c>
      <c r="K2" s="58" t="s">
        <v>101</v>
      </c>
      <c r="L2" s="186" t="s">
        <v>463</v>
      </c>
      <c r="M2" s="58"/>
      <c r="N2" s="182">
        <v>1</v>
      </c>
      <c r="O2" s="182"/>
      <c r="P2" s="58"/>
      <c r="Q2" s="58"/>
    </row>
    <row r="3" spans="1:17">
      <c r="A3" s="182">
        <v>1</v>
      </c>
      <c r="B3" s="59">
        <v>46139</v>
      </c>
      <c r="C3" s="58" t="str">
        <f t="shared" ref="C3:C28" si="0">TEXT(B3,"dddd")</f>
        <v>Monday</v>
      </c>
      <c r="D3" s="182" t="s">
        <v>638</v>
      </c>
      <c r="E3" s="58" t="str">
        <f t="shared" ref="E3:E28" si="1">TEXT(B3,"mmmm")</f>
        <v>April</v>
      </c>
      <c r="F3" s="58">
        <v>2026</v>
      </c>
      <c r="G3" s="182">
        <v>2.5</v>
      </c>
      <c r="H3" s="58" t="s">
        <v>132</v>
      </c>
      <c r="I3" s="142" t="s">
        <v>183</v>
      </c>
      <c r="J3" s="58" t="s">
        <v>623</v>
      </c>
      <c r="K3" s="58" t="s">
        <v>101</v>
      </c>
      <c r="L3" s="258" t="s">
        <v>639</v>
      </c>
      <c r="M3" s="58"/>
      <c r="N3" s="182">
        <v>2.5</v>
      </c>
      <c r="O3" s="182" t="s">
        <v>164</v>
      </c>
      <c r="P3" s="58"/>
      <c r="Q3" s="58"/>
    </row>
    <row r="4" spans="1:17">
      <c r="A4" s="182">
        <v>2</v>
      </c>
      <c r="B4" s="59">
        <v>46162</v>
      </c>
      <c r="C4" s="58" t="str">
        <f t="shared" si="0"/>
        <v>Wednesday</v>
      </c>
      <c r="D4" s="182" t="s">
        <v>638</v>
      </c>
      <c r="E4" s="58" t="str">
        <f t="shared" si="1"/>
        <v>May</v>
      </c>
      <c r="F4" s="58">
        <v>2026</v>
      </c>
      <c r="G4" s="182">
        <v>2.5</v>
      </c>
      <c r="H4" s="58" t="s">
        <v>132</v>
      </c>
      <c r="I4" s="142" t="s">
        <v>183</v>
      </c>
      <c r="J4" s="58" t="s">
        <v>623</v>
      </c>
      <c r="K4" s="58" t="s">
        <v>101</v>
      </c>
      <c r="L4" s="258" t="s">
        <v>730</v>
      </c>
      <c r="M4" s="58"/>
      <c r="N4" s="182">
        <v>2.5</v>
      </c>
      <c r="O4" s="182" t="s">
        <v>164</v>
      </c>
      <c r="P4" s="58"/>
      <c r="Q4" s="58"/>
    </row>
    <row r="5" spans="1:17">
      <c r="A5" s="182">
        <v>3</v>
      </c>
      <c r="B5" s="59">
        <v>46174</v>
      </c>
      <c r="C5" s="58" t="str">
        <f t="shared" si="0"/>
        <v>Monday</v>
      </c>
      <c r="D5" s="182" t="s">
        <v>638</v>
      </c>
      <c r="E5" s="58" t="str">
        <f t="shared" si="1"/>
        <v>June</v>
      </c>
      <c r="F5" s="58">
        <v>2026</v>
      </c>
      <c r="G5" s="182">
        <v>2.5</v>
      </c>
      <c r="H5" s="58" t="s">
        <v>132</v>
      </c>
      <c r="I5" s="142" t="s">
        <v>183</v>
      </c>
      <c r="J5" s="58" t="s">
        <v>623</v>
      </c>
      <c r="K5" s="58" t="s">
        <v>101</v>
      </c>
      <c r="L5" s="258" t="s">
        <v>730</v>
      </c>
      <c r="M5" s="58"/>
      <c r="N5" s="182">
        <v>2.5</v>
      </c>
      <c r="O5" s="182" t="s">
        <v>164</v>
      </c>
      <c r="P5" s="58"/>
      <c r="Q5" s="58"/>
    </row>
    <row r="6" spans="1:17">
      <c r="A6" s="182">
        <v>4</v>
      </c>
      <c r="B6" s="59">
        <v>46176</v>
      </c>
      <c r="C6" s="58" t="str">
        <f t="shared" si="0"/>
        <v>Wednesday</v>
      </c>
      <c r="D6" s="182" t="s">
        <v>638</v>
      </c>
      <c r="E6" s="58" t="str">
        <f t="shared" si="1"/>
        <v>June</v>
      </c>
      <c r="F6" s="58">
        <v>2026</v>
      </c>
      <c r="G6" s="182">
        <v>2.5</v>
      </c>
      <c r="H6" s="58" t="s">
        <v>132</v>
      </c>
      <c r="I6" s="142" t="s">
        <v>183</v>
      </c>
      <c r="J6" s="58" t="s">
        <v>623</v>
      </c>
      <c r="K6" s="58" t="s">
        <v>101</v>
      </c>
      <c r="L6" s="258" t="s">
        <v>772</v>
      </c>
      <c r="M6" s="58"/>
      <c r="N6" s="182">
        <v>2.5</v>
      </c>
      <c r="O6" s="182" t="s">
        <v>164</v>
      </c>
      <c r="P6" s="58"/>
      <c r="Q6" s="58"/>
    </row>
    <row r="7" spans="1:17">
      <c r="A7" s="182">
        <v>5</v>
      </c>
      <c r="B7" s="59">
        <v>46181</v>
      </c>
      <c r="C7" s="58" t="str">
        <f t="shared" si="0"/>
        <v>Monday</v>
      </c>
      <c r="D7" s="182" t="s">
        <v>638</v>
      </c>
      <c r="E7" s="58" t="str">
        <f t="shared" si="1"/>
        <v>June</v>
      </c>
      <c r="F7" s="58">
        <v>2026</v>
      </c>
      <c r="G7" s="182">
        <v>2.5</v>
      </c>
      <c r="H7" s="58" t="s">
        <v>132</v>
      </c>
      <c r="I7" s="142" t="s">
        <v>183</v>
      </c>
      <c r="J7" s="58" t="s">
        <v>623</v>
      </c>
      <c r="K7" s="58" t="s">
        <v>101</v>
      </c>
      <c r="L7" s="258" t="s">
        <v>783</v>
      </c>
      <c r="M7" s="58"/>
      <c r="N7" s="182">
        <v>2.5</v>
      </c>
      <c r="O7" s="182" t="s">
        <v>164</v>
      </c>
      <c r="P7" s="58"/>
      <c r="Q7" s="58"/>
    </row>
    <row r="8" spans="1:17">
      <c r="A8" s="182">
        <v>6</v>
      </c>
      <c r="B8" s="59">
        <v>46183</v>
      </c>
      <c r="C8" s="58" t="str">
        <f t="shared" si="0"/>
        <v>Wednesday</v>
      </c>
      <c r="D8" s="182" t="s">
        <v>638</v>
      </c>
      <c r="E8" s="58" t="str">
        <f t="shared" si="1"/>
        <v>June</v>
      </c>
      <c r="F8" s="58">
        <v>2026</v>
      </c>
      <c r="G8" s="182">
        <v>2.5</v>
      </c>
      <c r="H8" s="58" t="s">
        <v>132</v>
      </c>
      <c r="I8" s="142" t="s">
        <v>183</v>
      </c>
      <c r="J8" s="58" t="s">
        <v>623</v>
      </c>
      <c r="K8" s="58" t="s">
        <v>101</v>
      </c>
      <c r="L8" s="258" t="s">
        <v>783</v>
      </c>
      <c r="M8" s="58"/>
      <c r="N8" s="182">
        <v>2.5</v>
      </c>
      <c r="O8" s="182" t="s">
        <v>164</v>
      </c>
      <c r="P8" s="58"/>
      <c r="Q8" s="58"/>
    </row>
    <row r="9" spans="1:17">
      <c r="A9" s="182">
        <v>7</v>
      </c>
      <c r="B9" s="59">
        <v>46188</v>
      </c>
      <c r="C9" s="58" t="str">
        <f t="shared" si="0"/>
        <v>Monday</v>
      </c>
      <c r="D9" s="182" t="s">
        <v>638</v>
      </c>
      <c r="E9" s="58" t="str">
        <f t="shared" si="1"/>
        <v>June</v>
      </c>
      <c r="F9" s="58">
        <v>2026</v>
      </c>
      <c r="G9" s="182">
        <v>2.5</v>
      </c>
      <c r="H9" s="58" t="s">
        <v>132</v>
      </c>
      <c r="I9" s="142" t="s">
        <v>183</v>
      </c>
      <c r="J9" s="58" t="s">
        <v>623</v>
      </c>
      <c r="K9" s="58" t="s">
        <v>101</v>
      </c>
      <c r="L9" s="258" t="s">
        <v>802</v>
      </c>
      <c r="M9" s="58"/>
      <c r="N9" s="182">
        <v>2.5</v>
      </c>
      <c r="O9" s="182" t="s">
        <v>164</v>
      </c>
      <c r="P9" s="58"/>
      <c r="Q9" s="58"/>
    </row>
    <row r="10" spans="1:17">
      <c r="A10" s="182">
        <v>8</v>
      </c>
      <c r="B10" s="59">
        <v>46190</v>
      </c>
      <c r="C10" s="58" t="str">
        <f t="shared" si="0"/>
        <v>Wednesday</v>
      </c>
      <c r="D10" s="182" t="s">
        <v>638</v>
      </c>
      <c r="E10" s="58" t="str">
        <f t="shared" si="1"/>
        <v>June</v>
      </c>
      <c r="F10" s="58">
        <v>2026</v>
      </c>
      <c r="G10" s="182">
        <v>2.5</v>
      </c>
      <c r="H10" s="58" t="s">
        <v>132</v>
      </c>
      <c r="I10" s="142" t="s">
        <v>183</v>
      </c>
      <c r="J10" s="58" t="s">
        <v>623</v>
      </c>
      <c r="K10" s="58" t="s">
        <v>101</v>
      </c>
      <c r="L10" s="258" t="s">
        <v>812</v>
      </c>
      <c r="M10" s="58"/>
      <c r="N10" s="182">
        <v>2.5</v>
      </c>
      <c r="O10" s="182" t="s">
        <v>164</v>
      </c>
      <c r="P10" s="58"/>
      <c r="Q10" s="58"/>
    </row>
    <row r="11" spans="1:17">
      <c r="A11" s="182"/>
      <c r="B11" s="59">
        <v>46192</v>
      </c>
      <c r="C11" s="58" t="str">
        <f t="shared" si="0"/>
        <v>Friday</v>
      </c>
      <c r="D11" s="182"/>
      <c r="E11" s="58" t="str">
        <f t="shared" si="1"/>
        <v>June</v>
      </c>
      <c r="F11" s="58">
        <v>2026</v>
      </c>
      <c r="G11" s="182"/>
      <c r="H11" s="58" t="s">
        <v>132</v>
      </c>
      <c r="I11" s="142" t="s">
        <v>183</v>
      </c>
      <c r="J11" s="58" t="s">
        <v>623</v>
      </c>
      <c r="K11" s="58" t="s">
        <v>101</v>
      </c>
      <c r="L11" s="260" t="s">
        <v>818</v>
      </c>
      <c r="M11" s="58"/>
      <c r="N11" s="182"/>
      <c r="O11" s="182" t="s">
        <v>819</v>
      </c>
      <c r="P11" s="58"/>
      <c r="Q11" s="58"/>
    </row>
    <row r="12" spans="1:17">
      <c r="A12" s="182">
        <v>9</v>
      </c>
      <c r="B12" s="59">
        <v>46195</v>
      </c>
      <c r="C12" s="58" t="str">
        <f t="shared" si="0"/>
        <v>Monday</v>
      </c>
      <c r="D12" s="182" t="s">
        <v>638</v>
      </c>
      <c r="E12" s="58" t="str">
        <f t="shared" si="1"/>
        <v>June</v>
      </c>
      <c r="F12" s="58">
        <v>2026</v>
      </c>
      <c r="G12" s="182">
        <v>2.5</v>
      </c>
      <c r="H12" s="58" t="s">
        <v>132</v>
      </c>
      <c r="I12" s="142" t="s">
        <v>183</v>
      </c>
      <c r="J12" s="58" t="s">
        <v>623</v>
      </c>
      <c r="K12" s="58" t="s">
        <v>101</v>
      </c>
      <c r="L12" s="258" t="s">
        <v>823</v>
      </c>
      <c r="M12" s="58"/>
      <c r="N12" s="182">
        <v>2.5</v>
      </c>
      <c r="O12" s="182" t="s">
        <v>164</v>
      </c>
      <c r="P12" s="58"/>
      <c r="Q12" s="58"/>
    </row>
    <row r="13" spans="1:17">
      <c r="A13" s="182">
        <v>10</v>
      </c>
      <c r="B13" s="59">
        <v>46197</v>
      </c>
      <c r="C13" s="58" t="str">
        <f t="shared" si="0"/>
        <v>Wednesday</v>
      </c>
      <c r="D13" s="182" t="s">
        <v>638</v>
      </c>
      <c r="E13" s="58" t="str">
        <f t="shared" si="1"/>
        <v>June</v>
      </c>
      <c r="F13" s="58">
        <v>2026</v>
      </c>
      <c r="G13" s="182">
        <v>2.5</v>
      </c>
      <c r="H13" s="58" t="s">
        <v>132</v>
      </c>
      <c r="I13" s="142" t="s">
        <v>183</v>
      </c>
      <c r="J13" s="58" t="s">
        <v>623</v>
      </c>
      <c r="K13" s="58" t="s">
        <v>101</v>
      </c>
      <c r="L13" s="258" t="s">
        <v>823</v>
      </c>
      <c r="M13" s="58"/>
      <c r="N13" s="182">
        <v>2.5</v>
      </c>
      <c r="O13" s="182" t="s">
        <v>164</v>
      </c>
      <c r="P13" s="58"/>
      <c r="Q13" s="58"/>
    </row>
    <row r="14" spans="1:17">
      <c r="A14" s="182">
        <v>11</v>
      </c>
      <c r="B14" s="59">
        <v>46202</v>
      </c>
      <c r="C14" s="58" t="str">
        <f t="shared" si="0"/>
        <v>Monday</v>
      </c>
      <c r="D14" s="182" t="s">
        <v>638</v>
      </c>
      <c r="E14" s="58" t="str">
        <f t="shared" si="1"/>
        <v>June</v>
      </c>
      <c r="F14" s="58">
        <v>2026</v>
      </c>
      <c r="G14" s="182">
        <v>2.5</v>
      </c>
      <c r="H14" s="58" t="s">
        <v>132</v>
      </c>
      <c r="I14" s="142" t="s">
        <v>183</v>
      </c>
      <c r="J14" s="58" t="s">
        <v>623</v>
      </c>
      <c r="K14" s="58" t="s">
        <v>101</v>
      </c>
      <c r="L14" s="258" t="s">
        <v>838</v>
      </c>
      <c r="M14" s="58"/>
      <c r="N14" s="182">
        <v>2.5</v>
      </c>
      <c r="O14" s="182" t="s">
        <v>164</v>
      </c>
      <c r="P14" s="58"/>
      <c r="Q14" s="58"/>
    </row>
    <row r="15" spans="1:17">
      <c r="A15" s="182">
        <v>12</v>
      </c>
      <c r="B15" s="59">
        <v>46204</v>
      </c>
      <c r="C15" s="58" t="str">
        <f t="shared" si="0"/>
        <v>Wednesday</v>
      </c>
      <c r="D15" s="182" t="s">
        <v>638</v>
      </c>
      <c r="E15" s="58" t="str">
        <f t="shared" si="1"/>
        <v>July</v>
      </c>
      <c r="F15" s="58">
        <v>2026</v>
      </c>
      <c r="G15" s="182">
        <v>2.5</v>
      </c>
      <c r="H15" s="58" t="s">
        <v>132</v>
      </c>
      <c r="I15" s="142" t="s">
        <v>183</v>
      </c>
      <c r="J15" s="58" t="s">
        <v>623</v>
      </c>
      <c r="K15" s="58" t="s">
        <v>101</v>
      </c>
      <c r="L15" s="258" t="s">
        <v>838</v>
      </c>
      <c r="M15" s="58"/>
      <c r="N15" s="182">
        <v>2.5</v>
      </c>
      <c r="O15" s="182" t="s">
        <v>164</v>
      </c>
      <c r="P15" s="58"/>
      <c r="Q15" s="58"/>
    </row>
    <row r="16" spans="1:17">
      <c r="A16" s="182"/>
      <c r="B16" s="59">
        <v>46209</v>
      </c>
      <c r="C16" s="58" t="str">
        <f t="shared" si="0"/>
        <v>Monday</v>
      </c>
      <c r="D16" s="182" t="s">
        <v>851</v>
      </c>
      <c r="E16" s="58" t="str">
        <f t="shared" si="1"/>
        <v>July</v>
      </c>
      <c r="F16" s="58">
        <v>2026</v>
      </c>
      <c r="G16" s="182"/>
      <c r="H16" s="58" t="s">
        <v>132</v>
      </c>
      <c r="I16" s="142" t="s">
        <v>183</v>
      </c>
      <c r="J16" s="58" t="s">
        <v>623</v>
      </c>
      <c r="K16" s="58" t="s">
        <v>101</v>
      </c>
      <c r="L16" s="259" t="s">
        <v>852</v>
      </c>
      <c r="M16" s="58"/>
      <c r="N16" s="182"/>
      <c r="O16" s="182"/>
      <c r="P16" s="58"/>
      <c r="Q16" s="58"/>
    </row>
    <row r="17" spans="1:17">
      <c r="A17" s="182">
        <v>13</v>
      </c>
      <c r="B17" s="59">
        <v>46211</v>
      </c>
      <c r="C17" s="58" t="str">
        <f t="shared" si="0"/>
        <v>Wednesday</v>
      </c>
      <c r="D17" s="182" t="s">
        <v>638</v>
      </c>
      <c r="E17" s="58" t="str">
        <f t="shared" si="1"/>
        <v>July</v>
      </c>
      <c r="F17" s="58">
        <v>2026</v>
      </c>
      <c r="G17" s="182">
        <v>2.5</v>
      </c>
      <c r="H17" s="58" t="s">
        <v>132</v>
      </c>
      <c r="I17" s="142" t="s">
        <v>183</v>
      </c>
      <c r="J17" s="58" t="s">
        <v>623</v>
      </c>
      <c r="K17" s="58" t="s">
        <v>101</v>
      </c>
      <c r="L17" s="258" t="s">
        <v>859</v>
      </c>
      <c r="M17" s="58"/>
      <c r="N17" s="182">
        <v>2.5</v>
      </c>
      <c r="O17" s="182" t="s">
        <v>164</v>
      </c>
      <c r="P17" s="58"/>
      <c r="Q17" s="58"/>
    </row>
    <row r="18" spans="1:17">
      <c r="A18" s="182">
        <v>14</v>
      </c>
      <c r="B18" s="59">
        <v>46216</v>
      </c>
      <c r="C18" s="58" t="str">
        <f t="shared" si="0"/>
        <v>Monday</v>
      </c>
      <c r="D18" s="182" t="s">
        <v>638</v>
      </c>
      <c r="E18" s="58" t="str">
        <f t="shared" si="1"/>
        <v>July</v>
      </c>
      <c r="F18" s="58">
        <v>2026</v>
      </c>
      <c r="G18" s="182">
        <v>2.5</v>
      </c>
      <c r="H18" s="58" t="s">
        <v>132</v>
      </c>
      <c r="I18" s="142" t="s">
        <v>183</v>
      </c>
      <c r="J18" s="58" t="s">
        <v>623</v>
      </c>
      <c r="K18" s="58" t="s">
        <v>101</v>
      </c>
      <c r="L18" s="258" t="s">
        <v>866</v>
      </c>
      <c r="M18" s="58"/>
      <c r="N18" s="182">
        <v>2.5</v>
      </c>
      <c r="O18" s="182" t="s">
        <v>164</v>
      </c>
      <c r="P18" s="58"/>
      <c r="Q18" s="58"/>
    </row>
    <row r="19" spans="1:17">
      <c r="A19" s="182">
        <v>15</v>
      </c>
      <c r="B19" s="59">
        <v>46218</v>
      </c>
      <c r="C19" s="58" t="str">
        <f t="shared" si="0"/>
        <v>Wednesday</v>
      </c>
      <c r="D19" s="182" t="s">
        <v>638</v>
      </c>
      <c r="E19" s="58" t="str">
        <f t="shared" si="1"/>
        <v>July</v>
      </c>
      <c r="F19" s="58">
        <v>2026</v>
      </c>
      <c r="G19" s="182">
        <v>2.5</v>
      </c>
      <c r="H19" s="58" t="s">
        <v>132</v>
      </c>
      <c r="I19" s="142" t="s">
        <v>183</v>
      </c>
      <c r="J19" s="58" t="s">
        <v>623</v>
      </c>
      <c r="K19" s="58" t="s">
        <v>101</v>
      </c>
      <c r="L19" s="258" t="s">
        <v>866</v>
      </c>
      <c r="M19" s="58"/>
      <c r="N19" s="182">
        <v>2.5</v>
      </c>
      <c r="O19" s="182" t="s">
        <v>164</v>
      </c>
      <c r="P19" s="58"/>
      <c r="Q19" s="58"/>
    </row>
    <row r="20" spans="1:17">
      <c r="A20" s="182">
        <v>16</v>
      </c>
      <c r="B20" s="59">
        <v>46223</v>
      </c>
      <c r="C20" s="58" t="str">
        <f t="shared" si="0"/>
        <v>Monday</v>
      </c>
      <c r="D20" s="182" t="s">
        <v>638</v>
      </c>
      <c r="E20" s="58" t="str">
        <f t="shared" si="1"/>
        <v>July</v>
      </c>
      <c r="F20" s="58">
        <v>2026</v>
      </c>
      <c r="G20" s="182">
        <v>2.5</v>
      </c>
      <c r="H20" s="58" t="s">
        <v>132</v>
      </c>
      <c r="I20" s="142" t="s">
        <v>183</v>
      </c>
      <c r="J20" s="58" t="s">
        <v>623</v>
      </c>
      <c r="K20" s="58" t="s">
        <v>101</v>
      </c>
      <c r="L20" s="258" t="s">
        <v>883</v>
      </c>
      <c r="M20" s="58"/>
      <c r="N20" s="182">
        <v>2.5</v>
      </c>
      <c r="O20" s="182" t="s">
        <v>164</v>
      </c>
      <c r="P20" s="58"/>
      <c r="Q20" s="58"/>
    </row>
    <row r="21" spans="1:17">
      <c r="A21" s="182">
        <v>17</v>
      </c>
      <c r="B21" s="59">
        <v>46225</v>
      </c>
      <c r="C21" s="58" t="str">
        <f t="shared" si="0"/>
        <v>Wednesday</v>
      </c>
      <c r="D21" s="182" t="s">
        <v>638</v>
      </c>
      <c r="E21" s="58" t="str">
        <f t="shared" si="1"/>
        <v>July</v>
      </c>
      <c r="F21" s="58">
        <v>2026</v>
      </c>
      <c r="G21" s="182">
        <v>2.5</v>
      </c>
      <c r="H21" s="58" t="s">
        <v>132</v>
      </c>
      <c r="I21" s="142" t="s">
        <v>183</v>
      </c>
      <c r="J21" s="58" t="s">
        <v>623</v>
      </c>
      <c r="K21" s="58" t="s">
        <v>101</v>
      </c>
      <c r="L21" s="258" t="s">
        <v>891</v>
      </c>
      <c r="M21" s="58"/>
      <c r="N21" s="182">
        <v>2.5</v>
      </c>
      <c r="O21" s="182" t="s">
        <v>164</v>
      </c>
      <c r="P21" s="58"/>
      <c r="Q21" s="58"/>
    </row>
    <row r="22" spans="1:17">
      <c r="A22" s="182">
        <v>18</v>
      </c>
      <c r="B22" s="59">
        <v>46230</v>
      </c>
      <c r="C22" s="58" t="str">
        <f t="shared" si="0"/>
        <v>Monday</v>
      </c>
      <c r="D22" s="182" t="s">
        <v>638</v>
      </c>
      <c r="E22" s="58" t="str">
        <f t="shared" si="1"/>
        <v>July</v>
      </c>
      <c r="F22" s="58">
        <v>2026</v>
      </c>
      <c r="G22" s="182">
        <v>2.5</v>
      </c>
      <c r="H22" s="58" t="s">
        <v>132</v>
      </c>
      <c r="I22" s="142" t="s">
        <v>183</v>
      </c>
      <c r="J22" s="58" t="s">
        <v>623</v>
      </c>
      <c r="K22" s="58" t="s">
        <v>101</v>
      </c>
      <c r="L22" s="258" t="s">
        <v>891</v>
      </c>
      <c r="M22" s="58"/>
      <c r="N22" s="182">
        <v>2.5</v>
      </c>
      <c r="O22" s="182" t="s">
        <v>164</v>
      </c>
      <c r="P22" s="58"/>
      <c r="Q22" s="58"/>
    </row>
    <row r="23" spans="1:17">
      <c r="A23" s="182">
        <v>19</v>
      </c>
      <c r="B23" s="59">
        <v>46232</v>
      </c>
      <c r="C23" s="58" t="str">
        <f t="shared" si="0"/>
        <v>Wednesday</v>
      </c>
      <c r="D23" s="182" t="s">
        <v>638</v>
      </c>
      <c r="E23" s="58" t="str">
        <f t="shared" si="1"/>
        <v>July</v>
      </c>
      <c r="F23" s="58">
        <v>2026</v>
      </c>
      <c r="G23" s="182">
        <v>2.5</v>
      </c>
      <c r="H23" s="58" t="s">
        <v>132</v>
      </c>
      <c r="I23" s="142" t="s">
        <v>183</v>
      </c>
      <c r="J23" s="58" t="s">
        <v>623</v>
      </c>
      <c r="K23" s="58" t="s">
        <v>101</v>
      </c>
      <c r="L23" s="258" t="s">
        <v>903</v>
      </c>
      <c r="M23" s="58"/>
      <c r="N23" s="182">
        <v>2.5</v>
      </c>
      <c r="O23" s="182" t="s">
        <v>164</v>
      </c>
      <c r="P23" s="58"/>
      <c r="Q23" s="58"/>
    </row>
    <row r="24" spans="1:17">
      <c r="A24" s="182">
        <v>20</v>
      </c>
      <c r="B24" s="59">
        <v>46237</v>
      </c>
      <c r="C24" s="58" t="str">
        <f t="shared" si="0"/>
        <v>Monday</v>
      </c>
      <c r="D24" s="182" t="s">
        <v>638</v>
      </c>
      <c r="E24" s="58" t="str">
        <f t="shared" si="1"/>
        <v>August</v>
      </c>
      <c r="F24" s="58">
        <v>2026</v>
      </c>
      <c r="G24" s="182">
        <v>2.5</v>
      </c>
      <c r="H24" s="58" t="s">
        <v>132</v>
      </c>
      <c r="I24" s="142" t="s">
        <v>183</v>
      </c>
      <c r="J24" s="58" t="s">
        <v>623</v>
      </c>
      <c r="K24" s="58" t="s">
        <v>101</v>
      </c>
      <c r="L24" s="258" t="s">
        <v>907</v>
      </c>
      <c r="M24" s="58"/>
      <c r="N24" s="182">
        <v>2.5</v>
      </c>
      <c r="O24" s="182" t="s">
        <v>164</v>
      </c>
      <c r="P24" s="58"/>
      <c r="Q24" s="58"/>
    </row>
    <row r="25" spans="1:17" ht="30.75">
      <c r="A25" s="182">
        <v>21</v>
      </c>
      <c r="B25" s="59">
        <v>46239</v>
      </c>
      <c r="C25" s="58" t="str">
        <f t="shared" si="0"/>
        <v>Wednesday</v>
      </c>
      <c r="D25" s="182" t="s">
        <v>638</v>
      </c>
      <c r="E25" s="58" t="str">
        <f t="shared" si="1"/>
        <v>August</v>
      </c>
      <c r="F25" s="58">
        <v>2026</v>
      </c>
      <c r="G25" s="182">
        <v>2.5</v>
      </c>
      <c r="H25" s="58" t="s">
        <v>132</v>
      </c>
      <c r="I25" s="142" t="s">
        <v>183</v>
      </c>
      <c r="J25" s="58" t="s">
        <v>623</v>
      </c>
      <c r="K25" s="58" t="s">
        <v>101</v>
      </c>
      <c r="L25" s="258" t="s">
        <v>915</v>
      </c>
      <c r="M25" s="58"/>
      <c r="N25" s="182">
        <v>2.5</v>
      </c>
      <c r="O25" s="182" t="s">
        <v>164</v>
      </c>
      <c r="P25" s="58"/>
      <c r="Q25" s="58"/>
    </row>
    <row r="26" spans="1:17">
      <c r="A26" s="182"/>
      <c r="B26" s="59">
        <v>46241</v>
      </c>
      <c r="C26" s="58" t="str">
        <f t="shared" si="0"/>
        <v>Friday</v>
      </c>
      <c r="D26" s="182"/>
      <c r="E26" s="58" t="str">
        <f t="shared" si="1"/>
        <v>August</v>
      </c>
      <c r="F26" s="58">
        <v>2026</v>
      </c>
      <c r="G26" s="182"/>
      <c r="H26" s="58" t="s">
        <v>132</v>
      </c>
      <c r="I26" s="142" t="s">
        <v>183</v>
      </c>
      <c r="J26" s="58" t="s">
        <v>623</v>
      </c>
      <c r="K26" s="58" t="s">
        <v>101</v>
      </c>
      <c r="L26" s="260" t="s">
        <v>818</v>
      </c>
      <c r="M26" s="58"/>
      <c r="N26" s="182"/>
      <c r="O26" s="182" t="s">
        <v>819</v>
      </c>
      <c r="P26" s="58"/>
      <c r="Q26" s="58"/>
    </row>
    <row r="27" spans="1:17" ht="30.75">
      <c r="A27" s="182">
        <v>22</v>
      </c>
      <c r="B27" s="59">
        <v>46244</v>
      </c>
      <c r="C27" s="58" t="str">
        <f t="shared" si="0"/>
        <v>Monday</v>
      </c>
      <c r="D27" s="182" t="s">
        <v>638</v>
      </c>
      <c r="E27" s="58" t="str">
        <f t="shared" si="1"/>
        <v>August</v>
      </c>
      <c r="F27" s="58">
        <v>2026</v>
      </c>
      <c r="G27" s="182">
        <v>2.5</v>
      </c>
      <c r="H27" s="58" t="s">
        <v>132</v>
      </c>
      <c r="I27" s="142" t="s">
        <v>183</v>
      </c>
      <c r="J27" s="58" t="s">
        <v>623</v>
      </c>
      <c r="K27" s="58" t="s">
        <v>101</v>
      </c>
      <c r="L27" s="258" t="s">
        <v>915</v>
      </c>
      <c r="M27" s="58"/>
      <c r="N27" s="182">
        <v>2.5</v>
      </c>
      <c r="O27" s="182" t="s">
        <v>164</v>
      </c>
      <c r="P27" s="58"/>
      <c r="Q27" s="58"/>
    </row>
    <row r="28" spans="1:17" ht="30.75">
      <c r="A28" s="182">
        <v>23</v>
      </c>
      <c r="B28" s="59">
        <v>46251</v>
      </c>
      <c r="C28" s="58" t="str">
        <f t="shared" si="0"/>
        <v>Monday</v>
      </c>
      <c r="D28" s="182" t="s">
        <v>638</v>
      </c>
      <c r="E28" s="58" t="str">
        <f t="shared" si="1"/>
        <v>August</v>
      </c>
      <c r="F28" s="58">
        <v>2026</v>
      </c>
      <c r="G28" s="182">
        <v>2.5</v>
      </c>
      <c r="H28" s="58" t="s">
        <v>132</v>
      </c>
      <c r="I28" s="142" t="s">
        <v>183</v>
      </c>
      <c r="J28" s="58" t="s">
        <v>623</v>
      </c>
      <c r="K28" s="58" t="s">
        <v>101</v>
      </c>
      <c r="L28" s="258" t="s">
        <v>915</v>
      </c>
      <c r="M28" s="58"/>
      <c r="N28" s="182">
        <v>2.5</v>
      </c>
      <c r="O28" s="182" t="s">
        <v>164</v>
      </c>
      <c r="P28" s="58"/>
      <c r="Q28" s="58"/>
    </row>
    <row r="29" spans="1:17">
      <c r="A29" s="182">
        <v>24</v>
      </c>
      <c r="B29" s="59">
        <v>46253</v>
      </c>
      <c r="C29" s="58" t="str">
        <f t="shared" ref="C29:C32" si="2">TEXT(B29,"dddd")</f>
        <v>Wednesday</v>
      </c>
      <c r="D29" s="182" t="s">
        <v>638</v>
      </c>
      <c r="E29" s="58" t="str">
        <f t="shared" ref="E29:E32" si="3">TEXT(B29,"mmmm")</f>
        <v>August</v>
      </c>
      <c r="F29" s="58">
        <v>2026</v>
      </c>
      <c r="G29" s="182">
        <v>2.5</v>
      </c>
      <c r="H29" s="58" t="s">
        <v>132</v>
      </c>
      <c r="I29" s="142" t="s">
        <v>183</v>
      </c>
      <c r="J29" s="58" t="s">
        <v>623</v>
      </c>
      <c r="K29" s="58" t="s">
        <v>101</v>
      </c>
      <c r="L29" s="258" t="s">
        <v>930</v>
      </c>
      <c r="M29" s="58"/>
      <c r="N29" s="182">
        <v>2.5</v>
      </c>
      <c r="O29" s="182"/>
      <c r="P29" s="58"/>
      <c r="Q29" s="58"/>
    </row>
    <row r="30" spans="1:17">
      <c r="A30" s="182">
        <v>25</v>
      </c>
      <c r="B30" s="59">
        <v>46258</v>
      </c>
      <c r="C30" s="58" t="str">
        <f t="shared" si="2"/>
        <v>Monday</v>
      </c>
      <c r="D30" s="182" t="s">
        <v>638</v>
      </c>
      <c r="E30" s="58" t="str">
        <f t="shared" si="3"/>
        <v>August</v>
      </c>
      <c r="F30" s="58">
        <v>2026</v>
      </c>
      <c r="G30" s="182">
        <v>2.5</v>
      </c>
      <c r="H30" s="58" t="s">
        <v>132</v>
      </c>
      <c r="I30" s="142" t="s">
        <v>183</v>
      </c>
      <c r="J30" s="58" t="s">
        <v>623</v>
      </c>
      <c r="K30" s="58" t="s">
        <v>101</v>
      </c>
      <c r="L30" s="259" t="s">
        <v>934</v>
      </c>
      <c r="M30" s="58"/>
      <c r="N30" s="182">
        <v>2.5</v>
      </c>
      <c r="O30" s="182"/>
      <c r="P30" s="58"/>
      <c r="Q30" s="58"/>
    </row>
    <row r="31" spans="1:17">
      <c r="A31" s="182">
        <v>26</v>
      </c>
      <c r="B31" s="59">
        <v>46267</v>
      </c>
      <c r="C31" s="58" t="str">
        <f t="shared" si="2"/>
        <v>Wednesday</v>
      </c>
      <c r="D31" s="182" t="s">
        <v>638</v>
      </c>
      <c r="E31" s="58" t="str">
        <f t="shared" si="3"/>
        <v>September</v>
      </c>
      <c r="F31" s="58">
        <v>2026</v>
      </c>
      <c r="G31" s="182">
        <v>2.5</v>
      </c>
      <c r="H31" s="58" t="s">
        <v>132</v>
      </c>
      <c r="I31" s="142" t="s">
        <v>183</v>
      </c>
      <c r="J31" s="58" t="s">
        <v>623</v>
      </c>
      <c r="K31" s="58" t="s">
        <v>101</v>
      </c>
      <c r="L31" s="259" t="s">
        <v>940</v>
      </c>
      <c r="M31" s="58"/>
      <c r="N31" s="182">
        <v>2.5</v>
      </c>
      <c r="O31" s="182"/>
      <c r="P31" s="58"/>
      <c r="Q31" s="58"/>
    </row>
    <row r="32" spans="1:17">
      <c r="A32" s="182"/>
      <c r="B32" s="59">
        <v>46274</v>
      </c>
      <c r="C32" s="58" t="str">
        <f t="shared" si="2"/>
        <v>Wednesday</v>
      </c>
      <c r="D32" s="182" t="s">
        <v>638</v>
      </c>
      <c r="E32" s="58" t="str">
        <f t="shared" si="3"/>
        <v>September</v>
      </c>
      <c r="F32" s="58">
        <v>2026</v>
      </c>
      <c r="G32" s="182">
        <v>2.5</v>
      </c>
      <c r="H32" s="58" t="s">
        <v>132</v>
      </c>
      <c r="I32" s="142" t="s">
        <v>183</v>
      </c>
      <c r="J32" s="58" t="s">
        <v>623</v>
      </c>
      <c r="K32" s="58" t="s">
        <v>101</v>
      </c>
      <c r="L32" s="259" t="s">
        <v>943</v>
      </c>
      <c r="M32" s="58"/>
      <c r="N32" s="182">
        <v>2.5</v>
      </c>
      <c r="O32" s="182"/>
      <c r="P32" s="58"/>
      <c r="Q32" s="58"/>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4108-698C-4F30-AF54-DC3BDA538303}">
  <dimension ref="A1:Q20"/>
  <sheetViews>
    <sheetView workbookViewId="0">
      <selection activeCell="B19" sqref="B19"/>
    </sheetView>
  </sheetViews>
  <sheetFormatPr defaultRowHeight="15"/>
  <cols>
    <col min="1" max="1" width="9.140625" style="3"/>
    <col min="2" max="2" width="19.42578125" style="3" customWidth="1"/>
    <col min="3" max="3" width="13.42578125" style="3" customWidth="1"/>
    <col min="4" max="4" width="23.5703125" style="3" customWidth="1"/>
    <col min="5" max="5" width="10.42578125" style="3" bestFit="1" customWidth="1"/>
    <col min="6" max="6" width="9.140625" style="3"/>
    <col min="7" max="7" width="18.42578125" style="3" bestFit="1" customWidth="1"/>
    <col min="8" max="8" width="9.42578125" style="3" bestFit="1" customWidth="1"/>
    <col min="9" max="9" width="20.140625" style="3" customWidth="1"/>
    <col min="10" max="10" width="26.28515625" style="3" bestFit="1" customWidth="1"/>
    <col min="11" max="11" width="9.42578125" style="3" bestFit="1" customWidth="1"/>
    <col min="12" max="12" width="68.140625" style="3" customWidth="1"/>
    <col min="13" max="13" width="30.140625" style="3" customWidth="1"/>
    <col min="14" max="14" width="25.42578125" style="3" customWidth="1"/>
    <col min="15" max="15" width="25.28515625" style="3" customWidth="1"/>
    <col min="16" max="16" width="13" style="3" customWidth="1"/>
    <col min="17" max="17" width="17.7109375" style="3" customWidth="1"/>
    <col min="18" max="16384" width="9.140625" style="3"/>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39">
        <v>0</v>
      </c>
      <c r="B2" s="59">
        <v>46099</v>
      </c>
      <c r="C2" s="58" t="str">
        <f>TEXT(B2,"dddd")</f>
        <v>Wednesday</v>
      </c>
      <c r="D2" s="58" t="s">
        <v>493</v>
      </c>
      <c r="E2" s="58" t="str">
        <f>TEXT(B2,"mmmm")</f>
        <v>March</v>
      </c>
      <c r="F2" s="58">
        <v>2026</v>
      </c>
      <c r="G2" s="58">
        <v>1</v>
      </c>
      <c r="H2" s="58" t="s">
        <v>57</v>
      </c>
      <c r="I2" s="140" t="s">
        <v>89</v>
      </c>
      <c r="J2" s="58" t="s">
        <v>311</v>
      </c>
      <c r="K2" s="58" t="s">
        <v>90</v>
      </c>
      <c r="L2" s="141" t="s">
        <v>494</v>
      </c>
      <c r="M2" s="58"/>
      <c r="N2" s="58">
        <v>1</v>
      </c>
      <c r="O2" s="4" t="s">
        <v>93</v>
      </c>
      <c r="P2" s="58"/>
      <c r="Q2" s="58"/>
    </row>
    <row r="3" spans="1:17">
      <c r="A3" s="139">
        <v>1</v>
      </c>
      <c r="B3" s="59">
        <v>46104</v>
      </c>
      <c r="C3" s="58" t="str">
        <f t="shared" ref="C3:C20" si="0">TEXT(B3,"dddd")</f>
        <v>Monday</v>
      </c>
      <c r="D3" s="58"/>
      <c r="E3" s="58" t="str">
        <f t="shared" ref="E3:E20" si="1">TEXT(B3,"mmmm")</f>
        <v>March</v>
      </c>
      <c r="F3" s="58">
        <v>2026</v>
      </c>
      <c r="G3" s="58">
        <v>3</v>
      </c>
      <c r="H3" s="58" t="s">
        <v>57</v>
      </c>
      <c r="I3" s="140" t="s">
        <v>89</v>
      </c>
      <c r="J3" s="58" t="s">
        <v>311</v>
      </c>
      <c r="K3" s="58" t="s">
        <v>90</v>
      </c>
      <c r="L3" s="142" t="s">
        <v>508</v>
      </c>
      <c r="M3" s="58"/>
      <c r="N3" s="58">
        <v>3</v>
      </c>
      <c r="O3" s="4" t="s">
        <v>91</v>
      </c>
      <c r="P3" s="58"/>
      <c r="Q3" s="58"/>
    </row>
    <row r="4" spans="1:17">
      <c r="A4" s="139">
        <v>2</v>
      </c>
      <c r="B4" s="59">
        <v>46106</v>
      </c>
      <c r="C4" s="58" t="str">
        <f t="shared" si="0"/>
        <v>Wednesday</v>
      </c>
      <c r="D4" s="58" t="s">
        <v>520</v>
      </c>
      <c r="E4" s="58" t="str">
        <f t="shared" si="1"/>
        <v>March</v>
      </c>
      <c r="F4" s="58">
        <v>2026</v>
      </c>
      <c r="G4" s="58">
        <v>3</v>
      </c>
      <c r="H4" s="58" t="s">
        <v>57</v>
      </c>
      <c r="I4" s="140" t="s">
        <v>89</v>
      </c>
      <c r="J4" s="58" t="s">
        <v>311</v>
      </c>
      <c r="K4" s="58" t="s">
        <v>90</v>
      </c>
      <c r="L4" s="142" t="s">
        <v>521</v>
      </c>
      <c r="M4" s="58"/>
      <c r="N4" s="58">
        <v>3</v>
      </c>
      <c r="O4" s="4" t="s">
        <v>91</v>
      </c>
      <c r="P4" s="58"/>
      <c r="Q4" s="58"/>
    </row>
    <row r="5" spans="1:17">
      <c r="A5" s="139">
        <v>3</v>
      </c>
      <c r="B5" s="59">
        <v>46111</v>
      </c>
      <c r="C5" s="58" t="str">
        <f t="shared" si="0"/>
        <v>Monday</v>
      </c>
      <c r="D5" s="58" t="s">
        <v>520</v>
      </c>
      <c r="E5" s="58" t="str">
        <f t="shared" si="1"/>
        <v>March</v>
      </c>
      <c r="F5" s="58">
        <v>2026</v>
      </c>
      <c r="G5" s="58">
        <v>3</v>
      </c>
      <c r="H5" s="58" t="s">
        <v>57</v>
      </c>
      <c r="I5" s="140" t="s">
        <v>89</v>
      </c>
      <c r="J5" s="58" t="s">
        <v>311</v>
      </c>
      <c r="K5" s="58" t="s">
        <v>90</v>
      </c>
      <c r="L5" s="142" t="s">
        <v>539</v>
      </c>
      <c r="M5" s="58"/>
      <c r="N5" s="58">
        <v>3</v>
      </c>
      <c r="O5" s="4" t="s">
        <v>91</v>
      </c>
      <c r="P5" s="58"/>
      <c r="Q5" s="58"/>
    </row>
    <row r="6" spans="1:17">
      <c r="A6" s="139">
        <v>4</v>
      </c>
      <c r="B6" s="59">
        <v>46113</v>
      </c>
      <c r="C6" s="58" t="str">
        <f t="shared" si="0"/>
        <v>Wednesday</v>
      </c>
      <c r="D6" s="58" t="s">
        <v>520</v>
      </c>
      <c r="E6" s="58" t="str">
        <f t="shared" si="1"/>
        <v>April</v>
      </c>
      <c r="F6" s="58">
        <v>2026</v>
      </c>
      <c r="G6" s="58">
        <v>3</v>
      </c>
      <c r="H6" s="58" t="s">
        <v>57</v>
      </c>
      <c r="I6" s="140" t="s">
        <v>89</v>
      </c>
      <c r="J6" s="58" t="s">
        <v>311</v>
      </c>
      <c r="K6" s="58" t="s">
        <v>90</v>
      </c>
      <c r="L6" s="142" t="s">
        <v>550</v>
      </c>
      <c r="M6" s="58"/>
      <c r="N6" s="58">
        <v>3</v>
      </c>
      <c r="O6" s="4" t="s">
        <v>91</v>
      </c>
      <c r="P6" s="58"/>
      <c r="Q6" s="58"/>
    </row>
    <row r="7" spans="1:17">
      <c r="A7" s="139">
        <v>5</v>
      </c>
      <c r="B7" s="59">
        <v>46118</v>
      </c>
      <c r="C7" s="58" t="str">
        <f t="shared" si="0"/>
        <v>Monday</v>
      </c>
      <c r="D7" s="58" t="s">
        <v>520</v>
      </c>
      <c r="E7" s="58" t="str">
        <f t="shared" si="1"/>
        <v>April</v>
      </c>
      <c r="F7" s="58">
        <v>2026</v>
      </c>
      <c r="G7" s="58">
        <v>3</v>
      </c>
      <c r="H7" s="58" t="s">
        <v>57</v>
      </c>
      <c r="I7" s="140" t="s">
        <v>89</v>
      </c>
      <c r="J7" s="58" t="s">
        <v>311</v>
      </c>
      <c r="K7" s="58" t="s">
        <v>90</v>
      </c>
      <c r="L7" s="142" t="s">
        <v>563</v>
      </c>
      <c r="M7" s="58"/>
      <c r="N7" s="58">
        <v>3</v>
      </c>
      <c r="O7" s="4" t="s">
        <v>91</v>
      </c>
      <c r="P7" s="58"/>
      <c r="Q7" s="58"/>
    </row>
    <row r="8" spans="1:17">
      <c r="A8" s="139">
        <v>6</v>
      </c>
      <c r="B8" s="59">
        <v>46120</v>
      </c>
      <c r="C8" s="58" t="str">
        <f t="shared" si="0"/>
        <v>Wednesday</v>
      </c>
      <c r="D8" s="58" t="s">
        <v>520</v>
      </c>
      <c r="E8" s="58" t="str">
        <f t="shared" si="1"/>
        <v>April</v>
      </c>
      <c r="F8" s="58">
        <v>2026</v>
      </c>
      <c r="G8" s="58">
        <v>3</v>
      </c>
      <c r="H8" s="58" t="s">
        <v>57</v>
      </c>
      <c r="I8" s="140" t="s">
        <v>89</v>
      </c>
      <c r="J8" s="58" t="s">
        <v>311</v>
      </c>
      <c r="K8" s="58" t="s">
        <v>90</v>
      </c>
      <c r="L8" s="142" t="s">
        <v>573</v>
      </c>
      <c r="M8" s="58"/>
      <c r="N8" s="58">
        <v>3</v>
      </c>
      <c r="O8" s="4" t="s">
        <v>91</v>
      </c>
      <c r="P8" s="58"/>
      <c r="Q8" s="58"/>
    </row>
    <row r="9" spans="1:17">
      <c r="A9" s="139">
        <v>7</v>
      </c>
      <c r="B9" s="59">
        <v>46125</v>
      </c>
      <c r="C9" s="58" t="str">
        <f t="shared" si="0"/>
        <v>Monday</v>
      </c>
      <c r="D9" s="58" t="s">
        <v>520</v>
      </c>
      <c r="E9" s="58" t="str">
        <f t="shared" si="1"/>
        <v>April</v>
      </c>
      <c r="F9" s="58">
        <v>2026</v>
      </c>
      <c r="G9" s="58">
        <v>3</v>
      </c>
      <c r="H9" s="58" t="s">
        <v>57</v>
      </c>
      <c r="I9" s="140" t="s">
        <v>89</v>
      </c>
      <c r="J9" s="58" t="s">
        <v>311</v>
      </c>
      <c r="K9" s="58" t="s">
        <v>90</v>
      </c>
      <c r="L9" s="142" t="s">
        <v>590</v>
      </c>
      <c r="M9" s="58"/>
      <c r="N9" s="58">
        <v>3</v>
      </c>
      <c r="O9" s="4" t="s">
        <v>91</v>
      </c>
      <c r="P9" s="58"/>
      <c r="Q9" s="58"/>
    </row>
    <row r="10" spans="1:17">
      <c r="A10" s="139">
        <v>8</v>
      </c>
      <c r="B10" s="59">
        <v>46128</v>
      </c>
      <c r="C10" s="58" t="str">
        <f t="shared" si="0"/>
        <v>Thursday</v>
      </c>
      <c r="D10" s="58" t="s">
        <v>520</v>
      </c>
      <c r="E10" s="58" t="str">
        <f t="shared" si="1"/>
        <v>April</v>
      </c>
      <c r="F10" s="58">
        <v>2026</v>
      </c>
      <c r="G10" s="58">
        <v>3</v>
      </c>
      <c r="H10" s="58" t="s">
        <v>57</v>
      </c>
      <c r="I10" s="140" t="s">
        <v>89</v>
      </c>
      <c r="J10" s="58" t="s">
        <v>311</v>
      </c>
      <c r="K10" s="58" t="s">
        <v>90</v>
      </c>
      <c r="L10" s="142" t="s">
        <v>602</v>
      </c>
      <c r="M10" s="58"/>
      <c r="N10" s="58">
        <v>3</v>
      </c>
      <c r="O10" s="4" t="s">
        <v>91</v>
      </c>
      <c r="P10" s="58"/>
      <c r="Q10" s="58"/>
    </row>
    <row r="11" spans="1:17">
      <c r="A11" s="139">
        <v>9</v>
      </c>
      <c r="B11" s="59">
        <v>46132</v>
      </c>
      <c r="C11" s="58" t="str">
        <f t="shared" si="0"/>
        <v>Monday</v>
      </c>
      <c r="D11" s="58" t="s">
        <v>520</v>
      </c>
      <c r="E11" s="58" t="str">
        <f t="shared" si="1"/>
        <v>April</v>
      </c>
      <c r="F11" s="58">
        <v>2026</v>
      </c>
      <c r="G11" s="58">
        <v>3</v>
      </c>
      <c r="H11" s="58" t="s">
        <v>57</v>
      </c>
      <c r="I11" s="140" t="s">
        <v>89</v>
      </c>
      <c r="J11" s="58" t="s">
        <v>311</v>
      </c>
      <c r="K11" s="58" t="s">
        <v>90</v>
      </c>
      <c r="L11" s="142" t="s">
        <v>613</v>
      </c>
      <c r="M11" s="58"/>
      <c r="N11" s="58">
        <v>3</v>
      </c>
      <c r="O11" s="4" t="s">
        <v>91</v>
      </c>
      <c r="P11" s="58"/>
      <c r="Q11" s="58"/>
    </row>
    <row r="12" spans="1:17">
      <c r="A12" s="139">
        <v>10</v>
      </c>
      <c r="B12" s="59">
        <v>46134</v>
      </c>
      <c r="C12" s="58" t="str">
        <f t="shared" si="0"/>
        <v>Wednesday</v>
      </c>
      <c r="D12" s="58" t="s">
        <v>520</v>
      </c>
      <c r="E12" s="58" t="str">
        <f t="shared" si="1"/>
        <v>April</v>
      </c>
      <c r="F12" s="58">
        <v>2026</v>
      </c>
      <c r="G12" s="58">
        <v>3</v>
      </c>
      <c r="H12" s="58" t="s">
        <v>57</v>
      </c>
      <c r="I12" s="140" t="s">
        <v>89</v>
      </c>
      <c r="J12" s="58" t="s">
        <v>311</v>
      </c>
      <c r="K12" s="58" t="s">
        <v>90</v>
      </c>
      <c r="L12" s="142" t="s">
        <v>624</v>
      </c>
      <c r="M12" s="58"/>
      <c r="N12" s="58">
        <v>3</v>
      </c>
      <c r="O12" s="4" t="s">
        <v>91</v>
      </c>
      <c r="P12" s="58"/>
      <c r="Q12" s="58"/>
    </row>
    <row r="13" spans="1:17">
      <c r="A13" s="139">
        <v>11</v>
      </c>
      <c r="B13" s="59">
        <v>46139</v>
      </c>
      <c r="C13" s="58" t="str">
        <f t="shared" si="0"/>
        <v>Monday</v>
      </c>
      <c r="D13" s="58" t="s">
        <v>520</v>
      </c>
      <c r="E13" s="58" t="str">
        <f t="shared" si="1"/>
        <v>April</v>
      </c>
      <c r="F13" s="58">
        <v>2026</v>
      </c>
      <c r="G13" s="58">
        <v>3</v>
      </c>
      <c r="H13" s="58" t="s">
        <v>57</v>
      </c>
      <c r="I13" s="140" t="s">
        <v>89</v>
      </c>
      <c r="J13" s="58" t="s">
        <v>311</v>
      </c>
      <c r="K13" s="58" t="s">
        <v>90</v>
      </c>
      <c r="L13" s="142" t="s">
        <v>640</v>
      </c>
      <c r="M13" s="58"/>
      <c r="N13" s="58">
        <v>3</v>
      </c>
      <c r="O13" s="4" t="s">
        <v>91</v>
      </c>
      <c r="P13" s="58"/>
      <c r="Q13" s="58"/>
    </row>
    <row r="14" spans="1:17" ht="30.75">
      <c r="A14" s="139">
        <v>12</v>
      </c>
      <c r="B14" s="59">
        <v>46141</v>
      </c>
      <c r="C14" s="58" t="str">
        <f t="shared" si="0"/>
        <v>Wednesday</v>
      </c>
      <c r="D14" s="58" t="s">
        <v>520</v>
      </c>
      <c r="E14" s="58" t="str">
        <f t="shared" si="1"/>
        <v>April</v>
      </c>
      <c r="F14" s="58">
        <v>2026</v>
      </c>
      <c r="G14" s="58">
        <v>3</v>
      </c>
      <c r="H14" s="58" t="s">
        <v>57</v>
      </c>
      <c r="I14" s="140" t="s">
        <v>89</v>
      </c>
      <c r="J14" s="58" t="s">
        <v>311</v>
      </c>
      <c r="K14" s="58" t="s">
        <v>90</v>
      </c>
      <c r="L14" s="142" t="s">
        <v>651</v>
      </c>
      <c r="M14" s="58"/>
      <c r="N14" s="58">
        <v>3</v>
      </c>
      <c r="O14" s="4" t="s">
        <v>91</v>
      </c>
      <c r="P14" s="58"/>
      <c r="Q14" s="58"/>
    </row>
    <row r="15" spans="1:17">
      <c r="A15" s="139">
        <v>13</v>
      </c>
      <c r="B15" s="59">
        <v>46146</v>
      </c>
      <c r="C15" s="58" t="str">
        <f t="shared" si="0"/>
        <v>Monday</v>
      </c>
      <c r="D15" s="58" t="s">
        <v>520</v>
      </c>
      <c r="E15" s="58" t="str">
        <f t="shared" si="1"/>
        <v>May</v>
      </c>
      <c r="F15" s="58">
        <v>2026</v>
      </c>
      <c r="G15" s="58">
        <v>3</v>
      </c>
      <c r="H15" s="58" t="s">
        <v>57</v>
      </c>
      <c r="I15" s="140" t="s">
        <v>89</v>
      </c>
      <c r="J15" s="58" t="s">
        <v>311</v>
      </c>
      <c r="K15" s="58" t="s">
        <v>90</v>
      </c>
      <c r="L15" s="142" t="s">
        <v>657</v>
      </c>
      <c r="M15" s="58"/>
      <c r="N15" s="58">
        <v>3</v>
      </c>
      <c r="O15" s="4" t="s">
        <v>91</v>
      </c>
      <c r="P15" s="58"/>
      <c r="Q15" s="58"/>
    </row>
    <row r="16" spans="1:17" ht="30.75">
      <c r="A16" s="139">
        <v>14</v>
      </c>
      <c r="B16" s="59">
        <v>46148</v>
      </c>
      <c r="C16" s="58" t="str">
        <f t="shared" si="0"/>
        <v>Wednesday</v>
      </c>
      <c r="D16" s="58" t="s">
        <v>520</v>
      </c>
      <c r="E16" s="58" t="str">
        <f t="shared" si="1"/>
        <v>May</v>
      </c>
      <c r="F16" s="58">
        <v>2026</v>
      </c>
      <c r="G16" s="58">
        <v>3</v>
      </c>
      <c r="H16" s="58" t="s">
        <v>57</v>
      </c>
      <c r="I16" s="140" t="s">
        <v>89</v>
      </c>
      <c r="J16" s="58" t="s">
        <v>311</v>
      </c>
      <c r="K16" s="58" t="s">
        <v>90</v>
      </c>
      <c r="L16" s="142" t="s">
        <v>670</v>
      </c>
      <c r="M16" s="58"/>
      <c r="N16" s="58">
        <v>3</v>
      </c>
      <c r="O16" s="4" t="s">
        <v>91</v>
      </c>
      <c r="P16" s="58"/>
      <c r="Q16" s="58"/>
    </row>
    <row r="17" spans="1:17" ht="30.75">
      <c r="A17" s="139">
        <v>15</v>
      </c>
      <c r="B17" s="59">
        <v>46153</v>
      </c>
      <c r="C17" s="58" t="str">
        <f t="shared" si="0"/>
        <v>Monday</v>
      </c>
      <c r="D17" s="58" t="s">
        <v>520</v>
      </c>
      <c r="E17" s="58" t="str">
        <f t="shared" si="1"/>
        <v>May</v>
      </c>
      <c r="F17" s="58">
        <v>2026</v>
      </c>
      <c r="G17" s="58">
        <v>3</v>
      </c>
      <c r="H17" s="58" t="s">
        <v>57</v>
      </c>
      <c r="I17" s="140" t="s">
        <v>89</v>
      </c>
      <c r="J17" s="58" t="s">
        <v>311</v>
      </c>
      <c r="K17" s="58" t="s">
        <v>90</v>
      </c>
      <c r="L17" s="142" t="s">
        <v>684</v>
      </c>
      <c r="M17" s="58"/>
      <c r="N17" s="58">
        <v>3</v>
      </c>
      <c r="O17" s="4" t="s">
        <v>91</v>
      </c>
      <c r="P17" s="58"/>
      <c r="Q17" s="58"/>
    </row>
    <row r="18" spans="1:17" ht="30.75">
      <c r="A18" s="139">
        <v>16</v>
      </c>
      <c r="B18" s="59">
        <v>46155</v>
      </c>
      <c r="C18" s="58" t="str">
        <f t="shared" si="0"/>
        <v>Wednesday</v>
      </c>
      <c r="D18" s="58" t="s">
        <v>520</v>
      </c>
      <c r="E18" s="58" t="str">
        <f t="shared" si="1"/>
        <v>May</v>
      </c>
      <c r="F18" s="58">
        <v>2026</v>
      </c>
      <c r="G18" s="58">
        <v>3</v>
      </c>
      <c r="H18" s="58" t="s">
        <v>57</v>
      </c>
      <c r="I18" s="140" t="s">
        <v>89</v>
      </c>
      <c r="J18" s="58" t="s">
        <v>311</v>
      </c>
      <c r="K18" s="58" t="s">
        <v>90</v>
      </c>
      <c r="L18" s="142" t="s">
        <v>701</v>
      </c>
      <c r="M18" s="58"/>
      <c r="N18" s="58">
        <v>3</v>
      </c>
      <c r="O18" s="4" t="s">
        <v>91</v>
      </c>
      <c r="P18" s="58"/>
      <c r="Q18" s="58"/>
    </row>
    <row r="19" spans="1:17">
      <c r="A19" s="139"/>
      <c r="B19" s="59">
        <v>46160</v>
      </c>
      <c r="C19" s="58" t="str">
        <f t="shared" si="0"/>
        <v>Monday</v>
      </c>
      <c r="D19" s="58" t="s">
        <v>520</v>
      </c>
      <c r="E19" s="58" t="str">
        <f t="shared" si="1"/>
        <v>May</v>
      </c>
      <c r="F19" s="58">
        <v>2026</v>
      </c>
      <c r="G19" s="58">
        <v>3</v>
      </c>
      <c r="H19" s="58" t="s">
        <v>57</v>
      </c>
      <c r="I19" s="140" t="s">
        <v>89</v>
      </c>
      <c r="J19" s="58" t="s">
        <v>311</v>
      </c>
      <c r="K19" s="58" t="s">
        <v>90</v>
      </c>
      <c r="L19" s="144" t="s">
        <v>717</v>
      </c>
      <c r="M19" s="58"/>
      <c r="N19" s="58">
        <v>3</v>
      </c>
      <c r="O19" s="4" t="s">
        <v>91</v>
      </c>
      <c r="P19" s="58"/>
      <c r="Q19" s="58"/>
    </row>
    <row r="20" spans="1:17" ht="30.75">
      <c r="A20" s="139"/>
      <c r="B20" s="59">
        <v>46162</v>
      </c>
      <c r="C20" s="58" t="str">
        <f t="shared" si="0"/>
        <v>Wednesday</v>
      </c>
      <c r="D20" s="58" t="s">
        <v>520</v>
      </c>
      <c r="E20" s="58" t="str">
        <f t="shared" si="1"/>
        <v>May</v>
      </c>
      <c r="F20" s="58">
        <v>2026</v>
      </c>
      <c r="G20" s="58">
        <v>3</v>
      </c>
      <c r="H20" s="58" t="s">
        <v>57</v>
      </c>
      <c r="I20" s="140" t="s">
        <v>89</v>
      </c>
      <c r="J20" s="58" t="s">
        <v>311</v>
      </c>
      <c r="K20" s="58" t="s">
        <v>90</v>
      </c>
      <c r="L20" s="143" t="s">
        <v>731</v>
      </c>
      <c r="M20" s="58"/>
      <c r="N20" s="58">
        <v>3</v>
      </c>
      <c r="O20" s="4" t="s">
        <v>91</v>
      </c>
      <c r="P20" s="58"/>
      <c r="Q20" s="58"/>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1394-8D6F-4EA3-9FA3-66071BD0036E}">
  <dimension ref="A1:Q24"/>
  <sheetViews>
    <sheetView workbookViewId="0">
      <selection activeCell="A15" sqref="A15:XFD15"/>
    </sheetView>
  </sheetViews>
  <sheetFormatPr defaultRowHeight="15"/>
  <cols>
    <col min="1" max="1" width="9.140625" style="3"/>
    <col min="2" max="2" width="19.42578125" style="3" customWidth="1"/>
    <col min="3" max="3" width="13.42578125" style="3" customWidth="1"/>
    <col min="4" max="4" width="23.5703125" style="3" customWidth="1"/>
    <col min="5" max="5" width="10.42578125" style="3" bestFit="1" customWidth="1"/>
    <col min="6" max="6" width="9.140625" style="3"/>
    <col min="7" max="7" width="18.42578125" style="3" bestFit="1" customWidth="1"/>
    <col min="8" max="8" width="9.42578125" style="3" bestFit="1" customWidth="1"/>
    <col min="9" max="9" width="20.140625" style="3" customWidth="1"/>
    <col min="10" max="10" width="26.28515625" style="3" bestFit="1" customWidth="1"/>
    <col min="11" max="11" width="9.42578125" style="3" bestFit="1" customWidth="1"/>
    <col min="12" max="12" width="68.140625" style="3" customWidth="1"/>
    <col min="13" max="13" width="30.140625" style="3" customWidth="1"/>
    <col min="14" max="14" width="25.42578125" style="3" customWidth="1"/>
    <col min="15" max="15" width="25.28515625" style="3" customWidth="1"/>
    <col min="16" max="16" width="13" style="3" customWidth="1"/>
    <col min="17" max="17" width="17.7109375" style="3" customWidth="1"/>
    <col min="18" max="16384" width="9.140625" style="3"/>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139"/>
      <c r="B2" s="59">
        <v>46092</v>
      </c>
      <c r="C2" s="58" t="str">
        <f>TEXT(B2,"dddd")</f>
        <v>Wednesday</v>
      </c>
      <c r="D2" s="58" t="s">
        <v>460</v>
      </c>
      <c r="E2" s="58" t="str">
        <f>TEXT(B2,"mmmm")</f>
        <v>March</v>
      </c>
      <c r="F2" s="58">
        <v>2026</v>
      </c>
      <c r="G2" s="58">
        <v>1</v>
      </c>
      <c r="H2" s="58" t="s">
        <v>461</v>
      </c>
      <c r="I2" s="140" t="s">
        <v>136</v>
      </c>
      <c r="J2" s="58" t="s">
        <v>462</v>
      </c>
      <c r="K2" s="58" t="s">
        <v>101</v>
      </c>
      <c r="L2" s="141" t="s">
        <v>463</v>
      </c>
      <c r="M2" s="58"/>
      <c r="N2" s="58">
        <v>1</v>
      </c>
      <c r="O2" s="4" t="s">
        <v>93</v>
      </c>
      <c r="P2" s="58"/>
      <c r="Q2" s="58"/>
    </row>
    <row r="3" spans="1:17">
      <c r="A3" s="139">
        <v>1</v>
      </c>
      <c r="B3" s="59">
        <v>46097</v>
      </c>
      <c r="C3" s="58" t="str">
        <f t="shared" ref="C3:C24" si="0">TEXT(B3,"dddd")</f>
        <v>Monday</v>
      </c>
      <c r="D3" s="58" t="s">
        <v>477</v>
      </c>
      <c r="E3" s="58" t="str">
        <f t="shared" ref="E3:E24" si="1">TEXT(B3,"mmmm")</f>
        <v>March</v>
      </c>
      <c r="F3" s="58">
        <v>2026</v>
      </c>
      <c r="G3" s="58">
        <v>3</v>
      </c>
      <c r="H3" s="58" t="s">
        <v>461</v>
      </c>
      <c r="I3" s="140" t="s">
        <v>136</v>
      </c>
      <c r="J3" s="58" t="s">
        <v>462</v>
      </c>
      <c r="K3" s="58" t="s">
        <v>101</v>
      </c>
      <c r="L3" s="142" t="s">
        <v>478</v>
      </c>
      <c r="M3" s="58"/>
      <c r="N3" s="58">
        <v>3</v>
      </c>
      <c r="O3" s="4" t="s">
        <v>82</v>
      </c>
      <c r="P3" s="58"/>
      <c r="Q3" s="58"/>
    </row>
    <row r="4" spans="1:17">
      <c r="A4" s="139">
        <v>2</v>
      </c>
      <c r="B4" s="59">
        <v>46099</v>
      </c>
      <c r="C4" s="58" t="str">
        <f t="shared" si="0"/>
        <v>Wednesday</v>
      </c>
      <c r="D4" s="58" t="s">
        <v>477</v>
      </c>
      <c r="E4" s="58" t="str">
        <f t="shared" si="1"/>
        <v>March</v>
      </c>
      <c r="F4" s="58">
        <v>2026</v>
      </c>
      <c r="G4" s="58">
        <v>3</v>
      </c>
      <c r="H4" s="58" t="s">
        <v>461</v>
      </c>
      <c r="I4" s="140" t="s">
        <v>136</v>
      </c>
      <c r="J4" s="58" t="s">
        <v>462</v>
      </c>
      <c r="K4" s="58" t="s">
        <v>101</v>
      </c>
      <c r="L4" s="142" t="s">
        <v>495</v>
      </c>
      <c r="M4" s="58"/>
      <c r="N4" s="58">
        <v>3</v>
      </c>
      <c r="O4" s="4" t="s">
        <v>138</v>
      </c>
      <c r="P4" s="58"/>
      <c r="Q4" s="58"/>
    </row>
    <row r="5" spans="1:17">
      <c r="A5" s="139">
        <v>3</v>
      </c>
      <c r="B5" s="59">
        <v>46104</v>
      </c>
      <c r="C5" s="58" t="str">
        <f t="shared" si="0"/>
        <v>Monday</v>
      </c>
      <c r="D5" s="58" t="s">
        <v>477</v>
      </c>
      <c r="E5" s="58" t="str">
        <f t="shared" si="1"/>
        <v>March</v>
      </c>
      <c r="F5" s="58">
        <v>2026</v>
      </c>
      <c r="G5" s="58">
        <v>3</v>
      </c>
      <c r="H5" s="58" t="s">
        <v>461</v>
      </c>
      <c r="I5" s="140" t="s">
        <v>136</v>
      </c>
      <c r="J5" s="58" t="s">
        <v>462</v>
      </c>
      <c r="K5" s="58" t="s">
        <v>101</v>
      </c>
      <c r="L5" s="142" t="s">
        <v>509</v>
      </c>
      <c r="M5" s="58"/>
      <c r="N5" s="58">
        <v>3</v>
      </c>
      <c r="O5" s="4" t="s">
        <v>138</v>
      </c>
      <c r="P5" s="58"/>
      <c r="Q5" s="58"/>
    </row>
    <row r="6" spans="1:17">
      <c r="A6" s="139">
        <v>4</v>
      </c>
      <c r="B6" s="59">
        <v>46106</v>
      </c>
      <c r="C6" s="58" t="str">
        <f t="shared" si="0"/>
        <v>Wednesday</v>
      </c>
      <c r="D6" s="58" t="s">
        <v>477</v>
      </c>
      <c r="E6" s="58" t="str">
        <f t="shared" si="1"/>
        <v>March</v>
      </c>
      <c r="F6" s="58">
        <v>2026</v>
      </c>
      <c r="G6" s="58">
        <v>3</v>
      </c>
      <c r="H6" s="58" t="s">
        <v>461</v>
      </c>
      <c r="I6" s="140" t="s">
        <v>136</v>
      </c>
      <c r="J6" s="58" t="s">
        <v>462</v>
      </c>
      <c r="K6" s="58" t="s">
        <v>101</v>
      </c>
      <c r="L6" s="142" t="s">
        <v>522</v>
      </c>
      <c r="M6" s="58"/>
      <c r="N6" s="58">
        <v>3</v>
      </c>
      <c r="O6" s="4" t="s">
        <v>82</v>
      </c>
      <c r="P6" s="58"/>
      <c r="Q6" s="58"/>
    </row>
    <row r="7" spans="1:17">
      <c r="A7" s="139">
        <v>5</v>
      </c>
      <c r="B7" s="59">
        <v>46111</v>
      </c>
      <c r="C7" s="58" t="str">
        <f t="shared" si="0"/>
        <v>Monday</v>
      </c>
      <c r="D7" s="58" t="s">
        <v>477</v>
      </c>
      <c r="E7" s="58" t="str">
        <f t="shared" si="1"/>
        <v>March</v>
      </c>
      <c r="F7" s="58">
        <v>2026</v>
      </c>
      <c r="G7" s="58">
        <v>3</v>
      </c>
      <c r="H7" s="58" t="s">
        <v>461</v>
      </c>
      <c r="I7" s="140" t="s">
        <v>136</v>
      </c>
      <c r="J7" s="58" t="s">
        <v>462</v>
      </c>
      <c r="K7" s="58" t="s">
        <v>101</v>
      </c>
      <c r="L7" s="142" t="s">
        <v>540</v>
      </c>
      <c r="M7" s="58"/>
      <c r="N7" s="58">
        <v>3</v>
      </c>
      <c r="O7" s="4" t="s">
        <v>138</v>
      </c>
      <c r="P7" s="58"/>
      <c r="Q7" s="58"/>
    </row>
    <row r="8" spans="1:17">
      <c r="A8" s="139">
        <v>6</v>
      </c>
      <c r="B8" s="59">
        <v>46113</v>
      </c>
      <c r="C8" s="58" t="str">
        <f t="shared" si="0"/>
        <v>Wednesday</v>
      </c>
      <c r="D8" s="58" t="s">
        <v>477</v>
      </c>
      <c r="E8" s="58" t="str">
        <f t="shared" si="1"/>
        <v>April</v>
      </c>
      <c r="F8" s="58">
        <v>2026</v>
      </c>
      <c r="G8" s="58">
        <v>3</v>
      </c>
      <c r="H8" s="58" t="s">
        <v>461</v>
      </c>
      <c r="I8" s="140" t="s">
        <v>136</v>
      </c>
      <c r="J8" s="58" t="s">
        <v>462</v>
      </c>
      <c r="K8" s="58" t="s">
        <v>101</v>
      </c>
      <c r="L8" s="142" t="s">
        <v>551</v>
      </c>
      <c r="M8" s="58"/>
      <c r="N8" s="58">
        <v>3</v>
      </c>
      <c r="O8" s="4" t="s">
        <v>138</v>
      </c>
      <c r="P8" s="58"/>
      <c r="Q8" s="58"/>
    </row>
    <row r="9" spans="1:17">
      <c r="A9" s="139">
        <v>7</v>
      </c>
      <c r="B9" s="59">
        <v>46120</v>
      </c>
      <c r="C9" s="58" t="str">
        <f t="shared" si="0"/>
        <v>Wednesday</v>
      </c>
      <c r="D9" s="58" t="s">
        <v>477</v>
      </c>
      <c r="E9" s="58" t="str">
        <f t="shared" si="1"/>
        <v>April</v>
      </c>
      <c r="F9" s="58">
        <v>2026</v>
      </c>
      <c r="G9" s="58">
        <v>3</v>
      </c>
      <c r="H9" s="58" t="s">
        <v>461</v>
      </c>
      <c r="I9" s="140" t="s">
        <v>136</v>
      </c>
      <c r="J9" s="58" t="s">
        <v>462</v>
      </c>
      <c r="K9" s="58" t="s">
        <v>101</v>
      </c>
      <c r="L9" s="142" t="s">
        <v>574</v>
      </c>
      <c r="M9" s="58"/>
      <c r="N9" s="58">
        <v>3</v>
      </c>
      <c r="O9" s="4" t="s">
        <v>138</v>
      </c>
      <c r="P9" s="58"/>
      <c r="Q9" s="58"/>
    </row>
    <row r="10" spans="1:17">
      <c r="A10" s="139">
        <v>8</v>
      </c>
      <c r="B10" s="59">
        <v>46125</v>
      </c>
      <c r="C10" s="58" t="str">
        <f t="shared" si="0"/>
        <v>Monday</v>
      </c>
      <c r="D10" s="58" t="s">
        <v>477</v>
      </c>
      <c r="E10" s="58" t="str">
        <f t="shared" si="1"/>
        <v>April</v>
      </c>
      <c r="F10" s="58">
        <v>2026</v>
      </c>
      <c r="G10" s="58">
        <v>3</v>
      </c>
      <c r="H10" s="58" t="s">
        <v>461</v>
      </c>
      <c r="I10" s="140" t="s">
        <v>136</v>
      </c>
      <c r="J10" s="58" t="s">
        <v>462</v>
      </c>
      <c r="K10" s="58" t="s">
        <v>101</v>
      </c>
      <c r="L10" s="142" t="s">
        <v>591</v>
      </c>
      <c r="M10" s="58"/>
      <c r="N10" s="58">
        <v>3</v>
      </c>
      <c r="O10" s="4" t="s">
        <v>140</v>
      </c>
      <c r="P10" s="58"/>
      <c r="Q10" s="58"/>
    </row>
    <row r="11" spans="1:17">
      <c r="A11" s="139">
        <v>9</v>
      </c>
      <c r="B11" s="59">
        <v>46132</v>
      </c>
      <c r="C11" s="58" t="str">
        <f t="shared" si="0"/>
        <v>Monday</v>
      </c>
      <c r="D11" s="58" t="s">
        <v>477</v>
      </c>
      <c r="E11" s="58" t="str">
        <f t="shared" si="1"/>
        <v>April</v>
      </c>
      <c r="F11" s="58">
        <v>2026</v>
      </c>
      <c r="G11" s="58">
        <v>3</v>
      </c>
      <c r="H11" s="58" t="s">
        <v>461</v>
      </c>
      <c r="I11" s="140" t="s">
        <v>136</v>
      </c>
      <c r="J11" s="58" t="s">
        <v>462</v>
      </c>
      <c r="K11" s="58" t="s">
        <v>101</v>
      </c>
      <c r="L11" s="142" t="s">
        <v>614</v>
      </c>
      <c r="M11" s="58"/>
      <c r="N11" s="58">
        <v>3</v>
      </c>
      <c r="O11" s="4" t="s">
        <v>140</v>
      </c>
      <c r="P11" s="58"/>
      <c r="Q11" s="58"/>
    </row>
    <row r="12" spans="1:17">
      <c r="A12" s="139">
        <v>10</v>
      </c>
      <c r="B12" s="59">
        <v>46134</v>
      </c>
      <c r="C12" s="58" t="str">
        <f t="shared" si="0"/>
        <v>Wednesday</v>
      </c>
      <c r="D12" s="58" t="s">
        <v>477</v>
      </c>
      <c r="E12" s="58" t="str">
        <f t="shared" si="1"/>
        <v>April</v>
      </c>
      <c r="F12" s="58">
        <v>2026</v>
      </c>
      <c r="G12" s="58">
        <v>3</v>
      </c>
      <c r="H12" s="58" t="s">
        <v>461</v>
      </c>
      <c r="I12" s="140" t="s">
        <v>136</v>
      </c>
      <c r="J12" s="58" t="s">
        <v>462</v>
      </c>
      <c r="K12" s="58" t="s">
        <v>101</v>
      </c>
      <c r="L12" s="142" t="s">
        <v>625</v>
      </c>
      <c r="M12" s="58"/>
      <c r="N12" s="58">
        <v>3</v>
      </c>
      <c r="O12" s="4" t="s">
        <v>140</v>
      </c>
      <c r="P12" s="58"/>
      <c r="Q12" s="58"/>
    </row>
    <row r="13" spans="1:17">
      <c r="A13" s="139">
        <v>11</v>
      </c>
      <c r="B13" s="59">
        <v>46139</v>
      </c>
      <c r="C13" s="58" t="str">
        <f t="shared" si="0"/>
        <v>Monday</v>
      </c>
      <c r="D13" s="58" t="s">
        <v>477</v>
      </c>
      <c r="E13" s="58" t="str">
        <f t="shared" si="1"/>
        <v>April</v>
      </c>
      <c r="F13" s="58">
        <v>2026</v>
      </c>
      <c r="G13" s="58">
        <v>3</v>
      </c>
      <c r="H13" s="58" t="s">
        <v>461</v>
      </c>
      <c r="I13" s="140" t="s">
        <v>136</v>
      </c>
      <c r="J13" s="58" t="s">
        <v>462</v>
      </c>
      <c r="K13" s="58" t="s">
        <v>101</v>
      </c>
      <c r="L13" s="142" t="s">
        <v>641</v>
      </c>
      <c r="M13" s="58"/>
      <c r="N13" s="58">
        <v>3</v>
      </c>
      <c r="O13" s="4" t="s">
        <v>140</v>
      </c>
      <c r="P13" s="58"/>
      <c r="Q13" s="58"/>
    </row>
    <row r="14" spans="1:17">
      <c r="A14" s="139">
        <v>12</v>
      </c>
      <c r="B14" s="59">
        <v>46141</v>
      </c>
      <c r="C14" s="58" t="str">
        <f t="shared" si="0"/>
        <v>Wednesday</v>
      </c>
      <c r="D14" s="58" t="s">
        <v>477</v>
      </c>
      <c r="E14" s="58" t="str">
        <f t="shared" si="1"/>
        <v>April</v>
      </c>
      <c r="F14" s="58">
        <v>2026</v>
      </c>
      <c r="G14" s="58">
        <v>3</v>
      </c>
      <c r="H14" s="58" t="s">
        <v>461</v>
      </c>
      <c r="I14" s="140" t="s">
        <v>136</v>
      </c>
      <c r="J14" s="58" t="s">
        <v>462</v>
      </c>
      <c r="K14" s="58" t="s">
        <v>101</v>
      </c>
      <c r="L14" s="142" t="s">
        <v>652</v>
      </c>
      <c r="M14" s="58"/>
      <c r="N14" s="58">
        <v>3</v>
      </c>
      <c r="O14" s="4" t="s">
        <v>82</v>
      </c>
      <c r="P14" s="58"/>
      <c r="Q14" s="58"/>
    </row>
    <row r="15" spans="1:17">
      <c r="A15" s="139">
        <v>13</v>
      </c>
      <c r="B15" s="59">
        <v>46148</v>
      </c>
      <c r="C15" s="58" t="str">
        <f t="shared" si="0"/>
        <v>Wednesday</v>
      </c>
      <c r="D15" s="58" t="s">
        <v>477</v>
      </c>
      <c r="E15" s="58" t="str">
        <f t="shared" si="1"/>
        <v>May</v>
      </c>
      <c r="F15" s="58">
        <v>2026</v>
      </c>
      <c r="G15" s="58">
        <v>3</v>
      </c>
      <c r="H15" s="58" t="s">
        <v>461</v>
      </c>
      <c r="I15" s="140" t="s">
        <v>136</v>
      </c>
      <c r="J15" s="58" t="s">
        <v>462</v>
      </c>
      <c r="K15" s="58" t="s">
        <v>101</v>
      </c>
      <c r="L15" s="142" t="s">
        <v>671</v>
      </c>
      <c r="M15" s="58"/>
      <c r="N15" s="58">
        <v>3</v>
      </c>
      <c r="O15" s="4" t="s">
        <v>140</v>
      </c>
      <c r="P15" s="58"/>
      <c r="Q15" s="58"/>
    </row>
    <row r="16" spans="1:17">
      <c r="A16" s="139">
        <v>14</v>
      </c>
      <c r="B16" s="59">
        <v>46153</v>
      </c>
      <c r="C16" s="58" t="str">
        <f t="shared" si="0"/>
        <v>Monday</v>
      </c>
      <c r="D16" s="58" t="s">
        <v>477</v>
      </c>
      <c r="E16" s="58" t="str">
        <f t="shared" si="1"/>
        <v>May</v>
      </c>
      <c r="F16" s="58">
        <v>2026</v>
      </c>
      <c r="G16" s="58">
        <v>3</v>
      </c>
      <c r="H16" s="58" t="s">
        <v>461</v>
      </c>
      <c r="I16" s="140" t="s">
        <v>136</v>
      </c>
      <c r="J16" s="58" t="s">
        <v>462</v>
      </c>
      <c r="K16" s="58" t="s">
        <v>101</v>
      </c>
      <c r="L16" s="142" t="s">
        <v>685</v>
      </c>
      <c r="M16" s="58"/>
      <c r="N16" s="58">
        <v>3</v>
      </c>
      <c r="O16" s="4" t="s">
        <v>138</v>
      </c>
      <c r="P16" s="58"/>
      <c r="Q16" s="58"/>
    </row>
    <row r="17" spans="1:17">
      <c r="A17" s="139">
        <v>15</v>
      </c>
      <c r="B17" s="59">
        <v>46155</v>
      </c>
      <c r="C17" s="58" t="str">
        <f t="shared" si="0"/>
        <v>Wednesday</v>
      </c>
      <c r="D17" s="58" t="s">
        <v>477</v>
      </c>
      <c r="E17" s="58" t="str">
        <f t="shared" si="1"/>
        <v>May</v>
      </c>
      <c r="F17" s="58">
        <v>2026</v>
      </c>
      <c r="G17" s="58">
        <v>3</v>
      </c>
      <c r="H17" s="58" t="s">
        <v>461</v>
      </c>
      <c r="I17" s="140" t="s">
        <v>136</v>
      </c>
      <c r="J17" s="58" t="s">
        <v>462</v>
      </c>
      <c r="K17" s="58" t="s">
        <v>101</v>
      </c>
      <c r="L17" s="142" t="s">
        <v>702</v>
      </c>
      <c r="M17" s="58"/>
      <c r="N17" s="58">
        <v>3</v>
      </c>
      <c r="O17" s="4" t="s">
        <v>138</v>
      </c>
      <c r="P17" s="58"/>
      <c r="Q17" s="58"/>
    </row>
    <row r="18" spans="1:17">
      <c r="A18" s="139">
        <v>16</v>
      </c>
      <c r="B18" s="59">
        <v>46160</v>
      </c>
      <c r="C18" s="58" t="str">
        <f t="shared" si="0"/>
        <v>Monday</v>
      </c>
      <c r="D18" s="58" t="s">
        <v>477</v>
      </c>
      <c r="E18" s="58" t="str">
        <f t="shared" si="1"/>
        <v>May</v>
      </c>
      <c r="F18" s="58">
        <v>2026</v>
      </c>
      <c r="G18" s="58">
        <v>3</v>
      </c>
      <c r="H18" s="58" t="s">
        <v>461</v>
      </c>
      <c r="I18" s="140" t="s">
        <v>136</v>
      </c>
      <c r="J18" s="58" t="s">
        <v>462</v>
      </c>
      <c r="K18" s="58" t="s">
        <v>101</v>
      </c>
      <c r="L18" s="142" t="s">
        <v>718</v>
      </c>
      <c r="M18" s="58"/>
      <c r="N18" s="58">
        <v>3</v>
      </c>
      <c r="O18" s="4" t="s">
        <v>138</v>
      </c>
      <c r="P18" s="58"/>
      <c r="Q18" s="58"/>
    </row>
    <row r="19" spans="1:17">
      <c r="A19" s="139">
        <v>17</v>
      </c>
      <c r="B19" s="59">
        <v>46162</v>
      </c>
      <c r="C19" s="58" t="str">
        <f t="shared" si="0"/>
        <v>Wednesday</v>
      </c>
      <c r="D19" s="58" t="s">
        <v>477</v>
      </c>
      <c r="E19" s="58" t="str">
        <f t="shared" si="1"/>
        <v>May</v>
      </c>
      <c r="F19" s="58">
        <v>2026</v>
      </c>
      <c r="G19" s="58">
        <v>3</v>
      </c>
      <c r="H19" s="58" t="s">
        <v>461</v>
      </c>
      <c r="I19" s="140" t="s">
        <v>136</v>
      </c>
      <c r="J19" s="58" t="s">
        <v>462</v>
      </c>
      <c r="K19" s="58" t="s">
        <v>101</v>
      </c>
      <c r="L19" s="142" t="s">
        <v>732</v>
      </c>
      <c r="M19" s="58"/>
      <c r="N19" s="58">
        <v>3</v>
      </c>
      <c r="O19" s="4" t="s">
        <v>138</v>
      </c>
      <c r="P19" s="58"/>
      <c r="Q19" s="58"/>
    </row>
    <row r="20" spans="1:17">
      <c r="A20" s="139">
        <v>18</v>
      </c>
      <c r="B20" s="59">
        <v>46174</v>
      </c>
      <c r="C20" s="58" t="str">
        <f t="shared" si="0"/>
        <v>Monday</v>
      </c>
      <c r="D20" s="58" t="s">
        <v>477</v>
      </c>
      <c r="E20" s="58" t="str">
        <f t="shared" si="1"/>
        <v>June</v>
      </c>
      <c r="F20" s="58">
        <v>2026</v>
      </c>
      <c r="G20" s="58">
        <v>3</v>
      </c>
      <c r="H20" s="58" t="s">
        <v>461</v>
      </c>
      <c r="I20" s="140" t="s">
        <v>136</v>
      </c>
      <c r="J20" s="58" t="s">
        <v>462</v>
      </c>
      <c r="K20" s="58" t="s">
        <v>101</v>
      </c>
      <c r="L20" s="142" t="s">
        <v>761</v>
      </c>
      <c r="M20" s="58"/>
      <c r="N20" s="58">
        <v>3</v>
      </c>
      <c r="O20" s="4" t="s">
        <v>140</v>
      </c>
      <c r="P20" s="58"/>
      <c r="Q20" s="58"/>
    </row>
    <row r="21" spans="1:17">
      <c r="A21" s="139">
        <v>19</v>
      </c>
      <c r="B21" s="59">
        <v>46176</v>
      </c>
      <c r="C21" s="58" t="str">
        <f t="shared" si="0"/>
        <v>Wednesday</v>
      </c>
      <c r="D21" s="58" t="s">
        <v>477</v>
      </c>
      <c r="E21" s="58" t="str">
        <f t="shared" si="1"/>
        <v>June</v>
      </c>
      <c r="F21" s="58">
        <v>2026</v>
      </c>
      <c r="G21" s="58">
        <v>3</v>
      </c>
      <c r="H21" s="58" t="s">
        <v>461</v>
      </c>
      <c r="I21" s="140" t="s">
        <v>136</v>
      </c>
      <c r="J21" s="58" t="s">
        <v>462</v>
      </c>
      <c r="K21" s="58" t="s">
        <v>101</v>
      </c>
      <c r="L21" s="142" t="s">
        <v>773</v>
      </c>
      <c r="M21" s="58"/>
      <c r="N21" s="58">
        <v>3</v>
      </c>
      <c r="O21" s="4" t="s">
        <v>140</v>
      </c>
      <c r="P21" s="58"/>
      <c r="Q21" s="58"/>
    </row>
    <row r="22" spans="1:17">
      <c r="A22" s="139">
        <v>20</v>
      </c>
      <c r="B22" s="59">
        <v>46181</v>
      </c>
      <c r="C22" s="58" t="str">
        <f t="shared" si="0"/>
        <v>Monday</v>
      </c>
      <c r="D22" s="58" t="s">
        <v>477</v>
      </c>
      <c r="E22" s="58" t="str">
        <f t="shared" si="1"/>
        <v>June</v>
      </c>
      <c r="F22" s="58">
        <v>2026</v>
      </c>
      <c r="G22" s="58">
        <v>3</v>
      </c>
      <c r="H22" s="58" t="s">
        <v>461</v>
      </c>
      <c r="I22" s="140" t="s">
        <v>136</v>
      </c>
      <c r="J22" s="58" t="s">
        <v>462</v>
      </c>
      <c r="K22" s="58" t="s">
        <v>101</v>
      </c>
      <c r="L22" s="142" t="s">
        <v>784</v>
      </c>
      <c r="M22" s="58"/>
      <c r="N22" s="58">
        <v>3</v>
      </c>
      <c r="O22" s="4" t="s">
        <v>140</v>
      </c>
      <c r="P22" s="58"/>
      <c r="Q22" s="58"/>
    </row>
    <row r="23" spans="1:17">
      <c r="A23" s="139"/>
      <c r="B23" s="59">
        <v>46183</v>
      </c>
      <c r="C23" s="58" t="str">
        <f t="shared" si="0"/>
        <v>Wednesday</v>
      </c>
      <c r="D23" s="58" t="s">
        <v>477</v>
      </c>
      <c r="E23" s="58" t="str">
        <f t="shared" si="1"/>
        <v>June</v>
      </c>
      <c r="F23" s="58">
        <v>2026</v>
      </c>
      <c r="G23" s="58"/>
      <c r="H23" s="58" t="s">
        <v>461</v>
      </c>
      <c r="I23" s="140" t="s">
        <v>136</v>
      </c>
      <c r="J23" s="58" t="s">
        <v>462</v>
      </c>
      <c r="K23" s="58" t="s">
        <v>101</v>
      </c>
      <c r="L23" s="144" t="s">
        <v>391</v>
      </c>
      <c r="M23" s="58"/>
      <c r="N23" s="58"/>
      <c r="O23" s="4"/>
      <c r="P23" s="58"/>
      <c r="Q23" s="58"/>
    </row>
    <row r="24" spans="1:17">
      <c r="A24" s="145"/>
      <c r="B24" s="101">
        <v>46188</v>
      </c>
      <c r="C24" s="100" t="str">
        <f t="shared" si="0"/>
        <v>Monday</v>
      </c>
      <c r="D24" s="100"/>
      <c r="E24" s="100" t="str">
        <f t="shared" si="1"/>
        <v>June</v>
      </c>
      <c r="F24" s="100">
        <v>2026</v>
      </c>
      <c r="G24" s="100">
        <v>3</v>
      </c>
      <c r="H24" s="100" t="s">
        <v>461</v>
      </c>
      <c r="I24" s="146" t="s">
        <v>136</v>
      </c>
      <c r="J24" s="100" t="s">
        <v>462</v>
      </c>
      <c r="K24" s="100" t="s">
        <v>101</v>
      </c>
      <c r="L24" s="148" t="s">
        <v>803</v>
      </c>
      <c r="M24" s="100"/>
      <c r="N24" s="100">
        <v>3</v>
      </c>
      <c r="O24" s="5"/>
      <c r="P24" s="100"/>
      <c r="Q24" s="100"/>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C7FE-D38A-4859-870E-D4C9EA3871AF}">
  <dimension ref="A1:Q24"/>
  <sheetViews>
    <sheetView workbookViewId="0">
      <selection activeCell="A19" sqref="A19:XFD19"/>
    </sheetView>
  </sheetViews>
  <sheetFormatPr defaultRowHeight="15"/>
  <cols>
    <col min="2" max="2" width="19.42578125" customWidth="1"/>
    <col min="3" max="3" width="13.42578125" customWidth="1"/>
    <col min="4" max="4" width="23.5703125" customWidth="1"/>
    <col min="5" max="5" width="10.42578125" bestFit="1" customWidth="1"/>
    <col min="7" max="7" width="18.42578125" bestFit="1" customWidth="1"/>
    <col min="8" max="8" width="9.42578125" bestFit="1" customWidth="1"/>
    <col min="9" max="9" width="20.1406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39"/>
      <c r="B2" s="59">
        <v>46092</v>
      </c>
      <c r="C2" s="58" t="str">
        <f>TEXT(B2,"dddd")</f>
        <v>Wednesday</v>
      </c>
      <c r="D2" s="58" t="s">
        <v>460</v>
      </c>
      <c r="E2" s="58" t="str">
        <f>TEXT(B2,"mmmm")</f>
        <v>March</v>
      </c>
      <c r="F2" s="58">
        <v>2026</v>
      </c>
      <c r="G2" s="58">
        <v>0.5</v>
      </c>
      <c r="H2" s="58" t="s">
        <v>461</v>
      </c>
      <c r="I2" s="140" t="s">
        <v>136</v>
      </c>
      <c r="J2" s="58" t="s">
        <v>462</v>
      </c>
      <c r="K2" s="58" t="s">
        <v>10</v>
      </c>
      <c r="L2" s="141" t="s">
        <v>463</v>
      </c>
      <c r="M2" s="58"/>
      <c r="N2" s="58">
        <v>1</v>
      </c>
      <c r="O2" s="142" t="s">
        <v>93</v>
      </c>
      <c r="P2" s="58"/>
      <c r="Q2" s="58"/>
    </row>
    <row r="3" spans="1:17">
      <c r="A3" s="139">
        <v>1</v>
      </c>
      <c r="B3" s="59">
        <v>46097</v>
      </c>
      <c r="C3" s="58" t="str">
        <f t="shared" ref="C3:C24" si="0">TEXT(B3,"dddd")</f>
        <v>Monday</v>
      </c>
      <c r="D3" s="58" t="s">
        <v>479</v>
      </c>
      <c r="E3" s="58" t="str">
        <f t="shared" ref="E3:E24" si="1">TEXT(B3,"mmmm")</f>
        <v>March</v>
      </c>
      <c r="F3" s="58">
        <v>2026</v>
      </c>
      <c r="G3" s="58">
        <v>3</v>
      </c>
      <c r="H3" s="58" t="s">
        <v>461</v>
      </c>
      <c r="I3" s="140" t="s">
        <v>136</v>
      </c>
      <c r="J3" s="58" t="s">
        <v>462</v>
      </c>
      <c r="K3" s="58" t="s">
        <v>10</v>
      </c>
      <c r="L3" s="142" t="s">
        <v>478</v>
      </c>
      <c r="M3" s="58"/>
      <c r="N3" s="58">
        <v>3</v>
      </c>
      <c r="O3" s="142" t="s">
        <v>138</v>
      </c>
      <c r="P3" s="58"/>
      <c r="Q3" s="58"/>
    </row>
    <row r="4" spans="1:17">
      <c r="A4" s="139">
        <v>2</v>
      </c>
      <c r="B4" s="59">
        <v>46099</v>
      </c>
      <c r="C4" s="58" t="str">
        <f t="shared" si="0"/>
        <v>Wednesday</v>
      </c>
      <c r="D4" s="58" t="s">
        <v>479</v>
      </c>
      <c r="E4" s="58" t="str">
        <f t="shared" si="1"/>
        <v>March</v>
      </c>
      <c r="F4" s="58">
        <v>2026</v>
      </c>
      <c r="G4" s="58">
        <v>3</v>
      </c>
      <c r="H4" s="58" t="s">
        <v>461</v>
      </c>
      <c r="I4" s="140" t="s">
        <v>136</v>
      </c>
      <c r="J4" s="58" t="s">
        <v>462</v>
      </c>
      <c r="K4" s="58" t="s">
        <v>10</v>
      </c>
      <c r="L4" s="142" t="s">
        <v>495</v>
      </c>
      <c r="M4" s="58"/>
      <c r="N4" s="58">
        <v>3</v>
      </c>
      <c r="O4" s="142" t="s">
        <v>138</v>
      </c>
      <c r="P4" s="58"/>
      <c r="Q4" s="58"/>
    </row>
    <row r="5" spans="1:17">
      <c r="A5" s="139">
        <v>3</v>
      </c>
      <c r="B5" s="59">
        <v>46104</v>
      </c>
      <c r="C5" s="58" t="str">
        <f t="shared" si="0"/>
        <v>Monday</v>
      </c>
      <c r="D5" s="58" t="s">
        <v>479</v>
      </c>
      <c r="E5" s="58" t="str">
        <f t="shared" si="1"/>
        <v>March</v>
      </c>
      <c r="F5" s="58">
        <v>2026</v>
      </c>
      <c r="G5" s="58">
        <v>3</v>
      </c>
      <c r="H5" s="58" t="s">
        <v>461</v>
      </c>
      <c r="I5" s="140" t="s">
        <v>136</v>
      </c>
      <c r="J5" s="58" t="s">
        <v>462</v>
      </c>
      <c r="K5" s="58" t="s">
        <v>10</v>
      </c>
      <c r="L5" s="142" t="s">
        <v>509</v>
      </c>
      <c r="M5" s="58"/>
      <c r="N5" s="58">
        <v>3</v>
      </c>
      <c r="O5" s="142" t="s">
        <v>138</v>
      </c>
      <c r="P5" s="58"/>
      <c r="Q5" s="58"/>
    </row>
    <row r="6" spans="1:17">
      <c r="A6" s="139">
        <v>4</v>
      </c>
      <c r="B6" s="59">
        <v>46106</v>
      </c>
      <c r="C6" s="58" t="str">
        <f t="shared" si="0"/>
        <v>Wednesday</v>
      </c>
      <c r="D6" s="58" t="s">
        <v>479</v>
      </c>
      <c r="E6" s="58" t="str">
        <f t="shared" si="1"/>
        <v>March</v>
      </c>
      <c r="F6" s="58">
        <v>2026</v>
      </c>
      <c r="G6" s="58">
        <v>3</v>
      </c>
      <c r="H6" s="58" t="s">
        <v>461</v>
      </c>
      <c r="I6" s="140" t="s">
        <v>136</v>
      </c>
      <c r="J6" s="58" t="s">
        <v>462</v>
      </c>
      <c r="K6" s="58" t="s">
        <v>10</v>
      </c>
      <c r="L6" s="142" t="s">
        <v>522</v>
      </c>
      <c r="M6" s="58"/>
      <c r="N6" s="58">
        <v>3</v>
      </c>
      <c r="O6" s="142" t="s">
        <v>140</v>
      </c>
      <c r="P6" s="58"/>
      <c r="Q6" s="58"/>
    </row>
    <row r="7" spans="1:17">
      <c r="A7" s="139">
        <v>5</v>
      </c>
      <c r="B7" s="59">
        <v>46111</v>
      </c>
      <c r="C7" s="58" t="str">
        <f t="shared" si="0"/>
        <v>Monday</v>
      </c>
      <c r="D7" s="58" t="s">
        <v>479</v>
      </c>
      <c r="E7" s="58" t="str">
        <f t="shared" si="1"/>
        <v>March</v>
      </c>
      <c r="F7" s="58">
        <v>2026</v>
      </c>
      <c r="G7" s="58">
        <v>3</v>
      </c>
      <c r="H7" s="58" t="s">
        <v>461</v>
      </c>
      <c r="I7" s="140" t="s">
        <v>136</v>
      </c>
      <c r="J7" s="58" t="s">
        <v>462</v>
      </c>
      <c r="K7" s="58" t="s">
        <v>10</v>
      </c>
      <c r="L7" s="142" t="s">
        <v>540</v>
      </c>
      <c r="M7" s="58"/>
      <c r="N7" s="58">
        <v>3</v>
      </c>
      <c r="O7" s="142" t="s">
        <v>138</v>
      </c>
      <c r="P7" s="58"/>
      <c r="Q7" s="58"/>
    </row>
    <row r="8" spans="1:17">
      <c r="A8" s="139">
        <v>6</v>
      </c>
      <c r="B8" s="59">
        <v>46113</v>
      </c>
      <c r="C8" s="58" t="str">
        <f t="shared" si="0"/>
        <v>Wednesday</v>
      </c>
      <c r="D8" s="58" t="s">
        <v>479</v>
      </c>
      <c r="E8" s="58" t="str">
        <f t="shared" si="1"/>
        <v>April</v>
      </c>
      <c r="F8" s="58">
        <v>2026</v>
      </c>
      <c r="G8" s="58">
        <v>3</v>
      </c>
      <c r="H8" s="58" t="s">
        <v>461</v>
      </c>
      <c r="I8" s="140" t="s">
        <v>136</v>
      </c>
      <c r="J8" s="58" t="s">
        <v>462</v>
      </c>
      <c r="K8" s="58" t="s">
        <v>10</v>
      </c>
      <c r="L8" s="142" t="s">
        <v>551</v>
      </c>
      <c r="M8" s="58"/>
      <c r="N8" s="58">
        <v>3</v>
      </c>
      <c r="O8" s="142" t="s">
        <v>138</v>
      </c>
      <c r="P8" s="58"/>
      <c r="Q8" s="58"/>
    </row>
    <row r="9" spans="1:17">
      <c r="A9" s="139">
        <v>7</v>
      </c>
      <c r="B9" s="59">
        <v>46120</v>
      </c>
      <c r="C9" s="58" t="str">
        <f t="shared" si="0"/>
        <v>Wednesday</v>
      </c>
      <c r="D9" s="58" t="s">
        <v>479</v>
      </c>
      <c r="E9" s="58" t="str">
        <f t="shared" si="1"/>
        <v>April</v>
      </c>
      <c r="F9" s="58">
        <v>2026</v>
      </c>
      <c r="G9" s="58">
        <v>3</v>
      </c>
      <c r="H9" s="58" t="s">
        <v>461</v>
      </c>
      <c r="I9" s="140" t="s">
        <v>136</v>
      </c>
      <c r="J9" s="58" t="s">
        <v>462</v>
      </c>
      <c r="K9" s="58" t="s">
        <v>10</v>
      </c>
      <c r="L9" s="142" t="s">
        <v>574</v>
      </c>
      <c r="M9" s="58"/>
      <c r="N9" s="58">
        <v>3</v>
      </c>
      <c r="O9" s="142" t="s">
        <v>138</v>
      </c>
      <c r="P9" s="58"/>
      <c r="Q9" s="58"/>
    </row>
    <row r="10" spans="1:17">
      <c r="A10" s="139">
        <v>8</v>
      </c>
      <c r="B10" s="59">
        <v>46125</v>
      </c>
      <c r="C10" s="58" t="str">
        <f t="shared" si="0"/>
        <v>Monday</v>
      </c>
      <c r="D10" s="58" t="s">
        <v>479</v>
      </c>
      <c r="E10" s="58" t="str">
        <f t="shared" si="1"/>
        <v>April</v>
      </c>
      <c r="F10" s="58">
        <v>2026</v>
      </c>
      <c r="G10" s="58">
        <v>3</v>
      </c>
      <c r="H10" s="58" t="s">
        <v>461</v>
      </c>
      <c r="I10" s="140" t="s">
        <v>136</v>
      </c>
      <c r="J10" s="58" t="s">
        <v>462</v>
      </c>
      <c r="K10" s="58" t="s">
        <v>10</v>
      </c>
      <c r="L10" s="142" t="s">
        <v>591</v>
      </c>
      <c r="M10" s="58"/>
      <c r="N10" s="58">
        <v>3</v>
      </c>
      <c r="O10" s="142" t="s">
        <v>140</v>
      </c>
      <c r="P10" s="58"/>
      <c r="Q10" s="58"/>
    </row>
    <row r="11" spans="1:17">
      <c r="A11" s="139">
        <v>9</v>
      </c>
      <c r="B11" s="59">
        <v>46132</v>
      </c>
      <c r="C11" s="58" t="str">
        <f t="shared" si="0"/>
        <v>Monday</v>
      </c>
      <c r="D11" s="58" t="s">
        <v>479</v>
      </c>
      <c r="E11" s="58" t="str">
        <f t="shared" si="1"/>
        <v>April</v>
      </c>
      <c r="F11" s="58">
        <v>2026</v>
      </c>
      <c r="G11" s="58">
        <v>3</v>
      </c>
      <c r="H11" s="58" t="s">
        <v>461</v>
      </c>
      <c r="I11" s="140" t="s">
        <v>136</v>
      </c>
      <c r="J11" s="58" t="s">
        <v>462</v>
      </c>
      <c r="K11" s="58" t="s">
        <v>10</v>
      </c>
      <c r="L11" s="142" t="s">
        <v>614</v>
      </c>
      <c r="M11" s="58"/>
      <c r="N11" s="58">
        <v>3</v>
      </c>
      <c r="O11" s="142" t="s">
        <v>138</v>
      </c>
      <c r="P11" s="58"/>
      <c r="Q11" s="58"/>
    </row>
    <row r="12" spans="1:17">
      <c r="A12" s="139">
        <v>10</v>
      </c>
      <c r="B12" s="59">
        <v>46134</v>
      </c>
      <c r="C12" s="58" t="str">
        <f t="shared" si="0"/>
        <v>Wednesday</v>
      </c>
      <c r="D12" s="58" t="s">
        <v>479</v>
      </c>
      <c r="E12" s="58" t="str">
        <f t="shared" si="1"/>
        <v>April</v>
      </c>
      <c r="F12" s="58">
        <v>2026</v>
      </c>
      <c r="G12" s="58">
        <v>3</v>
      </c>
      <c r="H12" s="58" t="s">
        <v>461</v>
      </c>
      <c r="I12" s="140" t="s">
        <v>136</v>
      </c>
      <c r="J12" s="58" t="s">
        <v>462</v>
      </c>
      <c r="K12" s="58" t="s">
        <v>10</v>
      </c>
      <c r="L12" s="142" t="s">
        <v>625</v>
      </c>
      <c r="M12" s="58"/>
      <c r="N12" s="58">
        <v>3</v>
      </c>
      <c r="O12" s="142" t="s">
        <v>140</v>
      </c>
      <c r="P12" s="58"/>
      <c r="Q12" s="58"/>
    </row>
    <row r="13" spans="1:17">
      <c r="A13" s="139">
        <v>11</v>
      </c>
      <c r="B13" s="59">
        <v>46139</v>
      </c>
      <c r="C13" s="58" t="str">
        <f t="shared" si="0"/>
        <v>Monday</v>
      </c>
      <c r="D13" s="58" t="s">
        <v>479</v>
      </c>
      <c r="E13" s="58" t="str">
        <f t="shared" si="1"/>
        <v>April</v>
      </c>
      <c r="F13" s="58">
        <v>2026</v>
      </c>
      <c r="G13" s="58">
        <v>3</v>
      </c>
      <c r="H13" s="58" t="s">
        <v>461</v>
      </c>
      <c r="I13" s="140" t="s">
        <v>136</v>
      </c>
      <c r="J13" s="58" t="s">
        <v>462</v>
      </c>
      <c r="K13" s="58" t="s">
        <v>10</v>
      </c>
      <c r="L13" s="142" t="s">
        <v>641</v>
      </c>
      <c r="M13" s="58"/>
      <c r="N13" s="58">
        <v>3</v>
      </c>
      <c r="O13" s="142" t="s">
        <v>140</v>
      </c>
      <c r="P13" s="58"/>
      <c r="Q13" s="58"/>
    </row>
    <row r="14" spans="1:17">
      <c r="A14" s="139">
        <v>12</v>
      </c>
      <c r="B14" s="59">
        <v>46141</v>
      </c>
      <c r="C14" s="58" t="str">
        <f t="shared" si="0"/>
        <v>Wednesday</v>
      </c>
      <c r="D14" s="58" t="s">
        <v>479</v>
      </c>
      <c r="E14" s="58" t="str">
        <f t="shared" si="1"/>
        <v>April</v>
      </c>
      <c r="F14" s="58">
        <v>2026</v>
      </c>
      <c r="G14" s="58">
        <v>3</v>
      </c>
      <c r="H14" s="58" t="s">
        <v>461</v>
      </c>
      <c r="I14" s="140" t="s">
        <v>136</v>
      </c>
      <c r="J14" s="58" t="s">
        <v>462</v>
      </c>
      <c r="K14" s="58" t="s">
        <v>10</v>
      </c>
      <c r="L14" s="142" t="s">
        <v>652</v>
      </c>
      <c r="M14" s="58"/>
      <c r="N14" s="58">
        <v>3</v>
      </c>
      <c r="O14" s="142" t="s">
        <v>138</v>
      </c>
      <c r="P14" s="58"/>
      <c r="Q14" s="58"/>
    </row>
    <row r="15" spans="1:17">
      <c r="A15" s="139">
        <v>13</v>
      </c>
      <c r="B15" s="59">
        <v>46148</v>
      </c>
      <c r="C15" s="58" t="str">
        <f t="shared" si="0"/>
        <v>Wednesday</v>
      </c>
      <c r="D15" s="58" t="s">
        <v>479</v>
      </c>
      <c r="E15" s="58" t="str">
        <f t="shared" si="1"/>
        <v>May</v>
      </c>
      <c r="F15" s="58">
        <v>2026</v>
      </c>
      <c r="G15" s="58">
        <v>3</v>
      </c>
      <c r="H15" s="58" t="s">
        <v>461</v>
      </c>
      <c r="I15" s="140" t="s">
        <v>136</v>
      </c>
      <c r="J15" s="58" t="s">
        <v>462</v>
      </c>
      <c r="K15" s="58" t="s">
        <v>10</v>
      </c>
      <c r="L15" s="142" t="s">
        <v>671</v>
      </c>
      <c r="M15" s="58"/>
      <c r="N15" s="58">
        <v>3</v>
      </c>
      <c r="O15" s="142" t="s">
        <v>138</v>
      </c>
      <c r="P15" s="58"/>
      <c r="Q15" s="58"/>
    </row>
    <row r="16" spans="1:17">
      <c r="A16" s="139">
        <v>14</v>
      </c>
      <c r="B16" s="59">
        <v>46153</v>
      </c>
      <c r="C16" s="58" t="str">
        <f t="shared" si="0"/>
        <v>Monday</v>
      </c>
      <c r="D16" s="58" t="s">
        <v>479</v>
      </c>
      <c r="E16" s="58" t="str">
        <f t="shared" si="1"/>
        <v>May</v>
      </c>
      <c r="F16" s="58">
        <v>2026</v>
      </c>
      <c r="G16" s="58">
        <v>3</v>
      </c>
      <c r="H16" s="58" t="s">
        <v>461</v>
      </c>
      <c r="I16" s="140" t="s">
        <v>136</v>
      </c>
      <c r="J16" s="58" t="s">
        <v>462</v>
      </c>
      <c r="K16" s="58" t="s">
        <v>10</v>
      </c>
      <c r="L16" s="142" t="s">
        <v>685</v>
      </c>
      <c r="M16" s="58"/>
      <c r="N16" s="58">
        <v>3</v>
      </c>
      <c r="O16" s="142" t="s">
        <v>138</v>
      </c>
      <c r="P16" s="58"/>
      <c r="Q16" s="58"/>
    </row>
    <row r="17" spans="1:17">
      <c r="A17" s="139">
        <v>15</v>
      </c>
      <c r="B17" s="59">
        <v>46155</v>
      </c>
      <c r="C17" s="58" t="str">
        <f t="shared" si="0"/>
        <v>Wednesday</v>
      </c>
      <c r="D17" s="58" t="s">
        <v>479</v>
      </c>
      <c r="E17" s="58" t="str">
        <f t="shared" si="1"/>
        <v>May</v>
      </c>
      <c r="F17" s="58">
        <v>2026</v>
      </c>
      <c r="G17" s="58">
        <v>3</v>
      </c>
      <c r="H17" s="58" t="s">
        <v>461</v>
      </c>
      <c r="I17" s="140" t="s">
        <v>136</v>
      </c>
      <c r="J17" s="58" t="s">
        <v>462</v>
      </c>
      <c r="K17" s="58" t="s">
        <v>10</v>
      </c>
      <c r="L17" s="142" t="s">
        <v>702</v>
      </c>
      <c r="M17" s="58"/>
      <c r="N17" s="58">
        <v>3</v>
      </c>
      <c r="O17" s="142" t="s">
        <v>138</v>
      </c>
      <c r="P17" s="58"/>
      <c r="Q17" s="58"/>
    </row>
    <row r="18" spans="1:17">
      <c r="A18" s="139">
        <v>16</v>
      </c>
      <c r="B18" s="59">
        <v>46160</v>
      </c>
      <c r="C18" s="58" t="str">
        <f t="shared" si="0"/>
        <v>Monday</v>
      </c>
      <c r="D18" s="58" t="s">
        <v>479</v>
      </c>
      <c r="E18" s="58" t="str">
        <f t="shared" si="1"/>
        <v>May</v>
      </c>
      <c r="F18" s="58">
        <v>2026</v>
      </c>
      <c r="G18" s="58">
        <v>3</v>
      </c>
      <c r="H18" s="58" t="s">
        <v>461</v>
      </c>
      <c r="I18" s="140" t="s">
        <v>136</v>
      </c>
      <c r="J18" s="58" t="s">
        <v>462</v>
      </c>
      <c r="K18" s="58" t="s">
        <v>10</v>
      </c>
      <c r="L18" s="142" t="s">
        <v>718</v>
      </c>
      <c r="M18" s="58"/>
      <c r="N18" s="58">
        <v>3</v>
      </c>
      <c r="O18" s="142" t="s">
        <v>138</v>
      </c>
      <c r="P18" s="58"/>
      <c r="Q18" s="58"/>
    </row>
    <row r="19" spans="1:17">
      <c r="A19" s="139">
        <v>17</v>
      </c>
      <c r="B19" s="59">
        <v>46162</v>
      </c>
      <c r="C19" s="58" t="str">
        <f t="shared" si="0"/>
        <v>Wednesday</v>
      </c>
      <c r="D19" s="58" t="s">
        <v>479</v>
      </c>
      <c r="E19" s="58" t="str">
        <f t="shared" si="1"/>
        <v>May</v>
      </c>
      <c r="F19" s="58">
        <v>2026</v>
      </c>
      <c r="G19" s="58">
        <v>3</v>
      </c>
      <c r="H19" s="58" t="s">
        <v>461</v>
      </c>
      <c r="I19" s="140" t="s">
        <v>136</v>
      </c>
      <c r="J19" s="58" t="s">
        <v>462</v>
      </c>
      <c r="K19" s="58" t="s">
        <v>10</v>
      </c>
      <c r="L19" s="142" t="s">
        <v>732</v>
      </c>
      <c r="M19" s="58"/>
      <c r="N19" s="58">
        <v>3</v>
      </c>
      <c r="O19" s="142" t="s">
        <v>138</v>
      </c>
      <c r="P19" s="58"/>
      <c r="Q19" s="58"/>
    </row>
    <row r="20" spans="1:17">
      <c r="A20" s="139">
        <v>18</v>
      </c>
      <c r="B20" s="59">
        <v>46174</v>
      </c>
      <c r="C20" s="58" t="str">
        <f t="shared" si="0"/>
        <v>Monday</v>
      </c>
      <c r="D20" s="58" t="s">
        <v>479</v>
      </c>
      <c r="E20" s="58" t="str">
        <f t="shared" si="1"/>
        <v>June</v>
      </c>
      <c r="F20" s="58">
        <v>2026</v>
      </c>
      <c r="G20" s="58">
        <v>3</v>
      </c>
      <c r="H20" s="58" t="s">
        <v>461</v>
      </c>
      <c r="I20" s="140" t="s">
        <v>136</v>
      </c>
      <c r="J20" s="58" t="s">
        <v>462</v>
      </c>
      <c r="K20" s="58" t="s">
        <v>10</v>
      </c>
      <c r="L20" s="142" t="s">
        <v>761</v>
      </c>
      <c r="M20" s="58"/>
      <c r="N20" s="58">
        <v>3</v>
      </c>
      <c r="O20" s="142" t="s">
        <v>140</v>
      </c>
      <c r="P20" s="58"/>
      <c r="Q20" s="58"/>
    </row>
    <row r="21" spans="1:17">
      <c r="A21" s="139">
        <v>19</v>
      </c>
      <c r="B21" s="59">
        <v>46176</v>
      </c>
      <c r="C21" s="58" t="str">
        <f t="shared" si="0"/>
        <v>Wednesday</v>
      </c>
      <c r="D21" s="58" t="s">
        <v>479</v>
      </c>
      <c r="E21" s="58" t="str">
        <f t="shared" si="1"/>
        <v>June</v>
      </c>
      <c r="F21" s="58">
        <v>2026</v>
      </c>
      <c r="G21" s="58">
        <v>3</v>
      </c>
      <c r="H21" s="58" t="s">
        <v>461</v>
      </c>
      <c r="I21" s="140" t="s">
        <v>136</v>
      </c>
      <c r="J21" s="58" t="s">
        <v>462</v>
      </c>
      <c r="K21" s="58" t="s">
        <v>10</v>
      </c>
      <c r="L21" s="142" t="s">
        <v>773</v>
      </c>
      <c r="M21" s="58"/>
      <c r="N21" s="58">
        <v>3</v>
      </c>
      <c r="O21" s="142" t="s">
        <v>140</v>
      </c>
      <c r="P21" s="58"/>
      <c r="Q21" s="58"/>
    </row>
    <row r="22" spans="1:17">
      <c r="A22" s="139">
        <v>20</v>
      </c>
      <c r="B22" s="59">
        <v>46181</v>
      </c>
      <c r="C22" s="58" t="str">
        <f t="shared" si="0"/>
        <v>Monday</v>
      </c>
      <c r="D22" s="58" t="s">
        <v>479</v>
      </c>
      <c r="E22" s="58" t="str">
        <f t="shared" si="1"/>
        <v>June</v>
      </c>
      <c r="F22" s="58">
        <v>2026</v>
      </c>
      <c r="G22" s="58">
        <v>3</v>
      </c>
      <c r="H22" s="58" t="s">
        <v>461</v>
      </c>
      <c r="I22" s="140" t="s">
        <v>136</v>
      </c>
      <c r="J22" s="58" t="s">
        <v>462</v>
      </c>
      <c r="K22" s="58" t="s">
        <v>10</v>
      </c>
      <c r="L22" s="142" t="s">
        <v>784</v>
      </c>
      <c r="M22" s="58"/>
      <c r="N22" s="58">
        <v>3</v>
      </c>
      <c r="O22" s="142" t="s">
        <v>140</v>
      </c>
      <c r="P22" s="58"/>
      <c r="Q22" s="58"/>
    </row>
    <row r="23" spans="1:17">
      <c r="A23" s="139"/>
      <c r="B23" s="59">
        <v>46183</v>
      </c>
      <c r="C23" s="58" t="str">
        <f t="shared" si="0"/>
        <v>Wednesday</v>
      </c>
      <c r="D23" s="58" t="s">
        <v>479</v>
      </c>
      <c r="E23" s="58" t="str">
        <f t="shared" si="1"/>
        <v>June</v>
      </c>
      <c r="F23" s="58">
        <v>2026</v>
      </c>
      <c r="G23" s="58"/>
      <c r="H23" s="58" t="s">
        <v>461</v>
      </c>
      <c r="I23" s="140" t="s">
        <v>136</v>
      </c>
      <c r="J23" s="58" t="s">
        <v>462</v>
      </c>
      <c r="K23" s="58" t="s">
        <v>10</v>
      </c>
      <c r="L23" s="144" t="s">
        <v>391</v>
      </c>
      <c r="M23" s="58"/>
      <c r="N23" s="58"/>
      <c r="O23" s="142"/>
      <c r="P23" s="58"/>
      <c r="Q23" s="58"/>
    </row>
    <row r="24" spans="1:17">
      <c r="A24" s="145"/>
      <c r="B24" s="101">
        <v>46188</v>
      </c>
      <c r="C24" s="100" t="str">
        <f t="shared" si="0"/>
        <v>Monday</v>
      </c>
      <c r="D24" s="100"/>
      <c r="E24" s="100" t="str">
        <f t="shared" si="1"/>
        <v>June</v>
      </c>
      <c r="F24" s="100">
        <v>2026</v>
      </c>
      <c r="G24" s="100"/>
      <c r="H24" s="100" t="s">
        <v>461</v>
      </c>
      <c r="I24" s="146" t="s">
        <v>136</v>
      </c>
      <c r="J24" s="100" t="s">
        <v>462</v>
      </c>
      <c r="K24" s="100" t="s">
        <v>10</v>
      </c>
      <c r="L24" s="148" t="s">
        <v>803</v>
      </c>
      <c r="M24" s="100"/>
      <c r="N24" s="100">
        <v>3</v>
      </c>
      <c r="O24" s="147"/>
      <c r="P24" s="100"/>
      <c r="Q24" s="100"/>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7D968-7FE1-4A57-9C96-44F118A04A72}">
  <dimension ref="A1:Q24"/>
  <sheetViews>
    <sheetView workbookViewId="0">
      <selection activeCell="L18" sqref="L18"/>
    </sheetView>
  </sheetViews>
  <sheetFormatPr defaultRowHeight="15"/>
  <cols>
    <col min="1" max="1" width="9.140625" style="3"/>
    <col min="2" max="2" width="19.42578125" style="3" customWidth="1"/>
    <col min="3" max="3" width="13.42578125" style="3" customWidth="1"/>
    <col min="4" max="4" width="29.28515625" style="3" customWidth="1"/>
    <col min="5" max="5" width="10.42578125" style="3" bestFit="1" customWidth="1"/>
    <col min="6" max="6" width="9.140625" style="3"/>
    <col min="7" max="7" width="18.42578125" style="3" bestFit="1" customWidth="1"/>
    <col min="8" max="8" width="9.42578125" style="3" bestFit="1" customWidth="1"/>
    <col min="9" max="9" width="20.140625" style="3" customWidth="1"/>
    <col min="10" max="10" width="26.28515625" style="3" bestFit="1" customWidth="1"/>
    <col min="11" max="11" width="9.42578125" style="3" bestFit="1" customWidth="1"/>
    <col min="12" max="12" width="68.140625" style="3" customWidth="1"/>
    <col min="13" max="13" width="30.140625" style="3" customWidth="1"/>
    <col min="14" max="14" width="25.42578125" style="3" customWidth="1"/>
    <col min="15" max="15" width="25.28515625" style="3" customWidth="1"/>
    <col min="16" max="16" width="13" style="3" customWidth="1"/>
    <col min="17" max="17" width="17.7109375" style="3" customWidth="1"/>
    <col min="18" max="16384" width="9.140625" style="3"/>
  </cols>
  <sheetData>
    <row r="1" spans="1:17">
      <c r="A1" s="137"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149">
        <v>1</v>
      </c>
      <c r="B2" s="59">
        <v>46100</v>
      </c>
      <c r="C2" s="58" t="str">
        <f>TEXT(B2,"dddd")</f>
        <v>Thursday</v>
      </c>
      <c r="D2" s="58" t="s">
        <v>504</v>
      </c>
      <c r="E2" s="58" t="str">
        <f>TEXT(B2,"mmmm")</f>
        <v>March</v>
      </c>
      <c r="F2" s="58">
        <v>2026</v>
      </c>
      <c r="G2" s="58">
        <v>1</v>
      </c>
      <c r="H2" s="58" t="s">
        <v>461</v>
      </c>
      <c r="I2" s="140" t="s">
        <v>142</v>
      </c>
      <c r="J2" s="58" t="s">
        <v>462</v>
      </c>
      <c r="K2" s="58" t="s">
        <v>10</v>
      </c>
      <c r="L2" s="151" t="s">
        <v>505</v>
      </c>
      <c r="M2" s="58"/>
      <c r="N2" s="58">
        <v>1</v>
      </c>
      <c r="O2" s="58" t="s">
        <v>93</v>
      </c>
      <c r="P2" s="58"/>
      <c r="Q2" s="58"/>
    </row>
    <row r="3" spans="1:17">
      <c r="A3" s="149">
        <v>2</v>
      </c>
      <c r="B3" s="59">
        <v>46105</v>
      </c>
      <c r="C3" s="58" t="str">
        <f t="shared" ref="C3:C21" si="0">TEXT(B3,"dddd")</f>
        <v>Tuesday</v>
      </c>
      <c r="D3" s="58" t="s">
        <v>479</v>
      </c>
      <c r="E3" s="58" t="str">
        <f t="shared" ref="E3:E21" si="1">TEXT(B3,"mmmm")</f>
        <v>March</v>
      </c>
      <c r="F3" s="58">
        <v>2026</v>
      </c>
      <c r="G3" s="58">
        <v>3</v>
      </c>
      <c r="H3" s="58" t="s">
        <v>461</v>
      </c>
      <c r="I3" s="140" t="s">
        <v>142</v>
      </c>
      <c r="J3" s="58" t="s">
        <v>462</v>
      </c>
      <c r="K3" s="58" t="s">
        <v>10</v>
      </c>
      <c r="L3" s="2" t="s">
        <v>514</v>
      </c>
      <c r="M3" s="58"/>
      <c r="N3" s="58">
        <v>3</v>
      </c>
      <c r="O3" s="58" t="s">
        <v>102</v>
      </c>
      <c r="P3" s="58"/>
      <c r="Q3" s="58"/>
    </row>
    <row r="4" spans="1:17">
      <c r="A4" s="149">
        <v>3</v>
      </c>
      <c r="B4" s="59">
        <v>46119</v>
      </c>
      <c r="C4" s="58" t="str">
        <f t="shared" si="0"/>
        <v>Tuesday</v>
      </c>
      <c r="D4" s="58" t="s">
        <v>479</v>
      </c>
      <c r="E4" s="58" t="str">
        <f t="shared" si="1"/>
        <v>April</v>
      </c>
      <c r="F4" s="58">
        <v>2026</v>
      </c>
      <c r="G4" s="58">
        <v>3</v>
      </c>
      <c r="H4" s="58" t="s">
        <v>461</v>
      </c>
      <c r="I4" s="140" t="s">
        <v>142</v>
      </c>
      <c r="J4" s="58" t="s">
        <v>462</v>
      </c>
      <c r="K4" s="58" t="s">
        <v>10</v>
      </c>
      <c r="L4" s="2" t="s">
        <v>570</v>
      </c>
      <c r="M4" s="58"/>
      <c r="N4" s="58">
        <v>3</v>
      </c>
      <c r="O4" s="58" t="s">
        <v>102</v>
      </c>
      <c r="P4" s="58"/>
      <c r="Q4" s="58"/>
    </row>
    <row r="5" spans="1:17">
      <c r="A5" s="149">
        <v>4</v>
      </c>
      <c r="B5" s="59">
        <v>46122</v>
      </c>
      <c r="C5" s="58" t="str">
        <f t="shared" si="0"/>
        <v>Friday</v>
      </c>
      <c r="D5" s="58" t="s">
        <v>479</v>
      </c>
      <c r="E5" s="58" t="str">
        <f t="shared" si="1"/>
        <v>April</v>
      </c>
      <c r="F5" s="58">
        <v>2026</v>
      </c>
      <c r="G5" s="58">
        <v>3</v>
      </c>
      <c r="H5" s="58" t="s">
        <v>461</v>
      </c>
      <c r="I5" s="140" t="s">
        <v>142</v>
      </c>
      <c r="J5" s="58" t="s">
        <v>462</v>
      </c>
      <c r="K5" s="58" t="s">
        <v>10</v>
      </c>
      <c r="L5" s="2" t="s">
        <v>582</v>
      </c>
      <c r="M5" s="58"/>
      <c r="N5" s="58">
        <v>3</v>
      </c>
      <c r="O5" s="58" t="s">
        <v>102</v>
      </c>
      <c r="P5" s="58"/>
      <c r="Q5" s="58"/>
    </row>
    <row r="6" spans="1:17">
      <c r="A6" s="149">
        <v>5</v>
      </c>
      <c r="B6" s="59">
        <v>46128</v>
      </c>
      <c r="C6" s="58" t="str">
        <f t="shared" si="0"/>
        <v>Thursday</v>
      </c>
      <c r="D6" s="58" t="s">
        <v>479</v>
      </c>
      <c r="E6" s="58" t="str">
        <f t="shared" si="1"/>
        <v>April</v>
      </c>
      <c r="F6" s="58">
        <v>2026</v>
      </c>
      <c r="G6" s="58">
        <v>3</v>
      </c>
      <c r="H6" s="58" t="s">
        <v>461</v>
      </c>
      <c r="I6" s="140" t="s">
        <v>142</v>
      </c>
      <c r="J6" s="58" t="s">
        <v>462</v>
      </c>
      <c r="K6" s="58" t="s">
        <v>10</v>
      </c>
      <c r="L6" s="2" t="s">
        <v>603</v>
      </c>
      <c r="M6" s="58"/>
      <c r="N6" s="58">
        <v>3</v>
      </c>
      <c r="O6" s="58" t="s">
        <v>102</v>
      </c>
      <c r="P6" s="58"/>
      <c r="Q6" s="58"/>
    </row>
    <row r="7" spans="1:17">
      <c r="A7" s="149">
        <v>6</v>
      </c>
      <c r="B7" s="59">
        <v>46133</v>
      </c>
      <c r="C7" s="58" t="str">
        <f t="shared" si="0"/>
        <v>Tuesday</v>
      </c>
      <c r="D7" s="58" t="s">
        <v>479</v>
      </c>
      <c r="E7" s="58" t="str">
        <f t="shared" si="1"/>
        <v>April</v>
      </c>
      <c r="F7" s="58">
        <v>2026</v>
      </c>
      <c r="G7" s="58">
        <v>3</v>
      </c>
      <c r="H7" s="58" t="s">
        <v>461</v>
      </c>
      <c r="I7" s="140" t="s">
        <v>142</v>
      </c>
      <c r="J7" s="58" t="s">
        <v>462</v>
      </c>
      <c r="K7" s="58" t="s">
        <v>10</v>
      </c>
      <c r="L7" s="2" t="s">
        <v>618</v>
      </c>
      <c r="M7" s="58"/>
      <c r="N7" s="58">
        <v>3</v>
      </c>
      <c r="O7" s="58" t="s">
        <v>102</v>
      </c>
      <c r="P7" s="58"/>
      <c r="Q7" s="58"/>
    </row>
    <row r="8" spans="1:17">
      <c r="A8" s="149"/>
      <c r="B8" s="59">
        <v>46135</v>
      </c>
      <c r="C8" s="58" t="str">
        <f t="shared" si="0"/>
        <v>Thursday</v>
      </c>
      <c r="D8" s="58" t="s">
        <v>631</v>
      </c>
      <c r="E8" s="58" t="str">
        <f t="shared" si="1"/>
        <v>April</v>
      </c>
      <c r="F8" s="58">
        <v>2026</v>
      </c>
      <c r="G8" s="58">
        <v>1</v>
      </c>
      <c r="H8" s="58" t="s">
        <v>461</v>
      </c>
      <c r="I8" s="140" t="s">
        <v>142</v>
      </c>
      <c r="J8" s="58" t="s">
        <v>462</v>
      </c>
      <c r="K8" s="58" t="s">
        <v>10</v>
      </c>
      <c r="L8" s="162" t="s">
        <v>632</v>
      </c>
      <c r="M8" s="58"/>
      <c r="N8" s="58">
        <v>3</v>
      </c>
      <c r="O8" s="58"/>
      <c r="P8" s="58"/>
      <c r="Q8" s="58"/>
    </row>
    <row r="9" spans="1:17">
      <c r="A9" s="149">
        <v>7</v>
      </c>
      <c r="B9" s="59">
        <v>46140</v>
      </c>
      <c r="C9" s="58" t="str">
        <f t="shared" si="0"/>
        <v>Tuesday</v>
      </c>
      <c r="D9" s="58" t="s">
        <v>479</v>
      </c>
      <c r="E9" s="58" t="str">
        <f t="shared" si="1"/>
        <v>April</v>
      </c>
      <c r="F9" s="58">
        <v>2026</v>
      </c>
      <c r="G9" s="58">
        <v>3</v>
      </c>
      <c r="H9" s="58" t="s">
        <v>461</v>
      </c>
      <c r="I9" s="140" t="s">
        <v>142</v>
      </c>
      <c r="J9" s="58" t="s">
        <v>462</v>
      </c>
      <c r="K9" s="58" t="s">
        <v>10</v>
      </c>
      <c r="L9" s="2" t="s">
        <v>648</v>
      </c>
      <c r="M9" s="58"/>
      <c r="N9" s="58">
        <v>3</v>
      </c>
      <c r="O9" s="58" t="s">
        <v>102</v>
      </c>
      <c r="P9" s="58"/>
      <c r="Q9" s="58"/>
    </row>
    <row r="10" spans="1:17">
      <c r="A10" s="149">
        <v>8</v>
      </c>
      <c r="B10" s="59">
        <v>46142</v>
      </c>
      <c r="C10" s="58" t="str">
        <f t="shared" si="0"/>
        <v>Thursday</v>
      </c>
      <c r="D10" s="58" t="s">
        <v>479</v>
      </c>
      <c r="E10" s="58" t="str">
        <f t="shared" si="1"/>
        <v>April</v>
      </c>
      <c r="F10" s="58">
        <v>2026</v>
      </c>
      <c r="G10" s="58">
        <v>3</v>
      </c>
      <c r="H10" s="58" t="s">
        <v>461</v>
      </c>
      <c r="I10" s="140" t="s">
        <v>142</v>
      </c>
      <c r="J10" s="58" t="s">
        <v>462</v>
      </c>
      <c r="K10" s="58" t="s">
        <v>10</v>
      </c>
      <c r="L10" s="2" t="s">
        <v>653</v>
      </c>
      <c r="M10" s="58"/>
      <c r="N10" s="58">
        <v>3</v>
      </c>
      <c r="O10" s="58" t="s">
        <v>102</v>
      </c>
      <c r="P10" s="58"/>
      <c r="Q10" s="58"/>
    </row>
    <row r="11" spans="1:17">
      <c r="A11" s="149">
        <v>9</v>
      </c>
      <c r="B11" s="59">
        <v>46147</v>
      </c>
      <c r="C11" s="58" t="str">
        <f t="shared" si="0"/>
        <v>Tuesday</v>
      </c>
      <c r="D11" s="58" t="s">
        <v>479</v>
      </c>
      <c r="E11" s="58" t="str">
        <f t="shared" si="1"/>
        <v>May</v>
      </c>
      <c r="F11" s="58">
        <v>2026</v>
      </c>
      <c r="G11" s="58">
        <v>3</v>
      </c>
      <c r="H11" s="58" t="s">
        <v>461</v>
      </c>
      <c r="I11" s="140" t="s">
        <v>142</v>
      </c>
      <c r="J11" s="58" t="s">
        <v>462</v>
      </c>
      <c r="K11" s="58" t="s">
        <v>10</v>
      </c>
      <c r="L11" s="2" t="s">
        <v>663</v>
      </c>
      <c r="M11" s="58"/>
      <c r="N11" s="58">
        <v>3</v>
      </c>
      <c r="O11" s="58" t="s">
        <v>138</v>
      </c>
      <c r="P11" s="58"/>
      <c r="Q11" s="58"/>
    </row>
    <row r="12" spans="1:17">
      <c r="A12" s="149">
        <v>10</v>
      </c>
      <c r="B12" s="59">
        <v>46149</v>
      </c>
      <c r="C12" s="58" t="str">
        <f t="shared" si="0"/>
        <v>Thursday</v>
      </c>
      <c r="D12" s="58" t="s">
        <v>479</v>
      </c>
      <c r="E12" s="58" t="str">
        <f t="shared" si="1"/>
        <v>May</v>
      </c>
      <c r="F12" s="58">
        <v>2026</v>
      </c>
      <c r="G12" s="58">
        <v>3</v>
      </c>
      <c r="H12" s="58" t="s">
        <v>461</v>
      </c>
      <c r="I12" s="140" t="s">
        <v>142</v>
      </c>
      <c r="J12" s="58" t="s">
        <v>462</v>
      </c>
      <c r="K12" s="58" t="s">
        <v>10</v>
      </c>
      <c r="L12" s="2" t="s">
        <v>675</v>
      </c>
      <c r="M12" s="58"/>
      <c r="N12" s="58">
        <v>3</v>
      </c>
      <c r="O12" s="58" t="s">
        <v>138</v>
      </c>
      <c r="P12" s="58"/>
      <c r="Q12" s="58"/>
    </row>
    <row r="13" spans="1:17">
      <c r="A13" s="149">
        <v>11</v>
      </c>
      <c r="B13" s="59">
        <v>46154</v>
      </c>
      <c r="C13" s="58" t="str">
        <f t="shared" si="0"/>
        <v>Tuesday</v>
      </c>
      <c r="D13" s="58" t="s">
        <v>479</v>
      </c>
      <c r="E13" s="58" t="str">
        <f t="shared" si="1"/>
        <v>May</v>
      </c>
      <c r="F13" s="58">
        <v>2026</v>
      </c>
      <c r="G13" s="58">
        <v>3</v>
      </c>
      <c r="H13" s="58" t="s">
        <v>461</v>
      </c>
      <c r="I13" s="140" t="s">
        <v>142</v>
      </c>
      <c r="J13" s="58" t="s">
        <v>462</v>
      </c>
      <c r="K13" s="58" t="s">
        <v>10</v>
      </c>
      <c r="L13" s="2" t="s">
        <v>691</v>
      </c>
      <c r="M13" s="58"/>
      <c r="N13" s="58">
        <v>3</v>
      </c>
      <c r="O13" s="58" t="s">
        <v>138</v>
      </c>
      <c r="P13" s="58"/>
      <c r="Q13" s="58"/>
    </row>
    <row r="14" spans="1:17">
      <c r="A14" s="149"/>
      <c r="B14" s="59">
        <v>46156</v>
      </c>
      <c r="C14" s="58" t="str">
        <f t="shared" si="0"/>
        <v>Thursday</v>
      </c>
      <c r="D14" s="58" t="s">
        <v>631</v>
      </c>
      <c r="E14" s="58" t="str">
        <f t="shared" si="1"/>
        <v>May</v>
      </c>
      <c r="F14" s="58">
        <v>2026</v>
      </c>
      <c r="G14" s="58">
        <v>1</v>
      </c>
      <c r="H14" s="58" t="s">
        <v>461</v>
      </c>
      <c r="I14" s="140" t="s">
        <v>142</v>
      </c>
      <c r="J14" s="58" t="s">
        <v>462</v>
      </c>
      <c r="K14" s="58" t="s">
        <v>10</v>
      </c>
      <c r="L14" s="162" t="s">
        <v>595</v>
      </c>
      <c r="M14" s="58"/>
      <c r="N14" s="58">
        <v>3</v>
      </c>
      <c r="O14" s="58"/>
      <c r="P14" s="58"/>
      <c r="Q14" s="58"/>
    </row>
    <row r="15" spans="1:17">
      <c r="A15" s="149">
        <v>12</v>
      </c>
      <c r="B15" s="59">
        <v>46161</v>
      </c>
      <c r="C15" s="58" t="str">
        <f t="shared" si="0"/>
        <v>Tuesday</v>
      </c>
      <c r="D15" s="58" t="s">
        <v>479</v>
      </c>
      <c r="E15" s="58" t="str">
        <f t="shared" si="1"/>
        <v>May</v>
      </c>
      <c r="F15" s="58">
        <v>2026</v>
      </c>
      <c r="G15" s="58">
        <v>3</v>
      </c>
      <c r="H15" s="58" t="s">
        <v>461</v>
      </c>
      <c r="I15" s="140" t="s">
        <v>142</v>
      </c>
      <c r="J15" s="58" t="s">
        <v>462</v>
      </c>
      <c r="K15" s="58" t="s">
        <v>10</v>
      </c>
      <c r="L15" s="2" t="s">
        <v>722</v>
      </c>
      <c r="M15" s="58"/>
      <c r="N15" s="58">
        <v>3</v>
      </c>
      <c r="O15" s="58" t="s">
        <v>102</v>
      </c>
      <c r="P15" s="58"/>
      <c r="Q15" s="58"/>
    </row>
    <row r="16" spans="1:17">
      <c r="A16" s="149">
        <v>13</v>
      </c>
      <c r="B16" s="59">
        <v>46163</v>
      </c>
      <c r="C16" s="58" t="str">
        <f t="shared" si="0"/>
        <v>Thursday</v>
      </c>
      <c r="D16" s="58" t="s">
        <v>479</v>
      </c>
      <c r="E16" s="58" t="str">
        <f t="shared" si="1"/>
        <v>May</v>
      </c>
      <c r="F16" s="58">
        <v>2026</v>
      </c>
      <c r="G16" s="58">
        <v>3</v>
      </c>
      <c r="H16" s="58" t="s">
        <v>461</v>
      </c>
      <c r="I16" s="140" t="s">
        <v>142</v>
      </c>
      <c r="J16" s="58" t="s">
        <v>462</v>
      </c>
      <c r="K16" s="58" t="s">
        <v>10</v>
      </c>
      <c r="L16" s="2" t="s">
        <v>736</v>
      </c>
      <c r="M16" s="58"/>
      <c r="N16" s="58">
        <v>3</v>
      </c>
      <c r="O16" s="58" t="s">
        <v>102</v>
      </c>
      <c r="P16" s="58"/>
      <c r="Q16" s="58"/>
    </row>
    <row r="17" spans="1:17">
      <c r="A17" s="149">
        <v>14</v>
      </c>
      <c r="B17" s="59">
        <v>46168</v>
      </c>
      <c r="C17" s="58" t="str">
        <f t="shared" si="0"/>
        <v>Tuesday</v>
      </c>
      <c r="D17" s="58" t="s">
        <v>479</v>
      </c>
      <c r="E17" s="58" t="str">
        <f t="shared" si="1"/>
        <v>May</v>
      </c>
      <c r="F17" s="58">
        <v>2026</v>
      </c>
      <c r="G17" s="58">
        <v>3</v>
      </c>
      <c r="H17" s="58" t="s">
        <v>461</v>
      </c>
      <c r="I17" s="140" t="s">
        <v>142</v>
      </c>
      <c r="J17" s="58" t="s">
        <v>462</v>
      </c>
      <c r="K17" s="58" t="s">
        <v>10</v>
      </c>
      <c r="L17" s="2" t="s">
        <v>753</v>
      </c>
      <c r="M17" s="58"/>
      <c r="N17" s="58">
        <v>3</v>
      </c>
      <c r="O17" s="58" t="s">
        <v>102</v>
      </c>
      <c r="P17" s="58"/>
      <c r="Q17" s="58"/>
    </row>
    <row r="18" spans="1:17">
      <c r="A18" s="149">
        <v>15</v>
      </c>
      <c r="B18" s="59">
        <v>46170</v>
      </c>
      <c r="C18" s="58" t="str">
        <f t="shared" si="0"/>
        <v>Thursday</v>
      </c>
      <c r="D18" s="58" t="s">
        <v>479</v>
      </c>
      <c r="E18" s="58" t="str">
        <f t="shared" si="1"/>
        <v>May</v>
      </c>
      <c r="F18" s="58">
        <v>2026</v>
      </c>
      <c r="G18" s="58">
        <v>3</v>
      </c>
      <c r="H18" s="58" t="s">
        <v>461</v>
      </c>
      <c r="I18" s="140" t="s">
        <v>142</v>
      </c>
      <c r="J18" s="58" t="s">
        <v>462</v>
      </c>
      <c r="K18" s="58" t="s">
        <v>10</v>
      </c>
      <c r="L18" s="2" t="s">
        <v>757</v>
      </c>
      <c r="M18" s="58"/>
      <c r="N18" s="58">
        <v>3</v>
      </c>
      <c r="O18" s="58" t="s">
        <v>102</v>
      </c>
      <c r="P18" s="58"/>
      <c r="Q18" s="58"/>
    </row>
    <row r="19" spans="1:17">
      <c r="A19" s="149">
        <v>16</v>
      </c>
      <c r="B19" s="59">
        <v>46177</v>
      </c>
      <c r="C19" s="58" t="str">
        <f t="shared" si="0"/>
        <v>Thursday</v>
      </c>
      <c r="D19" s="58" t="s">
        <v>479</v>
      </c>
      <c r="E19" s="58" t="str">
        <f t="shared" si="1"/>
        <v>June</v>
      </c>
      <c r="F19" s="58">
        <v>2026</v>
      </c>
      <c r="G19" s="58">
        <v>3</v>
      </c>
      <c r="H19" s="58" t="s">
        <v>461</v>
      </c>
      <c r="I19" s="140" t="s">
        <v>142</v>
      </c>
      <c r="J19" s="58" t="s">
        <v>462</v>
      </c>
      <c r="K19" s="58" t="s">
        <v>10</v>
      </c>
      <c r="L19" s="2" t="s">
        <v>776</v>
      </c>
      <c r="M19" s="58"/>
      <c r="N19" s="58">
        <v>3</v>
      </c>
      <c r="O19" s="58" t="s">
        <v>102</v>
      </c>
      <c r="P19" s="58"/>
      <c r="Q19" s="58"/>
    </row>
    <row r="20" spans="1:17">
      <c r="A20" s="149">
        <v>17</v>
      </c>
      <c r="B20" s="59">
        <v>46182</v>
      </c>
      <c r="C20" s="58" t="str">
        <f t="shared" si="0"/>
        <v>Tuesday</v>
      </c>
      <c r="D20" s="58" t="s">
        <v>479</v>
      </c>
      <c r="E20" s="58" t="str">
        <f t="shared" si="1"/>
        <v>June</v>
      </c>
      <c r="F20" s="58">
        <v>2026</v>
      </c>
      <c r="G20" s="58">
        <v>3</v>
      </c>
      <c r="H20" s="58" t="s">
        <v>461</v>
      </c>
      <c r="I20" s="140" t="s">
        <v>142</v>
      </c>
      <c r="J20" s="58" t="s">
        <v>462</v>
      </c>
      <c r="K20" s="58" t="s">
        <v>10</v>
      </c>
      <c r="L20" s="2" t="s">
        <v>787</v>
      </c>
      <c r="M20" s="58"/>
      <c r="N20" s="58"/>
      <c r="O20" s="58" t="s">
        <v>102</v>
      </c>
      <c r="P20" s="58"/>
      <c r="Q20" s="58"/>
    </row>
    <row r="21" spans="1:17">
      <c r="A21" s="149">
        <v>18</v>
      </c>
      <c r="B21" s="59">
        <v>46184</v>
      </c>
      <c r="C21" s="58" t="str">
        <f t="shared" si="0"/>
        <v>Thursday</v>
      </c>
      <c r="D21" s="58" t="s">
        <v>479</v>
      </c>
      <c r="E21" s="58" t="str">
        <f t="shared" si="1"/>
        <v>June</v>
      </c>
      <c r="F21" s="58">
        <v>2026</v>
      </c>
      <c r="G21" s="58">
        <v>3</v>
      </c>
      <c r="H21" s="58" t="s">
        <v>461</v>
      </c>
      <c r="I21" s="140" t="s">
        <v>142</v>
      </c>
      <c r="J21" s="58" t="s">
        <v>462</v>
      </c>
      <c r="K21" s="58" t="s">
        <v>10</v>
      </c>
      <c r="L21" s="150" t="s">
        <v>794</v>
      </c>
      <c r="M21" s="58"/>
      <c r="N21" s="58">
        <v>3</v>
      </c>
      <c r="O21" s="58" t="s">
        <v>102</v>
      </c>
      <c r="P21" s="58" t="s">
        <v>82</v>
      </c>
      <c r="Q21" s="58"/>
    </row>
    <row r="22" spans="1:17">
      <c r="A22" s="149">
        <v>19</v>
      </c>
      <c r="B22" s="59">
        <v>46189</v>
      </c>
      <c r="C22" s="58" t="str">
        <f t="shared" ref="C22:C24" si="2">TEXT(B22,"dddd")</f>
        <v>Tuesday</v>
      </c>
      <c r="D22" s="58" t="s">
        <v>479</v>
      </c>
      <c r="E22" s="58" t="str">
        <f t="shared" ref="E22:E24" si="3">TEXT(B22,"mmmm")</f>
        <v>June</v>
      </c>
      <c r="F22" s="58">
        <v>2026</v>
      </c>
      <c r="G22" s="58">
        <v>3</v>
      </c>
      <c r="H22" s="58" t="s">
        <v>461</v>
      </c>
      <c r="I22" s="140" t="s">
        <v>142</v>
      </c>
      <c r="J22" s="58" t="s">
        <v>462</v>
      </c>
      <c r="K22" s="58" t="s">
        <v>10</v>
      </c>
      <c r="L22" s="150" t="s">
        <v>806</v>
      </c>
      <c r="M22" s="58"/>
      <c r="N22" s="58"/>
      <c r="O22" s="58" t="s">
        <v>102</v>
      </c>
      <c r="P22" s="58" t="s">
        <v>138</v>
      </c>
      <c r="Q22" s="58"/>
    </row>
    <row r="23" spans="1:17">
      <c r="A23" s="149"/>
      <c r="B23" s="59">
        <v>46191</v>
      </c>
      <c r="C23" s="58" t="str">
        <f t="shared" si="2"/>
        <v>Thursday</v>
      </c>
      <c r="D23" s="58" t="s">
        <v>479</v>
      </c>
      <c r="E23" s="58" t="str">
        <f t="shared" si="3"/>
        <v>June</v>
      </c>
      <c r="F23" s="58">
        <v>2026</v>
      </c>
      <c r="G23" s="58">
        <v>3</v>
      </c>
      <c r="H23" s="58" t="s">
        <v>461</v>
      </c>
      <c r="I23" s="140" t="s">
        <v>142</v>
      </c>
      <c r="J23" s="58" t="s">
        <v>462</v>
      </c>
      <c r="K23" s="58" t="s">
        <v>10</v>
      </c>
      <c r="L23" s="150" t="s">
        <v>391</v>
      </c>
      <c r="M23" s="58"/>
      <c r="N23" s="58"/>
      <c r="O23" s="58"/>
      <c r="P23" s="58"/>
      <c r="Q23" s="58"/>
    </row>
    <row r="24" spans="1:17">
      <c r="A24" s="149"/>
      <c r="B24" s="59">
        <v>46196</v>
      </c>
      <c r="C24" s="58" t="str">
        <f t="shared" si="2"/>
        <v>Tuesday</v>
      </c>
      <c r="D24" s="58" t="s">
        <v>479</v>
      </c>
      <c r="E24" s="58" t="str">
        <f t="shared" si="3"/>
        <v>June</v>
      </c>
      <c r="F24" s="58">
        <v>2026</v>
      </c>
      <c r="G24" s="58">
        <v>3</v>
      </c>
      <c r="H24" s="58" t="s">
        <v>461</v>
      </c>
      <c r="I24" s="140" t="s">
        <v>142</v>
      </c>
      <c r="J24" s="58" t="s">
        <v>462</v>
      </c>
      <c r="K24" s="58" t="s">
        <v>10</v>
      </c>
      <c r="L24" s="162" t="s">
        <v>803</v>
      </c>
      <c r="M24" s="58"/>
      <c r="N24" s="58"/>
      <c r="O24" s="58" t="s">
        <v>102</v>
      </c>
      <c r="P24" s="58" t="s">
        <v>138</v>
      </c>
      <c r="Q24" s="58"/>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775AD-3FD1-47C4-A46A-AB3D2ED65216}">
  <dimension ref="A1:Q24"/>
  <sheetViews>
    <sheetView workbookViewId="0">
      <selection activeCell="A23" sqref="A23"/>
    </sheetView>
  </sheetViews>
  <sheetFormatPr defaultRowHeight="15"/>
  <cols>
    <col min="2" max="2" width="19.42578125" customWidth="1"/>
    <col min="3" max="3" width="13.42578125" customWidth="1"/>
    <col min="4" max="4" width="29.28515625" customWidth="1"/>
    <col min="5" max="5" width="10.42578125" bestFit="1" customWidth="1"/>
    <col min="7" max="7" width="18.42578125" bestFit="1" customWidth="1"/>
    <col min="8" max="8" width="9.42578125" bestFit="1" customWidth="1"/>
    <col min="9" max="9" width="20.1406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ht="17.25">
      <c r="A1" s="105"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49">
        <v>1</v>
      </c>
      <c r="B2" s="59">
        <v>46100</v>
      </c>
      <c r="C2" s="58" t="str">
        <f>TEXT(B2,"dddd")</f>
        <v>Thursday</v>
      </c>
      <c r="D2" s="140" t="s">
        <v>504</v>
      </c>
      <c r="E2" s="58" t="str">
        <f>TEXT(B2,"mmmm")</f>
        <v>March</v>
      </c>
      <c r="F2" s="58">
        <v>2026</v>
      </c>
      <c r="G2" s="58">
        <v>0.5</v>
      </c>
      <c r="H2" s="58" t="s">
        <v>461</v>
      </c>
      <c r="I2" s="140" t="s">
        <v>142</v>
      </c>
      <c r="J2" s="58" t="s">
        <v>462</v>
      </c>
      <c r="K2" s="58" t="s">
        <v>101</v>
      </c>
      <c r="L2" s="151" t="s">
        <v>463</v>
      </c>
      <c r="M2" s="58"/>
      <c r="N2" s="58">
        <v>1</v>
      </c>
      <c r="O2" s="58" t="s">
        <v>93</v>
      </c>
      <c r="P2" s="58"/>
      <c r="Q2" s="58"/>
    </row>
    <row r="3" spans="1:17">
      <c r="A3" s="149">
        <v>2</v>
      </c>
      <c r="B3" s="59">
        <v>46105</v>
      </c>
      <c r="C3" s="58" t="str">
        <f t="shared" ref="C3:C24" si="0">TEXT(B3,"dddd")</f>
        <v>Tuesday</v>
      </c>
      <c r="D3" s="58" t="s">
        <v>477</v>
      </c>
      <c r="E3" s="58" t="str">
        <f t="shared" ref="E3:E24" si="1">TEXT(B3,"mmmm")</f>
        <v>March</v>
      </c>
      <c r="F3" s="58">
        <v>2026</v>
      </c>
      <c r="G3" s="58">
        <v>3</v>
      </c>
      <c r="H3" s="58" t="s">
        <v>461</v>
      </c>
      <c r="I3" s="140" t="s">
        <v>142</v>
      </c>
      <c r="J3" s="58" t="s">
        <v>462</v>
      </c>
      <c r="K3" s="58" t="s">
        <v>101</v>
      </c>
      <c r="L3" s="2" t="s">
        <v>514</v>
      </c>
      <c r="M3" s="58"/>
      <c r="N3" s="58">
        <v>3</v>
      </c>
      <c r="O3" s="58" t="s">
        <v>82</v>
      </c>
      <c r="P3" s="58"/>
      <c r="Q3" s="58"/>
    </row>
    <row r="4" spans="1:17">
      <c r="A4" s="149">
        <v>3</v>
      </c>
      <c r="B4" s="59">
        <v>46119</v>
      </c>
      <c r="C4" s="58" t="str">
        <f t="shared" si="0"/>
        <v>Tuesday</v>
      </c>
      <c r="D4" s="58" t="s">
        <v>477</v>
      </c>
      <c r="E4" s="58" t="str">
        <f t="shared" si="1"/>
        <v>April</v>
      </c>
      <c r="F4" s="58">
        <v>2026</v>
      </c>
      <c r="G4" s="58">
        <v>3</v>
      </c>
      <c r="H4" s="58" t="s">
        <v>461</v>
      </c>
      <c r="I4" s="140" t="s">
        <v>142</v>
      </c>
      <c r="J4" s="58" t="s">
        <v>462</v>
      </c>
      <c r="K4" s="58" t="s">
        <v>101</v>
      </c>
      <c r="L4" s="2" t="s">
        <v>570</v>
      </c>
      <c r="M4" s="58"/>
      <c r="N4" s="58">
        <v>3</v>
      </c>
      <c r="O4" s="58" t="s">
        <v>179</v>
      </c>
      <c r="P4" s="58"/>
      <c r="Q4" s="58"/>
    </row>
    <row r="5" spans="1:17">
      <c r="A5" s="149">
        <v>4</v>
      </c>
      <c r="B5" s="59">
        <v>46125</v>
      </c>
      <c r="C5" s="58" t="str">
        <f t="shared" si="0"/>
        <v>Monday</v>
      </c>
      <c r="D5" s="58" t="s">
        <v>477</v>
      </c>
      <c r="E5" s="58" t="str">
        <f t="shared" si="1"/>
        <v>April</v>
      </c>
      <c r="F5" s="58">
        <v>2026</v>
      </c>
      <c r="G5" s="58">
        <v>3</v>
      </c>
      <c r="H5" s="58" t="s">
        <v>461</v>
      </c>
      <c r="I5" s="140" t="s">
        <v>142</v>
      </c>
      <c r="J5" s="58" t="s">
        <v>462</v>
      </c>
      <c r="K5" s="58" t="s">
        <v>101</v>
      </c>
      <c r="L5" s="2" t="s">
        <v>582</v>
      </c>
      <c r="M5" s="58"/>
      <c r="N5" s="58">
        <v>3</v>
      </c>
      <c r="O5" s="58" t="s">
        <v>179</v>
      </c>
      <c r="P5" s="58"/>
      <c r="Q5" s="58"/>
    </row>
    <row r="6" spans="1:17">
      <c r="A6" s="149">
        <v>5</v>
      </c>
      <c r="B6" s="59">
        <v>46128</v>
      </c>
      <c r="C6" s="58" t="str">
        <f t="shared" si="0"/>
        <v>Thursday</v>
      </c>
      <c r="D6" s="58" t="s">
        <v>477</v>
      </c>
      <c r="E6" s="58" t="str">
        <f t="shared" si="1"/>
        <v>April</v>
      </c>
      <c r="F6" s="58">
        <v>2026</v>
      </c>
      <c r="G6" s="58">
        <v>3</v>
      </c>
      <c r="H6" s="58" t="s">
        <v>461</v>
      </c>
      <c r="I6" s="140" t="s">
        <v>142</v>
      </c>
      <c r="J6" s="58" t="s">
        <v>462</v>
      </c>
      <c r="K6" s="58" t="s">
        <v>101</v>
      </c>
      <c r="L6" s="2" t="s">
        <v>603</v>
      </c>
      <c r="M6" s="58"/>
      <c r="N6" s="58">
        <v>3</v>
      </c>
      <c r="O6" s="58" t="s">
        <v>179</v>
      </c>
      <c r="P6" s="58"/>
      <c r="Q6" s="58"/>
    </row>
    <row r="7" spans="1:17">
      <c r="A7" s="149">
        <v>6</v>
      </c>
      <c r="B7" s="59">
        <v>46133</v>
      </c>
      <c r="C7" s="58" t="str">
        <f t="shared" si="0"/>
        <v>Tuesday</v>
      </c>
      <c r="D7" s="58" t="s">
        <v>477</v>
      </c>
      <c r="E7" s="58" t="str">
        <f t="shared" si="1"/>
        <v>April</v>
      </c>
      <c r="F7" s="58">
        <v>2026</v>
      </c>
      <c r="G7" s="58">
        <v>3</v>
      </c>
      <c r="H7" s="58" t="s">
        <v>461</v>
      </c>
      <c r="I7" s="140" t="s">
        <v>142</v>
      </c>
      <c r="J7" s="58" t="s">
        <v>462</v>
      </c>
      <c r="K7" s="58" t="s">
        <v>101</v>
      </c>
      <c r="L7" s="2" t="s">
        <v>618</v>
      </c>
      <c r="M7" s="58"/>
      <c r="N7" s="58">
        <v>3</v>
      </c>
      <c r="O7" s="58" t="s">
        <v>179</v>
      </c>
      <c r="P7" s="58"/>
      <c r="Q7" s="58"/>
    </row>
    <row r="8" spans="1:17">
      <c r="A8" s="149"/>
      <c r="B8" s="59">
        <v>46135</v>
      </c>
      <c r="C8" s="58" t="str">
        <f t="shared" si="0"/>
        <v>Thursday</v>
      </c>
      <c r="D8" s="58" t="s">
        <v>477</v>
      </c>
      <c r="E8" s="58" t="str">
        <f t="shared" si="1"/>
        <v>April</v>
      </c>
      <c r="F8" s="58">
        <v>2026</v>
      </c>
      <c r="G8" s="58">
        <v>3</v>
      </c>
      <c r="H8" s="58" t="s">
        <v>461</v>
      </c>
      <c r="I8" s="140" t="s">
        <v>142</v>
      </c>
      <c r="J8" s="58" t="s">
        <v>462</v>
      </c>
      <c r="K8" s="58" t="s">
        <v>101</v>
      </c>
      <c r="L8" s="152" t="s">
        <v>632</v>
      </c>
      <c r="M8" s="58"/>
      <c r="N8" s="58">
        <v>3</v>
      </c>
      <c r="O8" s="58"/>
      <c r="P8" s="58"/>
      <c r="Q8" s="58"/>
    </row>
    <row r="9" spans="1:17">
      <c r="A9" s="149">
        <v>7</v>
      </c>
      <c r="B9" s="59">
        <v>46140</v>
      </c>
      <c r="C9" s="58" t="str">
        <f t="shared" si="0"/>
        <v>Tuesday</v>
      </c>
      <c r="D9" s="58" t="s">
        <v>477</v>
      </c>
      <c r="E9" s="58" t="str">
        <f t="shared" si="1"/>
        <v>April</v>
      </c>
      <c r="F9" s="58">
        <v>2026</v>
      </c>
      <c r="G9" s="58">
        <v>3</v>
      </c>
      <c r="H9" s="58" t="s">
        <v>461</v>
      </c>
      <c r="I9" s="140" t="s">
        <v>142</v>
      </c>
      <c r="J9" s="58" t="s">
        <v>462</v>
      </c>
      <c r="K9" s="58" t="s">
        <v>101</v>
      </c>
      <c r="L9" s="2" t="s">
        <v>648</v>
      </c>
      <c r="M9" s="58"/>
      <c r="N9" s="58">
        <v>3</v>
      </c>
      <c r="O9" s="58" t="s">
        <v>138</v>
      </c>
      <c r="P9" s="58"/>
      <c r="Q9" s="58"/>
    </row>
    <row r="10" spans="1:17">
      <c r="A10" s="149">
        <v>8</v>
      </c>
      <c r="B10" s="59">
        <v>46142</v>
      </c>
      <c r="C10" s="58" t="str">
        <f t="shared" si="0"/>
        <v>Thursday</v>
      </c>
      <c r="D10" s="58" t="s">
        <v>477</v>
      </c>
      <c r="E10" s="58" t="str">
        <f t="shared" si="1"/>
        <v>April</v>
      </c>
      <c r="F10" s="58">
        <v>2026</v>
      </c>
      <c r="G10" s="58">
        <v>3</v>
      </c>
      <c r="H10" s="58" t="s">
        <v>461</v>
      </c>
      <c r="I10" s="140" t="s">
        <v>142</v>
      </c>
      <c r="J10" s="58" t="s">
        <v>462</v>
      </c>
      <c r="K10" s="58" t="s">
        <v>101</v>
      </c>
      <c r="L10" s="2" t="s">
        <v>653</v>
      </c>
      <c r="M10" s="58"/>
      <c r="N10" s="58">
        <v>3</v>
      </c>
      <c r="O10" s="58" t="s">
        <v>138</v>
      </c>
      <c r="P10" s="58"/>
      <c r="Q10" s="58"/>
    </row>
    <row r="11" spans="1:17">
      <c r="A11" s="149">
        <v>9</v>
      </c>
      <c r="B11" s="59">
        <v>46147</v>
      </c>
      <c r="C11" s="58" t="str">
        <f t="shared" si="0"/>
        <v>Tuesday</v>
      </c>
      <c r="D11" s="58" t="s">
        <v>477</v>
      </c>
      <c r="E11" s="58" t="str">
        <f t="shared" si="1"/>
        <v>May</v>
      </c>
      <c r="F11" s="58">
        <v>2026</v>
      </c>
      <c r="G11" s="58">
        <v>3</v>
      </c>
      <c r="H11" s="58" t="s">
        <v>461</v>
      </c>
      <c r="I11" s="140" t="s">
        <v>142</v>
      </c>
      <c r="J11" s="58" t="s">
        <v>462</v>
      </c>
      <c r="K11" s="58" t="s">
        <v>101</v>
      </c>
      <c r="L11" s="2" t="s">
        <v>663</v>
      </c>
      <c r="M11" s="58"/>
      <c r="N11" s="58">
        <v>3</v>
      </c>
      <c r="O11" s="58" t="s">
        <v>179</v>
      </c>
      <c r="P11" s="58"/>
      <c r="Q11" s="58"/>
    </row>
    <row r="12" spans="1:17">
      <c r="A12" s="149">
        <v>10</v>
      </c>
      <c r="B12" s="59">
        <v>46149</v>
      </c>
      <c r="C12" s="58" t="str">
        <f t="shared" si="0"/>
        <v>Thursday</v>
      </c>
      <c r="D12" s="58" t="s">
        <v>477</v>
      </c>
      <c r="E12" s="58" t="str">
        <f t="shared" si="1"/>
        <v>May</v>
      </c>
      <c r="F12" s="58">
        <v>2026</v>
      </c>
      <c r="G12" s="58">
        <v>3</v>
      </c>
      <c r="H12" s="58" t="s">
        <v>461</v>
      </c>
      <c r="I12" s="140" t="s">
        <v>142</v>
      </c>
      <c r="J12" s="58" t="s">
        <v>462</v>
      </c>
      <c r="K12" s="58" t="s">
        <v>101</v>
      </c>
      <c r="L12" s="2" t="s">
        <v>675</v>
      </c>
      <c r="M12" s="58"/>
      <c r="N12" s="58">
        <v>3</v>
      </c>
      <c r="O12" s="58" t="s">
        <v>140</v>
      </c>
      <c r="P12" s="58"/>
      <c r="Q12" s="58"/>
    </row>
    <row r="13" spans="1:17">
      <c r="A13" s="149">
        <v>11</v>
      </c>
      <c r="B13" s="59">
        <v>46154</v>
      </c>
      <c r="C13" s="58" t="str">
        <f t="shared" si="0"/>
        <v>Tuesday</v>
      </c>
      <c r="D13" s="58" t="s">
        <v>477</v>
      </c>
      <c r="E13" s="58" t="str">
        <f t="shared" si="1"/>
        <v>May</v>
      </c>
      <c r="F13" s="58">
        <v>2026</v>
      </c>
      <c r="G13" s="58">
        <v>3</v>
      </c>
      <c r="H13" s="58" t="s">
        <v>461</v>
      </c>
      <c r="I13" s="140" t="s">
        <v>142</v>
      </c>
      <c r="J13" s="58" t="s">
        <v>462</v>
      </c>
      <c r="K13" s="58" t="s">
        <v>101</v>
      </c>
      <c r="L13" s="2" t="s">
        <v>691</v>
      </c>
      <c r="M13" s="58"/>
      <c r="N13" s="58">
        <v>3</v>
      </c>
      <c r="O13" s="58" t="s">
        <v>82</v>
      </c>
      <c r="P13" s="58"/>
      <c r="Q13" s="58"/>
    </row>
    <row r="14" spans="1:17">
      <c r="A14" s="149"/>
      <c r="B14" s="59">
        <v>46156</v>
      </c>
      <c r="C14" s="58" t="str">
        <f t="shared" si="0"/>
        <v>Thursday</v>
      </c>
      <c r="D14" s="58" t="s">
        <v>477</v>
      </c>
      <c r="E14" s="58" t="str">
        <f t="shared" si="1"/>
        <v>May</v>
      </c>
      <c r="F14" s="58">
        <v>2026</v>
      </c>
      <c r="G14" s="58">
        <v>3</v>
      </c>
      <c r="H14" s="58" t="s">
        <v>461</v>
      </c>
      <c r="I14" s="140" t="s">
        <v>142</v>
      </c>
      <c r="J14" s="58" t="s">
        <v>462</v>
      </c>
      <c r="K14" s="58" t="s">
        <v>101</v>
      </c>
      <c r="L14" s="152" t="s">
        <v>595</v>
      </c>
      <c r="M14" s="58"/>
      <c r="N14" s="58">
        <v>3</v>
      </c>
      <c r="O14" s="58"/>
      <c r="P14" s="58"/>
      <c r="Q14" s="58"/>
    </row>
    <row r="15" spans="1:17">
      <c r="A15" s="149">
        <v>12</v>
      </c>
      <c r="B15" s="59">
        <v>46161</v>
      </c>
      <c r="C15" s="58" t="str">
        <f t="shared" si="0"/>
        <v>Tuesday</v>
      </c>
      <c r="D15" s="58" t="s">
        <v>477</v>
      </c>
      <c r="E15" s="58" t="str">
        <f t="shared" si="1"/>
        <v>May</v>
      </c>
      <c r="F15" s="58">
        <v>2026</v>
      </c>
      <c r="G15" s="58">
        <v>3</v>
      </c>
      <c r="H15" s="58" t="s">
        <v>461</v>
      </c>
      <c r="I15" s="140" t="s">
        <v>142</v>
      </c>
      <c r="J15" s="58" t="s">
        <v>462</v>
      </c>
      <c r="K15" s="58" t="s">
        <v>101</v>
      </c>
      <c r="L15" s="2" t="s">
        <v>722</v>
      </c>
      <c r="M15" s="58"/>
      <c r="N15" s="58">
        <v>3</v>
      </c>
      <c r="O15" s="58" t="s">
        <v>138</v>
      </c>
      <c r="P15" s="58"/>
      <c r="Q15" s="58"/>
    </row>
    <row r="16" spans="1:17">
      <c r="A16" s="149">
        <v>13</v>
      </c>
      <c r="B16" s="59">
        <v>46163</v>
      </c>
      <c r="C16" s="58" t="str">
        <f t="shared" si="0"/>
        <v>Thursday</v>
      </c>
      <c r="D16" s="58" t="s">
        <v>477</v>
      </c>
      <c r="E16" s="58" t="str">
        <f t="shared" si="1"/>
        <v>May</v>
      </c>
      <c r="F16" s="58">
        <v>2026</v>
      </c>
      <c r="G16" s="58">
        <v>3</v>
      </c>
      <c r="H16" s="58" t="s">
        <v>461</v>
      </c>
      <c r="I16" s="140" t="s">
        <v>142</v>
      </c>
      <c r="J16" s="58" t="s">
        <v>462</v>
      </c>
      <c r="K16" s="58" t="s">
        <v>101</v>
      </c>
      <c r="L16" s="2" t="s">
        <v>736</v>
      </c>
      <c r="M16" s="58"/>
      <c r="N16" s="58">
        <v>3</v>
      </c>
      <c r="O16" s="58" t="s">
        <v>179</v>
      </c>
      <c r="P16" s="58"/>
      <c r="Q16" s="58"/>
    </row>
    <row r="17" spans="1:17">
      <c r="A17" s="149">
        <v>14</v>
      </c>
      <c r="B17" s="59">
        <v>46168</v>
      </c>
      <c r="C17" s="58" t="str">
        <f t="shared" si="0"/>
        <v>Tuesday</v>
      </c>
      <c r="D17" s="58" t="s">
        <v>477</v>
      </c>
      <c r="E17" s="58" t="str">
        <f t="shared" si="1"/>
        <v>May</v>
      </c>
      <c r="F17" s="58">
        <v>2026</v>
      </c>
      <c r="G17" s="58">
        <v>3</v>
      </c>
      <c r="H17" s="58" t="s">
        <v>461</v>
      </c>
      <c r="I17" s="140" t="s">
        <v>142</v>
      </c>
      <c r="J17" s="58" t="s">
        <v>462</v>
      </c>
      <c r="K17" s="58" t="s">
        <v>101</v>
      </c>
      <c r="L17" s="2" t="s">
        <v>753</v>
      </c>
      <c r="M17" s="58"/>
      <c r="N17" s="58">
        <v>3</v>
      </c>
      <c r="O17" s="58" t="s">
        <v>179</v>
      </c>
      <c r="P17" s="58"/>
      <c r="Q17" s="58"/>
    </row>
    <row r="18" spans="1:17">
      <c r="A18" s="149">
        <v>15</v>
      </c>
      <c r="B18" s="59">
        <v>46170</v>
      </c>
      <c r="C18" s="58" t="str">
        <f t="shared" si="0"/>
        <v>Thursday</v>
      </c>
      <c r="D18" s="58" t="s">
        <v>477</v>
      </c>
      <c r="E18" s="58" t="str">
        <f t="shared" si="1"/>
        <v>May</v>
      </c>
      <c r="F18" s="58">
        <v>2026</v>
      </c>
      <c r="G18" s="58">
        <v>3</v>
      </c>
      <c r="H18" s="58" t="s">
        <v>461</v>
      </c>
      <c r="I18" s="140" t="s">
        <v>142</v>
      </c>
      <c r="J18" s="58" t="s">
        <v>462</v>
      </c>
      <c r="K18" s="58" t="s">
        <v>101</v>
      </c>
      <c r="L18" s="2" t="s">
        <v>757</v>
      </c>
      <c r="M18" s="58"/>
      <c r="N18" s="58">
        <v>3</v>
      </c>
      <c r="O18" s="58" t="s">
        <v>179</v>
      </c>
      <c r="P18" s="58"/>
      <c r="Q18" s="58"/>
    </row>
    <row r="19" spans="1:17">
      <c r="A19" s="149">
        <v>16</v>
      </c>
      <c r="B19" s="59">
        <v>46177</v>
      </c>
      <c r="C19" s="58" t="str">
        <f t="shared" si="0"/>
        <v>Thursday</v>
      </c>
      <c r="D19" s="58" t="s">
        <v>477</v>
      </c>
      <c r="E19" s="58" t="str">
        <f t="shared" si="1"/>
        <v>June</v>
      </c>
      <c r="F19" s="58">
        <v>2026</v>
      </c>
      <c r="G19" s="58">
        <v>3</v>
      </c>
      <c r="H19" s="58" t="s">
        <v>461</v>
      </c>
      <c r="I19" s="140" t="s">
        <v>142</v>
      </c>
      <c r="J19" s="58" t="s">
        <v>462</v>
      </c>
      <c r="K19" s="58" t="s">
        <v>101</v>
      </c>
      <c r="L19" s="2" t="s">
        <v>776</v>
      </c>
      <c r="M19" s="58"/>
      <c r="N19" s="58">
        <v>3</v>
      </c>
      <c r="O19" s="58" t="s">
        <v>179</v>
      </c>
      <c r="P19" s="58"/>
      <c r="Q19" s="58"/>
    </row>
    <row r="20" spans="1:17">
      <c r="A20" s="149">
        <v>17</v>
      </c>
      <c r="B20" s="59">
        <v>46182</v>
      </c>
      <c r="C20" s="58" t="str">
        <f t="shared" si="0"/>
        <v>Tuesday</v>
      </c>
      <c r="D20" s="58" t="s">
        <v>477</v>
      </c>
      <c r="E20" s="58" t="str">
        <f t="shared" si="1"/>
        <v>June</v>
      </c>
      <c r="F20" s="58">
        <v>2026</v>
      </c>
      <c r="G20" s="58">
        <v>3</v>
      </c>
      <c r="H20" s="58" t="s">
        <v>461</v>
      </c>
      <c r="I20" s="140" t="s">
        <v>142</v>
      </c>
      <c r="J20" s="58" t="s">
        <v>462</v>
      </c>
      <c r="K20" s="58" t="s">
        <v>101</v>
      </c>
      <c r="L20" s="2" t="s">
        <v>787</v>
      </c>
      <c r="M20" s="58"/>
      <c r="N20" s="58">
        <v>3</v>
      </c>
      <c r="O20" s="58" t="s">
        <v>138</v>
      </c>
      <c r="P20" s="58"/>
      <c r="Q20" s="58"/>
    </row>
    <row r="21" spans="1:17">
      <c r="A21" s="149">
        <v>18</v>
      </c>
      <c r="B21" s="59">
        <v>46184</v>
      </c>
      <c r="C21" s="58" t="str">
        <f t="shared" si="0"/>
        <v>Thursday</v>
      </c>
      <c r="D21" s="58" t="s">
        <v>477</v>
      </c>
      <c r="E21" s="58" t="str">
        <f t="shared" si="1"/>
        <v>June</v>
      </c>
      <c r="F21" s="58">
        <v>2026</v>
      </c>
      <c r="G21" s="58">
        <v>3</v>
      </c>
      <c r="H21" s="58" t="s">
        <v>461</v>
      </c>
      <c r="I21" s="140" t="s">
        <v>142</v>
      </c>
      <c r="J21" s="58" t="s">
        <v>462</v>
      </c>
      <c r="K21" s="58" t="s">
        <v>101</v>
      </c>
      <c r="L21" s="150" t="s">
        <v>794</v>
      </c>
      <c r="M21" s="58"/>
      <c r="N21" s="58">
        <v>3</v>
      </c>
      <c r="O21" s="58" t="s">
        <v>138</v>
      </c>
      <c r="P21" s="58"/>
      <c r="Q21" s="58"/>
    </row>
    <row r="22" spans="1:17">
      <c r="A22" s="149">
        <v>19</v>
      </c>
      <c r="B22" s="59">
        <v>46189</v>
      </c>
      <c r="C22" s="58" t="str">
        <f t="shared" si="0"/>
        <v>Tuesday</v>
      </c>
      <c r="D22" s="58" t="s">
        <v>477</v>
      </c>
      <c r="E22" s="58" t="str">
        <f t="shared" si="1"/>
        <v>June</v>
      </c>
      <c r="F22" s="58">
        <v>2026</v>
      </c>
      <c r="G22" s="58">
        <v>3</v>
      </c>
      <c r="H22" s="58" t="s">
        <v>461</v>
      </c>
      <c r="I22" s="140" t="s">
        <v>142</v>
      </c>
      <c r="J22" s="58" t="s">
        <v>462</v>
      </c>
      <c r="K22" s="58" t="s">
        <v>101</v>
      </c>
      <c r="L22" s="150" t="s">
        <v>806</v>
      </c>
      <c r="M22" s="58"/>
      <c r="N22" s="58">
        <v>3</v>
      </c>
      <c r="O22" s="58" t="s">
        <v>179</v>
      </c>
      <c r="P22" s="58"/>
      <c r="Q22" s="58"/>
    </row>
    <row r="23" spans="1:17">
      <c r="A23" s="149"/>
      <c r="B23" s="59">
        <v>46191</v>
      </c>
      <c r="C23" s="58" t="str">
        <f t="shared" si="0"/>
        <v>Thursday</v>
      </c>
      <c r="D23" s="58" t="s">
        <v>477</v>
      </c>
      <c r="E23" s="58" t="str">
        <f t="shared" si="1"/>
        <v>June</v>
      </c>
      <c r="F23" s="58">
        <v>2026</v>
      </c>
      <c r="G23" s="58"/>
      <c r="H23" s="58" t="s">
        <v>461</v>
      </c>
      <c r="I23" s="140" t="s">
        <v>142</v>
      </c>
      <c r="J23" s="58" t="s">
        <v>462</v>
      </c>
      <c r="K23" s="58" t="s">
        <v>101</v>
      </c>
      <c r="L23" s="150" t="s">
        <v>391</v>
      </c>
      <c r="M23" s="58"/>
      <c r="N23" s="58"/>
      <c r="O23" s="58"/>
      <c r="P23" s="58"/>
      <c r="Q23" s="58"/>
    </row>
    <row r="24" spans="1:17">
      <c r="A24" s="149"/>
      <c r="B24" s="59">
        <v>46196</v>
      </c>
      <c r="C24" s="58" t="str">
        <f t="shared" si="0"/>
        <v>Tuesday</v>
      </c>
      <c r="D24" s="58" t="s">
        <v>477</v>
      </c>
      <c r="E24" s="58" t="str">
        <f t="shared" si="1"/>
        <v>June</v>
      </c>
      <c r="F24" s="58">
        <v>2026</v>
      </c>
      <c r="G24" s="58"/>
      <c r="H24" s="58" t="s">
        <v>461</v>
      </c>
      <c r="I24" s="140" t="s">
        <v>142</v>
      </c>
      <c r="J24" s="58" t="s">
        <v>462</v>
      </c>
      <c r="K24" s="58" t="s">
        <v>101</v>
      </c>
      <c r="L24" s="152" t="s">
        <v>803</v>
      </c>
      <c r="M24" s="58"/>
      <c r="N24" s="58">
        <v>3</v>
      </c>
      <c r="O24" s="58" t="s">
        <v>179</v>
      </c>
      <c r="P24" s="58" t="s">
        <v>82</v>
      </c>
      <c r="Q24" s="58"/>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72CA-31CB-47B3-B30E-5E282051E7D3}">
  <dimension ref="A1:Q21"/>
  <sheetViews>
    <sheetView topLeftCell="A4" workbookViewId="0">
      <selection activeCell="A21" sqref="A21"/>
    </sheetView>
  </sheetViews>
  <sheetFormatPr defaultRowHeight="15"/>
  <cols>
    <col min="2" max="2" width="24" customWidth="1"/>
    <col min="3" max="3" width="13.5703125" customWidth="1"/>
    <col min="4" max="4" width="31.28515625" customWidth="1"/>
    <col min="5" max="5" width="10.42578125" bestFit="1" customWidth="1"/>
    <col min="7" max="7" width="18.42578125" customWidth="1"/>
    <col min="8" max="8" width="9.42578125" bestFit="1" customWidth="1"/>
    <col min="9" max="9" width="22.28515625" customWidth="1"/>
    <col min="10" max="10" width="28.42578125" customWidth="1"/>
    <col min="11" max="11" width="9.42578125" bestFit="1" customWidth="1"/>
    <col min="12" max="12" width="58.85546875" customWidth="1"/>
    <col min="13" max="13" width="21.5703125" customWidth="1"/>
    <col min="14" max="14" width="27.7109375" customWidth="1"/>
    <col min="15" max="15" width="21.85546875" customWidth="1"/>
    <col min="16" max="17" width="13" bestFit="1"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39">
        <v>1</v>
      </c>
      <c r="B2" s="59">
        <v>46097</v>
      </c>
      <c r="C2" s="58" t="str">
        <f>TEXT(B2,"dddd")</f>
        <v>Monday</v>
      </c>
      <c r="D2" s="58" t="s">
        <v>480</v>
      </c>
      <c r="E2" s="58" t="str">
        <f>TEXT(B2,"mmmm")</f>
        <v>March</v>
      </c>
      <c r="F2" s="58">
        <v>2026</v>
      </c>
      <c r="G2" s="58">
        <v>3</v>
      </c>
      <c r="H2" s="58" t="s">
        <v>132</v>
      </c>
      <c r="I2" s="140" t="s">
        <v>133</v>
      </c>
      <c r="J2" s="58" t="s">
        <v>360</v>
      </c>
      <c r="K2" s="58" t="s">
        <v>106</v>
      </c>
      <c r="L2" s="142" t="s">
        <v>481</v>
      </c>
      <c r="M2" s="58" t="s">
        <v>1055</v>
      </c>
      <c r="N2" s="58">
        <v>3</v>
      </c>
      <c r="O2" s="4" t="s">
        <v>127</v>
      </c>
      <c r="P2" s="58"/>
      <c r="Q2" s="58"/>
    </row>
    <row r="3" spans="1:17">
      <c r="A3" s="139">
        <v>2</v>
      </c>
      <c r="B3" s="59">
        <v>46099</v>
      </c>
      <c r="C3" s="58" t="str">
        <f t="shared" ref="C3:C21" si="0">TEXT(B3,"dddd")</f>
        <v>Wednesday</v>
      </c>
      <c r="D3" s="58" t="s">
        <v>480</v>
      </c>
      <c r="E3" s="58" t="str">
        <f t="shared" ref="E3:E16" si="1">TEXT(B3,"mmmm")</f>
        <v>March</v>
      </c>
      <c r="F3" s="58">
        <v>2026</v>
      </c>
      <c r="G3" s="58">
        <v>3</v>
      </c>
      <c r="H3" s="58" t="s">
        <v>132</v>
      </c>
      <c r="I3" s="140" t="s">
        <v>133</v>
      </c>
      <c r="J3" s="58" t="s">
        <v>360</v>
      </c>
      <c r="K3" s="58" t="s">
        <v>106</v>
      </c>
      <c r="L3" s="142" t="s">
        <v>496</v>
      </c>
      <c r="M3" s="58"/>
      <c r="N3" s="58">
        <v>3</v>
      </c>
      <c r="O3" s="4" t="s">
        <v>127</v>
      </c>
      <c r="P3" s="58"/>
      <c r="Q3" s="58"/>
    </row>
    <row r="4" spans="1:17" ht="30.75">
      <c r="A4" s="139">
        <v>3</v>
      </c>
      <c r="B4" s="59">
        <v>46104</v>
      </c>
      <c r="C4" s="58" t="str">
        <f>TEXT(B4,"dddd")</f>
        <v>Monday</v>
      </c>
      <c r="D4" s="58" t="s">
        <v>480</v>
      </c>
      <c r="E4" s="58" t="str">
        <f t="shared" si="1"/>
        <v>March</v>
      </c>
      <c r="F4" s="58">
        <v>2026</v>
      </c>
      <c r="G4" s="58">
        <v>3</v>
      </c>
      <c r="H4" s="58" t="s">
        <v>132</v>
      </c>
      <c r="I4" s="140" t="s">
        <v>133</v>
      </c>
      <c r="J4" s="58" t="s">
        <v>360</v>
      </c>
      <c r="K4" s="58" t="s">
        <v>106</v>
      </c>
      <c r="L4" s="142" t="s">
        <v>510</v>
      </c>
      <c r="M4" s="58"/>
      <c r="N4" s="58">
        <v>3</v>
      </c>
      <c r="O4" s="4" t="s">
        <v>127</v>
      </c>
      <c r="P4" s="58"/>
      <c r="Q4" s="58"/>
    </row>
    <row r="5" spans="1:17" ht="30.75">
      <c r="A5" s="139">
        <v>4</v>
      </c>
      <c r="B5" s="59">
        <v>46106</v>
      </c>
      <c r="C5" s="58" t="str">
        <f t="shared" si="0"/>
        <v>Wednesday</v>
      </c>
      <c r="D5" s="58" t="s">
        <v>480</v>
      </c>
      <c r="E5" s="58" t="str">
        <f t="shared" si="1"/>
        <v>March</v>
      </c>
      <c r="F5" s="58">
        <v>2026</v>
      </c>
      <c r="G5" s="58">
        <v>3</v>
      </c>
      <c r="H5" s="58" t="s">
        <v>132</v>
      </c>
      <c r="I5" s="140" t="s">
        <v>133</v>
      </c>
      <c r="J5" s="58" t="s">
        <v>360</v>
      </c>
      <c r="K5" s="58" t="s">
        <v>106</v>
      </c>
      <c r="L5" s="142" t="s">
        <v>523</v>
      </c>
      <c r="M5" s="58"/>
      <c r="N5" s="58">
        <v>3</v>
      </c>
      <c r="O5" s="4" t="s">
        <v>127</v>
      </c>
      <c r="P5" s="58"/>
      <c r="Q5" s="58"/>
    </row>
    <row r="6" spans="1:17" ht="30.75">
      <c r="A6" s="139">
        <v>5</v>
      </c>
      <c r="B6" s="59">
        <v>46108</v>
      </c>
      <c r="C6" s="58" t="str">
        <f t="shared" si="0"/>
        <v>Friday</v>
      </c>
      <c r="D6" s="58" t="s">
        <v>480</v>
      </c>
      <c r="E6" s="58" t="str">
        <f t="shared" si="1"/>
        <v>March</v>
      </c>
      <c r="F6" s="58">
        <v>2026</v>
      </c>
      <c r="G6" s="58">
        <v>3</v>
      </c>
      <c r="H6" s="58" t="s">
        <v>132</v>
      </c>
      <c r="I6" s="140" t="s">
        <v>133</v>
      </c>
      <c r="J6" s="58" t="s">
        <v>360</v>
      </c>
      <c r="K6" s="58" t="s">
        <v>106</v>
      </c>
      <c r="L6" s="142" t="s">
        <v>534</v>
      </c>
      <c r="M6" s="58"/>
      <c r="N6" s="58">
        <v>3</v>
      </c>
      <c r="O6" s="4" t="s">
        <v>127</v>
      </c>
      <c r="P6" s="58"/>
      <c r="Q6" s="58"/>
    </row>
    <row r="7" spans="1:17">
      <c r="A7" s="139">
        <v>6</v>
      </c>
      <c r="B7" s="59">
        <v>46111</v>
      </c>
      <c r="C7" s="58" t="str">
        <f t="shared" si="0"/>
        <v>Monday</v>
      </c>
      <c r="D7" s="58" t="s">
        <v>480</v>
      </c>
      <c r="E7" s="58" t="str">
        <f t="shared" si="1"/>
        <v>March</v>
      </c>
      <c r="F7" s="58">
        <v>2026</v>
      </c>
      <c r="G7" s="58">
        <v>3</v>
      </c>
      <c r="H7" s="58" t="s">
        <v>132</v>
      </c>
      <c r="I7" s="140" t="s">
        <v>133</v>
      </c>
      <c r="J7" s="58" t="s">
        <v>360</v>
      </c>
      <c r="K7" s="58" t="s">
        <v>106</v>
      </c>
      <c r="L7" s="142" t="s">
        <v>541</v>
      </c>
      <c r="M7" s="58"/>
      <c r="N7" s="58">
        <v>3</v>
      </c>
      <c r="O7" s="4" t="s">
        <v>127</v>
      </c>
      <c r="P7" s="58"/>
      <c r="Q7" s="58"/>
    </row>
    <row r="8" spans="1:17">
      <c r="A8" s="139">
        <v>7</v>
      </c>
      <c r="B8" s="59">
        <v>46113</v>
      </c>
      <c r="C8" s="58" t="str">
        <f t="shared" si="0"/>
        <v>Wednesday</v>
      </c>
      <c r="D8" s="58" t="s">
        <v>480</v>
      </c>
      <c r="E8" s="58" t="str">
        <f t="shared" si="1"/>
        <v>April</v>
      </c>
      <c r="F8" s="58">
        <v>2026</v>
      </c>
      <c r="G8" s="58">
        <v>3</v>
      </c>
      <c r="H8" s="58" t="s">
        <v>132</v>
      </c>
      <c r="I8" s="140" t="s">
        <v>133</v>
      </c>
      <c r="J8" s="58" t="s">
        <v>360</v>
      </c>
      <c r="K8" s="58" t="s">
        <v>106</v>
      </c>
      <c r="L8" s="142" t="s">
        <v>552</v>
      </c>
      <c r="M8" s="58"/>
      <c r="N8" s="58">
        <v>3</v>
      </c>
      <c r="O8" s="4" t="s">
        <v>127</v>
      </c>
      <c r="P8" s="58"/>
      <c r="Q8" s="58"/>
    </row>
    <row r="9" spans="1:17" ht="30.75">
      <c r="A9" s="139">
        <v>8</v>
      </c>
      <c r="B9" s="59">
        <v>46114</v>
      </c>
      <c r="C9" s="58" t="str">
        <f t="shared" si="0"/>
        <v>Thursday</v>
      </c>
      <c r="D9" s="58" t="s">
        <v>480</v>
      </c>
      <c r="E9" s="58" t="str">
        <f t="shared" si="1"/>
        <v>April</v>
      </c>
      <c r="F9" s="58">
        <v>2026</v>
      </c>
      <c r="G9" s="58">
        <v>3</v>
      </c>
      <c r="H9" s="58" t="s">
        <v>132</v>
      </c>
      <c r="I9" s="140" t="s">
        <v>133</v>
      </c>
      <c r="J9" s="58" t="s">
        <v>360</v>
      </c>
      <c r="K9" s="58" t="s">
        <v>106</v>
      </c>
      <c r="L9" s="142" t="s">
        <v>560</v>
      </c>
      <c r="M9" s="58"/>
      <c r="N9" s="58">
        <v>3</v>
      </c>
      <c r="O9" s="4" t="s">
        <v>127</v>
      </c>
      <c r="P9" s="58"/>
      <c r="Q9" s="58"/>
    </row>
    <row r="10" spans="1:17" ht="30.75">
      <c r="A10" s="139">
        <v>9</v>
      </c>
      <c r="B10" s="59">
        <v>46118</v>
      </c>
      <c r="C10" s="58" t="str">
        <f t="shared" si="0"/>
        <v>Monday</v>
      </c>
      <c r="D10" s="58" t="s">
        <v>480</v>
      </c>
      <c r="E10" s="58" t="str">
        <f t="shared" si="1"/>
        <v>April</v>
      </c>
      <c r="F10" s="58">
        <v>2026</v>
      </c>
      <c r="G10" s="58">
        <v>3</v>
      </c>
      <c r="H10" s="58" t="s">
        <v>132</v>
      </c>
      <c r="I10" s="140" t="s">
        <v>133</v>
      </c>
      <c r="J10" s="58" t="s">
        <v>360</v>
      </c>
      <c r="K10" s="58" t="s">
        <v>106</v>
      </c>
      <c r="L10" s="142" t="s">
        <v>564</v>
      </c>
      <c r="M10" s="58"/>
      <c r="N10" s="58">
        <v>3</v>
      </c>
      <c r="O10" s="4" t="s">
        <v>127</v>
      </c>
      <c r="P10" s="58"/>
      <c r="Q10" s="58"/>
    </row>
    <row r="11" spans="1:17" ht="30.75">
      <c r="A11" s="139">
        <v>10</v>
      </c>
      <c r="B11" s="59">
        <v>46120</v>
      </c>
      <c r="C11" s="58" t="str">
        <f t="shared" si="0"/>
        <v>Wednesday</v>
      </c>
      <c r="D11" s="58" t="s">
        <v>480</v>
      </c>
      <c r="E11" s="58" t="str">
        <f t="shared" si="1"/>
        <v>April</v>
      </c>
      <c r="F11" s="58">
        <v>2026</v>
      </c>
      <c r="G11" s="58">
        <v>3</v>
      </c>
      <c r="H11" s="58" t="s">
        <v>132</v>
      </c>
      <c r="I11" s="140" t="s">
        <v>133</v>
      </c>
      <c r="J11" s="58" t="s">
        <v>360</v>
      </c>
      <c r="K11" s="58" t="s">
        <v>106</v>
      </c>
      <c r="L11" s="142" t="s">
        <v>575</v>
      </c>
      <c r="M11" s="58"/>
      <c r="N11" s="58">
        <v>3</v>
      </c>
      <c r="O11" s="4" t="s">
        <v>127</v>
      </c>
      <c r="P11" s="58"/>
      <c r="Q11" s="58"/>
    </row>
    <row r="12" spans="1:17" ht="30.75">
      <c r="A12" s="139">
        <v>11</v>
      </c>
      <c r="B12" s="59">
        <v>46122</v>
      </c>
      <c r="C12" s="58" t="str">
        <f t="shared" si="0"/>
        <v>Friday</v>
      </c>
      <c r="D12" s="58" t="s">
        <v>480</v>
      </c>
      <c r="E12" s="58" t="str">
        <f t="shared" si="1"/>
        <v>April</v>
      </c>
      <c r="F12" s="58">
        <v>2026</v>
      </c>
      <c r="G12" s="58">
        <v>3</v>
      </c>
      <c r="H12" s="58" t="s">
        <v>132</v>
      </c>
      <c r="I12" s="140" t="s">
        <v>133</v>
      </c>
      <c r="J12" s="58" t="s">
        <v>360</v>
      </c>
      <c r="K12" s="58" t="s">
        <v>106</v>
      </c>
      <c r="L12" s="142" t="s">
        <v>583</v>
      </c>
      <c r="M12" s="58"/>
      <c r="N12" s="58">
        <v>3</v>
      </c>
      <c r="O12" s="4" t="s">
        <v>127</v>
      </c>
      <c r="P12" s="58"/>
      <c r="Q12" s="58"/>
    </row>
    <row r="13" spans="1:17">
      <c r="A13" s="139">
        <v>12</v>
      </c>
      <c r="B13" s="59">
        <v>46125</v>
      </c>
      <c r="C13" s="58" t="str">
        <f t="shared" si="0"/>
        <v>Monday</v>
      </c>
      <c r="D13" s="58" t="s">
        <v>592</v>
      </c>
      <c r="E13" s="58" t="str">
        <f t="shared" si="1"/>
        <v>April</v>
      </c>
      <c r="F13" s="58">
        <v>2026</v>
      </c>
      <c r="G13" s="58">
        <v>2</v>
      </c>
      <c r="H13" s="58" t="s">
        <v>132</v>
      </c>
      <c r="I13" s="140" t="s">
        <v>133</v>
      </c>
      <c r="J13" s="58" t="s">
        <v>360</v>
      </c>
      <c r="K13" s="58" t="s">
        <v>106</v>
      </c>
      <c r="L13" s="142" t="s">
        <v>593</v>
      </c>
      <c r="M13" s="58"/>
      <c r="N13" s="58">
        <v>2</v>
      </c>
      <c r="O13" s="4" t="s">
        <v>127</v>
      </c>
      <c r="P13" s="58"/>
      <c r="Q13" s="58"/>
    </row>
    <row r="14" spans="1:17" ht="30.75">
      <c r="A14" s="139">
        <v>13</v>
      </c>
      <c r="B14" s="59">
        <v>46128</v>
      </c>
      <c r="C14" s="58" t="str">
        <f t="shared" si="0"/>
        <v>Thursday</v>
      </c>
      <c r="D14" s="58" t="s">
        <v>480</v>
      </c>
      <c r="E14" s="58" t="str">
        <f t="shared" si="1"/>
        <v>April</v>
      </c>
      <c r="F14" s="58">
        <v>2026</v>
      </c>
      <c r="G14" s="58">
        <v>3</v>
      </c>
      <c r="H14" s="58" t="s">
        <v>132</v>
      </c>
      <c r="I14" s="140" t="s">
        <v>133</v>
      </c>
      <c r="J14" s="58" t="s">
        <v>360</v>
      </c>
      <c r="K14" s="58" t="s">
        <v>106</v>
      </c>
      <c r="L14" s="142" t="s">
        <v>604</v>
      </c>
      <c r="M14" s="58"/>
      <c r="N14" s="58">
        <v>3</v>
      </c>
      <c r="O14" s="4" t="s">
        <v>127</v>
      </c>
      <c r="P14" s="58"/>
      <c r="Q14" s="58"/>
    </row>
    <row r="15" spans="1:17">
      <c r="A15" s="139">
        <v>14</v>
      </c>
      <c r="B15" s="59">
        <v>46129</v>
      </c>
      <c r="C15" s="58" t="str">
        <f t="shared" si="0"/>
        <v>Friday</v>
      </c>
      <c r="D15" s="58" t="s">
        <v>592</v>
      </c>
      <c r="E15" s="58" t="str">
        <f t="shared" si="1"/>
        <v>April</v>
      </c>
      <c r="F15" s="58">
        <v>2026</v>
      </c>
      <c r="G15" s="58">
        <v>2</v>
      </c>
      <c r="H15" s="58" t="s">
        <v>132</v>
      </c>
      <c r="I15" s="140" t="s">
        <v>133</v>
      </c>
      <c r="J15" s="58" t="s">
        <v>360</v>
      </c>
      <c r="K15" s="58" t="s">
        <v>106</v>
      </c>
      <c r="L15" s="142" t="s">
        <v>609</v>
      </c>
      <c r="M15" s="58"/>
      <c r="N15" s="58">
        <v>2</v>
      </c>
      <c r="O15" s="4" t="s">
        <v>127</v>
      </c>
      <c r="P15" s="58"/>
      <c r="Q15" s="58"/>
    </row>
    <row r="16" spans="1:17">
      <c r="A16" s="139"/>
      <c r="B16" s="59">
        <v>46132</v>
      </c>
      <c r="C16" s="58" t="str">
        <f t="shared" si="0"/>
        <v>Monday</v>
      </c>
      <c r="D16" s="58"/>
      <c r="E16" s="58" t="str">
        <f t="shared" si="1"/>
        <v>April</v>
      </c>
      <c r="F16" s="58">
        <v>2026</v>
      </c>
      <c r="G16" s="58" t="s">
        <v>615</v>
      </c>
      <c r="H16" s="58" t="s">
        <v>132</v>
      </c>
      <c r="I16" s="140" t="s">
        <v>133</v>
      </c>
      <c r="J16" s="58" t="s">
        <v>360</v>
      </c>
      <c r="K16" s="58" t="s">
        <v>106</v>
      </c>
      <c r="L16" s="143" t="s">
        <v>616</v>
      </c>
      <c r="M16" s="58"/>
      <c r="N16" s="58" t="s">
        <v>615</v>
      </c>
      <c r="O16" s="4"/>
      <c r="P16" s="58"/>
      <c r="Q16" s="58"/>
    </row>
    <row r="17" spans="1:17" ht="31.5" customHeight="1">
      <c r="A17" s="139">
        <v>15</v>
      </c>
      <c r="B17" s="59">
        <v>46134</v>
      </c>
      <c r="C17" s="58" t="str">
        <f t="shared" si="0"/>
        <v>Wednesday</v>
      </c>
      <c r="D17" s="58" t="s">
        <v>480</v>
      </c>
      <c r="E17" s="58" t="str">
        <f t="shared" ref="E17:E21" si="2">TEXT(B17,"mmmm")</f>
        <v>April</v>
      </c>
      <c r="F17" s="58">
        <v>2026</v>
      </c>
      <c r="G17" s="58">
        <v>3</v>
      </c>
      <c r="H17" s="58" t="s">
        <v>132</v>
      </c>
      <c r="I17" s="140" t="s">
        <v>133</v>
      </c>
      <c r="J17" s="58" t="s">
        <v>360</v>
      </c>
      <c r="K17" s="58" t="s">
        <v>106</v>
      </c>
      <c r="L17" s="142" t="s">
        <v>626</v>
      </c>
      <c r="M17" s="58"/>
      <c r="N17" s="58">
        <v>3</v>
      </c>
      <c r="O17" s="4" t="s">
        <v>127</v>
      </c>
      <c r="P17" s="58"/>
      <c r="Q17" s="58"/>
    </row>
    <row r="18" spans="1:17" ht="30.75">
      <c r="A18" s="139">
        <v>16</v>
      </c>
      <c r="B18" s="59">
        <v>46136</v>
      </c>
      <c r="C18" s="58" t="str">
        <f t="shared" si="0"/>
        <v>Friday</v>
      </c>
      <c r="D18" s="58" t="s">
        <v>480</v>
      </c>
      <c r="E18" s="58" t="str">
        <f t="shared" si="2"/>
        <v>April</v>
      </c>
      <c r="F18" s="58">
        <v>2026</v>
      </c>
      <c r="G18" s="58">
        <v>3</v>
      </c>
      <c r="H18" s="58" t="s">
        <v>132</v>
      </c>
      <c r="I18" s="140" t="s">
        <v>133</v>
      </c>
      <c r="J18" s="58" t="s">
        <v>360</v>
      </c>
      <c r="K18" s="58" t="s">
        <v>106</v>
      </c>
      <c r="L18" s="142" t="s">
        <v>635</v>
      </c>
      <c r="M18" s="58"/>
      <c r="N18" s="58">
        <v>3</v>
      </c>
      <c r="O18" s="4" t="s">
        <v>127</v>
      </c>
      <c r="P18" s="58"/>
      <c r="Q18" s="58"/>
    </row>
    <row r="19" spans="1:17">
      <c r="A19" s="139">
        <v>17</v>
      </c>
      <c r="B19" s="59">
        <v>46139</v>
      </c>
      <c r="C19" s="58" t="str">
        <f t="shared" si="0"/>
        <v>Monday</v>
      </c>
      <c r="D19" s="58" t="s">
        <v>592</v>
      </c>
      <c r="E19" s="58" t="str">
        <f t="shared" si="2"/>
        <v>April</v>
      </c>
      <c r="F19" s="58">
        <v>2026</v>
      </c>
      <c r="G19" s="58">
        <v>2</v>
      </c>
      <c r="H19" s="58" t="s">
        <v>132</v>
      </c>
      <c r="I19" s="140" t="s">
        <v>133</v>
      </c>
      <c r="J19" s="58" t="s">
        <v>360</v>
      </c>
      <c r="K19" s="58" t="s">
        <v>106</v>
      </c>
      <c r="L19" s="142" t="s">
        <v>642</v>
      </c>
      <c r="M19" s="58"/>
      <c r="N19" s="58">
        <v>2</v>
      </c>
      <c r="O19" s="4" t="s">
        <v>127</v>
      </c>
      <c r="P19" s="58"/>
      <c r="Q19" s="58"/>
    </row>
    <row r="20" spans="1:17">
      <c r="A20" s="139"/>
      <c r="B20" s="59">
        <v>46141</v>
      </c>
      <c r="C20" s="58" t="str">
        <f t="shared" si="0"/>
        <v>Wednesday</v>
      </c>
      <c r="D20" s="58"/>
      <c r="E20" s="58" t="str">
        <f t="shared" si="2"/>
        <v>April</v>
      </c>
      <c r="F20" s="58">
        <v>2026</v>
      </c>
      <c r="G20" s="58"/>
      <c r="H20" s="58" t="s">
        <v>132</v>
      </c>
      <c r="I20" s="140" t="s">
        <v>133</v>
      </c>
      <c r="J20" s="58" t="s">
        <v>360</v>
      </c>
      <c r="K20" s="58" t="s">
        <v>106</v>
      </c>
      <c r="L20" s="144" t="s">
        <v>473</v>
      </c>
      <c r="M20" s="58"/>
      <c r="N20" s="58"/>
      <c r="O20" s="4" t="s">
        <v>127</v>
      </c>
      <c r="P20" s="58"/>
      <c r="Q20" s="58"/>
    </row>
    <row r="21" spans="1:17">
      <c r="A21" s="139"/>
      <c r="B21" s="59">
        <v>46146</v>
      </c>
      <c r="C21" s="58" t="str">
        <f t="shared" si="0"/>
        <v>Monday</v>
      </c>
      <c r="D21" s="58"/>
      <c r="E21" s="58" t="str">
        <f t="shared" si="2"/>
        <v>May</v>
      </c>
      <c r="F21" s="58">
        <v>2026</v>
      </c>
      <c r="G21" s="58"/>
      <c r="H21" s="58" t="s">
        <v>132</v>
      </c>
      <c r="I21" s="140" t="s">
        <v>133</v>
      </c>
      <c r="J21" s="58" t="s">
        <v>360</v>
      </c>
      <c r="K21" s="58" t="s">
        <v>106</v>
      </c>
      <c r="L21" s="143" t="s">
        <v>658</v>
      </c>
      <c r="M21" s="58"/>
      <c r="N21" s="58"/>
      <c r="O21" s="4" t="s">
        <v>127</v>
      </c>
      <c r="P21" s="58"/>
      <c r="Q21" s="58"/>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34E6-1872-4642-B245-0E4D08F3FCD6}">
  <dimension ref="A1:Q33"/>
  <sheetViews>
    <sheetView topLeftCell="R14" workbookViewId="0">
      <selection activeCell="A21" sqref="A21:XFD21"/>
    </sheetView>
  </sheetViews>
  <sheetFormatPr defaultRowHeight="15"/>
  <cols>
    <col min="2" max="2" width="24" customWidth="1"/>
    <col min="3" max="3" width="13.5703125" customWidth="1"/>
    <col min="4" max="4" width="31.28515625" customWidth="1"/>
    <col min="5" max="5" width="10.42578125" bestFit="1" customWidth="1"/>
    <col min="7" max="7" width="18.42578125" customWidth="1"/>
    <col min="8" max="8" width="9.42578125" bestFit="1" customWidth="1"/>
    <col min="9" max="9" width="22.28515625" customWidth="1"/>
    <col min="10" max="10" width="28.42578125" customWidth="1"/>
    <col min="11" max="11" width="9.42578125" bestFit="1" customWidth="1"/>
    <col min="12" max="12" width="58.85546875" customWidth="1"/>
    <col min="13" max="13" width="21.5703125" customWidth="1"/>
    <col min="14" max="14" width="27.7109375" customWidth="1"/>
    <col min="15" max="15" width="21.85546875" customWidth="1"/>
    <col min="16" max="17" width="13" bestFit="1"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39">
        <v>1</v>
      </c>
      <c r="B2" s="59">
        <v>46097</v>
      </c>
      <c r="C2" s="58" t="str">
        <f t="shared" ref="C2:C18" si="0">TEXT(B2,"dddd")</f>
        <v>Monday</v>
      </c>
      <c r="D2" s="58" t="s">
        <v>482</v>
      </c>
      <c r="E2" s="58" t="str">
        <f t="shared" ref="E2:E18" si="1">TEXT(B2,"mmmm")</f>
        <v>March</v>
      </c>
      <c r="F2" s="58">
        <v>2026</v>
      </c>
      <c r="G2" s="58">
        <v>2</v>
      </c>
      <c r="H2" s="58" t="s">
        <v>132</v>
      </c>
      <c r="I2" s="140" t="s">
        <v>133</v>
      </c>
      <c r="J2" s="58" t="s">
        <v>360</v>
      </c>
      <c r="K2" s="58" t="s">
        <v>135</v>
      </c>
      <c r="L2" s="142" t="s">
        <v>481</v>
      </c>
      <c r="M2" s="58" t="s">
        <v>1056</v>
      </c>
      <c r="N2" s="58">
        <v>2</v>
      </c>
      <c r="O2" s="4" t="s">
        <v>127</v>
      </c>
      <c r="P2" s="58"/>
      <c r="Q2" s="58"/>
    </row>
    <row r="3" spans="1:17">
      <c r="A3" s="139">
        <v>2</v>
      </c>
      <c r="B3" s="59">
        <v>46099</v>
      </c>
      <c r="C3" s="58" t="str">
        <f t="shared" si="0"/>
        <v>Wednesday</v>
      </c>
      <c r="D3" s="58" t="s">
        <v>482</v>
      </c>
      <c r="E3" s="58" t="str">
        <f t="shared" si="1"/>
        <v>March</v>
      </c>
      <c r="F3" s="58">
        <v>2026</v>
      </c>
      <c r="G3" s="58">
        <v>2</v>
      </c>
      <c r="H3" s="58" t="s">
        <v>132</v>
      </c>
      <c r="I3" s="140" t="s">
        <v>133</v>
      </c>
      <c r="J3" s="58" t="s">
        <v>360</v>
      </c>
      <c r="K3" s="58" t="s">
        <v>135</v>
      </c>
      <c r="L3" s="142" t="s">
        <v>496</v>
      </c>
      <c r="M3" s="58"/>
      <c r="N3" s="58">
        <v>2</v>
      </c>
      <c r="O3" s="4" t="s">
        <v>127</v>
      </c>
      <c r="P3" s="58"/>
      <c r="Q3" s="58"/>
    </row>
    <row r="4" spans="1:17">
      <c r="A4" s="139">
        <v>3</v>
      </c>
      <c r="B4" s="59">
        <v>46104</v>
      </c>
      <c r="C4" s="58" t="str">
        <f t="shared" si="0"/>
        <v>Monday</v>
      </c>
      <c r="D4" s="58" t="s">
        <v>482</v>
      </c>
      <c r="E4" s="58" t="str">
        <f t="shared" si="1"/>
        <v>March</v>
      </c>
      <c r="F4" s="58">
        <v>2026</v>
      </c>
      <c r="G4" s="58">
        <v>2</v>
      </c>
      <c r="H4" s="58" t="s">
        <v>132</v>
      </c>
      <c r="I4" s="140" t="s">
        <v>133</v>
      </c>
      <c r="J4" s="58" t="s">
        <v>360</v>
      </c>
      <c r="K4" s="58" t="s">
        <v>135</v>
      </c>
      <c r="L4" s="142" t="s">
        <v>511</v>
      </c>
      <c r="M4" s="58"/>
      <c r="N4" s="58">
        <v>2</v>
      </c>
      <c r="O4" s="4" t="s">
        <v>127</v>
      </c>
      <c r="P4" s="58"/>
      <c r="Q4" s="58"/>
    </row>
    <row r="5" spans="1:17" ht="30.75">
      <c r="A5" s="139">
        <v>4</v>
      </c>
      <c r="B5" s="59">
        <v>46106</v>
      </c>
      <c r="C5" s="58" t="str">
        <f t="shared" si="0"/>
        <v>Wednesday</v>
      </c>
      <c r="D5" s="58" t="s">
        <v>482</v>
      </c>
      <c r="E5" s="58" t="str">
        <f t="shared" si="1"/>
        <v>March</v>
      </c>
      <c r="F5" s="58">
        <v>2026</v>
      </c>
      <c r="G5" s="58">
        <v>2</v>
      </c>
      <c r="H5" s="58" t="s">
        <v>132</v>
      </c>
      <c r="I5" s="140" t="s">
        <v>133</v>
      </c>
      <c r="J5" s="58" t="s">
        <v>360</v>
      </c>
      <c r="K5" s="58" t="s">
        <v>135</v>
      </c>
      <c r="L5" s="142" t="s">
        <v>510</v>
      </c>
      <c r="M5" s="58"/>
      <c r="N5" s="58">
        <v>2</v>
      </c>
      <c r="O5" s="4" t="s">
        <v>127</v>
      </c>
      <c r="P5" s="58"/>
      <c r="Q5" s="58"/>
    </row>
    <row r="6" spans="1:17" ht="30.75">
      <c r="A6" s="139">
        <v>5</v>
      </c>
      <c r="B6" s="59">
        <v>46108</v>
      </c>
      <c r="C6" s="58" t="str">
        <f t="shared" si="0"/>
        <v>Friday</v>
      </c>
      <c r="D6" s="58" t="s">
        <v>482</v>
      </c>
      <c r="E6" s="58" t="str">
        <f t="shared" si="1"/>
        <v>March</v>
      </c>
      <c r="F6" s="58">
        <v>2026</v>
      </c>
      <c r="G6" s="58">
        <v>2</v>
      </c>
      <c r="H6" s="58" t="s">
        <v>132</v>
      </c>
      <c r="I6" s="140" t="s">
        <v>133</v>
      </c>
      <c r="J6" s="58" t="s">
        <v>360</v>
      </c>
      <c r="K6" s="58" t="s">
        <v>135</v>
      </c>
      <c r="L6" s="142" t="s">
        <v>523</v>
      </c>
      <c r="M6" s="58"/>
      <c r="N6" s="58">
        <v>2</v>
      </c>
      <c r="O6" s="4" t="s">
        <v>127</v>
      </c>
      <c r="P6" s="58"/>
      <c r="Q6" s="58"/>
    </row>
    <row r="7" spans="1:17" ht="30.75">
      <c r="A7" s="139">
        <v>6</v>
      </c>
      <c r="B7" s="59">
        <v>46111</v>
      </c>
      <c r="C7" s="58" t="str">
        <f t="shared" si="0"/>
        <v>Monday</v>
      </c>
      <c r="D7" s="58" t="s">
        <v>482</v>
      </c>
      <c r="E7" s="58" t="str">
        <f t="shared" si="1"/>
        <v>March</v>
      </c>
      <c r="F7" s="58">
        <v>2026</v>
      </c>
      <c r="G7" s="58">
        <v>2</v>
      </c>
      <c r="H7" s="58" t="s">
        <v>132</v>
      </c>
      <c r="I7" s="140" t="s">
        <v>133</v>
      </c>
      <c r="J7" s="58" t="s">
        <v>360</v>
      </c>
      <c r="K7" s="58" t="s">
        <v>135</v>
      </c>
      <c r="L7" s="142" t="s">
        <v>534</v>
      </c>
      <c r="M7" s="58"/>
      <c r="N7" s="58">
        <v>2</v>
      </c>
      <c r="O7" s="4" t="s">
        <v>127</v>
      </c>
      <c r="P7" s="58"/>
      <c r="Q7" s="58"/>
    </row>
    <row r="8" spans="1:17" ht="30.75">
      <c r="A8" s="139">
        <v>7</v>
      </c>
      <c r="B8" s="59">
        <v>46113</v>
      </c>
      <c r="C8" s="58" t="str">
        <f t="shared" si="0"/>
        <v>Wednesday</v>
      </c>
      <c r="D8" s="58" t="s">
        <v>482</v>
      </c>
      <c r="E8" s="58" t="str">
        <f t="shared" si="1"/>
        <v>April</v>
      </c>
      <c r="F8" s="58">
        <v>2026</v>
      </c>
      <c r="G8" s="58">
        <v>2</v>
      </c>
      <c r="H8" s="58" t="s">
        <v>132</v>
      </c>
      <c r="I8" s="140" t="s">
        <v>133</v>
      </c>
      <c r="J8" s="58" t="s">
        <v>360</v>
      </c>
      <c r="K8" s="58" t="s">
        <v>135</v>
      </c>
      <c r="L8" s="142" t="s">
        <v>553</v>
      </c>
      <c r="M8" s="58"/>
      <c r="N8" s="58">
        <v>2</v>
      </c>
      <c r="O8" s="4" t="s">
        <v>63</v>
      </c>
      <c r="P8" s="58"/>
      <c r="Q8" s="58"/>
    </row>
    <row r="9" spans="1:17" ht="30.75">
      <c r="A9" s="139">
        <v>8</v>
      </c>
      <c r="B9" s="59">
        <v>46114</v>
      </c>
      <c r="C9" s="58" t="str">
        <f t="shared" si="0"/>
        <v>Thursday</v>
      </c>
      <c r="D9" s="58" t="s">
        <v>482</v>
      </c>
      <c r="E9" s="58" t="str">
        <f t="shared" si="1"/>
        <v>April</v>
      </c>
      <c r="F9" s="58">
        <v>2026</v>
      </c>
      <c r="G9" s="58">
        <v>2</v>
      </c>
      <c r="H9" s="58" t="s">
        <v>132</v>
      </c>
      <c r="I9" s="140" t="s">
        <v>133</v>
      </c>
      <c r="J9" s="58" t="s">
        <v>360</v>
      </c>
      <c r="K9" s="58" t="s">
        <v>135</v>
      </c>
      <c r="L9" s="142" t="s">
        <v>561</v>
      </c>
      <c r="M9" s="58"/>
      <c r="N9" s="58">
        <v>2</v>
      </c>
      <c r="O9" s="4" t="s">
        <v>63</v>
      </c>
      <c r="P9" s="58"/>
      <c r="Q9" s="58"/>
    </row>
    <row r="10" spans="1:17">
      <c r="A10" s="139">
        <v>9</v>
      </c>
      <c r="B10" s="59">
        <v>46118</v>
      </c>
      <c r="C10" s="58" t="str">
        <f t="shared" si="0"/>
        <v>Monday</v>
      </c>
      <c r="D10" s="58" t="s">
        <v>482</v>
      </c>
      <c r="E10" s="58" t="str">
        <f t="shared" si="1"/>
        <v>April</v>
      </c>
      <c r="F10" s="58">
        <v>2026</v>
      </c>
      <c r="G10" s="58">
        <v>2</v>
      </c>
      <c r="H10" s="58" t="s">
        <v>132</v>
      </c>
      <c r="I10" s="140" t="s">
        <v>133</v>
      </c>
      <c r="J10" s="58" t="s">
        <v>360</v>
      </c>
      <c r="K10" s="58" t="s">
        <v>135</v>
      </c>
      <c r="L10" s="142" t="s">
        <v>565</v>
      </c>
      <c r="M10" s="58"/>
      <c r="N10" s="58">
        <v>2</v>
      </c>
      <c r="O10" s="4" t="s">
        <v>63</v>
      </c>
      <c r="P10" s="58"/>
      <c r="Q10" s="58"/>
    </row>
    <row r="11" spans="1:17">
      <c r="A11" s="139">
        <v>10</v>
      </c>
      <c r="B11" s="59">
        <v>46121</v>
      </c>
      <c r="C11" s="58" t="str">
        <f t="shared" si="0"/>
        <v>Thursday</v>
      </c>
      <c r="D11" s="58" t="s">
        <v>482</v>
      </c>
      <c r="E11" s="58" t="str">
        <f t="shared" si="1"/>
        <v>April</v>
      </c>
      <c r="F11" s="58">
        <v>2026</v>
      </c>
      <c r="G11" s="58">
        <v>2</v>
      </c>
      <c r="H11" s="58" t="s">
        <v>132</v>
      </c>
      <c r="I11" s="140" t="s">
        <v>133</v>
      </c>
      <c r="J11" s="58" t="s">
        <v>360</v>
      </c>
      <c r="K11" s="58" t="s">
        <v>135</v>
      </c>
      <c r="L11" s="142" t="s">
        <v>579</v>
      </c>
      <c r="M11" s="58"/>
      <c r="N11" s="58">
        <v>2</v>
      </c>
      <c r="O11" s="4" t="s">
        <v>63</v>
      </c>
      <c r="P11" s="58"/>
      <c r="Q11" s="58"/>
    </row>
    <row r="12" spans="1:17">
      <c r="A12" s="139">
        <v>11</v>
      </c>
      <c r="B12" s="59">
        <v>46122</v>
      </c>
      <c r="C12" s="58" t="str">
        <f t="shared" si="0"/>
        <v>Friday</v>
      </c>
      <c r="D12" s="58" t="s">
        <v>482</v>
      </c>
      <c r="E12" s="58" t="str">
        <f t="shared" si="1"/>
        <v>April</v>
      </c>
      <c r="F12" s="58">
        <v>2026</v>
      </c>
      <c r="G12" s="58">
        <v>2</v>
      </c>
      <c r="H12" s="58" t="s">
        <v>132</v>
      </c>
      <c r="I12" s="140" t="s">
        <v>133</v>
      </c>
      <c r="J12" s="58" t="s">
        <v>360</v>
      </c>
      <c r="K12" s="58" t="s">
        <v>135</v>
      </c>
      <c r="L12" s="142" t="s">
        <v>552</v>
      </c>
      <c r="M12" s="58"/>
      <c r="N12" s="58">
        <v>2</v>
      </c>
      <c r="O12" s="4" t="s">
        <v>63</v>
      </c>
      <c r="P12" s="58"/>
      <c r="Q12" s="58"/>
    </row>
    <row r="13" spans="1:17" ht="30.75">
      <c r="A13" s="139">
        <v>12</v>
      </c>
      <c r="B13" s="59">
        <v>46125</v>
      </c>
      <c r="C13" s="58" t="str">
        <f t="shared" si="0"/>
        <v>Monday</v>
      </c>
      <c r="D13" s="58" t="s">
        <v>482</v>
      </c>
      <c r="E13" s="58" t="str">
        <f t="shared" si="1"/>
        <v>April</v>
      </c>
      <c r="F13" s="58">
        <v>2026</v>
      </c>
      <c r="G13" s="58">
        <v>2</v>
      </c>
      <c r="H13" s="58" t="s">
        <v>132</v>
      </c>
      <c r="I13" s="140" t="s">
        <v>133</v>
      </c>
      <c r="J13" s="58" t="s">
        <v>360</v>
      </c>
      <c r="K13" s="58" t="s">
        <v>135</v>
      </c>
      <c r="L13" s="142" t="s">
        <v>560</v>
      </c>
      <c r="M13" s="58"/>
      <c r="N13" s="58">
        <v>2</v>
      </c>
      <c r="O13" s="4" t="s">
        <v>63</v>
      </c>
      <c r="P13" s="58"/>
      <c r="Q13" s="58"/>
    </row>
    <row r="14" spans="1:17" ht="30.75">
      <c r="A14" s="139">
        <v>13</v>
      </c>
      <c r="B14" s="59">
        <v>46128</v>
      </c>
      <c r="C14" s="58" t="str">
        <f t="shared" si="0"/>
        <v>Thursday</v>
      </c>
      <c r="D14" s="58" t="s">
        <v>482</v>
      </c>
      <c r="E14" s="58" t="str">
        <f t="shared" si="1"/>
        <v>April</v>
      </c>
      <c r="F14" s="58">
        <v>2026</v>
      </c>
      <c r="G14" s="58">
        <v>2</v>
      </c>
      <c r="H14" s="58" t="s">
        <v>132</v>
      </c>
      <c r="I14" s="140" t="s">
        <v>133</v>
      </c>
      <c r="J14" s="58" t="s">
        <v>360</v>
      </c>
      <c r="K14" s="58" t="s">
        <v>135</v>
      </c>
      <c r="L14" s="142" t="s">
        <v>564</v>
      </c>
      <c r="M14" s="58"/>
      <c r="N14" s="58">
        <v>2</v>
      </c>
      <c r="O14" s="4" t="s">
        <v>63</v>
      </c>
      <c r="P14" s="58"/>
      <c r="Q14" s="58"/>
    </row>
    <row r="15" spans="1:17" ht="30.75">
      <c r="A15" s="139">
        <v>14</v>
      </c>
      <c r="B15" s="59">
        <v>46129</v>
      </c>
      <c r="C15" s="58" t="str">
        <f t="shared" si="0"/>
        <v>Friday</v>
      </c>
      <c r="D15" s="58" t="s">
        <v>482</v>
      </c>
      <c r="E15" s="58" t="str">
        <f t="shared" si="1"/>
        <v>April</v>
      </c>
      <c r="F15" s="58">
        <v>2026</v>
      </c>
      <c r="G15" s="58">
        <v>2</v>
      </c>
      <c r="H15" s="58" t="s">
        <v>132</v>
      </c>
      <c r="I15" s="140" t="s">
        <v>133</v>
      </c>
      <c r="J15" s="58" t="s">
        <v>360</v>
      </c>
      <c r="K15" s="58" t="s">
        <v>135</v>
      </c>
      <c r="L15" s="142" t="s">
        <v>575</v>
      </c>
      <c r="M15" s="58"/>
      <c r="N15" s="58">
        <v>2</v>
      </c>
      <c r="O15" s="4" t="s">
        <v>63</v>
      </c>
      <c r="P15" s="58"/>
      <c r="Q15" s="58"/>
    </row>
    <row r="16" spans="1:17" ht="30.75">
      <c r="A16" s="139">
        <v>15</v>
      </c>
      <c r="B16" s="59">
        <v>46132</v>
      </c>
      <c r="C16" s="58" t="str">
        <f t="shared" si="0"/>
        <v>Monday</v>
      </c>
      <c r="D16" s="58" t="s">
        <v>482</v>
      </c>
      <c r="E16" s="58" t="str">
        <f t="shared" si="1"/>
        <v>April</v>
      </c>
      <c r="F16" s="58">
        <v>2026</v>
      </c>
      <c r="G16" s="58">
        <v>2</v>
      </c>
      <c r="H16" s="58" t="s">
        <v>132</v>
      </c>
      <c r="I16" s="140" t="s">
        <v>133</v>
      </c>
      <c r="J16" s="58" t="s">
        <v>360</v>
      </c>
      <c r="K16" s="58" t="s">
        <v>135</v>
      </c>
      <c r="L16" s="142" t="s">
        <v>583</v>
      </c>
      <c r="M16" s="58"/>
      <c r="N16" s="58">
        <v>2</v>
      </c>
      <c r="O16" s="4" t="s">
        <v>63</v>
      </c>
      <c r="P16" s="58"/>
      <c r="Q16" s="58"/>
    </row>
    <row r="17" spans="1:17" ht="30.75">
      <c r="A17" s="139">
        <v>16</v>
      </c>
      <c r="B17" s="59">
        <v>46134</v>
      </c>
      <c r="C17" s="58" t="str">
        <f t="shared" si="0"/>
        <v>Wednesday</v>
      </c>
      <c r="D17" s="58" t="s">
        <v>482</v>
      </c>
      <c r="E17" s="58" t="str">
        <f t="shared" si="1"/>
        <v>April</v>
      </c>
      <c r="F17" s="58">
        <v>2026</v>
      </c>
      <c r="G17" s="58">
        <v>2</v>
      </c>
      <c r="H17" s="58" t="s">
        <v>132</v>
      </c>
      <c r="I17" s="140" t="s">
        <v>133</v>
      </c>
      <c r="J17" s="58" t="s">
        <v>360</v>
      </c>
      <c r="K17" s="58" t="s">
        <v>135</v>
      </c>
      <c r="L17" s="142" t="s">
        <v>627</v>
      </c>
      <c r="M17" s="58"/>
      <c r="N17" s="58">
        <v>2</v>
      </c>
      <c r="O17" s="4" t="s">
        <v>63</v>
      </c>
      <c r="P17" s="58"/>
      <c r="Q17" s="58"/>
    </row>
    <row r="18" spans="1:17" ht="30.75">
      <c r="A18" s="139">
        <v>17</v>
      </c>
      <c r="B18" s="59">
        <v>46136</v>
      </c>
      <c r="C18" s="58" t="str">
        <f t="shared" si="0"/>
        <v>Friday</v>
      </c>
      <c r="D18" s="58" t="s">
        <v>482</v>
      </c>
      <c r="E18" s="58" t="str">
        <f t="shared" si="1"/>
        <v>April</v>
      </c>
      <c r="F18" s="58">
        <v>2026</v>
      </c>
      <c r="G18" s="58">
        <v>2</v>
      </c>
      <c r="H18" s="58" t="s">
        <v>132</v>
      </c>
      <c r="I18" s="140" t="s">
        <v>133</v>
      </c>
      <c r="J18" s="58" t="s">
        <v>360</v>
      </c>
      <c r="K18" s="58" t="s">
        <v>135</v>
      </c>
      <c r="L18" s="142" t="s">
        <v>636</v>
      </c>
      <c r="M18" s="58"/>
      <c r="N18" s="58">
        <v>2</v>
      </c>
      <c r="O18" s="4" t="s">
        <v>63</v>
      </c>
      <c r="P18" s="58"/>
      <c r="Q18" s="58"/>
    </row>
    <row r="19" spans="1:17">
      <c r="A19" s="139">
        <v>18</v>
      </c>
      <c r="B19" s="59">
        <v>46139</v>
      </c>
      <c r="C19" s="58" t="str">
        <f t="shared" ref="C19:C33" si="2">TEXT(B19,"dddd")</f>
        <v>Monday</v>
      </c>
      <c r="D19" s="58" t="s">
        <v>482</v>
      </c>
      <c r="E19" s="58" t="str">
        <f t="shared" ref="E19:E33" si="3">TEXT(B19,"mmmm")</f>
        <v>April</v>
      </c>
      <c r="F19" s="58">
        <v>2026</v>
      </c>
      <c r="G19" s="58">
        <v>2</v>
      </c>
      <c r="H19" s="58" t="s">
        <v>132</v>
      </c>
      <c r="I19" s="140" t="s">
        <v>133</v>
      </c>
      <c r="J19" s="58" t="s">
        <v>360</v>
      </c>
      <c r="K19" s="58" t="s">
        <v>135</v>
      </c>
      <c r="L19" s="142" t="s">
        <v>593</v>
      </c>
      <c r="M19" s="58"/>
      <c r="N19" s="58">
        <v>2</v>
      </c>
      <c r="O19" s="4" t="s">
        <v>63</v>
      </c>
      <c r="P19" s="58"/>
      <c r="Q19" s="58"/>
    </row>
    <row r="20" spans="1:17" ht="30.75">
      <c r="A20" s="139">
        <v>19</v>
      </c>
      <c r="B20" s="59">
        <v>46146</v>
      </c>
      <c r="C20" s="58" t="str">
        <f t="shared" si="2"/>
        <v>Monday</v>
      </c>
      <c r="D20" s="58" t="s">
        <v>482</v>
      </c>
      <c r="E20" s="58" t="str">
        <f t="shared" si="3"/>
        <v>May</v>
      </c>
      <c r="F20" s="58">
        <v>2026</v>
      </c>
      <c r="G20" s="58">
        <v>2</v>
      </c>
      <c r="H20" s="58" t="s">
        <v>132</v>
      </c>
      <c r="I20" s="140" t="s">
        <v>133</v>
      </c>
      <c r="J20" s="58" t="s">
        <v>360</v>
      </c>
      <c r="K20" s="58" t="s">
        <v>135</v>
      </c>
      <c r="L20" s="142" t="s">
        <v>604</v>
      </c>
      <c r="M20" s="58"/>
      <c r="N20" s="58">
        <v>2</v>
      </c>
      <c r="O20" s="4" t="s">
        <v>63</v>
      </c>
      <c r="P20" s="58"/>
      <c r="Q20" s="58"/>
    </row>
    <row r="21" spans="1:17">
      <c r="A21" s="139">
        <v>20</v>
      </c>
      <c r="B21" s="59">
        <v>46148</v>
      </c>
      <c r="C21" s="58" t="str">
        <f t="shared" si="2"/>
        <v>Wednesday</v>
      </c>
      <c r="D21" s="58" t="s">
        <v>482</v>
      </c>
      <c r="E21" s="58" t="str">
        <f t="shared" si="3"/>
        <v>May</v>
      </c>
      <c r="F21" s="58">
        <v>2026</v>
      </c>
      <c r="G21" s="58">
        <v>2</v>
      </c>
      <c r="H21" s="58" t="s">
        <v>132</v>
      </c>
      <c r="I21" s="140" t="s">
        <v>133</v>
      </c>
      <c r="J21" s="58" t="s">
        <v>360</v>
      </c>
      <c r="K21" s="58" t="s">
        <v>135</v>
      </c>
      <c r="L21" s="142" t="s">
        <v>609</v>
      </c>
      <c r="M21" s="58"/>
      <c r="N21" s="58">
        <v>2</v>
      </c>
      <c r="O21" s="4" t="s">
        <v>127</v>
      </c>
      <c r="P21" s="58"/>
      <c r="Q21" s="58"/>
    </row>
    <row r="22" spans="1:17">
      <c r="A22" s="139"/>
      <c r="B22" s="59">
        <v>46149</v>
      </c>
      <c r="C22" s="58" t="str">
        <f t="shared" si="2"/>
        <v>Thursday</v>
      </c>
      <c r="D22" s="58"/>
      <c r="E22" s="58" t="str">
        <f t="shared" si="3"/>
        <v>May</v>
      </c>
      <c r="F22" s="58">
        <v>2026</v>
      </c>
      <c r="G22" s="58"/>
      <c r="H22" s="58" t="s">
        <v>132</v>
      </c>
      <c r="I22" s="140" t="s">
        <v>133</v>
      </c>
      <c r="J22" s="58" t="s">
        <v>360</v>
      </c>
      <c r="K22" s="58" t="s">
        <v>135</v>
      </c>
      <c r="L22" s="143" t="s">
        <v>616</v>
      </c>
      <c r="M22" s="58"/>
      <c r="N22" s="58"/>
      <c r="O22" s="4"/>
      <c r="P22" s="58"/>
      <c r="Q22" s="58"/>
    </row>
    <row r="23" spans="1:17" ht="30.75">
      <c r="A23" s="139">
        <v>21</v>
      </c>
      <c r="B23" s="59">
        <v>46150</v>
      </c>
      <c r="C23" s="58" t="str">
        <f t="shared" si="2"/>
        <v>Friday</v>
      </c>
      <c r="D23" s="58" t="s">
        <v>482</v>
      </c>
      <c r="E23" s="58" t="str">
        <f t="shared" si="3"/>
        <v>May</v>
      </c>
      <c r="F23" s="58">
        <v>2026</v>
      </c>
      <c r="G23" s="58">
        <v>2</v>
      </c>
      <c r="H23" s="58" t="s">
        <v>132</v>
      </c>
      <c r="I23" s="140" t="s">
        <v>133</v>
      </c>
      <c r="J23" s="58" t="s">
        <v>360</v>
      </c>
      <c r="K23" s="58" t="s">
        <v>135</v>
      </c>
      <c r="L23" s="142" t="s">
        <v>626</v>
      </c>
      <c r="M23" s="58"/>
      <c r="N23" s="58">
        <v>2</v>
      </c>
      <c r="O23" s="4" t="s">
        <v>127</v>
      </c>
      <c r="P23" s="58"/>
      <c r="Q23" s="58"/>
    </row>
    <row r="24" spans="1:17" ht="30.75">
      <c r="A24" s="139">
        <v>22</v>
      </c>
      <c r="B24" s="59">
        <v>46153</v>
      </c>
      <c r="C24" s="58" t="str">
        <f t="shared" si="2"/>
        <v>Monday</v>
      </c>
      <c r="D24" s="58" t="s">
        <v>482</v>
      </c>
      <c r="E24" s="58" t="str">
        <f t="shared" si="3"/>
        <v>May</v>
      </c>
      <c r="F24" s="58">
        <v>2026</v>
      </c>
      <c r="G24" s="58">
        <v>2</v>
      </c>
      <c r="H24" s="58" t="s">
        <v>132</v>
      </c>
      <c r="I24" s="140" t="s">
        <v>133</v>
      </c>
      <c r="J24" s="58" t="s">
        <v>360</v>
      </c>
      <c r="K24" s="58" t="s">
        <v>135</v>
      </c>
      <c r="L24" s="142" t="s">
        <v>635</v>
      </c>
      <c r="M24" s="58"/>
      <c r="N24" s="58">
        <v>2</v>
      </c>
      <c r="O24" s="4" t="s">
        <v>127</v>
      </c>
      <c r="P24" s="58"/>
      <c r="Q24" s="58"/>
    </row>
    <row r="25" spans="1:17" ht="30.75">
      <c r="A25" s="139">
        <v>23</v>
      </c>
      <c r="B25" s="59">
        <v>46155</v>
      </c>
      <c r="C25" s="58" t="str">
        <f t="shared" si="2"/>
        <v>Wednesday</v>
      </c>
      <c r="D25" s="58" t="s">
        <v>482</v>
      </c>
      <c r="E25" s="58" t="str">
        <f t="shared" si="3"/>
        <v>May</v>
      </c>
      <c r="F25" s="58">
        <v>2026</v>
      </c>
      <c r="G25" s="58">
        <v>2</v>
      </c>
      <c r="H25" s="58" t="s">
        <v>132</v>
      </c>
      <c r="I25" s="140" t="s">
        <v>133</v>
      </c>
      <c r="J25" s="58" t="s">
        <v>360</v>
      </c>
      <c r="K25" s="58" t="s">
        <v>135</v>
      </c>
      <c r="L25" s="142" t="s">
        <v>703</v>
      </c>
      <c r="M25" s="58"/>
      <c r="N25" s="58">
        <v>2</v>
      </c>
      <c r="O25" s="4" t="s">
        <v>127</v>
      </c>
      <c r="P25" s="58"/>
      <c r="Q25" s="58"/>
    </row>
    <row r="26" spans="1:17">
      <c r="A26" s="139">
        <v>24</v>
      </c>
      <c r="B26" s="59">
        <v>46157</v>
      </c>
      <c r="C26" s="58" t="str">
        <f t="shared" si="2"/>
        <v>Friday</v>
      </c>
      <c r="D26" s="58" t="s">
        <v>482</v>
      </c>
      <c r="E26" s="58" t="str">
        <f t="shared" si="3"/>
        <v>May</v>
      </c>
      <c r="F26" s="58">
        <v>2026</v>
      </c>
      <c r="G26" s="58">
        <v>2</v>
      </c>
      <c r="H26" s="58" t="s">
        <v>132</v>
      </c>
      <c r="I26" s="140" t="s">
        <v>133</v>
      </c>
      <c r="J26" s="58" t="s">
        <v>360</v>
      </c>
      <c r="K26" s="58" t="s">
        <v>135</v>
      </c>
      <c r="L26" s="142" t="s">
        <v>642</v>
      </c>
      <c r="M26" s="58"/>
      <c r="N26" s="58">
        <v>2</v>
      </c>
      <c r="O26" s="4" t="s">
        <v>127</v>
      </c>
      <c r="P26" s="58"/>
      <c r="Q26" s="58"/>
    </row>
    <row r="27" spans="1:17">
      <c r="A27" s="139"/>
      <c r="B27" s="59">
        <v>46160</v>
      </c>
      <c r="C27" s="58" t="str">
        <f t="shared" si="2"/>
        <v>Monday</v>
      </c>
      <c r="D27" s="58"/>
      <c r="E27" s="58" t="str">
        <f t="shared" si="3"/>
        <v>May</v>
      </c>
      <c r="F27" s="58">
        <v>2026</v>
      </c>
      <c r="G27" s="58">
        <v>2</v>
      </c>
      <c r="H27" s="58" t="s">
        <v>132</v>
      </c>
      <c r="I27" s="140" t="s">
        <v>133</v>
      </c>
      <c r="J27" s="58" t="s">
        <v>360</v>
      </c>
      <c r="K27" s="58" t="s">
        <v>135</v>
      </c>
      <c r="L27" s="144" t="s">
        <v>473</v>
      </c>
      <c r="M27" s="58"/>
      <c r="N27" s="58">
        <v>2</v>
      </c>
      <c r="O27" s="4" t="s">
        <v>127</v>
      </c>
      <c r="P27" s="58"/>
      <c r="Q27" s="58"/>
    </row>
    <row r="28" spans="1:17">
      <c r="A28" s="139"/>
      <c r="B28" s="59">
        <v>46162</v>
      </c>
      <c r="C28" s="58" t="str">
        <f t="shared" si="2"/>
        <v>Wednesday</v>
      </c>
      <c r="D28" s="58"/>
      <c r="E28" s="58" t="str">
        <f t="shared" si="3"/>
        <v>May</v>
      </c>
      <c r="F28" s="58">
        <v>2026</v>
      </c>
      <c r="G28" s="58">
        <v>2</v>
      </c>
      <c r="H28" s="58" t="s">
        <v>132</v>
      </c>
      <c r="I28" s="140" t="s">
        <v>133</v>
      </c>
      <c r="J28" s="58" t="s">
        <v>360</v>
      </c>
      <c r="K28" s="58" t="s">
        <v>135</v>
      </c>
      <c r="L28" s="143" t="s">
        <v>733</v>
      </c>
      <c r="M28" s="58"/>
      <c r="N28" s="58" t="s">
        <v>615</v>
      </c>
      <c r="O28" s="4" t="s">
        <v>127</v>
      </c>
      <c r="P28" s="58"/>
      <c r="Q28" s="58"/>
    </row>
    <row r="29" spans="1:17">
      <c r="A29" s="139"/>
      <c r="B29" s="59">
        <v>46163</v>
      </c>
      <c r="C29" s="58" t="str">
        <f>TEXT(B29,"dddd")</f>
        <v>Thursday</v>
      </c>
      <c r="D29" s="58"/>
      <c r="E29" s="58" t="str">
        <f>TEXT(B29,"mmmm")</f>
        <v>May</v>
      </c>
      <c r="F29" s="58">
        <v>2026</v>
      </c>
      <c r="G29" s="58">
        <v>2</v>
      </c>
      <c r="H29" s="58" t="s">
        <v>132</v>
      </c>
      <c r="I29" s="140" t="s">
        <v>133</v>
      </c>
      <c r="J29" s="58" t="s">
        <v>360</v>
      </c>
      <c r="K29" s="58" t="s">
        <v>135</v>
      </c>
      <c r="L29" s="143" t="s">
        <v>737</v>
      </c>
      <c r="M29" s="58"/>
      <c r="N29" s="58"/>
      <c r="O29" s="4" t="s">
        <v>127</v>
      </c>
      <c r="P29" s="58"/>
      <c r="Q29" s="58"/>
    </row>
    <row r="30" spans="1:17">
      <c r="A30" s="139"/>
      <c r="B30" s="59">
        <v>46164</v>
      </c>
      <c r="C30" s="58" t="str">
        <f>TEXT(B30,"dddd")</f>
        <v>Friday</v>
      </c>
      <c r="D30" s="58"/>
      <c r="E30" s="58" t="str">
        <f>TEXT(B30,"mmmm")</f>
        <v>May</v>
      </c>
      <c r="F30" s="58">
        <v>2026</v>
      </c>
      <c r="G30" s="58">
        <v>2</v>
      </c>
      <c r="H30" s="58" t="s">
        <v>132</v>
      </c>
      <c r="I30" s="140" t="s">
        <v>133</v>
      </c>
      <c r="J30" s="58" t="s">
        <v>360</v>
      </c>
      <c r="K30" s="58" t="s">
        <v>135</v>
      </c>
      <c r="L30" s="143" t="s">
        <v>747</v>
      </c>
      <c r="M30" s="58"/>
      <c r="N30" s="58"/>
      <c r="O30" s="4" t="s">
        <v>127</v>
      </c>
      <c r="P30" s="58"/>
      <c r="Q30" s="58"/>
    </row>
    <row r="31" spans="1:17" ht="30.75">
      <c r="A31" s="139"/>
      <c r="B31" s="59">
        <v>46167</v>
      </c>
      <c r="C31" s="58" t="str">
        <f>TEXT(B31,"dddd")</f>
        <v>Monday</v>
      </c>
      <c r="D31" s="58"/>
      <c r="E31" s="58" t="str">
        <f>TEXT(B31,"mmmm")</f>
        <v>May</v>
      </c>
      <c r="F31" s="58">
        <v>2026</v>
      </c>
      <c r="G31" s="58">
        <v>2</v>
      </c>
      <c r="H31" s="58" t="s">
        <v>132</v>
      </c>
      <c r="I31" s="140" t="s">
        <v>133</v>
      </c>
      <c r="J31" s="58" t="s">
        <v>360</v>
      </c>
      <c r="K31" s="58" t="s">
        <v>135</v>
      </c>
      <c r="L31" s="143" t="s">
        <v>751</v>
      </c>
      <c r="M31" s="58"/>
      <c r="N31" s="58"/>
      <c r="O31" s="4" t="s">
        <v>127</v>
      </c>
      <c r="P31" s="58"/>
      <c r="Q31" s="58"/>
    </row>
    <row r="32" spans="1:17" ht="30.75">
      <c r="A32" s="139"/>
      <c r="B32" s="59"/>
      <c r="C32" s="58" t="str">
        <f t="shared" si="2"/>
        <v>Saturday</v>
      </c>
      <c r="D32" s="58"/>
      <c r="E32" s="58" t="str">
        <f t="shared" si="3"/>
        <v>January</v>
      </c>
      <c r="F32" s="58">
        <v>2026</v>
      </c>
      <c r="G32" s="58"/>
      <c r="H32" s="58" t="s">
        <v>132</v>
      </c>
      <c r="I32" s="140" t="s">
        <v>133</v>
      </c>
      <c r="J32" s="58" t="s">
        <v>360</v>
      </c>
      <c r="K32" s="58" t="s">
        <v>135</v>
      </c>
      <c r="L32" s="144" t="s">
        <v>952</v>
      </c>
      <c r="M32" s="58"/>
      <c r="N32" s="58"/>
      <c r="O32" s="4"/>
      <c r="P32" s="58"/>
      <c r="Q32" s="58"/>
    </row>
    <row r="33" spans="1:17">
      <c r="A33" s="139"/>
      <c r="B33" s="59"/>
      <c r="C33" s="58" t="str">
        <f t="shared" si="2"/>
        <v>Saturday</v>
      </c>
      <c r="D33" s="58"/>
      <c r="E33" s="58" t="str">
        <f t="shared" si="3"/>
        <v>January</v>
      </c>
      <c r="F33" s="58">
        <v>2026</v>
      </c>
      <c r="G33" s="58"/>
      <c r="H33" s="58" t="s">
        <v>132</v>
      </c>
      <c r="I33" s="140" t="s">
        <v>133</v>
      </c>
      <c r="J33" s="58" t="s">
        <v>360</v>
      </c>
      <c r="K33" s="58" t="s">
        <v>135</v>
      </c>
      <c r="L33" s="144" t="s">
        <v>953</v>
      </c>
      <c r="M33" s="58"/>
      <c r="N33" s="58"/>
      <c r="O33" s="4"/>
      <c r="P33" s="58"/>
      <c r="Q33" s="58"/>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8F5E-CE54-428E-83A2-6E78F8D4288B}">
  <dimension ref="A1:Q22"/>
  <sheetViews>
    <sheetView workbookViewId="0">
      <selection activeCell="B22" sqref="B22"/>
    </sheetView>
  </sheetViews>
  <sheetFormatPr defaultRowHeight="15"/>
  <cols>
    <col min="2" max="2" width="24" customWidth="1"/>
    <col min="3" max="3" width="13.5703125" customWidth="1"/>
    <col min="4" max="4" width="31.28515625" customWidth="1"/>
    <col min="5" max="5" width="10.42578125" customWidth="1"/>
    <col min="6" max="6" width="9.140625" customWidth="1"/>
    <col min="7" max="7" width="18.42578125" customWidth="1"/>
    <col min="8" max="8" width="9.42578125" customWidth="1"/>
    <col min="9" max="9" width="22.28515625" customWidth="1"/>
    <col min="10" max="10" width="28.42578125" customWidth="1"/>
    <col min="11" max="11" width="9.42578125" customWidth="1"/>
    <col min="12" max="12" width="58.85546875" customWidth="1"/>
    <col min="13" max="13" width="21.5703125" customWidth="1"/>
    <col min="14" max="14" width="27.7109375" customWidth="1"/>
    <col min="15" max="15" width="21.85546875" customWidth="1"/>
    <col min="16" max="17" width="13" bestFit="1"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39"/>
      <c r="B2" s="59">
        <v>46091</v>
      </c>
      <c r="C2" s="58" t="str">
        <f t="shared" ref="C2:C22" si="0">TEXT(B2,"dddd")</f>
        <v>Tuesday</v>
      </c>
      <c r="D2" s="58" t="s">
        <v>453</v>
      </c>
      <c r="E2" s="58" t="str">
        <f t="shared" ref="E2:E22" si="1">TEXT(B2,"mmmm")</f>
        <v>March</v>
      </c>
      <c r="F2" s="58">
        <v>2026</v>
      </c>
      <c r="G2" s="58">
        <v>1</v>
      </c>
      <c r="H2" s="58" t="s">
        <v>57</v>
      </c>
      <c r="I2" s="140" t="s">
        <v>454</v>
      </c>
      <c r="J2" s="58" t="s">
        <v>311</v>
      </c>
      <c r="K2" s="58"/>
      <c r="L2" s="141" t="s">
        <v>455</v>
      </c>
      <c r="M2" s="58"/>
      <c r="N2" s="58">
        <v>1</v>
      </c>
      <c r="O2" s="4"/>
      <c r="P2" s="58"/>
      <c r="Q2" s="58"/>
    </row>
    <row r="3" spans="1:17">
      <c r="A3" s="139" t="s">
        <v>1024</v>
      </c>
      <c r="B3" s="59">
        <v>46094</v>
      </c>
      <c r="C3" s="58" t="str">
        <f t="shared" si="0"/>
        <v>Friday</v>
      </c>
      <c r="D3" s="58" t="s">
        <v>470</v>
      </c>
      <c r="E3" s="58" t="str">
        <f t="shared" si="1"/>
        <v>March</v>
      </c>
      <c r="F3" s="58">
        <v>2026</v>
      </c>
      <c r="G3" s="58">
        <v>1.5</v>
      </c>
      <c r="H3" s="58" t="s">
        <v>57</v>
      </c>
      <c r="I3" s="140" t="s">
        <v>454</v>
      </c>
      <c r="J3" s="58" t="s">
        <v>311</v>
      </c>
      <c r="K3" s="58"/>
      <c r="L3" s="142" t="s">
        <v>471</v>
      </c>
      <c r="M3" s="58"/>
      <c r="N3" s="58">
        <v>1.5</v>
      </c>
      <c r="O3" s="4" t="s">
        <v>60</v>
      </c>
      <c r="P3" s="58"/>
      <c r="Q3" s="58"/>
    </row>
    <row r="4" spans="1:17">
      <c r="A4" s="139">
        <v>2</v>
      </c>
      <c r="B4" s="59">
        <v>46099</v>
      </c>
      <c r="C4" s="58" t="str">
        <f t="shared" si="0"/>
        <v>Wednesday</v>
      </c>
      <c r="D4" s="58" t="s">
        <v>497</v>
      </c>
      <c r="E4" s="58" t="str">
        <f t="shared" si="1"/>
        <v>March</v>
      </c>
      <c r="F4" s="58">
        <v>2026</v>
      </c>
      <c r="G4" s="58" t="s">
        <v>498</v>
      </c>
      <c r="H4" s="58" t="s">
        <v>57</v>
      </c>
      <c r="I4" s="140" t="s">
        <v>454</v>
      </c>
      <c r="J4" s="58" t="s">
        <v>311</v>
      </c>
      <c r="K4" s="58"/>
      <c r="L4" s="142" t="s">
        <v>499</v>
      </c>
      <c r="M4" s="58"/>
      <c r="N4" s="58" t="s">
        <v>498</v>
      </c>
      <c r="O4" s="4" t="s">
        <v>72</v>
      </c>
      <c r="P4" s="58"/>
      <c r="Q4" s="58"/>
    </row>
    <row r="5" spans="1:17" ht="30.75">
      <c r="A5" s="139">
        <v>3</v>
      </c>
      <c r="B5" s="59">
        <v>46105</v>
      </c>
      <c r="C5" s="58" t="str">
        <f t="shared" si="0"/>
        <v>Tuesday</v>
      </c>
      <c r="D5" s="58" t="s">
        <v>497</v>
      </c>
      <c r="E5" s="58" t="str">
        <f t="shared" si="1"/>
        <v>March</v>
      </c>
      <c r="F5" s="58">
        <v>2026</v>
      </c>
      <c r="G5" s="58" t="s">
        <v>498</v>
      </c>
      <c r="H5" s="58" t="s">
        <v>57</v>
      </c>
      <c r="I5" s="140" t="s">
        <v>454</v>
      </c>
      <c r="J5" s="58" t="s">
        <v>311</v>
      </c>
      <c r="K5" s="58"/>
      <c r="L5" s="142" t="s">
        <v>515</v>
      </c>
      <c r="M5" s="58"/>
      <c r="N5" s="58" t="s">
        <v>498</v>
      </c>
      <c r="O5" s="4" t="s">
        <v>516</v>
      </c>
      <c r="P5" s="58"/>
      <c r="Q5" s="58"/>
    </row>
    <row r="6" spans="1:17" ht="30.75">
      <c r="A6" s="139">
        <v>4</v>
      </c>
      <c r="B6" s="59">
        <v>46108</v>
      </c>
      <c r="C6" s="58" t="str">
        <f t="shared" si="0"/>
        <v>Friday</v>
      </c>
      <c r="D6" s="58" t="s">
        <v>497</v>
      </c>
      <c r="E6" s="58" t="str">
        <f t="shared" si="1"/>
        <v>March</v>
      </c>
      <c r="F6" s="58">
        <v>2026</v>
      </c>
      <c r="G6" s="58" t="s">
        <v>498</v>
      </c>
      <c r="H6" s="58" t="s">
        <v>57</v>
      </c>
      <c r="I6" s="140" t="s">
        <v>454</v>
      </c>
      <c r="J6" s="58" t="s">
        <v>311</v>
      </c>
      <c r="K6" s="58"/>
      <c r="L6" s="142" t="s">
        <v>535</v>
      </c>
      <c r="M6" s="58"/>
      <c r="N6" s="58" t="s">
        <v>498</v>
      </c>
      <c r="O6" s="4" t="s">
        <v>516</v>
      </c>
      <c r="P6" s="58"/>
      <c r="Q6" s="58"/>
    </row>
    <row r="7" spans="1:17">
      <c r="A7" s="139">
        <v>5</v>
      </c>
      <c r="B7" s="59">
        <v>46112</v>
      </c>
      <c r="C7" s="58" t="str">
        <f t="shared" si="0"/>
        <v>Tuesday</v>
      </c>
      <c r="D7" s="58" t="s">
        <v>497</v>
      </c>
      <c r="E7" s="58" t="str">
        <f t="shared" si="1"/>
        <v>March</v>
      </c>
      <c r="F7" s="58">
        <v>2026</v>
      </c>
      <c r="G7" s="58" t="s">
        <v>498</v>
      </c>
      <c r="H7" s="58" t="s">
        <v>57</v>
      </c>
      <c r="I7" s="140" t="s">
        <v>454</v>
      </c>
      <c r="J7" s="58" t="s">
        <v>311</v>
      </c>
      <c r="K7" s="58"/>
      <c r="L7" s="142" t="s">
        <v>545</v>
      </c>
      <c r="M7" s="58"/>
      <c r="N7" s="58" t="s">
        <v>498</v>
      </c>
      <c r="O7" s="4" t="s">
        <v>516</v>
      </c>
      <c r="P7" s="58"/>
      <c r="Q7" s="58"/>
    </row>
    <row r="8" spans="1:17" ht="30.75">
      <c r="A8" s="139">
        <v>6</v>
      </c>
      <c r="B8" s="59">
        <v>46114</v>
      </c>
      <c r="C8" s="58" t="str">
        <f t="shared" ref="C8" si="2">TEXT(B8,"dddd")</f>
        <v>Thursday</v>
      </c>
      <c r="D8" s="58" t="s">
        <v>497</v>
      </c>
      <c r="E8" s="58" t="str">
        <f t="shared" ref="E8" si="3">TEXT(B8,"mmmm")</f>
        <v>April</v>
      </c>
      <c r="F8" s="58">
        <v>2026</v>
      </c>
      <c r="G8" s="58" t="s">
        <v>498</v>
      </c>
      <c r="H8" s="58" t="s">
        <v>57</v>
      </c>
      <c r="I8" s="140" t="s">
        <v>454</v>
      </c>
      <c r="J8" s="58" t="s">
        <v>311</v>
      </c>
      <c r="K8" s="58"/>
      <c r="L8" s="142" t="s">
        <v>562</v>
      </c>
      <c r="M8" s="58"/>
      <c r="N8" s="58" t="s">
        <v>498</v>
      </c>
      <c r="O8" s="4" t="s">
        <v>516</v>
      </c>
      <c r="P8" s="58"/>
      <c r="Q8" s="58"/>
    </row>
    <row r="9" spans="1:17">
      <c r="A9" s="139" t="s">
        <v>1057</v>
      </c>
      <c r="B9" s="59">
        <v>46122</v>
      </c>
      <c r="C9" s="58" t="str">
        <f t="shared" si="0"/>
        <v>Friday</v>
      </c>
      <c r="D9" s="58" t="s">
        <v>497</v>
      </c>
      <c r="E9" s="58" t="str">
        <f t="shared" si="1"/>
        <v>April</v>
      </c>
      <c r="F9" s="58">
        <v>2026</v>
      </c>
      <c r="G9" s="58" t="s">
        <v>498</v>
      </c>
      <c r="H9" s="58" t="s">
        <v>57</v>
      </c>
      <c r="I9" s="140" t="s">
        <v>454</v>
      </c>
      <c r="J9" s="58" t="s">
        <v>311</v>
      </c>
      <c r="K9" s="58"/>
      <c r="L9" s="143" t="s">
        <v>1058</v>
      </c>
      <c r="M9" s="58"/>
      <c r="N9" s="58" t="s">
        <v>498</v>
      </c>
      <c r="O9" s="4" t="s">
        <v>12</v>
      </c>
      <c r="P9" s="58" t="s">
        <v>60</v>
      </c>
      <c r="Q9" s="58"/>
    </row>
    <row r="10" spans="1:17">
      <c r="A10" s="139" t="s">
        <v>1059</v>
      </c>
      <c r="B10" s="59">
        <v>46127</v>
      </c>
      <c r="C10" s="58" t="str">
        <f t="shared" si="0"/>
        <v>Wednesday</v>
      </c>
      <c r="D10" s="58" t="s">
        <v>497</v>
      </c>
      <c r="E10" s="58" t="str">
        <f t="shared" si="1"/>
        <v>April</v>
      </c>
      <c r="F10" s="58">
        <v>2026</v>
      </c>
      <c r="G10" s="58" t="s">
        <v>498</v>
      </c>
      <c r="H10" s="58" t="s">
        <v>57</v>
      </c>
      <c r="I10" s="140" t="s">
        <v>454</v>
      </c>
      <c r="J10" s="58" t="s">
        <v>311</v>
      </c>
      <c r="K10" s="58"/>
      <c r="L10" s="142" t="s">
        <v>597</v>
      </c>
      <c r="M10" s="58"/>
      <c r="N10" s="58" t="s">
        <v>498</v>
      </c>
      <c r="O10" s="4" t="s">
        <v>516</v>
      </c>
      <c r="P10" s="58"/>
      <c r="Q10" s="58"/>
    </row>
    <row r="11" spans="1:17">
      <c r="A11" s="139" t="s">
        <v>1060</v>
      </c>
      <c r="B11" s="59">
        <v>46129</v>
      </c>
      <c r="C11" s="58" t="str">
        <f t="shared" si="0"/>
        <v>Friday</v>
      </c>
      <c r="D11" s="58" t="s">
        <v>497</v>
      </c>
      <c r="E11" s="58" t="str">
        <f t="shared" si="1"/>
        <v>April</v>
      </c>
      <c r="F11" s="58">
        <v>2026</v>
      </c>
      <c r="G11" s="58" t="s">
        <v>498</v>
      </c>
      <c r="H11" s="58" t="s">
        <v>57</v>
      </c>
      <c r="I11" s="140" t="s">
        <v>454</v>
      </c>
      <c r="J11" s="58" t="s">
        <v>311</v>
      </c>
      <c r="K11" s="58"/>
      <c r="L11" s="142" t="s">
        <v>610</v>
      </c>
      <c r="M11" s="58"/>
      <c r="N11" s="58" t="s">
        <v>498</v>
      </c>
      <c r="O11" s="4" t="s">
        <v>516</v>
      </c>
      <c r="P11" s="58"/>
      <c r="Q11" s="58"/>
    </row>
    <row r="12" spans="1:17">
      <c r="A12" s="139" t="s">
        <v>1061</v>
      </c>
      <c r="B12" s="59">
        <v>46132</v>
      </c>
      <c r="C12" s="58" t="str">
        <f t="shared" si="0"/>
        <v>Monday</v>
      </c>
      <c r="D12" s="58" t="s">
        <v>497</v>
      </c>
      <c r="E12" s="58" t="str">
        <f t="shared" si="1"/>
        <v>April</v>
      </c>
      <c r="F12" s="58">
        <v>2026</v>
      </c>
      <c r="G12" s="58" t="s">
        <v>498</v>
      </c>
      <c r="H12" s="58" t="s">
        <v>57</v>
      </c>
      <c r="I12" s="140" t="s">
        <v>454</v>
      </c>
      <c r="J12" s="58" t="s">
        <v>311</v>
      </c>
      <c r="K12" s="58"/>
      <c r="L12" s="142" t="s">
        <v>617</v>
      </c>
      <c r="M12" s="58"/>
      <c r="N12" s="58" t="s">
        <v>498</v>
      </c>
      <c r="O12" s="4" t="s">
        <v>559</v>
      </c>
      <c r="P12" s="58"/>
      <c r="Q12" s="58"/>
    </row>
    <row r="13" spans="1:17">
      <c r="A13" s="139" t="s">
        <v>1030</v>
      </c>
      <c r="B13" s="59">
        <v>46133</v>
      </c>
      <c r="C13" s="58" t="str">
        <f>TEXT(B13,"dddd")</f>
        <v>Tuesday</v>
      </c>
      <c r="D13" s="58" t="s">
        <v>497</v>
      </c>
      <c r="E13" s="58" t="str">
        <f>TEXT(B13,"mmmm")</f>
        <v>April</v>
      </c>
      <c r="F13" s="58">
        <v>2026</v>
      </c>
      <c r="G13" s="58" t="s">
        <v>498</v>
      </c>
      <c r="H13" s="58" t="s">
        <v>57</v>
      </c>
      <c r="I13" s="140" t="s">
        <v>454</v>
      </c>
      <c r="J13" s="58" t="s">
        <v>311</v>
      </c>
      <c r="K13" s="58"/>
      <c r="L13" s="142" t="s">
        <v>619</v>
      </c>
      <c r="M13" s="58"/>
      <c r="N13" s="58" t="s">
        <v>498</v>
      </c>
      <c r="O13" s="4" t="s">
        <v>559</v>
      </c>
      <c r="P13" s="58"/>
      <c r="Q13" s="58"/>
    </row>
    <row r="14" spans="1:17">
      <c r="A14" s="139" t="s">
        <v>1039</v>
      </c>
      <c r="B14" s="59">
        <v>46134</v>
      </c>
      <c r="C14" s="58" t="str">
        <f t="shared" si="0"/>
        <v>Wednesday</v>
      </c>
      <c r="D14" s="58" t="s">
        <v>497</v>
      </c>
      <c r="E14" s="58" t="str">
        <f t="shared" si="1"/>
        <v>April</v>
      </c>
      <c r="F14" s="58">
        <v>2026</v>
      </c>
      <c r="G14" s="58" t="s">
        <v>498</v>
      </c>
      <c r="H14" s="58" t="s">
        <v>57</v>
      </c>
      <c r="I14" s="140" t="s">
        <v>454</v>
      </c>
      <c r="J14" s="58" t="s">
        <v>311</v>
      </c>
      <c r="K14" s="58"/>
      <c r="L14" s="143" t="s">
        <v>1062</v>
      </c>
      <c r="M14" s="58"/>
      <c r="N14" s="58" t="s">
        <v>498</v>
      </c>
      <c r="O14" s="4" t="s">
        <v>12</v>
      </c>
      <c r="P14" s="58"/>
      <c r="Q14" s="58"/>
    </row>
    <row r="15" spans="1:17">
      <c r="A15" s="139">
        <v>11</v>
      </c>
      <c r="B15" s="59">
        <v>46140</v>
      </c>
      <c r="C15" s="58" t="str">
        <f t="shared" si="0"/>
        <v>Tuesday</v>
      </c>
      <c r="D15" s="58" t="s">
        <v>497</v>
      </c>
      <c r="E15" s="58" t="str">
        <f t="shared" si="1"/>
        <v>April</v>
      </c>
      <c r="F15" s="58">
        <v>2026</v>
      </c>
      <c r="G15" s="58" t="s">
        <v>498</v>
      </c>
      <c r="H15" s="58" t="s">
        <v>57</v>
      </c>
      <c r="I15" s="140" t="s">
        <v>454</v>
      </c>
      <c r="J15" s="58" t="s">
        <v>311</v>
      </c>
      <c r="K15" s="58"/>
      <c r="L15" s="142" t="s">
        <v>612</v>
      </c>
      <c r="M15" s="58"/>
      <c r="N15" s="58" t="s">
        <v>498</v>
      </c>
      <c r="O15" s="4" t="s">
        <v>559</v>
      </c>
      <c r="P15" s="58"/>
      <c r="Q15" s="58"/>
    </row>
    <row r="16" spans="1:17" ht="30.75">
      <c r="A16" s="139">
        <v>12</v>
      </c>
      <c r="B16" s="59">
        <v>46142</v>
      </c>
      <c r="C16" s="58" t="str">
        <f t="shared" si="0"/>
        <v>Thursday</v>
      </c>
      <c r="D16" s="58" t="s">
        <v>497</v>
      </c>
      <c r="E16" s="58" t="str">
        <f t="shared" si="1"/>
        <v>April</v>
      </c>
      <c r="F16" s="58">
        <v>2026</v>
      </c>
      <c r="G16" s="58" t="s">
        <v>498</v>
      </c>
      <c r="H16" s="58" t="s">
        <v>57</v>
      </c>
      <c r="I16" s="140" t="s">
        <v>454</v>
      </c>
      <c r="J16" s="58" t="s">
        <v>311</v>
      </c>
      <c r="K16" s="58"/>
      <c r="L16" s="142" t="s">
        <v>654</v>
      </c>
      <c r="M16" s="58"/>
      <c r="N16" s="58" t="s">
        <v>498</v>
      </c>
      <c r="O16" s="4" t="s">
        <v>516</v>
      </c>
      <c r="P16" s="58"/>
      <c r="Q16" s="58"/>
    </row>
    <row r="17" spans="1:17">
      <c r="A17" s="139" t="s">
        <v>1033</v>
      </c>
      <c r="B17" s="59">
        <v>46147</v>
      </c>
      <c r="C17" s="58" t="str">
        <f t="shared" si="0"/>
        <v>Tuesday</v>
      </c>
      <c r="D17" s="58" t="s">
        <v>497</v>
      </c>
      <c r="E17" s="58" t="str">
        <f t="shared" si="1"/>
        <v>May</v>
      </c>
      <c r="F17" s="58">
        <v>2026</v>
      </c>
      <c r="G17" s="58" t="s">
        <v>498</v>
      </c>
      <c r="H17" s="58" t="s">
        <v>57</v>
      </c>
      <c r="I17" s="140" t="s">
        <v>454</v>
      </c>
      <c r="J17" s="58" t="s">
        <v>311</v>
      </c>
      <c r="K17" s="58"/>
      <c r="L17" s="142" t="s">
        <v>664</v>
      </c>
      <c r="M17" s="58"/>
      <c r="N17" s="58" t="s">
        <v>498</v>
      </c>
      <c r="O17" s="4" t="s">
        <v>559</v>
      </c>
      <c r="P17" s="58"/>
      <c r="Q17" s="58"/>
    </row>
    <row r="18" spans="1:17">
      <c r="A18" s="139" t="s">
        <v>1039</v>
      </c>
      <c r="B18" s="59">
        <v>46150</v>
      </c>
      <c r="C18" s="58" t="str">
        <f t="shared" si="0"/>
        <v>Friday</v>
      </c>
      <c r="D18" s="58" t="s">
        <v>497</v>
      </c>
      <c r="E18" s="58" t="str">
        <f t="shared" si="1"/>
        <v>May</v>
      </c>
      <c r="F18" s="58">
        <v>2026</v>
      </c>
      <c r="G18" s="58" t="s">
        <v>498</v>
      </c>
      <c r="H18" s="58" t="s">
        <v>57</v>
      </c>
      <c r="I18" s="140" t="s">
        <v>454</v>
      </c>
      <c r="J18" s="58" t="s">
        <v>311</v>
      </c>
      <c r="K18" s="58"/>
      <c r="L18" s="143" t="s">
        <v>1063</v>
      </c>
      <c r="M18" s="58"/>
      <c r="N18" s="58" t="s">
        <v>498</v>
      </c>
      <c r="O18" s="4" t="s">
        <v>12</v>
      </c>
      <c r="P18" s="58"/>
      <c r="Q18" s="58"/>
    </row>
    <row r="19" spans="1:17">
      <c r="A19" s="139" t="s">
        <v>1039</v>
      </c>
      <c r="B19" s="59">
        <v>46154</v>
      </c>
      <c r="C19" s="58" t="str">
        <f t="shared" si="0"/>
        <v>Tuesday</v>
      </c>
      <c r="D19" s="58" t="s">
        <v>497</v>
      </c>
      <c r="E19" s="58" t="str">
        <f t="shared" si="1"/>
        <v>May</v>
      </c>
      <c r="F19" s="58">
        <v>2026</v>
      </c>
      <c r="G19" s="58" t="s">
        <v>498</v>
      </c>
      <c r="H19" s="58" t="s">
        <v>57</v>
      </c>
      <c r="I19" s="140" t="s">
        <v>454</v>
      </c>
      <c r="J19" s="58" t="s">
        <v>311</v>
      </c>
      <c r="K19" s="58"/>
      <c r="L19" s="153" t="s">
        <v>692</v>
      </c>
      <c r="M19" s="58"/>
      <c r="N19" s="58" t="s">
        <v>498</v>
      </c>
      <c r="O19" s="4" t="s">
        <v>693</v>
      </c>
      <c r="P19" s="58"/>
      <c r="Q19" s="58"/>
    </row>
    <row r="20" spans="1:17">
      <c r="A20" s="139"/>
      <c r="B20" s="59">
        <v>46157</v>
      </c>
      <c r="C20" s="58" t="str">
        <f t="shared" si="0"/>
        <v>Friday</v>
      </c>
      <c r="D20" s="58" t="s">
        <v>497</v>
      </c>
      <c r="E20" s="58" t="str">
        <f t="shared" si="1"/>
        <v>May</v>
      </c>
      <c r="F20" s="58">
        <v>2026</v>
      </c>
      <c r="G20" s="58" t="s">
        <v>498</v>
      </c>
      <c r="H20" s="58" t="s">
        <v>57</v>
      </c>
      <c r="I20" s="140" t="s">
        <v>454</v>
      </c>
      <c r="J20" s="58" t="s">
        <v>311</v>
      </c>
      <c r="K20" s="58"/>
      <c r="L20" s="153" t="s">
        <v>709</v>
      </c>
      <c r="M20" s="58"/>
      <c r="N20" s="58" t="s">
        <v>498</v>
      </c>
      <c r="O20" s="4" t="s">
        <v>693</v>
      </c>
      <c r="P20" s="58" t="s">
        <v>60</v>
      </c>
      <c r="Q20" s="58"/>
    </row>
    <row r="21" spans="1:17" ht="30.75">
      <c r="A21" s="139" t="s">
        <v>1039</v>
      </c>
      <c r="B21" s="59">
        <v>46167</v>
      </c>
      <c r="C21" s="58" t="str">
        <f t="shared" si="0"/>
        <v>Monday</v>
      </c>
      <c r="D21" s="58" t="s">
        <v>497</v>
      </c>
      <c r="E21" s="58" t="str">
        <f t="shared" si="1"/>
        <v>May</v>
      </c>
      <c r="F21" s="58">
        <v>2026</v>
      </c>
      <c r="G21" s="58" t="s">
        <v>498</v>
      </c>
      <c r="H21" s="58" t="s">
        <v>57</v>
      </c>
      <c r="I21" s="140" t="s">
        <v>454</v>
      </c>
      <c r="J21" s="58" t="s">
        <v>311</v>
      </c>
      <c r="K21" s="58"/>
      <c r="L21" s="143" t="s">
        <v>723</v>
      </c>
      <c r="M21" s="58"/>
      <c r="N21" s="58" t="s">
        <v>498</v>
      </c>
      <c r="O21" s="4" t="s">
        <v>693</v>
      </c>
      <c r="P21" s="58"/>
      <c r="Q21" s="58"/>
    </row>
    <row r="22" spans="1:17" ht="30.75">
      <c r="A22" s="139"/>
      <c r="B22" s="59">
        <v>46168</v>
      </c>
      <c r="C22" s="58" t="str">
        <f t="shared" si="0"/>
        <v>Tuesday</v>
      </c>
      <c r="D22" s="58" t="s">
        <v>497</v>
      </c>
      <c r="E22" s="58" t="str">
        <f t="shared" si="1"/>
        <v>May</v>
      </c>
      <c r="F22" s="58">
        <v>2026</v>
      </c>
      <c r="G22" s="58" t="s">
        <v>498</v>
      </c>
      <c r="H22" s="58" t="s">
        <v>57</v>
      </c>
      <c r="I22" s="140" t="s">
        <v>454</v>
      </c>
      <c r="J22" s="58" t="s">
        <v>311</v>
      </c>
      <c r="K22" s="58"/>
      <c r="L22" s="143" t="s">
        <v>748</v>
      </c>
      <c r="M22" s="58"/>
      <c r="N22" s="58" t="s">
        <v>498</v>
      </c>
      <c r="O22" s="4" t="s">
        <v>693</v>
      </c>
      <c r="P22" s="58"/>
      <c r="Q22" s="58"/>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1DFB2-6141-4DF4-85A1-EEFB07C31D6A}">
  <dimension ref="A1:Q52"/>
  <sheetViews>
    <sheetView tabSelected="1" topLeftCell="A14" workbookViewId="0">
      <selection activeCell="A18" sqref="A18:XFD18"/>
    </sheetView>
  </sheetViews>
  <sheetFormatPr defaultRowHeight="15"/>
  <cols>
    <col min="2" max="2" width="19.42578125" customWidth="1"/>
    <col min="3" max="3" width="13.42578125" customWidth="1"/>
    <col min="4" max="4" width="23.5703125" customWidth="1"/>
    <col min="5" max="5" width="10.42578125" bestFit="1" customWidth="1"/>
    <col min="7" max="7" width="18.42578125" bestFit="1" customWidth="1"/>
    <col min="8" max="8" width="9.42578125" bestFit="1" customWidth="1"/>
    <col min="9" max="9" width="43.42578125" customWidth="1"/>
    <col min="10" max="10" width="26.28515625" bestFit="1" customWidth="1"/>
    <col min="11" max="11" width="9.42578125" bestFit="1" customWidth="1"/>
    <col min="12" max="12" width="68.140625" customWidth="1"/>
    <col min="13" max="13" width="30.140625" customWidth="1"/>
    <col min="14" max="14" width="25.42578125" customWidth="1"/>
    <col min="15" max="15" width="25.28515625" customWidth="1"/>
    <col min="16" max="16" width="13" customWidth="1"/>
    <col min="17" max="17" width="17.7109375" customWidth="1"/>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c r="A2" s="139">
        <v>0</v>
      </c>
      <c r="B2" s="59">
        <v>46087</v>
      </c>
      <c r="C2" s="58" t="str">
        <f>TEXT(B2,"dddd")</f>
        <v>Friday</v>
      </c>
      <c r="D2" s="58"/>
      <c r="E2" s="58" t="str">
        <f>TEXT(B2,"mmmm")</f>
        <v>March</v>
      </c>
      <c r="F2" s="58">
        <v>2026</v>
      </c>
      <c r="G2" s="58"/>
      <c r="H2" s="58" t="s">
        <v>115</v>
      </c>
      <c r="I2" s="140" t="s">
        <v>437</v>
      </c>
      <c r="J2" s="58" t="s">
        <v>438</v>
      </c>
      <c r="K2" s="58" t="s">
        <v>101</v>
      </c>
      <c r="L2" s="141" t="s">
        <v>439</v>
      </c>
      <c r="M2" s="58"/>
      <c r="N2" s="58"/>
      <c r="O2" s="4"/>
      <c r="P2" s="58"/>
      <c r="Q2" s="58"/>
    </row>
    <row r="3" spans="1:17">
      <c r="A3" s="139">
        <v>1</v>
      </c>
      <c r="B3" s="59">
        <v>46106</v>
      </c>
      <c r="C3" s="58" t="str">
        <f>TEXT(B3,"dddd")</f>
        <v>Wednesday</v>
      </c>
      <c r="D3" s="58" t="s">
        <v>524</v>
      </c>
      <c r="E3" s="58" t="str">
        <f>TEXT(B3,"mmmm")</f>
        <v>March</v>
      </c>
      <c r="F3" s="58">
        <v>2026</v>
      </c>
      <c r="G3" s="58">
        <v>2.5</v>
      </c>
      <c r="H3" s="58" t="s">
        <v>115</v>
      </c>
      <c r="I3" s="140" t="s">
        <v>437</v>
      </c>
      <c r="J3" s="58" t="s">
        <v>438</v>
      </c>
      <c r="K3" s="58" t="s">
        <v>101</v>
      </c>
      <c r="L3" s="142" t="s">
        <v>525</v>
      </c>
      <c r="M3" s="58"/>
      <c r="N3" s="58">
        <v>2.5</v>
      </c>
      <c r="O3" s="4" t="s">
        <v>117</v>
      </c>
      <c r="P3" s="58"/>
      <c r="Q3" s="58"/>
    </row>
    <row r="4" spans="1:17" ht="30.75">
      <c r="A4" s="139">
        <v>2</v>
      </c>
      <c r="B4" s="59">
        <v>46107</v>
      </c>
      <c r="C4" s="58" t="str">
        <f t="shared" ref="C4:C46" si="0">TEXT(B4,"dddd")</f>
        <v>Thursday</v>
      </c>
      <c r="D4" s="58" t="s">
        <v>524</v>
      </c>
      <c r="E4" s="58" t="str">
        <f t="shared" ref="E4:E46" si="1">TEXT(B4,"mmmm")</f>
        <v>March</v>
      </c>
      <c r="F4" s="58">
        <v>2026</v>
      </c>
      <c r="G4" s="58">
        <v>2.5</v>
      </c>
      <c r="H4" s="58" t="s">
        <v>115</v>
      </c>
      <c r="I4" s="140" t="s">
        <v>437</v>
      </c>
      <c r="J4" s="58" t="s">
        <v>438</v>
      </c>
      <c r="K4" s="58" t="s">
        <v>101</v>
      </c>
      <c r="L4" s="142" t="s">
        <v>531</v>
      </c>
      <c r="M4" s="58"/>
      <c r="N4" s="58">
        <v>2.5</v>
      </c>
      <c r="O4" s="4" t="s">
        <v>117</v>
      </c>
      <c r="P4" s="58"/>
      <c r="Q4" s="58"/>
    </row>
    <row r="5" spans="1:17">
      <c r="A5" s="139">
        <v>3</v>
      </c>
      <c r="B5" s="59">
        <v>46108</v>
      </c>
      <c r="C5" s="58" t="str">
        <f t="shared" si="0"/>
        <v>Friday</v>
      </c>
      <c r="D5" s="58" t="s">
        <v>524</v>
      </c>
      <c r="E5" s="58" t="str">
        <f t="shared" si="1"/>
        <v>March</v>
      </c>
      <c r="F5" s="58">
        <v>2026</v>
      </c>
      <c r="G5" s="58">
        <v>2.5</v>
      </c>
      <c r="H5" s="58" t="s">
        <v>115</v>
      </c>
      <c r="I5" s="140" t="s">
        <v>437</v>
      </c>
      <c r="J5" s="58" t="s">
        <v>438</v>
      </c>
      <c r="K5" s="58" t="s">
        <v>101</v>
      </c>
      <c r="L5" s="142" t="s">
        <v>536</v>
      </c>
      <c r="M5" s="58"/>
      <c r="N5" s="58">
        <v>2.5</v>
      </c>
      <c r="O5" s="4" t="s">
        <v>117</v>
      </c>
      <c r="P5" s="58"/>
      <c r="Q5" s="58"/>
    </row>
    <row r="6" spans="1:17" ht="30.75">
      <c r="A6" s="139">
        <v>4</v>
      </c>
      <c r="B6" s="59">
        <v>46112</v>
      </c>
      <c r="C6" s="58" t="str">
        <f t="shared" si="0"/>
        <v>Tuesday</v>
      </c>
      <c r="D6" s="58" t="s">
        <v>524</v>
      </c>
      <c r="E6" s="58" t="str">
        <f t="shared" si="1"/>
        <v>March</v>
      </c>
      <c r="F6" s="58">
        <v>2026</v>
      </c>
      <c r="G6" s="58">
        <v>2.5</v>
      </c>
      <c r="H6" s="58" t="s">
        <v>115</v>
      </c>
      <c r="I6" s="140" t="s">
        <v>437</v>
      </c>
      <c r="J6" s="58" t="s">
        <v>438</v>
      </c>
      <c r="K6" s="58" t="s">
        <v>101</v>
      </c>
      <c r="L6" s="142" t="s">
        <v>546</v>
      </c>
      <c r="M6" s="58"/>
      <c r="N6" s="58">
        <v>2.5</v>
      </c>
      <c r="O6" s="4" t="s">
        <v>117</v>
      </c>
      <c r="P6" s="58"/>
      <c r="Q6" s="58"/>
    </row>
    <row r="7" spans="1:17">
      <c r="A7" s="139">
        <v>5</v>
      </c>
      <c r="B7" s="59">
        <v>46113</v>
      </c>
      <c r="C7" s="58" t="str">
        <f t="shared" si="0"/>
        <v>Wednesday</v>
      </c>
      <c r="D7" s="58" t="s">
        <v>524</v>
      </c>
      <c r="E7" s="58" t="str">
        <f t="shared" si="1"/>
        <v>April</v>
      </c>
      <c r="F7" s="58">
        <v>2026</v>
      </c>
      <c r="G7" s="58">
        <v>2.5</v>
      </c>
      <c r="H7" s="58" t="s">
        <v>115</v>
      </c>
      <c r="I7" s="140" t="s">
        <v>437</v>
      </c>
      <c r="J7" s="58" t="s">
        <v>438</v>
      </c>
      <c r="K7" s="58" t="s">
        <v>101</v>
      </c>
      <c r="L7" s="142" t="s">
        <v>554</v>
      </c>
      <c r="M7" s="58"/>
      <c r="N7" s="58">
        <v>2.5</v>
      </c>
      <c r="O7" s="4" t="s">
        <v>117</v>
      </c>
      <c r="P7" s="58"/>
      <c r="Q7" s="58"/>
    </row>
    <row r="8" spans="1:17">
      <c r="A8" s="139">
        <v>6</v>
      </c>
      <c r="B8" s="59">
        <v>46119</v>
      </c>
      <c r="C8" s="58" t="str">
        <f t="shared" si="0"/>
        <v>Tuesday</v>
      </c>
      <c r="D8" s="58" t="s">
        <v>524</v>
      </c>
      <c r="E8" s="58" t="str">
        <f t="shared" si="1"/>
        <v>April</v>
      </c>
      <c r="F8" s="58">
        <v>2026</v>
      </c>
      <c r="G8" s="58">
        <v>2.5</v>
      </c>
      <c r="H8" s="58" t="s">
        <v>115</v>
      </c>
      <c r="I8" s="140" t="s">
        <v>437</v>
      </c>
      <c r="J8" s="58" t="s">
        <v>438</v>
      </c>
      <c r="K8" s="58" t="s">
        <v>101</v>
      </c>
      <c r="L8" s="142" t="s">
        <v>571</v>
      </c>
      <c r="M8" s="58"/>
      <c r="N8" s="58">
        <v>2.5</v>
      </c>
      <c r="O8" s="4" t="s">
        <v>117</v>
      </c>
      <c r="P8" s="58"/>
      <c r="Q8" s="58"/>
    </row>
    <row r="9" spans="1:17">
      <c r="A9" s="139">
        <v>7</v>
      </c>
      <c r="B9" s="59">
        <v>46121</v>
      </c>
      <c r="C9" s="58" t="str">
        <f t="shared" si="0"/>
        <v>Thursday</v>
      </c>
      <c r="D9" s="58" t="s">
        <v>524</v>
      </c>
      <c r="E9" s="58" t="str">
        <f t="shared" si="1"/>
        <v>April</v>
      </c>
      <c r="F9" s="58">
        <v>2026</v>
      </c>
      <c r="G9" s="58">
        <v>2.5</v>
      </c>
      <c r="H9" s="58" t="s">
        <v>115</v>
      </c>
      <c r="I9" s="140" t="s">
        <v>437</v>
      </c>
      <c r="J9" s="58" t="s">
        <v>438</v>
      </c>
      <c r="K9" s="58" t="s">
        <v>101</v>
      </c>
      <c r="L9" s="142" t="s">
        <v>580</v>
      </c>
      <c r="M9" s="58"/>
      <c r="N9" s="58">
        <v>2.5</v>
      </c>
      <c r="O9" s="4" t="s">
        <v>164</v>
      </c>
      <c r="P9" s="58"/>
      <c r="Q9" s="58"/>
    </row>
    <row r="10" spans="1:17" ht="30.75">
      <c r="A10" s="139">
        <v>8</v>
      </c>
      <c r="B10" s="59">
        <v>46122</v>
      </c>
      <c r="C10" s="58" t="str">
        <f t="shared" si="0"/>
        <v>Friday</v>
      </c>
      <c r="D10" s="58" t="s">
        <v>524</v>
      </c>
      <c r="E10" s="58" t="str">
        <f t="shared" si="1"/>
        <v>April</v>
      </c>
      <c r="F10" s="58">
        <v>2026</v>
      </c>
      <c r="G10" s="58">
        <v>2.5</v>
      </c>
      <c r="H10" s="58" t="s">
        <v>115</v>
      </c>
      <c r="I10" s="140" t="s">
        <v>437</v>
      </c>
      <c r="J10" s="58" t="s">
        <v>438</v>
      </c>
      <c r="K10" s="58" t="s">
        <v>101</v>
      </c>
      <c r="L10" s="142" t="s">
        <v>585</v>
      </c>
      <c r="M10" s="58"/>
      <c r="N10" s="58">
        <v>2.5</v>
      </c>
      <c r="O10" s="4" t="s">
        <v>164</v>
      </c>
      <c r="P10" s="58"/>
      <c r="Q10" s="58"/>
    </row>
    <row r="11" spans="1:17">
      <c r="A11" s="139">
        <v>9</v>
      </c>
      <c r="B11" s="59">
        <v>46128</v>
      </c>
      <c r="C11" s="58" t="str">
        <f t="shared" si="0"/>
        <v>Thursday</v>
      </c>
      <c r="D11" s="58" t="s">
        <v>524</v>
      </c>
      <c r="E11" s="58" t="str">
        <f t="shared" si="1"/>
        <v>April</v>
      </c>
      <c r="F11" s="58">
        <v>2026</v>
      </c>
      <c r="G11" s="58">
        <v>2.5</v>
      </c>
      <c r="H11" s="58" t="s">
        <v>115</v>
      </c>
      <c r="I11" s="140" t="s">
        <v>437</v>
      </c>
      <c r="J11" s="58" t="s">
        <v>438</v>
      </c>
      <c r="K11" s="58" t="s">
        <v>101</v>
      </c>
      <c r="L11" s="142" t="s">
        <v>605</v>
      </c>
      <c r="M11" s="58"/>
      <c r="N11" s="58">
        <v>2.5</v>
      </c>
      <c r="O11" s="4" t="s">
        <v>164</v>
      </c>
      <c r="P11" s="58"/>
      <c r="Q11" s="58"/>
    </row>
    <row r="12" spans="1:17" ht="30.75">
      <c r="A12" s="139">
        <v>10</v>
      </c>
      <c r="B12" s="59">
        <v>46129</v>
      </c>
      <c r="C12" s="58" t="str">
        <f t="shared" si="0"/>
        <v>Friday</v>
      </c>
      <c r="D12" s="58" t="s">
        <v>524</v>
      </c>
      <c r="E12" s="58" t="str">
        <f t="shared" si="1"/>
        <v>April</v>
      </c>
      <c r="F12" s="58">
        <v>2026</v>
      </c>
      <c r="G12" s="58">
        <v>2.5</v>
      </c>
      <c r="H12" s="58" t="s">
        <v>115</v>
      </c>
      <c r="I12" s="140" t="s">
        <v>437</v>
      </c>
      <c r="J12" s="58" t="s">
        <v>438</v>
      </c>
      <c r="K12" s="58" t="s">
        <v>101</v>
      </c>
      <c r="L12" s="142" t="s">
        <v>611</v>
      </c>
      <c r="M12" s="58"/>
      <c r="N12" s="58">
        <v>2.5</v>
      </c>
      <c r="O12" s="4" t="s">
        <v>164</v>
      </c>
      <c r="P12" s="58"/>
      <c r="Q12" s="58"/>
    </row>
    <row r="13" spans="1:17">
      <c r="A13" s="139">
        <v>12</v>
      </c>
      <c r="B13" s="59">
        <v>46133</v>
      </c>
      <c r="C13" s="58" t="str">
        <f t="shared" si="0"/>
        <v>Tuesday</v>
      </c>
      <c r="D13" s="58" t="s">
        <v>524</v>
      </c>
      <c r="E13" s="58" t="str">
        <f t="shared" si="1"/>
        <v>April</v>
      </c>
      <c r="F13" s="58">
        <v>2026</v>
      </c>
      <c r="G13" s="58">
        <v>2.5</v>
      </c>
      <c r="H13" s="58" t="s">
        <v>115</v>
      </c>
      <c r="I13" s="140" t="s">
        <v>437</v>
      </c>
      <c r="J13" s="58" t="s">
        <v>438</v>
      </c>
      <c r="K13" s="58" t="s">
        <v>101</v>
      </c>
      <c r="L13" s="142" t="s">
        <v>620</v>
      </c>
      <c r="M13" s="58"/>
      <c r="N13" s="58">
        <v>2.5</v>
      </c>
      <c r="O13" s="4" t="s">
        <v>164</v>
      </c>
      <c r="P13" s="58"/>
      <c r="Q13" s="58"/>
    </row>
    <row r="14" spans="1:17">
      <c r="A14" s="139">
        <v>13</v>
      </c>
      <c r="B14" s="59">
        <v>46136</v>
      </c>
      <c r="C14" s="58" t="str">
        <f t="shared" si="0"/>
        <v>Friday</v>
      </c>
      <c r="D14" s="58" t="s">
        <v>524</v>
      </c>
      <c r="E14" s="58" t="str">
        <f t="shared" si="1"/>
        <v>April</v>
      </c>
      <c r="F14" s="58">
        <v>2026</v>
      </c>
      <c r="G14" s="58">
        <v>2.5</v>
      </c>
      <c r="H14" s="58" t="s">
        <v>115</v>
      </c>
      <c r="I14" s="140" t="s">
        <v>437</v>
      </c>
      <c r="J14" s="58" t="s">
        <v>438</v>
      </c>
      <c r="K14" s="58" t="s">
        <v>101</v>
      </c>
      <c r="L14" s="142" t="s">
        <v>637</v>
      </c>
      <c r="M14" s="58"/>
      <c r="N14" s="58">
        <v>2.5</v>
      </c>
      <c r="O14" s="4" t="s">
        <v>164</v>
      </c>
      <c r="P14" s="58"/>
      <c r="Q14" s="58"/>
    </row>
    <row r="15" spans="1:17">
      <c r="A15" s="139">
        <v>14</v>
      </c>
      <c r="B15" s="59">
        <v>46142</v>
      </c>
      <c r="C15" s="58" t="str">
        <f t="shared" si="0"/>
        <v>Thursday</v>
      </c>
      <c r="D15" s="58" t="s">
        <v>655</v>
      </c>
      <c r="E15" s="58" t="str">
        <f t="shared" si="1"/>
        <v>April</v>
      </c>
      <c r="F15" s="58">
        <v>2026</v>
      </c>
      <c r="G15" s="58">
        <v>1.5</v>
      </c>
      <c r="H15" s="58" t="s">
        <v>115</v>
      </c>
      <c r="I15" s="140" t="s">
        <v>437</v>
      </c>
      <c r="J15" s="58" t="s">
        <v>438</v>
      </c>
      <c r="K15" s="58" t="s">
        <v>101</v>
      </c>
      <c r="L15" s="142" t="s">
        <v>656</v>
      </c>
      <c r="M15" s="58"/>
      <c r="N15" s="58">
        <v>1.5</v>
      </c>
      <c r="O15" s="4" t="s">
        <v>164</v>
      </c>
      <c r="P15" s="58"/>
      <c r="Q15" s="58"/>
    </row>
    <row r="16" spans="1:17" ht="15.75" customHeight="1">
      <c r="A16" s="139">
        <v>15</v>
      </c>
      <c r="B16" s="59">
        <v>46147</v>
      </c>
      <c r="C16" s="58" t="str">
        <f t="shared" si="0"/>
        <v>Tuesday</v>
      </c>
      <c r="D16" s="58" t="s">
        <v>655</v>
      </c>
      <c r="E16" s="58" t="str">
        <f t="shared" si="1"/>
        <v>May</v>
      </c>
      <c r="F16" s="58">
        <v>2026</v>
      </c>
      <c r="G16" s="58">
        <v>1.5</v>
      </c>
      <c r="H16" s="58" t="s">
        <v>115</v>
      </c>
      <c r="I16" s="140" t="s">
        <v>437</v>
      </c>
      <c r="J16" s="58" t="s">
        <v>438</v>
      </c>
      <c r="K16" s="58" t="s">
        <v>101</v>
      </c>
      <c r="L16" s="142" t="s">
        <v>656</v>
      </c>
      <c r="M16" s="58"/>
      <c r="N16" s="58">
        <v>1.5</v>
      </c>
      <c r="O16" s="4" t="s">
        <v>164</v>
      </c>
      <c r="P16" s="58"/>
      <c r="Q16" s="58"/>
    </row>
    <row r="17" spans="1:17">
      <c r="A17" s="139">
        <v>16</v>
      </c>
      <c r="B17" s="59">
        <v>46149</v>
      </c>
      <c r="C17" s="58" t="str">
        <f t="shared" si="0"/>
        <v>Thursday</v>
      </c>
      <c r="D17" s="58" t="s">
        <v>655</v>
      </c>
      <c r="E17" s="58" t="str">
        <f t="shared" si="1"/>
        <v>May</v>
      </c>
      <c r="F17" s="58">
        <v>2026</v>
      </c>
      <c r="G17" s="58">
        <v>1.5</v>
      </c>
      <c r="H17" s="58" t="s">
        <v>115</v>
      </c>
      <c r="I17" s="140" t="s">
        <v>437</v>
      </c>
      <c r="J17" s="58" t="s">
        <v>438</v>
      </c>
      <c r="K17" s="58" t="s">
        <v>101</v>
      </c>
      <c r="L17" s="142" t="s">
        <v>676</v>
      </c>
      <c r="M17" s="58"/>
      <c r="N17" s="205">
        <v>1.5</v>
      </c>
      <c r="O17" s="4" t="s">
        <v>164</v>
      </c>
      <c r="P17" s="58"/>
      <c r="Q17" s="58"/>
    </row>
    <row r="18" spans="1:17">
      <c r="A18" s="139">
        <v>18</v>
      </c>
      <c r="B18" s="59">
        <v>46154</v>
      </c>
      <c r="C18" s="58" t="str">
        <f t="shared" si="0"/>
        <v>Tuesday</v>
      </c>
      <c r="D18" s="58" t="s">
        <v>655</v>
      </c>
      <c r="E18" s="58" t="str">
        <f t="shared" si="1"/>
        <v>May</v>
      </c>
      <c r="F18" s="58">
        <v>2026</v>
      </c>
      <c r="G18" s="58">
        <v>1.5</v>
      </c>
      <c r="H18" s="58" t="s">
        <v>115</v>
      </c>
      <c r="I18" s="140" t="s">
        <v>437</v>
      </c>
      <c r="J18" s="58" t="s">
        <v>438</v>
      </c>
      <c r="K18" s="58" t="s">
        <v>101</v>
      </c>
      <c r="L18" s="142" t="s">
        <v>694</v>
      </c>
      <c r="M18" s="58"/>
      <c r="N18" s="58">
        <v>1.5</v>
      </c>
      <c r="O18" s="4" t="s">
        <v>117</v>
      </c>
      <c r="P18" s="58"/>
      <c r="Q18" s="58"/>
    </row>
    <row r="19" spans="1:17">
      <c r="A19" s="139">
        <v>19</v>
      </c>
      <c r="B19" s="59">
        <v>46156</v>
      </c>
      <c r="C19" s="58" t="str">
        <f t="shared" si="0"/>
        <v>Thursday</v>
      </c>
      <c r="D19" s="58" t="s">
        <v>655</v>
      </c>
      <c r="E19" s="58" t="str">
        <f t="shared" si="1"/>
        <v>May</v>
      </c>
      <c r="F19" s="58">
        <v>2026</v>
      </c>
      <c r="G19" s="58">
        <v>1.5</v>
      </c>
      <c r="H19" s="58" t="s">
        <v>115</v>
      </c>
      <c r="I19" s="140" t="s">
        <v>437</v>
      </c>
      <c r="J19" s="58" t="s">
        <v>438</v>
      </c>
      <c r="K19" s="58" t="s">
        <v>101</v>
      </c>
      <c r="L19" s="142" t="s">
        <v>676</v>
      </c>
      <c r="M19" s="58"/>
      <c r="N19" s="58">
        <v>1.5</v>
      </c>
      <c r="O19" s="4" t="s">
        <v>164</v>
      </c>
      <c r="P19" s="58"/>
      <c r="Q19" s="58"/>
    </row>
    <row r="20" spans="1:17">
      <c r="A20" s="139">
        <v>20</v>
      </c>
      <c r="B20" s="59">
        <v>46157</v>
      </c>
      <c r="C20" s="58" t="str">
        <f t="shared" si="0"/>
        <v>Friday</v>
      </c>
      <c r="D20" s="58" t="s">
        <v>655</v>
      </c>
      <c r="E20" s="58" t="str">
        <f t="shared" si="1"/>
        <v>May</v>
      </c>
      <c r="F20" s="58">
        <v>2026</v>
      </c>
      <c r="G20" s="58">
        <v>1.5</v>
      </c>
      <c r="H20" s="58" t="s">
        <v>115</v>
      </c>
      <c r="I20" s="140" t="s">
        <v>437</v>
      </c>
      <c r="J20" s="58" t="s">
        <v>438</v>
      </c>
      <c r="K20" s="58" t="s">
        <v>101</v>
      </c>
      <c r="L20" s="142" t="s">
        <v>710</v>
      </c>
      <c r="M20" s="58"/>
      <c r="N20" s="58">
        <v>1.5</v>
      </c>
      <c r="O20" s="4" t="s">
        <v>164</v>
      </c>
      <c r="P20" s="58"/>
      <c r="Q20" s="58"/>
    </row>
    <row r="21" spans="1:17">
      <c r="A21" s="139">
        <v>21</v>
      </c>
      <c r="B21" s="59">
        <v>46161</v>
      </c>
      <c r="C21" s="58" t="str">
        <f t="shared" si="0"/>
        <v>Tuesday</v>
      </c>
      <c r="D21" s="58" t="s">
        <v>655</v>
      </c>
      <c r="E21" s="58" t="str">
        <f t="shared" si="1"/>
        <v>May</v>
      </c>
      <c r="F21" s="58">
        <v>2026</v>
      </c>
      <c r="G21" s="58">
        <v>1.5</v>
      </c>
      <c r="H21" s="58" t="s">
        <v>115</v>
      </c>
      <c r="I21" s="140" t="s">
        <v>437</v>
      </c>
      <c r="J21" s="58" t="s">
        <v>438</v>
      </c>
      <c r="K21" s="58" t="s">
        <v>101</v>
      </c>
      <c r="L21" s="142" t="s">
        <v>724</v>
      </c>
      <c r="M21" s="58"/>
      <c r="N21" s="58">
        <v>1.5</v>
      </c>
      <c r="O21" s="4" t="s">
        <v>164</v>
      </c>
      <c r="P21" s="58"/>
      <c r="Q21" s="58"/>
    </row>
    <row r="22" spans="1:17">
      <c r="A22" s="139">
        <v>22</v>
      </c>
      <c r="B22" s="59">
        <v>46163</v>
      </c>
      <c r="C22" s="58" t="str">
        <f t="shared" si="0"/>
        <v>Thursday</v>
      </c>
      <c r="D22" s="58" t="s">
        <v>655</v>
      </c>
      <c r="E22" s="58" t="str">
        <f t="shared" si="1"/>
        <v>May</v>
      </c>
      <c r="F22" s="58">
        <v>2026</v>
      </c>
      <c r="G22" s="58">
        <v>1.5</v>
      </c>
      <c r="H22" s="58" t="s">
        <v>115</v>
      </c>
      <c r="I22" s="140" t="s">
        <v>437</v>
      </c>
      <c r="J22" s="58" t="s">
        <v>438</v>
      </c>
      <c r="K22" s="58" t="s">
        <v>101</v>
      </c>
      <c r="L22" s="142" t="s">
        <v>738</v>
      </c>
      <c r="M22" s="58"/>
      <c r="N22" s="58">
        <v>1.5</v>
      </c>
      <c r="O22" s="4" t="s">
        <v>164</v>
      </c>
      <c r="P22" s="58"/>
      <c r="Q22" s="58"/>
    </row>
    <row r="23" spans="1:17">
      <c r="A23" s="139">
        <v>23</v>
      </c>
      <c r="B23" s="59">
        <v>46164</v>
      </c>
      <c r="C23" s="58" t="str">
        <f t="shared" si="0"/>
        <v>Friday</v>
      </c>
      <c r="D23" s="58" t="s">
        <v>655</v>
      </c>
      <c r="E23" s="58" t="str">
        <f t="shared" si="1"/>
        <v>May</v>
      </c>
      <c r="F23" s="58">
        <v>2026</v>
      </c>
      <c r="G23" s="58">
        <v>1.5</v>
      </c>
      <c r="H23" s="58" t="s">
        <v>115</v>
      </c>
      <c r="I23" s="140" t="s">
        <v>437</v>
      </c>
      <c r="J23" s="58" t="s">
        <v>438</v>
      </c>
      <c r="K23" s="58" t="s">
        <v>101</v>
      </c>
      <c r="L23" s="142" t="s">
        <v>749</v>
      </c>
      <c r="M23" s="58"/>
      <c r="N23" s="58">
        <v>1.5</v>
      </c>
      <c r="O23" s="4" t="s">
        <v>164</v>
      </c>
      <c r="P23" s="58"/>
      <c r="Q23" s="58"/>
    </row>
    <row r="24" spans="1:17">
      <c r="A24" s="139">
        <v>25</v>
      </c>
      <c r="B24" s="59">
        <v>46171</v>
      </c>
      <c r="C24" s="58" t="str">
        <f t="shared" si="0"/>
        <v>Friday</v>
      </c>
      <c r="D24" s="58" t="s">
        <v>655</v>
      </c>
      <c r="E24" s="58" t="str">
        <f t="shared" si="1"/>
        <v>May</v>
      </c>
      <c r="F24" s="58">
        <v>2026</v>
      </c>
      <c r="G24" s="58">
        <v>1.5</v>
      </c>
      <c r="H24" s="58" t="s">
        <v>115</v>
      </c>
      <c r="I24" s="140" t="s">
        <v>437</v>
      </c>
      <c r="J24" s="58" t="s">
        <v>438</v>
      </c>
      <c r="K24" s="58" t="s">
        <v>101</v>
      </c>
      <c r="L24" s="142" t="s">
        <v>759</v>
      </c>
      <c r="M24" s="58"/>
      <c r="N24" s="58">
        <v>1.5</v>
      </c>
      <c r="O24" s="4" t="s">
        <v>164</v>
      </c>
      <c r="P24" s="58"/>
      <c r="Q24" s="58"/>
    </row>
    <row r="25" spans="1:17">
      <c r="A25" s="139"/>
      <c r="B25" s="59">
        <v>46175</v>
      </c>
      <c r="C25" s="58" t="str">
        <f t="shared" si="0"/>
        <v>Tuesday</v>
      </c>
      <c r="D25" s="58" t="s">
        <v>524</v>
      </c>
      <c r="E25" s="58" t="str">
        <f t="shared" si="1"/>
        <v>June</v>
      </c>
      <c r="F25" s="58">
        <v>2026</v>
      </c>
      <c r="G25" s="58">
        <v>1.5</v>
      </c>
      <c r="H25" s="58" t="s">
        <v>115</v>
      </c>
      <c r="I25" s="140" t="s">
        <v>437</v>
      </c>
      <c r="J25" s="58" t="s">
        <v>438</v>
      </c>
      <c r="K25" s="58" t="s">
        <v>101</v>
      </c>
      <c r="L25" s="142" t="s">
        <v>759</v>
      </c>
      <c r="M25" s="58"/>
      <c r="N25" s="58">
        <v>1.5</v>
      </c>
      <c r="O25" s="4"/>
      <c r="P25" s="58"/>
      <c r="Q25" s="58"/>
    </row>
    <row r="26" spans="1:17">
      <c r="A26" s="139"/>
      <c r="B26" s="59">
        <v>46177</v>
      </c>
      <c r="C26" s="58" t="str">
        <f t="shared" si="0"/>
        <v>Thursday</v>
      </c>
      <c r="D26" s="58" t="s">
        <v>655</v>
      </c>
      <c r="E26" s="58" t="str">
        <f t="shared" si="1"/>
        <v>June</v>
      </c>
      <c r="F26" s="58">
        <v>2026</v>
      </c>
      <c r="G26" s="58">
        <v>2.5</v>
      </c>
      <c r="H26" s="58" t="s">
        <v>115</v>
      </c>
      <c r="I26" s="140" t="s">
        <v>437</v>
      </c>
      <c r="J26" s="58" t="s">
        <v>438</v>
      </c>
      <c r="K26" s="58" t="s">
        <v>101</v>
      </c>
      <c r="L26" s="142" t="s">
        <v>777</v>
      </c>
      <c r="M26" s="58"/>
      <c r="N26" s="58">
        <v>2.5</v>
      </c>
      <c r="O26" s="4" t="s">
        <v>164</v>
      </c>
      <c r="P26" s="58"/>
      <c r="Q26" s="58"/>
    </row>
    <row r="27" spans="1:17" ht="30.75">
      <c r="A27" s="139"/>
      <c r="B27" s="59">
        <v>46178</v>
      </c>
      <c r="C27" s="58" t="str">
        <f t="shared" si="0"/>
        <v>Friday</v>
      </c>
      <c r="D27" s="58" t="s">
        <v>655</v>
      </c>
      <c r="E27" s="58" t="str">
        <f t="shared" si="1"/>
        <v>June</v>
      </c>
      <c r="F27" s="58">
        <v>2026</v>
      </c>
      <c r="G27" s="58">
        <v>1.5</v>
      </c>
      <c r="H27" s="58" t="s">
        <v>115</v>
      </c>
      <c r="I27" s="140" t="s">
        <v>437</v>
      </c>
      <c r="J27" s="58" t="s">
        <v>438</v>
      </c>
      <c r="K27" s="58" t="s">
        <v>101</v>
      </c>
      <c r="L27" s="142" t="s">
        <v>780</v>
      </c>
      <c r="M27" s="58"/>
      <c r="N27" s="58">
        <v>1.5</v>
      </c>
      <c r="O27" s="4" t="s">
        <v>164</v>
      </c>
      <c r="P27" s="58"/>
      <c r="Q27" s="58"/>
    </row>
    <row r="28" spans="1:17">
      <c r="A28" s="139"/>
      <c r="B28" s="59">
        <v>46182</v>
      </c>
      <c r="C28" s="58" t="str">
        <f t="shared" si="0"/>
        <v>Tuesday</v>
      </c>
      <c r="D28" s="58" t="s">
        <v>524</v>
      </c>
      <c r="E28" s="58" t="str">
        <f t="shared" si="1"/>
        <v>June</v>
      </c>
      <c r="F28" s="58">
        <v>2026</v>
      </c>
      <c r="G28" s="58">
        <v>1.5</v>
      </c>
      <c r="H28" s="58" t="s">
        <v>115</v>
      </c>
      <c r="I28" s="140" t="s">
        <v>437</v>
      </c>
      <c r="J28" s="58" t="s">
        <v>438</v>
      </c>
      <c r="K28" s="58" t="s">
        <v>101</v>
      </c>
      <c r="L28" s="144" t="s">
        <v>788</v>
      </c>
      <c r="M28" s="58"/>
      <c r="N28" s="58">
        <v>1.5</v>
      </c>
      <c r="O28" s="4" t="s">
        <v>164</v>
      </c>
      <c r="P28" s="58"/>
      <c r="Q28" s="58"/>
    </row>
    <row r="29" spans="1:17">
      <c r="A29" s="139"/>
      <c r="B29" s="59">
        <v>46184</v>
      </c>
      <c r="C29" s="58" t="str">
        <f t="shared" si="0"/>
        <v>Thursday</v>
      </c>
      <c r="D29" s="58" t="s">
        <v>795</v>
      </c>
      <c r="E29" s="58" t="str">
        <f t="shared" si="1"/>
        <v>June</v>
      </c>
      <c r="F29" s="58">
        <v>2026</v>
      </c>
      <c r="G29" s="58">
        <v>2.5</v>
      </c>
      <c r="H29" s="58" t="s">
        <v>115</v>
      </c>
      <c r="I29" s="140" t="s">
        <v>437</v>
      </c>
      <c r="J29" s="58" t="s">
        <v>438</v>
      </c>
      <c r="K29" s="58" t="s">
        <v>101</v>
      </c>
      <c r="L29" s="144" t="s">
        <v>796</v>
      </c>
      <c r="M29" s="58"/>
      <c r="N29" s="58">
        <v>2.5</v>
      </c>
      <c r="O29" s="4" t="s">
        <v>164</v>
      </c>
      <c r="P29" s="58"/>
      <c r="Q29" s="58"/>
    </row>
    <row r="30" spans="1:17" ht="30.75">
      <c r="A30" s="139"/>
      <c r="B30" s="59">
        <v>46185</v>
      </c>
      <c r="C30" s="58" t="str">
        <f t="shared" si="0"/>
        <v>Friday</v>
      </c>
      <c r="D30" s="58" t="s">
        <v>655</v>
      </c>
      <c r="E30" s="58" t="str">
        <f t="shared" si="1"/>
        <v>June</v>
      </c>
      <c r="F30" s="58">
        <v>2026</v>
      </c>
      <c r="G30" s="58">
        <v>2</v>
      </c>
      <c r="H30" s="58" t="s">
        <v>115</v>
      </c>
      <c r="I30" s="140" t="s">
        <v>437</v>
      </c>
      <c r="J30" s="58" t="s">
        <v>438</v>
      </c>
      <c r="K30" s="58" t="s">
        <v>101</v>
      </c>
      <c r="L30" s="142" t="s">
        <v>799</v>
      </c>
      <c r="M30" s="58"/>
      <c r="N30" s="58">
        <v>2</v>
      </c>
      <c r="O30" s="4" t="s">
        <v>164</v>
      </c>
      <c r="P30" s="58"/>
      <c r="Q30" s="58"/>
    </row>
    <row r="31" spans="1:17">
      <c r="A31" s="139"/>
      <c r="B31" s="59">
        <v>46189</v>
      </c>
      <c r="C31" s="58" t="str">
        <f t="shared" si="0"/>
        <v>Tuesday</v>
      </c>
      <c r="D31" s="58" t="s">
        <v>655</v>
      </c>
      <c r="E31" s="58" t="str">
        <f t="shared" si="1"/>
        <v>June</v>
      </c>
      <c r="F31" s="58">
        <v>2026</v>
      </c>
      <c r="G31" s="58">
        <v>1.5</v>
      </c>
      <c r="H31" s="58" t="s">
        <v>115</v>
      </c>
      <c r="I31" s="140" t="s">
        <v>437</v>
      </c>
      <c r="J31" s="58" t="s">
        <v>438</v>
      </c>
      <c r="K31" s="58" t="s">
        <v>101</v>
      </c>
      <c r="L31" s="156" t="s">
        <v>807</v>
      </c>
      <c r="M31" s="58"/>
      <c r="N31" s="58">
        <v>1.5</v>
      </c>
      <c r="O31" s="4" t="s">
        <v>164</v>
      </c>
      <c r="P31" s="58"/>
      <c r="Q31" s="58"/>
    </row>
    <row r="32" spans="1:17">
      <c r="A32" s="139"/>
      <c r="B32" s="59">
        <v>46191</v>
      </c>
      <c r="C32" s="58" t="str">
        <f t="shared" si="0"/>
        <v>Thursday</v>
      </c>
      <c r="D32" s="58" t="s">
        <v>655</v>
      </c>
      <c r="E32" s="58" t="str">
        <f t="shared" si="1"/>
        <v>June</v>
      </c>
      <c r="F32" s="58">
        <v>2026</v>
      </c>
      <c r="G32" s="58">
        <v>1.5</v>
      </c>
      <c r="H32" s="58" t="s">
        <v>115</v>
      </c>
      <c r="I32" s="140" t="s">
        <v>437</v>
      </c>
      <c r="J32" s="58" t="s">
        <v>438</v>
      </c>
      <c r="K32" s="58" t="s">
        <v>101</v>
      </c>
      <c r="L32" s="142" t="s">
        <v>815</v>
      </c>
      <c r="M32" s="58"/>
      <c r="N32" s="58">
        <v>1.5</v>
      </c>
      <c r="O32" s="4" t="s">
        <v>164</v>
      </c>
      <c r="P32" s="58"/>
      <c r="Q32" s="58"/>
    </row>
    <row r="33" spans="1:17">
      <c r="A33" s="139"/>
      <c r="B33" s="59">
        <v>46196</v>
      </c>
      <c r="C33" s="58" t="str">
        <f t="shared" si="0"/>
        <v>Tuesday</v>
      </c>
      <c r="D33" s="58" t="s">
        <v>655</v>
      </c>
      <c r="E33" s="58" t="str">
        <f t="shared" si="1"/>
        <v>June</v>
      </c>
      <c r="F33" s="58">
        <v>2026</v>
      </c>
      <c r="G33" s="58">
        <v>1.5</v>
      </c>
      <c r="H33" s="58" t="s">
        <v>115</v>
      </c>
      <c r="I33" s="140" t="s">
        <v>437</v>
      </c>
      <c r="J33" s="58" t="s">
        <v>438</v>
      </c>
      <c r="K33" s="58" t="s">
        <v>101</v>
      </c>
      <c r="L33" s="142" t="s">
        <v>815</v>
      </c>
      <c r="M33" s="58"/>
      <c r="N33" s="58">
        <v>1.5</v>
      </c>
      <c r="O33" s="4" t="s">
        <v>164</v>
      </c>
      <c r="P33" s="58"/>
      <c r="Q33" s="58"/>
    </row>
    <row r="34" spans="1:17">
      <c r="A34" s="139"/>
      <c r="B34" s="59">
        <v>46198</v>
      </c>
      <c r="C34" s="58" t="str">
        <f t="shared" si="0"/>
        <v>Thursday</v>
      </c>
      <c r="D34" s="58" t="s">
        <v>655</v>
      </c>
      <c r="E34" s="58" t="str">
        <f t="shared" si="1"/>
        <v>June</v>
      </c>
      <c r="F34" s="58">
        <v>2026</v>
      </c>
      <c r="G34" s="58">
        <v>1.5</v>
      </c>
      <c r="H34" s="58" t="s">
        <v>115</v>
      </c>
      <c r="I34" s="140" t="s">
        <v>437</v>
      </c>
      <c r="J34" s="58" t="s">
        <v>438</v>
      </c>
      <c r="K34" s="58" t="s">
        <v>101</v>
      </c>
      <c r="L34" s="142" t="s">
        <v>832</v>
      </c>
      <c r="M34" s="58"/>
      <c r="N34" s="58">
        <v>1.5</v>
      </c>
      <c r="O34" s="4" t="s">
        <v>164</v>
      </c>
      <c r="P34" s="58"/>
      <c r="Q34" s="58"/>
    </row>
    <row r="35" spans="1:17">
      <c r="A35" s="139"/>
      <c r="B35" s="59">
        <v>46199</v>
      </c>
      <c r="C35" s="58" t="str">
        <f t="shared" si="0"/>
        <v>Friday</v>
      </c>
      <c r="D35" s="58" t="s">
        <v>655</v>
      </c>
      <c r="E35" s="58" t="str">
        <f t="shared" si="1"/>
        <v>June</v>
      </c>
      <c r="F35" s="58">
        <v>2026</v>
      </c>
      <c r="G35" s="58">
        <v>1.5</v>
      </c>
      <c r="H35" s="58" t="s">
        <v>115</v>
      </c>
      <c r="I35" s="140" t="s">
        <v>437</v>
      </c>
      <c r="J35" s="58" t="s">
        <v>438</v>
      </c>
      <c r="K35" s="58" t="s">
        <v>101</v>
      </c>
      <c r="L35" s="142" t="s">
        <v>835</v>
      </c>
      <c r="M35" s="58"/>
      <c r="N35" s="58">
        <v>1.5</v>
      </c>
      <c r="O35" s="4" t="s">
        <v>164</v>
      </c>
      <c r="P35" s="58"/>
      <c r="Q35" s="58"/>
    </row>
    <row r="36" spans="1:17">
      <c r="A36" s="139"/>
      <c r="B36" s="59">
        <v>46203</v>
      </c>
      <c r="C36" s="58" t="str">
        <f t="shared" si="0"/>
        <v>Tuesday</v>
      </c>
      <c r="D36" s="58" t="s">
        <v>655</v>
      </c>
      <c r="E36" s="58" t="str">
        <f t="shared" si="1"/>
        <v>June</v>
      </c>
      <c r="F36" s="58">
        <v>2026</v>
      </c>
      <c r="G36" s="58">
        <v>1.5</v>
      </c>
      <c r="H36" s="58" t="s">
        <v>115</v>
      </c>
      <c r="I36" s="140" t="s">
        <v>437</v>
      </c>
      <c r="J36" s="58" t="s">
        <v>438</v>
      </c>
      <c r="K36" s="58" t="s">
        <v>101</v>
      </c>
      <c r="L36" s="142" t="s">
        <v>835</v>
      </c>
      <c r="M36" s="58"/>
      <c r="N36" s="58">
        <v>1.5</v>
      </c>
      <c r="O36" s="4" t="s">
        <v>164</v>
      </c>
      <c r="P36" s="58"/>
      <c r="Q36" s="58"/>
    </row>
    <row r="37" spans="1:17">
      <c r="A37" s="139"/>
      <c r="B37" s="59">
        <v>46205</v>
      </c>
      <c r="C37" s="58" t="str">
        <f t="shared" si="0"/>
        <v>Thursday</v>
      </c>
      <c r="D37" s="58" t="s">
        <v>655</v>
      </c>
      <c r="E37" s="58" t="str">
        <f t="shared" si="1"/>
        <v>July</v>
      </c>
      <c r="F37" s="58">
        <v>2026</v>
      </c>
      <c r="G37" s="58">
        <v>1.5</v>
      </c>
      <c r="H37" s="58" t="s">
        <v>115</v>
      </c>
      <c r="I37" s="140" t="s">
        <v>437</v>
      </c>
      <c r="J37" s="58" t="s">
        <v>438</v>
      </c>
      <c r="K37" s="58" t="s">
        <v>101</v>
      </c>
      <c r="L37" s="142" t="s">
        <v>835</v>
      </c>
      <c r="M37" s="58"/>
      <c r="N37" s="58">
        <v>1.5</v>
      </c>
      <c r="O37" s="4" t="s">
        <v>164</v>
      </c>
      <c r="P37" s="58"/>
      <c r="Q37" s="58"/>
    </row>
    <row r="38" spans="1:17">
      <c r="A38" s="139"/>
      <c r="B38" s="59">
        <v>46206</v>
      </c>
      <c r="C38" s="58" t="str">
        <f t="shared" si="0"/>
        <v>Friday</v>
      </c>
      <c r="D38" s="58" t="s">
        <v>655</v>
      </c>
      <c r="E38" s="58" t="str">
        <f t="shared" si="1"/>
        <v>July</v>
      </c>
      <c r="F38" s="58">
        <v>2026</v>
      </c>
      <c r="G38" s="58">
        <v>1.5</v>
      </c>
      <c r="H38" s="58" t="s">
        <v>115</v>
      </c>
      <c r="I38" s="140" t="s">
        <v>437</v>
      </c>
      <c r="J38" s="58" t="s">
        <v>438</v>
      </c>
      <c r="K38" s="58" t="s">
        <v>101</v>
      </c>
      <c r="L38" s="142" t="s">
        <v>835</v>
      </c>
      <c r="M38" s="58"/>
      <c r="N38" s="58">
        <v>1.5</v>
      </c>
      <c r="O38" s="4" t="s">
        <v>164</v>
      </c>
      <c r="P38" s="58"/>
      <c r="Q38" s="58"/>
    </row>
    <row r="39" spans="1:17">
      <c r="A39" s="139"/>
      <c r="B39" s="59">
        <v>46210</v>
      </c>
      <c r="C39" s="58" t="str">
        <f t="shared" si="0"/>
        <v>Tuesday</v>
      </c>
      <c r="D39" s="58" t="s">
        <v>655</v>
      </c>
      <c r="E39" s="58" t="str">
        <f t="shared" si="1"/>
        <v>July</v>
      </c>
      <c r="F39" s="58">
        <v>2026</v>
      </c>
      <c r="G39" s="58">
        <v>1.5</v>
      </c>
      <c r="H39" s="58" t="s">
        <v>115</v>
      </c>
      <c r="I39" s="140" t="s">
        <v>437</v>
      </c>
      <c r="J39" s="58" t="s">
        <v>438</v>
      </c>
      <c r="K39" s="58" t="s">
        <v>101</v>
      </c>
      <c r="L39" s="142" t="s">
        <v>854</v>
      </c>
      <c r="M39" s="58"/>
      <c r="N39" s="58">
        <v>1.5</v>
      </c>
      <c r="O39" s="4" t="s">
        <v>164</v>
      </c>
      <c r="P39" s="58"/>
      <c r="Q39" s="58"/>
    </row>
    <row r="40" spans="1:17">
      <c r="A40" s="139"/>
      <c r="B40" s="59">
        <v>46212</v>
      </c>
      <c r="C40" s="58" t="str">
        <f t="shared" si="0"/>
        <v>Thursday</v>
      </c>
      <c r="D40" s="58" t="s">
        <v>655</v>
      </c>
      <c r="E40" s="58" t="str">
        <f t="shared" si="1"/>
        <v>July</v>
      </c>
      <c r="F40" s="58">
        <v>2026</v>
      </c>
      <c r="G40" s="58">
        <v>1.5</v>
      </c>
      <c r="H40" s="58" t="s">
        <v>115</v>
      </c>
      <c r="I40" s="140" t="s">
        <v>437</v>
      </c>
      <c r="J40" s="58" t="s">
        <v>438</v>
      </c>
      <c r="K40" s="58" t="s">
        <v>101</v>
      </c>
      <c r="L40" s="142" t="s">
        <v>861</v>
      </c>
      <c r="M40" s="58"/>
      <c r="N40" s="58">
        <v>1.5</v>
      </c>
      <c r="O40" s="4" t="s">
        <v>117</v>
      </c>
      <c r="P40" s="58"/>
      <c r="Q40" s="58"/>
    </row>
    <row r="41" spans="1:17">
      <c r="A41" s="139"/>
      <c r="B41" s="59">
        <v>46213</v>
      </c>
      <c r="C41" s="58" t="str">
        <f t="shared" si="0"/>
        <v>Friday</v>
      </c>
      <c r="D41" s="58" t="s">
        <v>655</v>
      </c>
      <c r="E41" s="58" t="str">
        <f t="shared" si="1"/>
        <v>July</v>
      </c>
      <c r="F41" s="58">
        <v>2026</v>
      </c>
      <c r="G41" s="58">
        <v>1.5</v>
      </c>
      <c r="H41" s="58" t="s">
        <v>115</v>
      </c>
      <c r="I41" s="140" t="s">
        <v>437</v>
      </c>
      <c r="J41" s="58" t="s">
        <v>438</v>
      </c>
      <c r="K41" s="58" t="s">
        <v>101</v>
      </c>
      <c r="L41" s="142" t="s">
        <v>864</v>
      </c>
      <c r="M41" s="58"/>
      <c r="N41" s="58">
        <v>1.5</v>
      </c>
      <c r="O41" s="4" t="s">
        <v>117</v>
      </c>
      <c r="P41" s="58"/>
      <c r="Q41" s="58"/>
    </row>
    <row r="42" spans="1:17">
      <c r="A42" s="139"/>
      <c r="B42" s="59">
        <v>46217</v>
      </c>
      <c r="C42" s="58" t="str">
        <f t="shared" si="0"/>
        <v>Tuesday</v>
      </c>
      <c r="D42" s="58" t="s">
        <v>524</v>
      </c>
      <c r="E42" s="58" t="str">
        <f t="shared" si="1"/>
        <v>July</v>
      </c>
      <c r="F42" s="58">
        <v>2026</v>
      </c>
      <c r="G42" s="58">
        <v>1.5</v>
      </c>
      <c r="H42" s="58" t="s">
        <v>115</v>
      </c>
      <c r="I42" s="140" t="s">
        <v>437</v>
      </c>
      <c r="J42" s="58" t="s">
        <v>438</v>
      </c>
      <c r="K42" s="58" t="s">
        <v>101</v>
      </c>
      <c r="L42" s="142" t="s">
        <v>869</v>
      </c>
      <c r="M42" s="58"/>
      <c r="N42" s="58">
        <v>1.5</v>
      </c>
      <c r="O42" s="4" t="s">
        <v>117</v>
      </c>
      <c r="P42" s="58"/>
      <c r="Q42" s="58"/>
    </row>
    <row r="43" spans="1:17">
      <c r="A43" s="139"/>
      <c r="B43" s="59">
        <v>46219</v>
      </c>
      <c r="C43" s="58" t="str">
        <f t="shared" si="0"/>
        <v>Thursday</v>
      </c>
      <c r="D43" s="58" t="s">
        <v>655</v>
      </c>
      <c r="E43" s="58" t="str">
        <f t="shared" si="1"/>
        <v>July</v>
      </c>
      <c r="F43" s="58">
        <v>2026</v>
      </c>
      <c r="G43" s="58">
        <v>2.5</v>
      </c>
      <c r="H43" s="58" t="s">
        <v>115</v>
      </c>
      <c r="I43" s="140" t="s">
        <v>437</v>
      </c>
      <c r="J43" s="58" t="s">
        <v>438</v>
      </c>
      <c r="K43" s="58" t="s">
        <v>101</v>
      </c>
      <c r="L43" s="142" t="s">
        <v>876</v>
      </c>
      <c r="M43" s="58"/>
      <c r="N43" s="58">
        <v>2.5</v>
      </c>
      <c r="O43" s="4" t="s">
        <v>164</v>
      </c>
      <c r="P43" s="58"/>
      <c r="Q43" s="58"/>
    </row>
    <row r="44" spans="1:17" ht="30.75">
      <c r="A44" s="139"/>
      <c r="B44" s="59">
        <v>46220</v>
      </c>
      <c r="C44" s="58" t="str">
        <f t="shared" si="0"/>
        <v>Friday</v>
      </c>
      <c r="D44" s="58" t="s">
        <v>655</v>
      </c>
      <c r="E44" s="58" t="str">
        <f t="shared" si="1"/>
        <v>July</v>
      </c>
      <c r="F44" s="58">
        <v>2026</v>
      </c>
      <c r="G44" s="58">
        <v>1.5</v>
      </c>
      <c r="H44" s="58" t="s">
        <v>115</v>
      </c>
      <c r="I44" s="140" t="s">
        <v>437</v>
      </c>
      <c r="J44" s="58" t="s">
        <v>438</v>
      </c>
      <c r="K44" s="58" t="s">
        <v>101</v>
      </c>
      <c r="L44" s="142" t="s">
        <v>879</v>
      </c>
      <c r="M44" s="58"/>
      <c r="N44" s="58">
        <v>1.5</v>
      </c>
      <c r="O44" s="4" t="s">
        <v>164</v>
      </c>
      <c r="P44" s="58"/>
      <c r="Q44" s="58"/>
    </row>
    <row r="45" spans="1:17">
      <c r="A45" s="139"/>
      <c r="B45" s="59">
        <v>46224</v>
      </c>
      <c r="C45" s="58" t="str">
        <f t="shared" si="0"/>
        <v>Tuesday</v>
      </c>
      <c r="D45" s="58" t="s">
        <v>524</v>
      </c>
      <c r="E45" s="58" t="str">
        <f t="shared" si="1"/>
        <v>July</v>
      </c>
      <c r="F45" s="58">
        <v>2026</v>
      </c>
      <c r="G45" s="58">
        <v>1.5</v>
      </c>
      <c r="H45" s="58" t="s">
        <v>115</v>
      </c>
      <c r="I45" s="140" t="s">
        <v>437</v>
      </c>
      <c r="J45" s="58" t="s">
        <v>438</v>
      </c>
      <c r="K45" s="58" t="s">
        <v>101</v>
      </c>
      <c r="L45" s="144" t="s">
        <v>886</v>
      </c>
      <c r="M45" s="58"/>
      <c r="N45" s="58">
        <v>1.5</v>
      </c>
      <c r="O45" s="4" t="s">
        <v>164</v>
      </c>
      <c r="P45" s="58"/>
      <c r="Q45" s="58"/>
    </row>
    <row r="46" spans="1:17">
      <c r="A46" s="139"/>
      <c r="B46" s="59">
        <v>46226</v>
      </c>
      <c r="C46" s="58" t="str">
        <f t="shared" si="0"/>
        <v>Thursday</v>
      </c>
      <c r="D46" s="58" t="s">
        <v>524</v>
      </c>
      <c r="E46" s="58" t="str">
        <f t="shared" si="1"/>
        <v>July</v>
      </c>
      <c r="F46" s="58">
        <v>2026</v>
      </c>
      <c r="G46" s="58">
        <v>2.5</v>
      </c>
      <c r="H46" s="58" t="s">
        <v>115</v>
      </c>
      <c r="I46" s="140" t="s">
        <v>437</v>
      </c>
      <c r="J46" s="58" t="s">
        <v>438</v>
      </c>
      <c r="K46" s="58" t="s">
        <v>101</v>
      </c>
      <c r="L46" s="144" t="s">
        <v>893</v>
      </c>
      <c r="M46" s="58"/>
      <c r="N46" s="58">
        <v>2.5</v>
      </c>
      <c r="O46" s="4" t="s">
        <v>164</v>
      </c>
      <c r="P46" s="58"/>
      <c r="Q46" s="58"/>
    </row>
    <row r="47" spans="1:17" ht="30.75">
      <c r="A47" s="139"/>
      <c r="B47" s="59">
        <v>46227</v>
      </c>
      <c r="C47" s="58" t="str">
        <f>TEXT(B47,"dddd")</f>
        <v>Friday</v>
      </c>
      <c r="D47" s="58" t="s">
        <v>895</v>
      </c>
      <c r="E47" s="58" t="str">
        <f>TEXT(B47,"mmmm")</f>
        <v>July</v>
      </c>
      <c r="F47" s="58">
        <v>2026</v>
      </c>
      <c r="G47" s="58">
        <v>2.5</v>
      </c>
      <c r="H47" s="58" t="s">
        <v>115</v>
      </c>
      <c r="I47" s="140" t="s">
        <v>437</v>
      </c>
      <c r="J47" s="58" t="s">
        <v>438</v>
      </c>
      <c r="K47" s="58" t="s">
        <v>101</v>
      </c>
      <c r="L47" s="142" t="s">
        <v>896</v>
      </c>
      <c r="M47" s="58"/>
      <c r="N47" s="58">
        <v>2.5</v>
      </c>
      <c r="O47" s="4" t="s">
        <v>164</v>
      </c>
      <c r="P47" s="58"/>
      <c r="Q47" s="58"/>
    </row>
    <row r="48" spans="1:17" ht="30.75">
      <c r="A48" s="139"/>
      <c r="B48" s="59">
        <v>46231</v>
      </c>
      <c r="C48" s="58" t="str">
        <f t="shared" ref="C48:C50" si="2">TEXT(B48,"dddd")</f>
        <v>Tuesday</v>
      </c>
      <c r="D48" s="58" t="s">
        <v>655</v>
      </c>
      <c r="E48" s="58" t="str">
        <f t="shared" ref="E48:E50" si="3">TEXT(B48,"mmmm")</f>
        <v>July</v>
      </c>
      <c r="F48" s="58">
        <v>2026</v>
      </c>
      <c r="G48" s="58">
        <v>3</v>
      </c>
      <c r="H48" s="58" t="s">
        <v>115</v>
      </c>
      <c r="I48" s="140" t="s">
        <v>437</v>
      </c>
      <c r="J48" s="58" t="s">
        <v>438</v>
      </c>
      <c r="K48" s="58" t="s">
        <v>101</v>
      </c>
      <c r="L48" s="142" t="s">
        <v>901</v>
      </c>
      <c r="M48" s="58"/>
      <c r="N48" s="58">
        <v>3</v>
      </c>
      <c r="O48" s="4" t="s">
        <v>164</v>
      </c>
      <c r="P48" s="58"/>
      <c r="Q48" s="58"/>
    </row>
    <row r="49" spans="1:17">
      <c r="A49" s="139"/>
      <c r="B49" s="59">
        <v>46234</v>
      </c>
      <c r="C49" s="58" t="str">
        <f t="shared" si="2"/>
        <v>Friday</v>
      </c>
      <c r="D49" s="58" t="s">
        <v>655</v>
      </c>
      <c r="E49" s="58" t="str">
        <f t="shared" si="3"/>
        <v>July</v>
      </c>
      <c r="F49" s="58">
        <v>2026</v>
      </c>
      <c r="G49" s="58">
        <v>1.5</v>
      </c>
      <c r="H49" s="58" t="s">
        <v>115</v>
      </c>
      <c r="I49" s="140" t="s">
        <v>437</v>
      </c>
      <c r="J49" s="58" t="s">
        <v>438</v>
      </c>
      <c r="K49" s="58" t="s">
        <v>101</v>
      </c>
      <c r="L49" s="156" t="s">
        <v>595</v>
      </c>
      <c r="M49" s="58"/>
      <c r="N49" s="58">
        <v>1.5</v>
      </c>
      <c r="O49" s="4" t="s">
        <v>164</v>
      </c>
      <c r="P49" s="58"/>
      <c r="Q49" s="58"/>
    </row>
    <row r="50" spans="1:17">
      <c r="A50" s="139"/>
      <c r="B50" s="59">
        <v>46238</v>
      </c>
      <c r="C50" s="58" t="str">
        <f t="shared" si="2"/>
        <v>Tuesday</v>
      </c>
      <c r="D50" s="58" t="s">
        <v>655</v>
      </c>
      <c r="E50" s="58" t="str">
        <f t="shared" si="3"/>
        <v>August</v>
      </c>
      <c r="F50" s="58">
        <v>2026</v>
      </c>
      <c r="G50" s="58">
        <v>1.5</v>
      </c>
      <c r="H50" s="58" t="s">
        <v>115</v>
      </c>
      <c r="I50" s="140" t="s">
        <v>437</v>
      </c>
      <c r="J50" s="58" t="s">
        <v>438</v>
      </c>
      <c r="K50" s="58" t="s">
        <v>101</v>
      </c>
      <c r="L50" s="142" t="s">
        <v>910</v>
      </c>
      <c r="M50" s="58"/>
      <c r="N50" s="58">
        <v>1.5</v>
      </c>
      <c r="O50" s="4" t="s">
        <v>164</v>
      </c>
      <c r="P50" s="58"/>
      <c r="Q50" s="58"/>
    </row>
    <row r="51" spans="1:17">
      <c r="A51" s="139"/>
      <c r="B51" s="59">
        <v>46240</v>
      </c>
      <c r="C51" s="58" t="str">
        <f t="shared" ref="C51:C52" si="4">TEXT(B51,"dddd")</f>
        <v>Thursday</v>
      </c>
      <c r="D51" s="58"/>
      <c r="E51" s="58" t="str">
        <f t="shared" ref="E51:E52" si="5">TEXT(B51,"mmmm")</f>
        <v>August</v>
      </c>
      <c r="F51" s="58"/>
      <c r="G51" s="58">
        <v>1.5</v>
      </c>
      <c r="H51" s="58"/>
      <c r="I51" s="140"/>
      <c r="J51" s="58"/>
      <c r="K51" s="58"/>
      <c r="L51" s="142" t="s">
        <v>917</v>
      </c>
      <c r="M51" s="58"/>
      <c r="N51" s="58">
        <v>1.5</v>
      </c>
      <c r="O51" s="4" t="s">
        <v>164</v>
      </c>
      <c r="P51" s="58"/>
      <c r="Q51" s="58"/>
    </row>
    <row r="52" spans="1:17">
      <c r="A52" s="139"/>
      <c r="B52" s="59">
        <v>46241</v>
      </c>
      <c r="C52" s="58" t="str">
        <f t="shared" si="4"/>
        <v>Friday</v>
      </c>
      <c r="D52" s="58"/>
      <c r="E52" s="58" t="str">
        <f t="shared" si="5"/>
        <v>August</v>
      </c>
      <c r="F52" s="58"/>
      <c r="G52" s="58"/>
      <c r="H52" s="58"/>
      <c r="I52" s="140"/>
      <c r="J52" s="58"/>
      <c r="K52" s="58"/>
      <c r="L52" s="142" t="s">
        <v>919</v>
      </c>
      <c r="M52" s="58"/>
      <c r="N52" s="58"/>
      <c r="O52" s="4" t="s">
        <v>164</v>
      </c>
      <c r="P52" s="58"/>
      <c r="Q52" s="58"/>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C0FB-A261-41DD-9BFB-B22C74D5C02C}">
  <dimension ref="A1:Q31"/>
  <sheetViews>
    <sheetView topLeftCell="A4" workbookViewId="0">
      <selection activeCell="A22" sqref="A22:XFD31"/>
    </sheetView>
  </sheetViews>
  <sheetFormatPr defaultRowHeight="15"/>
  <cols>
    <col min="1" max="1" width="9.140625" style="3"/>
    <col min="2" max="2" width="18.140625" style="3" customWidth="1"/>
    <col min="3" max="3" width="15.85546875" style="3" customWidth="1"/>
    <col min="4" max="4" width="30.5703125" style="3" customWidth="1"/>
    <col min="5" max="5" width="10.42578125" style="3" customWidth="1"/>
    <col min="6" max="6" width="9.140625" style="3"/>
    <col min="7" max="7" width="18.42578125" style="3" bestFit="1" customWidth="1"/>
    <col min="8" max="8" width="9.42578125" style="3" bestFit="1" customWidth="1"/>
    <col min="9" max="9" width="33.7109375" style="3" customWidth="1"/>
    <col min="10" max="10" width="28.28515625" style="3" customWidth="1"/>
    <col min="11" max="11" width="9.42578125" style="3" bestFit="1" customWidth="1"/>
    <col min="12" max="12" width="69.28515625" style="3" customWidth="1"/>
    <col min="13" max="13" width="19.85546875" style="3" customWidth="1"/>
    <col min="14" max="14" width="28" style="3" customWidth="1"/>
    <col min="15" max="15" width="17.5703125" style="3" customWidth="1"/>
    <col min="16" max="17" width="13" style="3" bestFit="1" customWidth="1"/>
    <col min="18" max="16384" width="9.140625" style="3"/>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ht="20.25" customHeight="1">
      <c r="A2" s="139"/>
      <c r="B2" s="59">
        <v>46086</v>
      </c>
      <c r="C2" s="58" t="str">
        <f>TEXT(B2,"dddd")</f>
        <v>Thursday</v>
      </c>
      <c r="D2" s="58" t="s">
        <v>433</v>
      </c>
      <c r="E2" s="58" t="str">
        <f t="shared" ref="E2:E16" si="0">TEXT(B2,"mmmm")</f>
        <v>March</v>
      </c>
      <c r="F2" s="58">
        <v>2026</v>
      </c>
      <c r="G2" s="58">
        <v>1</v>
      </c>
      <c r="H2" s="58" t="s">
        <v>99</v>
      </c>
      <c r="I2" s="140" t="s">
        <v>108</v>
      </c>
      <c r="J2" s="58" t="s">
        <v>366</v>
      </c>
      <c r="K2" s="58" t="s">
        <v>101</v>
      </c>
      <c r="L2" s="141" t="s">
        <v>434</v>
      </c>
      <c r="M2" s="58"/>
      <c r="N2" s="58">
        <v>1</v>
      </c>
      <c r="O2" s="4"/>
      <c r="P2" s="58"/>
      <c r="Q2" s="58"/>
    </row>
    <row r="3" spans="1:17">
      <c r="A3" s="139"/>
      <c r="B3" s="59">
        <v>46090</v>
      </c>
      <c r="C3" s="58" t="str">
        <f t="shared" ref="C3:C16" si="1">TEXT(B3,"dddd")</f>
        <v>Monday</v>
      </c>
      <c r="D3" s="58" t="s">
        <v>444</v>
      </c>
      <c r="E3" s="58" t="str">
        <f t="shared" si="0"/>
        <v>March</v>
      </c>
      <c r="F3" s="58">
        <v>2026</v>
      </c>
      <c r="G3" s="58">
        <v>0.5</v>
      </c>
      <c r="H3" s="58" t="s">
        <v>99</v>
      </c>
      <c r="I3" s="140" t="s">
        <v>108</v>
      </c>
      <c r="J3" s="58" t="s">
        <v>366</v>
      </c>
      <c r="K3" s="58" t="s">
        <v>101</v>
      </c>
      <c r="L3" s="141" t="s">
        <v>445</v>
      </c>
      <c r="M3" s="58"/>
      <c r="N3" s="58">
        <v>0.5</v>
      </c>
      <c r="O3" s="4"/>
      <c r="P3" s="58"/>
      <c r="Q3" s="58"/>
    </row>
    <row r="4" spans="1:17">
      <c r="A4" s="139">
        <v>1</v>
      </c>
      <c r="B4" s="59">
        <v>46098</v>
      </c>
      <c r="C4" s="58" t="str">
        <f t="shared" si="1"/>
        <v>Tuesday</v>
      </c>
      <c r="D4" s="58" t="s">
        <v>490</v>
      </c>
      <c r="E4" s="58" t="str">
        <f t="shared" si="0"/>
        <v>March</v>
      </c>
      <c r="F4" s="58">
        <v>2026</v>
      </c>
      <c r="G4" s="58">
        <v>2</v>
      </c>
      <c r="H4" s="58" t="s">
        <v>99</v>
      </c>
      <c r="I4" s="140" t="s">
        <v>108</v>
      </c>
      <c r="J4" s="58" t="s">
        <v>366</v>
      </c>
      <c r="K4" s="58" t="s">
        <v>101</v>
      </c>
      <c r="L4" s="142" t="s">
        <v>484</v>
      </c>
      <c r="M4" s="58"/>
      <c r="N4" s="58">
        <v>2</v>
      </c>
      <c r="O4" s="182" t="s">
        <v>66</v>
      </c>
      <c r="P4" s="58"/>
      <c r="Q4" s="58"/>
    </row>
    <row r="5" spans="1:17">
      <c r="A5" s="139">
        <v>2</v>
      </c>
      <c r="B5" s="59">
        <v>46101</v>
      </c>
      <c r="C5" s="58" t="str">
        <f t="shared" si="1"/>
        <v>Friday</v>
      </c>
      <c r="D5" s="58" t="s">
        <v>490</v>
      </c>
      <c r="E5" s="58" t="str">
        <f t="shared" si="0"/>
        <v>March</v>
      </c>
      <c r="F5" s="58">
        <v>2026</v>
      </c>
      <c r="G5" s="58">
        <v>2</v>
      </c>
      <c r="H5" s="58" t="s">
        <v>99</v>
      </c>
      <c r="I5" s="140" t="s">
        <v>108</v>
      </c>
      <c r="J5" s="58" t="s">
        <v>366</v>
      </c>
      <c r="K5" s="58" t="s">
        <v>101</v>
      </c>
      <c r="L5" s="142" t="s">
        <v>500</v>
      </c>
      <c r="M5" s="58"/>
      <c r="N5" s="58">
        <v>2</v>
      </c>
      <c r="O5" s="182" t="s">
        <v>66</v>
      </c>
      <c r="P5" s="58"/>
      <c r="Q5" s="58"/>
    </row>
    <row r="6" spans="1:17">
      <c r="A6" s="139">
        <v>3</v>
      </c>
      <c r="B6" s="59">
        <v>46105</v>
      </c>
      <c r="C6" s="58" t="str">
        <f t="shared" si="1"/>
        <v>Tuesday</v>
      </c>
      <c r="D6" s="58" t="s">
        <v>490</v>
      </c>
      <c r="E6" s="58" t="str">
        <f t="shared" si="0"/>
        <v>March</v>
      </c>
      <c r="F6" s="58">
        <v>2026</v>
      </c>
      <c r="G6" s="58">
        <v>2</v>
      </c>
      <c r="H6" s="58" t="s">
        <v>99</v>
      </c>
      <c r="I6" s="140" t="s">
        <v>108</v>
      </c>
      <c r="J6" s="58" t="s">
        <v>366</v>
      </c>
      <c r="K6" s="58" t="s">
        <v>101</v>
      </c>
      <c r="L6" s="142" t="s">
        <v>512</v>
      </c>
      <c r="M6" s="58"/>
      <c r="N6" s="58">
        <v>2</v>
      </c>
      <c r="O6" s="4" t="s">
        <v>109</v>
      </c>
      <c r="P6" s="58"/>
      <c r="Q6" s="58"/>
    </row>
    <row r="7" spans="1:17">
      <c r="A7" s="139"/>
      <c r="B7" s="59">
        <v>46106</v>
      </c>
      <c r="C7" s="58" t="str">
        <f t="shared" si="1"/>
        <v>Wednesday</v>
      </c>
      <c r="D7" s="58"/>
      <c r="E7" s="58" t="str">
        <f t="shared" si="0"/>
        <v>March</v>
      </c>
      <c r="F7" s="58">
        <v>2026</v>
      </c>
      <c r="G7" s="58"/>
      <c r="H7" s="58" t="s">
        <v>99</v>
      </c>
      <c r="I7" s="140" t="s">
        <v>108</v>
      </c>
      <c r="J7" s="58" t="s">
        <v>366</v>
      </c>
      <c r="K7" s="58" t="s">
        <v>101</v>
      </c>
      <c r="L7" s="144" t="s">
        <v>391</v>
      </c>
      <c r="M7" s="58"/>
      <c r="N7" s="58"/>
      <c r="O7" s="4"/>
      <c r="P7" s="58"/>
      <c r="Q7" s="58"/>
    </row>
    <row r="8" spans="1:17">
      <c r="A8" s="139">
        <v>4</v>
      </c>
      <c r="B8" s="59">
        <v>46108</v>
      </c>
      <c r="C8" s="58" t="str">
        <f t="shared" si="1"/>
        <v>Friday</v>
      </c>
      <c r="D8" s="58" t="s">
        <v>490</v>
      </c>
      <c r="E8" s="58" t="str">
        <f t="shared" si="0"/>
        <v>March</v>
      </c>
      <c r="F8" s="58">
        <v>2026</v>
      </c>
      <c r="G8" s="58">
        <v>2</v>
      </c>
      <c r="H8" s="58" t="s">
        <v>99</v>
      </c>
      <c r="I8" s="140" t="s">
        <v>108</v>
      </c>
      <c r="J8" s="58" t="s">
        <v>366</v>
      </c>
      <c r="K8" s="58" t="s">
        <v>101</v>
      </c>
      <c r="L8" s="142" t="s">
        <v>526</v>
      </c>
      <c r="M8" s="58"/>
      <c r="N8" s="58">
        <v>2</v>
      </c>
      <c r="O8" s="4" t="s">
        <v>109</v>
      </c>
      <c r="P8" s="58"/>
      <c r="Q8" s="58"/>
    </row>
    <row r="9" spans="1:17">
      <c r="A9" s="139">
        <v>5</v>
      </c>
      <c r="B9" s="59">
        <v>46112</v>
      </c>
      <c r="C9" s="58" t="str">
        <f t="shared" si="1"/>
        <v>Tuesday</v>
      </c>
      <c r="D9" s="58" t="s">
        <v>490</v>
      </c>
      <c r="E9" s="58" t="str">
        <f t="shared" si="0"/>
        <v>March</v>
      </c>
      <c r="F9" s="58">
        <v>2026</v>
      </c>
      <c r="G9" s="58">
        <v>2</v>
      </c>
      <c r="H9" s="58" t="s">
        <v>99</v>
      </c>
      <c r="I9" s="140" t="s">
        <v>108</v>
      </c>
      <c r="J9" s="58" t="s">
        <v>366</v>
      </c>
      <c r="K9" s="58" t="s">
        <v>101</v>
      </c>
      <c r="L9" s="142" t="s">
        <v>542</v>
      </c>
      <c r="M9" s="58"/>
      <c r="N9" s="58">
        <v>2</v>
      </c>
      <c r="O9" s="4" t="s">
        <v>109</v>
      </c>
      <c r="P9" s="58"/>
      <c r="Q9" s="58"/>
    </row>
    <row r="10" spans="1:17">
      <c r="A10" s="139"/>
      <c r="B10" s="59">
        <v>46113</v>
      </c>
      <c r="C10" s="58" t="str">
        <f t="shared" si="1"/>
        <v>Wednesday</v>
      </c>
      <c r="D10" s="58"/>
      <c r="E10" s="58" t="str">
        <f t="shared" si="0"/>
        <v>April</v>
      </c>
      <c r="F10" s="58">
        <v>2026</v>
      </c>
      <c r="G10" s="58"/>
      <c r="H10" s="58" t="s">
        <v>99</v>
      </c>
      <c r="I10" s="140" t="s">
        <v>108</v>
      </c>
      <c r="J10" s="58" t="s">
        <v>366</v>
      </c>
      <c r="K10" s="58" t="s">
        <v>101</v>
      </c>
      <c r="L10" s="144" t="s">
        <v>391</v>
      </c>
      <c r="M10" s="58"/>
      <c r="N10" s="58"/>
      <c r="O10" s="4"/>
      <c r="P10" s="58"/>
      <c r="Q10" s="58"/>
    </row>
    <row r="11" spans="1:17">
      <c r="A11" s="139">
        <v>6</v>
      </c>
      <c r="B11" s="59">
        <v>46114</v>
      </c>
      <c r="C11" s="58" t="str">
        <f t="shared" si="1"/>
        <v>Thursday</v>
      </c>
      <c r="D11" s="58" t="s">
        <v>490</v>
      </c>
      <c r="E11" s="58" t="str">
        <f t="shared" si="0"/>
        <v>April</v>
      </c>
      <c r="F11" s="58">
        <v>2026</v>
      </c>
      <c r="G11" s="58">
        <v>2</v>
      </c>
      <c r="H11" s="58" t="s">
        <v>99</v>
      </c>
      <c r="I11" s="140" t="s">
        <v>108</v>
      </c>
      <c r="J11" s="58" t="s">
        <v>366</v>
      </c>
      <c r="K11" s="58" t="s">
        <v>101</v>
      </c>
      <c r="L11" s="142" t="s">
        <v>555</v>
      </c>
      <c r="M11" s="58"/>
      <c r="N11" s="58">
        <v>2</v>
      </c>
      <c r="O11" s="4" t="s">
        <v>109</v>
      </c>
      <c r="P11" s="58"/>
      <c r="Q11" s="58"/>
    </row>
    <row r="12" spans="1:17">
      <c r="A12" s="139">
        <v>7</v>
      </c>
      <c r="B12" s="59">
        <v>46119</v>
      </c>
      <c r="C12" s="58" t="str">
        <f t="shared" si="1"/>
        <v>Tuesday</v>
      </c>
      <c r="D12" s="58" t="s">
        <v>490</v>
      </c>
      <c r="E12" s="58" t="str">
        <f t="shared" si="0"/>
        <v>April</v>
      </c>
      <c r="F12" s="58">
        <v>2026</v>
      </c>
      <c r="G12" s="58">
        <v>2</v>
      </c>
      <c r="H12" s="58" t="s">
        <v>99</v>
      </c>
      <c r="I12" s="140" t="s">
        <v>108</v>
      </c>
      <c r="J12" s="58" t="s">
        <v>366</v>
      </c>
      <c r="K12" s="58" t="s">
        <v>101</v>
      </c>
      <c r="L12" s="142" t="s">
        <v>566</v>
      </c>
      <c r="M12" s="58"/>
      <c r="N12" s="58">
        <v>2</v>
      </c>
      <c r="O12" s="4" t="s">
        <v>109</v>
      </c>
      <c r="P12" s="58"/>
      <c r="Q12" s="58"/>
    </row>
    <row r="13" spans="1:17">
      <c r="A13" s="139">
        <v>8</v>
      </c>
      <c r="B13" s="59">
        <v>46121</v>
      </c>
      <c r="C13" s="58" t="str">
        <f t="shared" si="1"/>
        <v>Thursday</v>
      </c>
      <c r="D13" s="58" t="s">
        <v>490</v>
      </c>
      <c r="E13" s="58" t="str">
        <f t="shared" si="0"/>
        <v>April</v>
      </c>
      <c r="F13" s="58">
        <v>2026</v>
      </c>
      <c r="G13" s="58">
        <v>2</v>
      </c>
      <c r="H13" s="58" t="s">
        <v>99</v>
      </c>
      <c r="I13" s="140" t="s">
        <v>108</v>
      </c>
      <c r="J13" s="58" t="s">
        <v>366</v>
      </c>
      <c r="K13" s="58" t="s">
        <v>101</v>
      </c>
      <c r="L13" s="142" t="s">
        <v>576</v>
      </c>
      <c r="M13" s="58"/>
      <c r="N13" s="58">
        <v>2</v>
      </c>
      <c r="O13" s="4" t="s">
        <v>109</v>
      </c>
      <c r="P13" s="58"/>
      <c r="Q13" s="58"/>
    </row>
    <row r="14" spans="1:17">
      <c r="A14" s="139"/>
      <c r="B14" s="59">
        <v>46122</v>
      </c>
      <c r="C14" s="58" t="str">
        <f t="shared" si="1"/>
        <v>Friday</v>
      </c>
      <c r="D14" s="58"/>
      <c r="E14" s="58" t="str">
        <f t="shared" si="0"/>
        <v>April</v>
      </c>
      <c r="F14" s="58">
        <v>2026</v>
      </c>
      <c r="G14" s="58"/>
      <c r="H14" s="58" t="s">
        <v>99</v>
      </c>
      <c r="I14" s="140" t="s">
        <v>108</v>
      </c>
      <c r="J14" s="58" t="s">
        <v>366</v>
      </c>
      <c r="K14" s="58" t="s">
        <v>101</v>
      </c>
      <c r="L14" s="144" t="s">
        <v>391</v>
      </c>
      <c r="M14" s="58"/>
      <c r="N14" s="58"/>
      <c r="O14" s="4"/>
      <c r="P14" s="58"/>
      <c r="Q14" s="58"/>
    </row>
    <row r="15" spans="1:17">
      <c r="A15" s="139">
        <v>9</v>
      </c>
      <c r="B15" s="59">
        <v>46128</v>
      </c>
      <c r="C15" s="58" t="str">
        <f t="shared" si="1"/>
        <v>Thursday</v>
      </c>
      <c r="D15" s="58" t="s">
        <v>490</v>
      </c>
      <c r="E15" s="58" t="str">
        <f t="shared" si="0"/>
        <v>April</v>
      </c>
      <c r="F15" s="58">
        <v>2026</v>
      </c>
      <c r="G15" s="58">
        <v>2</v>
      </c>
      <c r="H15" s="58" t="s">
        <v>99</v>
      </c>
      <c r="I15" s="140" t="s">
        <v>108</v>
      </c>
      <c r="J15" s="58" t="s">
        <v>366</v>
      </c>
      <c r="K15" s="58" t="s">
        <v>101</v>
      </c>
      <c r="L15" s="142" t="s">
        <v>596</v>
      </c>
      <c r="M15" s="58"/>
      <c r="N15" s="58">
        <v>2</v>
      </c>
      <c r="O15" s="4" t="s">
        <v>109</v>
      </c>
      <c r="P15" s="58"/>
      <c r="Q15" s="58"/>
    </row>
    <row r="16" spans="1:17">
      <c r="A16" s="139">
        <v>10</v>
      </c>
      <c r="B16" s="59">
        <v>46129</v>
      </c>
      <c r="C16" s="58" t="str">
        <f t="shared" si="1"/>
        <v>Friday</v>
      </c>
      <c r="D16" s="58" t="s">
        <v>490</v>
      </c>
      <c r="E16" s="58" t="str">
        <f t="shared" si="0"/>
        <v>April</v>
      </c>
      <c r="F16" s="58">
        <v>2026</v>
      </c>
      <c r="G16" s="58">
        <v>2</v>
      </c>
      <c r="H16" s="58" t="s">
        <v>99</v>
      </c>
      <c r="I16" s="140" t="s">
        <v>108</v>
      </c>
      <c r="J16" s="58" t="s">
        <v>366</v>
      </c>
      <c r="K16" s="58" t="s">
        <v>101</v>
      </c>
      <c r="L16" s="142" t="s">
        <v>598</v>
      </c>
      <c r="M16" s="58"/>
      <c r="N16" s="58">
        <v>2</v>
      </c>
      <c r="O16" s="4" t="s">
        <v>109</v>
      </c>
      <c r="P16" s="58"/>
      <c r="Q16" s="58"/>
    </row>
    <row r="17" spans="1:17" ht="30.75">
      <c r="A17" s="145"/>
      <c r="B17" s="101">
        <v>46140</v>
      </c>
      <c r="C17" s="100" t="str">
        <f>TEXT(B17,"dddd")</f>
        <v>Tuesday</v>
      </c>
      <c r="D17" s="100"/>
      <c r="E17" s="100" t="str">
        <f>TEXT(B17,"mmmm")</f>
        <v>April</v>
      </c>
      <c r="F17" s="58">
        <v>2026</v>
      </c>
      <c r="G17" s="100"/>
      <c r="H17" s="58" t="s">
        <v>99</v>
      </c>
      <c r="I17" s="140" t="s">
        <v>108</v>
      </c>
      <c r="J17" s="58" t="s">
        <v>366</v>
      </c>
      <c r="K17" s="58" t="s">
        <v>101</v>
      </c>
      <c r="L17" s="188" t="s">
        <v>649</v>
      </c>
      <c r="M17" s="100"/>
      <c r="N17" s="100"/>
      <c r="O17" s="5"/>
      <c r="P17" s="100"/>
      <c r="Q17" s="100"/>
    </row>
    <row r="18" spans="1:17">
      <c r="A18" s="139"/>
      <c r="B18" s="59">
        <v>46147</v>
      </c>
      <c r="C18" s="58" t="str">
        <f t="shared" ref="C18:C21" si="2">TEXT(B18,"dddd")</f>
        <v>Tuesday</v>
      </c>
      <c r="D18" s="58" t="s">
        <v>665</v>
      </c>
      <c r="E18" s="58" t="str">
        <f t="shared" ref="E18:E21" si="3">TEXT(B18,"mmmm")</f>
        <v>May</v>
      </c>
      <c r="F18" s="58">
        <v>2026</v>
      </c>
      <c r="G18" s="58">
        <v>4</v>
      </c>
      <c r="H18" s="58" t="s">
        <v>99</v>
      </c>
      <c r="I18" s="140" t="s">
        <v>108</v>
      </c>
      <c r="J18" s="58" t="s">
        <v>366</v>
      </c>
      <c r="K18" s="58" t="s">
        <v>101</v>
      </c>
      <c r="L18" s="142" t="s">
        <v>666</v>
      </c>
      <c r="M18" s="58"/>
      <c r="N18" s="58">
        <v>4</v>
      </c>
      <c r="O18" s="189" t="s">
        <v>112</v>
      </c>
      <c r="P18" s="58"/>
      <c r="Q18" s="58"/>
    </row>
    <row r="19" spans="1:17">
      <c r="A19" s="139"/>
      <c r="B19" s="59">
        <v>46154</v>
      </c>
      <c r="C19" s="58" t="str">
        <f t="shared" si="2"/>
        <v>Tuesday</v>
      </c>
      <c r="D19" s="58" t="s">
        <v>665</v>
      </c>
      <c r="E19" s="58" t="str">
        <f t="shared" si="3"/>
        <v>May</v>
      </c>
      <c r="F19" s="58">
        <v>2026</v>
      </c>
      <c r="G19" s="58">
        <v>4</v>
      </c>
      <c r="H19" s="58" t="s">
        <v>99</v>
      </c>
      <c r="I19" s="140" t="s">
        <v>108</v>
      </c>
      <c r="J19" s="58" t="s">
        <v>366</v>
      </c>
      <c r="K19" s="58" t="s">
        <v>101</v>
      </c>
      <c r="L19" s="142" t="s">
        <v>695</v>
      </c>
      <c r="M19" s="58"/>
      <c r="N19" s="58">
        <v>4</v>
      </c>
      <c r="O19" s="189" t="s">
        <v>112</v>
      </c>
      <c r="P19" s="58"/>
      <c r="Q19" s="58"/>
    </row>
    <row r="20" spans="1:17">
      <c r="A20" s="139"/>
      <c r="B20" s="59">
        <v>46161</v>
      </c>
      <c r="C20" s="58" t="str">
        <f t="shared" si="2"/>
        <v>Tuesday</v>
      </c>
      <c r="D20" s="58" t="s">
        <v>665</v>
      </c>
      <c r="E20" s="58" t="str">
        <f t="shared" si="3"/>
        <v>May</v>
      </c>
      <c r="F20" s="58">
        <v>2026</v>
      </c>
      <c r="G20" s="58">
        <v>4</v>
      </c>
      <c r="H20" s="58" t="s">
        <v>99</v>
      </c>
      <c r="I20" s="140" t="s">
        <v>108</v>
      </c>
      <c r="J20" s="58" t="s">
        <v>366</v>
      </c>
      <c r="K20" s="58" t="s">
        <v>101</v>
      </c>
      <c r="L20" s="142" t="s">
        <v>725</v>
      </c>
      <c r="M20" s="58"/>
      <c r="N20" s="58">
        <v>4</v>
      </c>
      <c r="O20" s="189" t="s">
        <v>112</v>
      </c>
      <c r="P20" s="58"/>
      <c r="Q20" s="58"/>
    </row>
    <row r="21" spans="1:17">
      <c r="A21" s="145"/>
      <c r="B21" s="101">
        <v>46175</v>
      </c>
      <c r="C21" s="100" t="str">
        <f t="shared" si="2"/>
        <v>Tuesday</v>
      </c>
      <c r="D21" s="58" t="s">
        <v>665</v>
      </c>
      <c r="E21" s="100" t="str">
        <f t="shared" si="3"/>
        <v>June</v>
      </c>
      <c r="F21" s="58">
        <v>2026</v>
      </c>
      <c r="G21" s="100">
        <v>4</v>
      </c>
      <c r="H21" s="58" t="s">
        <v>99</v>
      </c>
      <c r="I21" s="140" t="s">
        <v>108</v>
      </c>
      <c r="J21" s="58" t="s">
        <v>366</v>
      </c>
      <c r="K21" s="58" t="s">
        <v>101</v>
      </c>
      <c r="L21" s="142" t="s">
        <v>765</v>
      </c>
      <c r="M21" s="100"/>
      <c r="N21" s="100">
        <v>4</v>
      </c>
      <c r="O21" s="189" t="s">
        <v>112</v>
      </c>
      <c r="P21" s="100"/>
      <c r="Q21" s="100"/>
    </row>
    <row r="22" spans="1:17">
      <c r="A22" s="145"/>
      <c r="B22" s="101">
        <v>46188</v>
      </c>
      <c r="C22" s="100" t="str">
        <f>TEXT(B22,"dddd")</f>
        <v>Monday</v>
      </c>
      <c r="D22" s="58"/>
      <c r="E22" s="100" t="str">
        <f>TEXT(B22,"mmmm")</f>
        <v>June</v>
      </c>
      <c r="F22" s="58">
        <v>2026</v>
      </c>
      <c r="G22" s="100"/>
      <c r="H22" s="58" t="s">
        <v>99</v>
      </c>
      <c r="I22" s="140" t="s">
        <v>108</v>
      </c>
      <c r="J22" s="58" t="s">
        <v>366</v>
      </c>
      <c r="K22" s="58" t="s">
        <v>101</v>
      </c>
      <c r="L22" s="188" t="s">
        <v>800</v>
      </c>
      <c r="M22" s="100"/>
      <c r="N22" s="100"/>
      <c r="O22" s="189"/>
      <c r="P22" s="100"/>
      <c r="Q22" s="100"/>
    </row>
    <row r="23" spans="1:17">
      <c r="A23" s="139"/>
      <c r="B23" s="59">
        <v>46191</v>
      </c>
      <c r="C23" s="58" t="str">
        <f t="shared" ref="C23:C31" si="4">TEXT(B23,"dddd")</f>
        <v>Thursday</v>
      </c>
      <c r="D23" s="58" t="s">
        <v>490</v>
      </c>
      <c r="E23" s="58" t="str">
        <f t="shared" ref="E23:E31" si="5">TEXT(B23,"mmmm")</f>
        <v>June</v>
      </c>
      <c r="F23" s="58">
        <v>2026</v>
      </c>
      <c r="G23" s="58">
        <v>2</v>
      </c>
      <c r="H23" s="58" t="s">
        <v>99</v>
      </c>
      <c r="I23" s="140" t="s">
        <v>108</v>
      </c>
      <c r="J23" s="58" t="s">
        <v>366</v>
      </c>
      <c r="K23" s="58" t="s">
        <v>101</v>
      </c>
      <c r="L23" s="142" t="s">
        <v>813</v>
      </c>
      <c r="M23" s="58"/>
      <c r="N23" s="58">
        <v>2</v>
      </c>
      <c r="O23" s="189" t="s">
        <v>112</v>
      </c>
      <c r="P23" s="58"/>
      <c r="Q23" s="58"/>
    </row>
    <row r="24" spans="1:17">
      <c r="A24" s="139"/>
      <c r="B24" s="59">
        <v>46196</v>
      </c>
      <c r="C24" s="58" t="str">
        <f t="shared" si="4"/>
        <v>Tuesday</v>
      </c>
      <c r="D24" s="58" t="s">
        <v>490</v>
      </c>
      <c r="E24" s="58" t="str">
        <f t="shared" si="5"/>
        <v>June</v>
      </c>
      <c r="F24" s="58">
        <v>2026</v>
      </c>
      <c r="G24" s="58">
        <v>2</v>
      </c>
      <c r="H24" s="58" t="s">
        <v>99</v>
      </c>
      <c r="I24" s="140" t="s">
        <v>108</v>
      </c>
      <c r="J24" s="58" t="s">
        <v>366</v>
      </c>
      <c r="K24" s="58" t="s">
        <v>101</v>
      </c>
      <c r="L24" s="142" t="s">
        <v>820</v>
      </c>
      <c r="M24" s="58"/>
      <c r="N24" s="58">
        <v>2</v>
      </c>
      <c r="O24" s="189" t="s">
        <v>112</v>
      </c>
      <c r="P24" s="58"/>
      <c r="Q24" s="58"/>
    </row>
    <row r="25" spans="1:17">
      <c r="A25" s="139"/>
      <c r="B25" s="59">
        <v>46198</v>
      </c>
      <c r="C25" s="58" t="str">
        <f t="shared" si="4"/>
        <v>Thursday</v>
      </c>
      <c r="D25" s="58" t="s">
        <v>490</v>
      </c>
      <c r="E25" s="58" t="str">
        <f t="shared" si="5"/>
        <v>June</v>
      </c>
      <c r="F25" s="58">
        <v>2026</v>
      </c>
      <c r="G25" s="58">
        <v>2</v>
      </c>
      <c r="H25" s="58" t="s">
        <v>99</v>
      </c>
      <c r="I25" s="140" t="s">
        <v>108</v>
      </c>
      <c r="J25" s="58" t="s">
        <v>366</v>
      </c>
      <c r="K25" s="58" t="s">
        <v>101</v>
      </c>
      <c r="L25" s="142" t="s">
        <v>826</v>
      </c>
      <c r="M25" s="58"/>
      <c r="N25" s="58">
        <v>2</v>
      </c>
      <c r="O25" s="189" t="s">
        <v>112</v>
      </c>
      <c r="P25" s="58"/>
      <c r="Q25" s="58"/>
    </row>
    <row r="26" spans="1:17">
      <c r="A26" s="139"/>
      <c r="B26" s="59">
        <v>46203</v>
      </c>
      <c r="C26" s="58" t="str">
        <f t="shared" si="4"/>
        <v>Tuesday</v>
      </c>
      <c r="D26" s="58" t="s">
        <v>841</v>
      </c>
      <c r="E26" s="58" t="str">
        <f t="shared" si="5"/>
        <v>June</v>
      </c>
      <c r="F26" s="58">
        <v>2026</v>
      </c>
      <c r="G26" s="58">
        <v>3</v>
      </c>
      <c r="H26" s="58" t="s">
        <v>99</v>
      </c>
      <c r="I26" s="140" t="s">
        <v>108</v>
      </c>
      <c r="J26" s="58" t="s">
        <v>366</v>
      </c>
      <c r="K26" s="58" t="s">
        <v>101</v>
      </c>
      <c r="L26" s="142" t="s">
        <v>842</v>
      </c>
      <c r="M26" s="58"/>
      <c r="N26" s="58">
        <v>3</v>
      </c>
      <c r="O26" s="189" t="s">
        <v>112</v>
      </c>
      <c r="P26" s="58"/>
      <c r="Q26" s="58"/>
    </row>
    <row r="27" spans="1:17">
      <c r="A27" s="139"/>
      <c r="B27" s="59">
        <v>46210</v>
      </c>
      <c r="C27" s="58" t="str">
        <f t="shared" si="4"/>
        <v>Tuesday</v>
      </c>
      <c r="D27" s="58" t="s">
        <v>841</v>
      </c>
      <c r="E27" s="58" t="str">
        <f t="shared" si="5"/>
        <v>July</v>
      </c>
      <c r="F27" s="58">
        <v>2026</v>
      </c>
      <c r="G27" s="58">
        <v>3</v>
      </c>
      <c r="H27" s="58" t="s">
        <v>99</v>
      </c>
      <c r="I27" s="140" t="s">
        <v>108</v>
      </c>
      <c r="J27" s="58" t="s">
        <v>366</v>
      </c>
      <c r="K27" s="58" t="s">
        <v>101</v>
      </c>
      <c r="L27" s="142" t="s">
        <v>855</v>
      </c>
      <c r="M27" s="58"/>
      <c r="N27" s="58">
        <v>3</v>
      </c>
      <c r="O27" s="189" t="s">
        <v>112</v>
      </c>
      <c r="P27" s="58"/>
      <c r="Q27" s="58"/>
    </row>
    <row r="28" spans="1:17">
      <c r="A28" s="139"/>
      <c r="B28" s="59">
        <v>46217</v>
      </c>
      <c r="C28" s="58" t="str">
        <f t="shared" si="4"/>
        <v>Tuesday</v>
      </c>
      <c r="D28" s="58" t="s">
        <v>841</v>
      </c>
      <c r="E28" s="58" t="str">
        <f t="shared" si="5"/>
        <v>July</v>
      </c>
      <c r="F28" s="58">
        <v>2026</v>
      </c>
      <c r="G28" s="58">
        <v>3</v>
      </c>
      <c r="H28" s="58" t="s">
        <v>99</v>
      </c>
      <c r="I28" s="140" t="s">
        <v>108</v>
      </c>
      <c r="J28" s="58" t="s">
        <v>366</v>
      </c>
      <c r="K28" s="58" t="s">
        <v>101</v>
      </c>
      <c r="L28" s="142" t="s">
        <v>870</v>
      </c>
      <c r="M28" s="58"/>
      <c r="N28" s="58">
        <v>3</v>
      </c>
      <c r="O28" s="189" t="s">
        <v>112</v>
      </c>
      <c r="P28" s="58"/>
      <c r="Q28" s="58"/>
    </row>
    <row r="29" spans="1:17">
      <c r="A29" s="139"/>
      <c r="B29" s="59">
        <v>46224</v>
      </c>
      <c r="C29" s="58" t="str">
        <f t="shared" si="4"/>
        <v>Tuesday</v>
      </c>
      <c r="D29" s="58" t="s">
        <v>841</v>
      </c>
      <c r="E29" s="58" t="str">
        <f t="shared" si="5"/>
        <v>July</v>
      </c>
      <c r="F29" s="58">
        <v>2026</v>
      </c>
      <c r="G29" s="58">
        <v>3</v>
      </c>
      <c r="H29" s="58" t="s">
        <v>99</v>
      </c>
      <c r="I29" s="140" t="s">
        <v>108</v>
      </c>
      <c r="J29" s="58" t="s">
        <v>366</v>
      </c>
      <c r="K29" s="58" t="s">
        <v>101</v>
      </c>
      <c r="L29" s="144" t="s">
        <v>887</v>
      </c>
      <c r="M29" s="58"/>
      <c r="N29" s="58">
        <v>3</v>
      </c>
      <c r="O29" s="189" t="s">
        <v>112</v>
      </c>
      <c r="P29" s="58"/>
      <c r="Q29" s="58"/>
    </row>
    <row r="30" spans="1:17">
      <c r="A30" s="139"/>
      <c r="B30" s="59">
        <v>46231</v>
      </c>
      <c r="C30" s="58" t="str">
        <f t="shared" si="4"/>
        <v>Tuesday</v>
      </c>
      <c r="D30" s="58" t="s">
        <v>841</v>
      </c>
      <c r="E30" s="58" t="str">
        <f t="shared" si="5"/>
        <v>July</v>
      </c>
      <c r="F30" s="58">
        <v>2026</v>
      </c>
      <c r="G30" s="58">
        <v>3</v>
      </c>
      <c r="H30" s="58" t="s">
        <v>99</v>
      </c>
      <c r="I30" s="140" t="s">
        <v>108</v>
      </c>
      <c r="J30" s="58" t="s">
        <v>366</v>
      </c>
      <c r="K30" s="58" t="s">
        <v>101</v>
      </c>
      <c r="L30" s="144" t="s">
        <v>887</v>
      </c>
      <c r="M30" s="58"/>
      <c r="N30" s="58">
        <v>3</v>
      </c>
      <c r="O30" s="189" t="s">
        <v>112</v>
      </c>
      <c r="P30" s="58"/>
      <c r="Q30" s="58"/>
    </row>
    <row r="31" spans="1:17" ht="30.75">
      <c r="A31" s="145"/>
      <c r="B31" s="101">
        <v>46238</v>
      </c>
      <c r="C31" s="100" t="str">
        <f t="shared" si="4"/>
        <v>Tuesday</v>
      </c>
      <c r="D31" s="58"/>
      <c r="E31" s="100" t="str">
        <f t="shared" si="5"/>
        <v>August</v>
      </c>
      <c r="F31" s="58">
        <v>2026</v>
      </c>
      <c r="G31" s="100"/>
      <c r="H31" s="58" t="s">
        <v>99</v>
      </c>
      <c r="I31" s="140" t="s">
        <v>108</v>
      </c>
      <c r="J31" s="58" t="s">
        <v>366</v>
      </c>
      <c r="K31" s="58" t="s">
        <v>101</v>
      </c>
      <c r="L31" s="241" t="s">
        <v>911</v>
      </c>
      <c r="M31" s="100"/>
      <c r="N31" s="100"/>
      <c r="O31" s="5"/>
      <c r="P31" s="100"/>
      <c r="Q31" s="100"/>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555C5-F6B8-4F20-A08F-EDD7E7878F59}">
  <dimension ref="A1:Q33"/>
  <sheetViews>
    <sheetView topLeftCell="A10" workbookViewId="0">
      <selection activeCell="A24" sqref="A24:XFD33"/>
    </sheetView>
  </sheetViews>
  <sheetFormatPr defaultRowHeight="15"/>
  <cols>
    <col min="1" max="1" width="9.140625" style="3"/>
    <col min="2" max="2" width="18.140625" style="3" customWidth="1"/>
    <col min="3" max="3" width="15.85546875" style="3" customWidth="1"/>
    <col min="4" max="4" width="30.5703125" style="3" customWidth="1"/>
    <col min="5" max="5" width="10.42578125" style="3" customWidth="1"/>
    <col min="6" max="6" width="9.140625" style="3"/>
    <col min="7" max="7" width="18.42578125" style="3" bestFit="1" customWidth="1"/>
    <col min="8" max="8" width="9.42578125" style="3" bestFit="1" customWidth="1"/>
    <col min="9" max="9" width="33.7109375" style="3" customWidth="1"/>
    <col min="10" max="10" width="28.28515625" style="3" customWidth="1"/>
    <col min="11" max="11" width="9.42578125" style="3" bestFit="1" customWidth="1"/>
    <col min="12" max="12" width="69.28515625" style="3" customWidth="1"/>
    <col min="13" max="13" width="19.85546875" style="3" customWidth="1"/>
    <col min="14" max="14" width="28" style="3" customWidth="1"/>
    <col min="15" max="15" width="17.5703125" style="3" customWidth="1"/>
    <col min="16" max="17" width="13" style="3" bestFit="1" customWidth="1"/>
    <col min="18" max="16384" width="9.140625" style="3"/>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ht="20.25" customHeight="1">
      <c r="A2" s="139"/>
      <c r="B2" s="59">
        <v>46086</v>
      </c>
      <c r="C2" s="58" t="str">
        <f>TEXT(B2,"dddd")</f>
        <v>Thursday</v>
      </c>
      <c r="D2" s="58" t="s">
        <v>433</v>
      </c>
      <c r="E2" s="58" t="str">
        <f>TEXT(B2,"mmmm")</f>
        <v>March</v>
      </c>
      <c r="F2" s="58">
        <v>2026</v>
      </c>
      <c r="G2" s="58">
        <v>1</v>
      </c>
      <c r="H2" s="58" t="s">
        <v>99</v>
      </c>
      <c r="I2" s="140" t="s">
        <v>108</v>
      </c>
      <c r="J2" s="58" t="s">
        <v>366</v>
      </c>
      <c r="K2" s="58" t="s">
        <v>10</v>
      </c>
      <c r="L2" s="141" t="s">
        <v>434</v>
      </c>
      <c r="M2" s="58"/>
      <c r="N2" s="58">
        <v>1</v>
      </c>
      <c r="O2" s="4"/>
      <c r="P2" s="58"/>
      <c r="Q2" s="58"/>
    </row>
    <row r="3" spans="1:17">
      <c r="A3" s="139"/>
      <c r="B3" s="59">
        <v>46090</v>
      </c>
      <c r="C3" s="58" t="str">
        <f t="shared" ref="C3:C14" si="0">TEXT(B3,"dddd")</f>
        <v>Monday</v>
      </c>
      <c r="D3" s="58" t="s">
        <v>446</v>
      </c>
      <c r="E3" s="58" t="str">
        <f t="shared" ref="E3:E18" si="1">TEXT(B3,"mmmm")</f>
        <v>March</v>
      </c>
      <c r="F3" s="58">
        <v>2026</v>
      </c>
      <c r="G3" s="58">
        <v>0.5</v>
      </c>
      <c r="H3" s="58" t="s">
        <v>99</v>
      </c>
      <c r="I3" s="140" t="s">
        <v>108</v>
      </c>
      <c r="J3" s="58" t="s">
        <v>366</v>
      </c>
      <c r="K3" s="58" t="s">
        <v>10</v>
      </c>
      <c r="L3" s="141" t="s">
        <v>445</v>
      </c>
      <c r="M3" s="58"/>
      <c r="N3" s="58">
        <v>0.5</v>
      </c>
      <c r="O3" s="4"/>
      <c r="P3" s="58"/>
      <c r="Q3" s="58"/>
    </row>
    <row r="4" spans="1:17">
      <c r="A4" s="139">
        <v>1</v>
      </c>
      <c r="B4" s="59">
        <v>46097</v>
      </c>
      <c r="C4" s="58" t="str">
        <f t="shared" si="0"/>
        <v>Monday</v>
      </c>
      <c r="D4" s="58" t="s">
        <v>483</v>
      </c>
      <c r="E4" s="58" t="str">
        <f t="shared" si="1"/>
        <v>March</v>
      </c>
      <c r="F4" s="58">
        <v>2026</v>
      </c>
      <c r="G4" s="58">
        <v>2</v>
      </c>
      <c r="H4" s="58" t="s">
        <v>99</v>
      </c>
      <c r="I4" s="140" t="s">
        <v>108</v>
      </c>
      <c r="J4" s="58" t="s">
        <v>366</v>
      </c>
      <c r="K4" s="58" t="s">
        <v>10</v>
      </c>
      <c r="L4" s="142" t="s">
        <v>484</v>
      </c>
      <c r="M4" s="58" t="s">
        <v>1056</v>
      </c>
      <c r="N4" s="58">
        <v>2</v>
      </c>
      <c r="O4" s="4" t="s">
        <v>485</v>
      </c>
      <c r="P4" s="58"/>
      <c r="Q4" s="58"/>
    </row>
    <row r="5" spans="1:17">
      <c r="A5" s="139">
        <v>2</v>
      </c>
      <c r="B5" s="59">
        <v>46099</v>
      </c>
      <c r="C5" s="58" t="str">
        <f t="shared" si="0"/>
        <v>Wednesday</v>
      </c>
      <c r="D5" s="58" t="s">
        <v>483</v>
      </c>
      <c r="E5" s="58" t="str">
        <f t="shared" si="1"/>
        <v>March</v>
      </c>
      <c r="F5" s="58">
        <v>2026</v>
      </c>
      <c r="G5" s="58">
        <v>2</v>
      </c>
      <c r="H5" s="58" t="s">
        <v>99</v>
      </c>
      <c r="I5" s="140" t="s">
        <v>108</v>
      </c>
      <c r="J5" s="58" t="s">
        <v>366</v>
      </c>
      <c r="K5" s="58" t="s">
        <v>10</v>
      </c>
      <c r="L5" s="142" t="s">
        <v>500</v>
      </c>
      <c r="M5" s="58"/>
      <c r="N5" s="58">
        <v>2</v>
      </c>
      <c r="O5" s="4" t="s">
        <v>485</v>
      </c>
      <c r="P5" s="58"/>
      <c r="Q5" s="58"/>
    </row>
    <row r="6" spans="1:17">
      <c r="A6" s="139">
        <v>3</v>
      </c>
      <c r="B6" s="59">
        <v>46104</v>
      </c>
      <c r="C6" s="58" t="str">
        <f t="shared" si="0"/>
        <v>Monday</v>
      </c>
      <c r="D6" s="58" t="s">
        <v>483</v>
      </c>
      <c r="E6" s="58" t="str">
        <f t="shared" si="1"/>
        <v>March</v>
      </c>
      <c r="F6" s="58">
        <v>2026</v>
      </c>
      <c r="G6" s="58">
        <v>2</v>
      </c>
      <c r="H6" s="58" t="s">
        <v>99</v>
      </c>
      <c r="I6" s="140" t="s">
        <v>108</v>
      </c>
      <c r="J6" s="58" t="s">
        <v>366</v>
      </c>
      <c r="K6" s="58" t="s">
        <v>10</v>
      </c>
      <c r="L6" s="142" t="s">
        <v>512</v>
      </c>
      <c r="M6" s="58"/>
      <c r="N6" s="58">
        <v>2</v>
      </c>
      <c r="O6" s="4" t="s">
        <v>63</v>
      </c>
      <c r="P6" s="58"/>
      <c r="Q6" s="58"/>
    </row>
    <row r="7" spans="1:17">
      <c r="A7" s="139">
        <v>4</v>
      </c>
      <c r="B7" s="59">
        <v>46106</v>
      </c>
      <c r="C7" s="58" t="str">
        <f t="shared" si="0"/>
        <v>Wednesday</v>
      </c>
      <c r="D7" s="58" t="s">
        <v>483</v>
      </c>
      <c r="E7" s="58" t="str">
        <f t="shared" si="1"/>
        <v>March</v>
      </c>
      <c r="F7" s="58">
        <v>2026</v>
      </c>
      <c r="G7" s="58">
        <v>2</v>
      </c>
      <c r="H7" s="58" t="s">
        <v>99</v>
      </c>
      <c r="I7" s="140" t="s">
        <v>108</v>
      </c>
      <c r="J7" s="58" t="s">
        <v>366</v>
      </c>
      <c r="K7" s="58" t="s">
        <v>10</v>
      </c>
      <c r="L7" s="142" t="s">
        <v>526</v>
      </c>
      <c r="M7" s="58"/>
      <c r="N7" s="58">
        <v>2</v>
      </c>
      <c r="O7" s="4" t="s">
        <v>63</v>
      </c>
      <c r="P7" s="58"/>
      <c r="Q7" s="58"/>
    </row>
    <row r="8" spans="1:17">
      <c r="A8" s="139"/>
      <c r="B8" s="59">
        <v>46108</v>
      </c>
      <c r="C8" s="58" t="str">
        <f t="shared" si="0"/>
        <v>Friday</v>
      </c>
      <c r="D8" s="58"/>
      <c r="E8" s="58" t="str">
        <f t="shared" si="1"/>
        <v>March</v>
      </c>
      <c r="F8" s="58">
        <v>2026</v>
      </c>
      <c r="G8" s="58"/>
      <c r="H8" s="58" t="s">
        <v>99</v>
      </c>
      <c r="I8" s="140" t="s">
        <v>108</v>
      </c>
      <c r="J8" s="58" t="s">
        <v>366</v>
      </c>
      <c r="K8" s="58" t="s">
        <v>10</v>
      </c>
      <c r="L8" s="144" t="s">
        <v>391</v>
      </c>
      <c r="M8" s="58"/>
      <c r="N8" s="58"/>
      <c r="O8" s="4"/>
      <c r="P8" s="58"/>
      <c r="Q8" s="58"/>
    </row>
    <row r="9" spans="1:17">
      <c r="A9" s="139">
        <v>5</v>
      </c>
      <c r="B9" s="59">
        <v>46111</v>
      </c>
      <c r="C9" s="58" t="str">
        <f t="shared" si="0"/>
        <v>Monday</v>
      </c>
      <c r="D9" s="58" t="s">
        <v>483</v>
      </c>
      <c r="E9" s="58" t="str">
        <f t="shared" si="1"/>
        <v>March</v>
      </c>
      <c r="F9" s="58">
        <v>2026</v>
      </c>
      <c r="G9" s="58">
        <v>2</v>
      </c>
      <c r="H9" s="58" t="s">
        <v>99</v>
      </c>
      <c r="I9" s="140" t="s">
        <v>108</v>
      </c>
      <c r="J9" s="58" t="s">
        <v>366</v>
      </c>
      <c r="K9" s="58" t="s">
        <v>10</v>
      </c>
      <c r="L9" s="142" t="s">
        <v>542</v>
      </c>
      <c r="M9" s="58"/>
      <c r="N9" s="58">
        <v>2</v>
      </c>
      <c r="O9" s="4" t="s">
        <v>63</v>
      </c>
      <c r="P9" s="58"/>
      <c r="Q9" s="58"/>
    </row>
    <row r="10" spans="1:17">
      <c r="A10" s="139">
        <v>6</v>
      </c>
      <c r="B10" s="59">
        <v>46113</v>
      </c>
      <c r="C10" s="58" t="str">
        <f t="shared" si="0"/>
        <v>Wednesday</v>
      </c>
      <c r="D10" s="58" t="s">
        <v>483</v>
      </c>
      <c r="E10" s="58" t="str">
        <f t="shared" si="1"/>
        <v>April</v>
      </c>
      <c r="F10" s="58">
        <v>2026</v>
      </c>
      <c r="G10" s="58">
        <v>2</v>
      </c>
      <c r="H10" s="58" t="s">
        <v>99</v>
      </c>
      <c r="I10" s="140" t="s">
        <v>108</v>
      </c>
      <c r="J10" s="58" t="s">
        <v>366</v>
      </c>
      <c r="K10" s="58" t="s">
        <v>10</v>
      </c>
      <c r="L10" s="142" t="s">
        <v>555</v>
      </c>
      <c r="M10" s="58"/>
      <c r="N10" s="58">
        <v>2</v>
      </c>
      <c r="O10" s="4" t="s">
        <v>63</v>
      </c>
      <c r="P10" s="58"/>
      <c r="Q10" s="58"/>
    </row>
    <row r="11" spans="1:17">
      <c r="A11" s="139">
        <v>7</v>
      </c>
      <c r="B11" s="59">
        <v>46118</v>
      </c>
      <c r="C11" s="58" t="str">
        <f t="shared" si="0"/>
        <v>Monday</v>
      </c>
      <c r="D11" s="58" t="s">
        <v>483</v>
      </c>
      <c r="E11" s="58" t="str">
        <f t="shared" si="1"/>
        <v>April</v>
      </c>
      <c r="F11" s="58">
        <v>2026</v>
      </c>
      <c r="G11" s="58">
        <v>2</v>
      </c>
      <c r="H11" s="58" t="s">
        <v>99</v>
      </c>
      <c r="I11" s="140" t="s">
        <v>108</v>
      </c>
      <c r="J11" s="58" t="s">
        <v>366</v>
      </c>
      <c r="K11" s="58" t="s">
        <v>10</v>
      </c>
      <c r="L11" s="142" t="s">
        <v>566</v>
      </c>
      <c r="M11" s="58"/>
      <c r="N11" s="58">
        <v>2</v>
      </c>
      <c r="O11" s="4" t="s">
        <v>63</v>
      </c>
      <c r="P11" s="58"/>
      <c r="Q11" s="58"/>
    </row>
    <row r="12" spans="1:17">
      <c r="A12" s="139">
        <v>8</v>
      </c>
      <c r="B12" s="59">
        <v>46120</v>
      </c>
      <c r="C12" s="58" t="str">
        <f t="shared" si="0"/>
        <v>Wednesday</v>
      </c>
      <c r="D12" s="58" t="s">
        <v>483</v>
      </c>
      <c r="E12" s="58" t="str">
        <f t="shared" si="1"/>
        <v>April</v>
      </c>
      <c r="F12" s="58">
        <v>2026</v>
      </c>
      <c r="G12" s="58">
        <v>2</v>
      </c>
      <c r="H12" s="58" t="s">
        <v>99</v>
      </c>
      <c r="I12" s="140" t="s">
        <v>108</v>
      </c>
      <c r="J12" s="58" t="s">
        <v>366</v>
      </c>
      <c r="K12" s="58" t="s">
        <v>10</v>
      </c>
      <c r="L12" s="142" t="s">
        <v>576</v>
      </c>
      <c r="M12" s="58"/>
      <c r="N12" s="58">
        <v>2</v>
      </c>
      <c r="O12" s="4" t="s">
        <v>63</v>
      </c>
      <c r="P12" s="58"/>
      <c r="Q12" s="58"/>
    </row>
    <row r="13" spans="1:17">
      <c r="A13" s="139" t="s">
        <v>1064</v>
      </c>
      <c r="B13" s="59">
        <v>46125</v>
      </c>
      <c r="C13" s="58" t="str">
        <f t="shared" si="0"/>
        <v>Monday</v>
      </c>
      <c r="D13" s="58"/>
      <c r="E13" s="58" t="str">
        <f t="shared" si="1"/>
        <v>April</v>
      </c>
      <c r="F13" s="58">
        <v>2026</v>
      </c>
      <c r="G13" s="58"/>
      <c r="H13" s="58" t="s">
        <v>99</v>
      </c>
      <c r="I13" s="140" t="s">
        <v>108</v>
      </c>
      <c r="J13" s="58" t="s">
        <v>366</v>
      </c>
      <c r="K13" s="58" t="s">
        <v>10</v>
      </c>
      <c r="L13" s="142" t="s">
        <v>594</v>
      </c>
      <c r="M13" s="58"/>
      <c r="N13" s="58"/>
      <c r="O13" s="4"/>
      <c r="P13" s="58"/>
      <c r="Q13" s="58"/>
    </row>
    <row r="14" spans="1:17">
      <c r="A14" s="139">
        <v>9</v>
      </c>
      <c r="B14" s="59">
        <v>46126</v>
      </c>
      <c r="C14" s="58" t="str">
        <f t="shared" si="0"/>
        <v>Tuesday</v>
      </c>
      <c r="D14" s="58" t="s">
        <v>483</v>
      </c>
      <c r="E14" s="58" t="str">
        <f t="shared" si="1"/>
        <v>April</v>
      </c>
      <c r="F14" s="58">
        <v>2026</v>
      </c>
      <c r="G14" s="58">
        <v>2</v>
      </c>
      <c r="H14" s="58" t="s">
        <v>99</v>
      </c>
      <c r="I14" s="140" t="s">
        <v>108</v>
      </c>
      <c r="J14" s="58" t="s">
        <v>366</v>
      </c>
      <c r="K14" s="58" t="s">
        <v>10</v>
      </c>
      <c r="L14" s="142" t="s">
        <v>596</v>
      </c>
      <c r="M14" s="58"/>
      <c r="N14" s="58">
        <v>2</v>
      </c>
      <c r="O14" s="4" t="s">
        <v>63</v>
      </c>
      <c r="P14" s="58"/>
      <c r="Q14" s="58"/>
    </row>
    <row r="15" spans="1:17">
      <c r="A15" s="139">
        <v>10</v>
      </c>
      <c r="B15" s="59">
        <v>46127</v>
      </c>
      <c r="C15" s="58" t="str">
        <f t="shared" ref="C15:C18" si="2">TEXT(B15,"dddd")</f>
        <v>Wednesday</v>
      </c>
      <c r="D15" s="58" t="s">
        <v>483</v>
      </c>
      <c r="E15" s="58" t="str">
        <f t="shared" si="1"/>
        <v>April</v>
      </c>
      <c r="F15" s="58">
        <v>2026</v>
      </c>
      <c r="G15" s="58">
        <v>2</v>
      </c>
      <c r="H15" s="58" t="s">
        <v>99</v>
      </c>
      <c r="I15" s="140" t="s">
        <v>108</v>
      </c>
      <c r="J15" s="58" t="s">
        <v>366</v>
      </c>
      <c r="K15" s="58" t="s">
        <v>10</v>
      </c>
      <c r="L15" s="142" t="s">
        <v>598</v>
      </c>
      <c r="M15" s="58"/>
      <c r="N15" s="58">
        <v>2</v>
      </c>
      <c r="O15" s="4" t="s">
        <v>63</v>
      </c>
      <c r="P15" s="58"/>
      <c r="Q15" s="58"/>
    </row>
    <row r="16" spans="1:17">
      <c r="A16" s="139"/>
      <c r="B16" s="59">
        <v>46129</v>
      </c>
      <c r="C16" s="58" t="str">
        <f t="shared" si="2"/>
        <v>Friday</v>
      </c>
      <c r="D16" s="58"/>
      <c r="E16" s="58" t="str">
        <f t="shared" si="1"/>
        <v>April</v>
      </c>
      <c r="F16" s="58">
        <v>2026</v>
      </c>
      <c r="G16" s="58"/>
      <c r="H16" s="58" t="s">
        <v>99</v>
      </c>
      <c r="I16" s="140" t="s">
        <v>108</v>
      </c>
      <c r="J16" s="58" t="s">
        <v>366</v>
      </c>
      <c r="K16" s="58" t="s">
        <v>10</v>
      </c>
      <c r="L16" s="144" t="s">
        <v>391</v>
      </c>
      <c r="M16" s="58"/>
      <c r="N16" s="58"/>
      <c r="O16" s="4"/>
      <c r="P16" s="58"/>
      <c r="Q16" s="58"/>
    </row>
    <row r="17" spans="1:17">
      <c r="A17" s="139"/>
      <c r="B17" s="59">
        <v>46132</v>
      </c>
      <c r="C17" s="58" t="str">
        <f t="shared" si="2"/>
        <v>Monday</v>
      </c>
      <c r="D17" s="58" t="s">
        <v>483</v>
      </c>
      <c r="E17" s="58" t="str">
        <f t="shared" si="1"/>
        <v>April</v>
      </c>
      <c r="F17" s="58">
        <v>2026</v>
      </c>
      <c r="G17" s="58">
        <v>2</v>
      </c>
      <c r="H17" s="58" t="s">
        <v>99</v>
      </c>
      <c r="I17" s="140" t="s">
        <v>108</v>
      </c>
      <c r="J17" s="58" t="s">
        <v>366</v>
      </c>
      <c r="K17" s="58" t="s">
        <v>10</v>
      </c>
      <c r="L17" s="144" t="s">
        <v>391</v>
      </c>
      <c r="M17" s="58"/>
      <c r="N17" s="58">
        <v>2</v>
      </c>
      <c r="O17" s="4" t="s">
        <v>63</v>
      </c>
      <c r="P17" s="58"/>
      <c r="Q17" s="58"/>
    </row>
    <row r="18" spans="1:17">
      <c r="A18" s="139"/>
      <c r="B18" s="59">
        <v>46134</v>
      </c>
      <c r="C18" s="58" t="str">
        <f t="shared" si="2"/>
        <v>Wednesday</v>
      </c>
      <c r="D18" s="58" t="s">
        <v>483</v>
      </c>
      <c r="E18" s="58" t="str">
        <f t="shared" si="1"/>
        <v>April</v>
      </c>
      <c r="F18" s="58">
        <v>2026</v>
      </c>
      <c r="G18" s="58">
        <v>2</v>
      </c>
      <c r="H18" s="58" t="s">
        <v>99</v>
      </c>
      <c r="I18" s="140" t="s">
        <v>108</v>
      </c>
      <c r="J18" s="58" t="s">
        <v>366</v>
      </c>
      <c r="K18" s="58" t="s">
        <v>10</v>
      </c>
      <c r="L18" s="144" t="s">
        <v>391</v>
      </c>
      <c r="M18" s="58"/>
      <c r="N18" s="58">
        <v>2</v>
      </c>
      <c r="O18" s="4" t="s">
        <v>63</v>
      </c>
      <c r="P18" s="58"/>
      <c r="Q18" s="58"/>
    </row>
    <row r="19" spans="1:17" ht="30.75">
      <c r="A19" s="139"/>
      <c r="B19" s="59">
        <v>46140</v>
      </c>
      <c r="C19" s="58" t="str">
        <f>TEXT(B19,"dddd")</f>
        <v>Tuesday</v>
      </c>
      <c r="D19" s="190"/>
      <c r="E19" s="58" t="str">
        <f>TEXT(B19,"mmmm")</f>
        <v>April</v>
      </c>
      <c r="F19" s="58">
        <v>2026</v>
      </c>
      <c r="G19" s="191"/>
      <c r="H19" s="58" t="s">
        <v>99</v>
      </c>
      <c r="I19" s="140" t="s">
        <v>108</v>
      </c>
      <c r="J19" s="58" t="s">
        <v>366</v>
      </c>
      <c r="K19" s="58" t="s">
        <v>10</v>
      </c>
      <c r="L19" s="194" t="s">
        <v>649</v>
      </c>
      <c r="M19" s="58"/>
      <c r="N19" s="191"/>
      <c r="O19" s="4"/>
      <c r="P19" s="58"/>
      <c r="Q19" s="58"/>
    </row>
    <row r="20" spans="1:17">
      <c r="A20" s="139"/>
      <c r="B20" s="59">
        <v>46149</v>
      </c>
      <c r="C20" s="58" t="str">
        <f t="shared" ref="C20:C23" si="3">TEXT(B20,"dddd")</f>
        <v>Thursday</v>
      </c>
      <c r="D20" s="195" t="s">
        <v>677</v>
      </c>
      <c r="E20" s="58" t="str">
        <f t="shared" ref="E20:E23" si="4">TEXT(B20,"mmmm")</f>
        <v>May</v>
      </c>
      <c r="F20" s="58">
        <v>2026</v>
      </c>
      <c r="G20" s="191">
        <v>4</v>
      </c>
      <c r="H20" s="58" t="s">
        <v>99</v>
      </c>
      <c r="I20" s="140" t="s">
        <v>108</v>
      </c>
      <c r="J20" s="58" t="s">
        <v>366</v>
      </c>
      <c r="K20" s="58" t="s">
        <v>10</v>
      </c>
      <c r="L20" s="192" t="s">
        <v>666</v>
      </c>
      <c r="M20" s="58"/>
      <c r="N20" s="191">
        <v>4</v>
      </c>
      <c r="O20" s="4" t="s">
        <v>63</v>
      </c>
      <c r="P20" s="58"/>
      <c r="Q20" s="58"/>
    </row>
    <row r="21" spans="1:17">
      <c r="A21" s="139"/>
      <c r="B21" s="59">
        <v>46157</v>
      </c>
      <c r="C21" s="58" t="str">
        <f t="shared" si="3"/>
        <v>Friday</v>
      </c>
      <c r="D21" s="195" t="s">
        <v>677</v>
      </c>
      <c r="E21" s="58" t="str">
        <f t="shared" si="4"/>
        <v>May</v>
      </c>
      <c r="F21" s="58">
        <v>2026</v>
      </c>
      <c r="G21" s="191">
        <v>4</v>
      </c>
      <c r="H21" s="58" t="s">
        <v>99</v>
      </c>
      <c r="I21" s="140" t="s">
        <v>108</v>
      </c>
      <c r="J21" s="58" t="s">
        <v>366</v>
      </c>
      <c r="K21" s="58" t="s">
        <v>10</v>
      </c>
      <c r="L21" s="192" t="s">
        <v>695</v>
      </c>
      <c r="M21" s="58"/>
      <c r="N21" s="191">
        <v>4</v>
      </c>
      <c r="O21" s="4" t="s">
        <v>63</v>
      </c>
      <c r="P21" s="58"/>
      <c r="Q21" s="58"/>
    </row>
    <row r="22" spans="1:17">
      <c r="A22" s="139"/>
      <c r="B22" s="59">
        <v>46164</v>
      </c>
      <c r="C22" s="58" t="str">
        <f t="shared" si="3"/>
        <v>Friday</v>
      </c>
      <c r="D22" s="195" t="s">
        <v>677</v>
      </c>
      <c r="E22" s="58" t="str">
        <f t="shared" si="4"/>
        <v>May</v>
      </c>
      <c r="F22" s="58">
        <v>2026</v>
      </c>
      <c r="G22" s="191">
        <v>4</v>
      </c>
      <c r="H22" s="58" t="s">
        <v>99</v>
      </c>
      <c r="I22" s="140" t="s">
        <v>108</v>
      </c>
      <c r="J22" s="58" t="s">
        <v>366</v>
      </c>
      <c r="K22" s="58" t="s">
        <v>10</v>
      </c>
      <c r="L22" s="192" t="s">
        <v>725</v>
      </c>
      <c r="M22" s="58"/>
      <c r="N22" s="191">
        <v>4</v>
      </c>
      <c r="O22" s="4" t="s">
        <v>63</v>
      </c>
      <c r="P22" s="58"/>
      <c r="Q22" s="58"/>
    </row>
    <row r="23" spans="1:17">
      <c r="A23" s="145"/>
      <c r="B23" s="59">
        <v>46178</v>
      </c>
      <c r="C23" s="100" t="str">
        <f t="shared" si="3"/>
        <v>Friday</v>
      </c>
      <c r="D23" s="195" t="s">
        <v>677</v>
      </c>
      <c r="E23" s="100" t="str">
        <f t="shared" si="4"/>
        <v>June</v>
      </c>
      <c r="F23" s="100">
        <v>2026</v>
      </c>
      <c r="G23" s="178">
        <v>4</v>
      </c>
      <c r="H23" s="100" t="s">
        <v>99</v>
      </c>
      <c r="I23" s="146" t="s">
        <v>108</v>
      </c>
      <c r="J23" s="100" t="s">
        <v>366</v>
      </c>
      <c r="K23" s="58" t="s">
        <v>10</v>
      </c>
      <c r="L23" s="193" t="s">
        <v>765</v>
      </c>
      <c r="M23" s="100"/>
      <c r="N23" s="178">
        <v>4</v>
      </c>
      <c r="O23" s="4" t="s">
        <v>63</v>
      </c>
      <c r="P23" s="100"/>
      <c r="Q23" s="100"/>
    </row>
    <row r="24" spans="1:17">
      <c r="A24" s="139"/>
      <c r="B24" s="59">
        <v>46188</v>
      </c>
      <c r="C24" s="58" t="str">
        <f>TEXT(B24,"dddd")</f>
        <v>Monday</v>
      </c>
      <c r="D24" s="190"/>
      <c r="E24" s="58" t="str">
        <f>TEXT(B24,"mmmm")</f>
        <v>June</v>
      </c>
      <c r="F24" s="58">
        <v>2026</v>
      </c>
      <c r="G24" s="191"/>
      <c r="H24" s="58" t="s">
        <v>99</v>
      </c>
      <c r="I24" s="140" t="s">
        <v>108</v>
      </c>
      <c r="J24" s="58" t="s">
        <v>366</v>
      </c>
      <c r="K24" s="58" t="s">
        <v>10</v>
      </c>
      <c r="L24" s="194" t="s">
        <v>800</v>
      </c>
      <c r="M24" s="58"/>
      <c r="N24" s="191"/>
      <c r="O24" s="4"/>
      <c r="P24" s="58"/>
      <c r="Q24" s="58"/>
    </row>
    <row r="25" spans="1:17">
      <c r="A25" s="139"/>
      <c r="B25" s="59">
        <v>46191</v>
      </c>
      <c r="C25" s="58" t="str">
        <f t="shared" ref="C25:C33" si="5">TEXT(B25,"dddd")</f>
        <v>Thursday</v>
      </c>
      <c r="D25" s="195" t="s">
        <v>483</v>
      </c>
      <c r="E25" s="58" t="str">
        <f t="shared" ref="E25:E33" si="6">TEXT(B25,"mmmm")</f>
        <v>June</v>
      </c>
      <c r="F25" s="58">
        <v>2026</v>
      </c>
      <c r="G25" s="191">
        <v>2</v>
      </c>
      <c r="H25" s="58" t="s">
        <v>99</v>
      </c>
      <c r="I25" s="140" t="s">
        <v>108</v>
      </c>
      <c r="J25" s="58" t="s">
        <v>366</v>
      </c>
      <c r="K25" s="58" t="s">
        <v>10</v>
      </c>
      <c r="L25" s="192" t="s">
        <v>813</v>
      </c>
      <c r="M25" s="58"/>
      <c r="N25" s="191">
        <v>2</v>
      </c>
      <c r="O25" s="4" t="s">
        <v>63</v>
      </c>
      <c r="P25" s="58"/>
      <c r="Q25" s="58"/>
    </row>
    <row r="26" spans="1:17">
      <c r="A26" s="139"/>
      <c r="B26" s="59">
        <v>46196</v>
      </c>
      <c r="C26" s="58" t="str">
        <f t="shared" si="5"/>
        <v>Tuesday</v>
      </c>
      <c r="D26" s="195" t="s">
        <v>483</v>
      </c>
      <c r="E26" s="58" t="str">
        <f t="shared" si="6"/>
        <v>June</v>
      </c>
      <c r="F26" s="58">
        <v>2026</v>
      </c>
      <c r="G26" s="191">
        <v>2</v>
      </c>
      <c r="H26" s="58" t="s">
        <v>99</v>
      </c>
      <c r="I26" s="140" t="s">
        <v>108</v>
      </c>
      <c r="J26" s="58" t="s">
        <v>366</v>
      </c>
      <c r="K26" s="58" t="s">
        <v>10</v>
      </c>
      <c r="L26" s="192" t="s">
        <v>820</v>
      </c>
      <c r="M26" s="58"/>
      <c r="N26" s="191">
        <v>2</v>
      </c>
      <c r="O26" s="4" t="s">
        <v>63</v>
      </c>
      <c r="P26" s="58"/>
      <c r="Q26" s="58"/>
    </row>
    <row r="27" spans="1:17">
      <c r="A27" s="139"/>
      <c r="B27" s="59">
        <v>46198</v>
      </c>
      <c r="C27" s="58" t="str">
        <f t="shared" si="5"/>
        <v>Thursday</v>
      </c>
      <c r="D27" s="195" t="s">
        <v>483</v>
      </c>
      <c r="E27" s="58" t="str">
        <f t="shared" si="6"/>
        <v>June</v>
      </c>
      <c r="F27" s="58">
        <v>2026</v>
      </c>
      <c r="G27" s="191">
        <v>2</v>
      </c>
      <c r="H27" s="58" t="s">
        <v>99</v>
      </c>
      <c r="I27" s="140" t="s">
        <v>108</v>
      </c>
      <c r="J27" s="58" t="s">
        <v>366</v>
      </c>
      <c r="K27" s="58" t="s">
        <v>10</v>
      </c>
      <c r="L27" s="192" t="s">
        <v>826</v>
      </c>
      <c r="M27" s="58"/>
      <c r="N27" s="191">
        <v>2</v>
      </c>
      <c r="O27" s="4" t="s">
        <v>63</v>
      </c>
      <c r="P27" s="58"/>
      <c r="Q27" s="58"/>
    </row>
    <row r="28" spans="1:17">
      <c r="A28" s="139"/>
      <c r="B28" s="59">
        <v>46203</v>
      </c>
      <c r="C28" s="58" t="str">
        <f t="shared" si="5"/>
        <v>Tuesday</v>
      </c>
      <c r="D28" s="195" t="s">
        <v>843</v>
      </c>
      <c r="E28" s="58" t="str">
        <f t="shared" si="6"/>
        <v>June</v>
      </c>
      <c r="F28" s="58">
        <v>2026</v>
      </c>
      <c r="G28" s="191">
        <v>3</v>
      </c>
      <c r="H28" s="58" t="s">
        <v>99</v>
      </c>
      <c r="I28" s="140" t="s">
        <v>108</v>
      </c>
      <c r="J28" s="58" t="s">
        <v>366</v>
      </c>
      <c r="K28" s="58" t="s">
        <v>10</v>
      </c>
      <c r="L28" s="192" t="s">
        <v>842</v>
      </c>
      <c r="M28" s="58"/>
      <c r="N28" s="191">
        <v>3</v>
      </c>
      <c r="O28" s="4" t="s">
        <v>63</v>
      </c>
      <c r="P28" s="58"/>
      <c r="Q28" s="58"/>
    </row>
    <row r="29" spans="1:17">
      <c r="A29" s="139"/>
      <c r="B29" s="59">
        <v>46210</v>
      </c>
      <c r="C29" s="58" t="str">
        <f t="shared" si="5"/>
        <v>Tuesday</v>
      </c>
      <c r="D29" s="195" t="s">
        <v>843</v>
      </c>
      <c r="E29" s="58" t="str">
        <f t="shared" si="6"/>
        <v>July</v>
      </c>
      <c r="F29" s="58">
        <v>2026</v>
      </c>
      <c r="G29" s="191">
        <v>3</v>
      </c>
      <c r="H29" s="58" t="s">
        <v>99</v>
      </c>
      <c r="I29" s="140" t="s">
        <v>108</v>
      </c>
      <c r="J29" s="58" t="s">
        <v>366</v>
      </c>
      <c r="K29" s="58" t="s">
        <v>10</v>
      </c>
      <c r="L29" s="192" t="s">
        <v>855</v>
      </c>
      <c r="M29" s="58"/>
      <c r="N29" s="191">
        <v>3</v>
      </c>
      <c r="O29" s="4" t="s">
        <v>63</v>
      </c>
      <c r="P29" s="58"/>
      <c r="Q29" s="58"/>
    </row>
    <row r="30" spans="1:17">
      <c r="A30" s="139"/>
      <c r="B30" s="59">
        <v>46217</v>
      </c>
      <c r="C30" s="58" t="str">
        <f t="shared" si="5"/>
        <v>Tuesday</v>
      </c>
      <c r="D30" s="195" t="s">
        <v>843</v>
      </c>
      <c r="E30" s="58" t="str">
        <f t="shared" si="6"/>
        <v>July</v>
      </c>
      <c r="F30" s="58">
        <v>2026</v>
      </c>
      <c r="G30" s="191">
        <v>3</v>
      </c>
      <c r="H30" s="58" t="s">
        <v>99</v>
      </c>
      <c r="I30" s="140" t="s">
        <v>108</v>
      </c>
      <c r="J30" s="58" t="s">
        <v>366</v>
      </c>
      <c r="K30" s="58" t="s">
        <v>10</v>
      </c>
      <c r="L30" s="192" t="s">
        <v>870</v>
      </c>
      <c r="M30" s="58"/>
      <c r="N30" s="191">
        <v>3</v>
      </c>
      <c r="O30" s="4" t="s">
        <v>63</v>
      </c>
      <c r="P30" s="58"/>
      <c r="Q30" s="58"/>
    </row>
    <row r="31" spans="1:17">
      <c r="A31" s="139"/>
      <c r="B31" s="59">
        <v>46224</v>
      </c>
      <c r="C31" s="58" t="str">
        <f t="shared" si="5"/>
        <v>Tuesday</v>
      </c>
      <c r="D31" s="195" t="s">
        <v>843</v>
      </c>
      <c r="E31" s="58" t="str">
        <f t="shared" si="6"/>
        <v>July</v>
      </c>
      <c r="F31" s="58">
        <v>2026</v>
      </c>
      <c r="G31" s="191">
        <v>3</v>
      </c>
      <c r="H31" s="58" t="s">
        <v>99</v>
      </c>
      <c r="I31" s="140" t="s">
        <v>108</v>
      </c>
      <c r="J31" s="58" t="s">
        <v>366</v>
      </c>
      <c r="K31" s="58" t="s">
        <v>10</v>
      </c>
      <c r="L31" s="153" t="s">
        <v>887</v>
      </c>
      <c r="M31" s="58"/>
      <c r="N31" s="191">
        <v>3</v>
      </c>
      <c r="O31" s="4" t="s">
        <v>63</v>
      </c>
      <c r="P31" s="58"/>
      <c r="Q31" s="58"/>
    </row>
    <row r="32" spans="1:17">
      <c r="A32" s="139"/>
      <c r="B32" s="59">
        <v>46231</v>
      </c>
      <c r="C32" s="58" t="str">
        <f t="shared" si="5"/>
        <v>Tuesday</v>
      </c>
      <c r="D32" s="195" t="s">
        <v>843</v>
      </c>
      <c r="E32" s="58" t="str">
        <f t="shared" si="6"/>
        <v>July</v>
      </c>
      <c r="F32" s="58">
        <v>2026</v>
      </c>
      <c r="G32" s="191">
        <v>3</v>
      </c>
      <c r="H32" s="58" t="s">
        <v>99</v>
      </c>
      <c r="I32" s="140" t="s">
        <v>108</v>
      </c>
      <c r="J32" s="58" t="s">
        <v>366</v>
      </c>
      <c r="K32" s="58" t="s">
        <v>10</v>
      </c>
      <c r="L32" s="153" t="s">
        <v>887</v>
      </c>
      <c r="M32" s="58"/>
      <c r="N32" s="191">
        <v>3</v>
      </c>
      <c r="O32" s="4" t="s">
        <v>63</v>
      </c>
      <c r="P32" s="58"/>
      <c r="Q32" s="58"/>
    </row>
    <row r="33" spans="1:17">
      <c r="A33" s="145"/>
      <c r="B33" s="59">
        <v>46238</v>
      </c>
      <c r="C33" s="100" t="str">
        <f t="shared" si="5"/>
        <v>Tuesday</v>
      </c>
      <c r="D33" s="242"/>
      <c r="E33" s="100" t="str">
        <f t="shared" si="6"/>
        <v>August</v>
      </c>
      <c r="F33" s="100">
        <v>2026</v>
      </c>
      <c r="G33" s="178"/>
      <c r="H33" s="100" t="s">
        <v>99</v>
      </c>
      <c r="I33" s="146" t="s">
        <v>108</v>
      </c>
      <c r="J33" s="100" t="s">
        <v>366</v>
      </c>
      <c r="K33" s="58" t="s">
        <v>10</v>
      </c>
      <c r="L33" s="194" t="s">
        <v>912</v>
      </c>
      <c r="M33" s="100"/>
      <c r="N33" s="178"/>
      <c r="O33" s="5"/>
      <c r="P33" s="100"/>
      <c r="Q33" s="100"/>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9C18E-F6B3-47CD-9499-CC1AE5C79ED8}">
  <dimension ref="A1:Q32"/>
  <sheetViews>
    <sheetView topLeftCell="I5" workbookViewId="0">
      <selection activeCell="O24" sqref="O24:O31"/>
    </sheetView>
  </sheetViews>
  <sheetFormatPr defaultRowHeight="15"/>
  <cols>
    <col min="2" max="2" width="18.140625" customWidth="1"/>
    <col min="3" max="3" width="15.85546875" customWidth="1"/>
    <col min="4" max="4" width="30.5703125" customWidth="1"/>
    <col min="5" max="5" width="10.42578125" customWidth="1"/>
    <col min="7" max="7" width="18.42578125" bestFit="1" customWidth="1"/>
    <col min="8" max="8" width="9.42578125" bestFit="1" customWidth="1"/>
    <col min="9" max="9" width="33.7109375" customWidth="1"/>
    <col min="10" max="10" width="28.28515625" customWidth="1"/>
    <col min="11" max="11" width="9.42578125" bestFit="1" customWidth="1"/>
    <col min="12" max="12" width="69.28515625" customWidth="1"/>
    <col min="13" max="13" width="19.85546875" customWidth="1"/>
    <col min="14" max="14" width="28" customWidth="1"/>
    <col min="15" max="15" width="17.5703125" customWidth="1"/>
    <col min="16" max="17" width="13" bestFit="1"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ht="20.25" customHeight="1">
      <c r="A2" s="139"/>
      <c r="B2" s="59">
        <v>46086</v>
      </c>
      <c r="C2" s="58" t="str">
        <f>TEXT(B2,"dddd")</f>
        <v>Thursday</v>
      </c>
      <c r="D2" s="58" t="s">
        <v>433</v>
      </c>
      <c r="E2" s="58" t="str">
        <f t="shared" ref="E2:E12" si="0">TEXT(B2,"mmmm")</f>
        <v>March</v>
      </c>
      <c r="F2" s="58">
        <v>2026</v>
      </c>
      <c r="G2" s="58">
        <v>1</v>
      </c>
      <c r="H2" s="58" t="s">
        <v>99</v>
      </c>
      <c r="I2" s="140" t="s">
        <v>108</v>
      </c>
      <c r="J2" s="58" t="s">
        <v>366</v>
      </c>
      <c r="K2" s="58" t="s">
        <v>104</v>
      </c>
      <c r="L2" s="141" t="s">
        <v>434</v>
      </c>
      <c r="M2" s="58"/>
      <c r="N2" s="58">
        <v>1</v>
      </c>
      <c r="O2" s="4"/>
      <c r="P2" s="58"/>
      <c r="Q2" s="58"/>
    </row>
    <row r="3" spans="1:17">
      <c r="A3" s="139"/>
      <c r="B3" s="59">
        <v>46090</v>
      </c>
      <c r="C3" s="58" t="str">
        <f t="shared" ref="C3:C12" si="1">TEXT(B3,"dddd")</f>
        <v>Monday</v>
      </c>
      <c r="D3" s="58" t="s">
        <v>447</v>
      </c>
      <c r="E3" s="58" t="str">
        <f t="shared" si="0"/>
        <v>March</v>
      </c>
      <c r="F3" s="58">
        <v>2026</v>
      </c>
      <c r="G3" s="58">
        <v>0.5</v>
      </c>
      <c r="H3" s="58" t="s">
        <v>99</v>
      </c>
      <c r="I3" s="140" t="s">
        <v>108</v>
      </c>
      <c r="J3" s="58" t="s">
        <v>366</v>
      </c>
      <c r="K3" s="58" t="s">
        <v>104</v>
      </c>
      <c r="L3" s="141" t="s">
        <v>445</v>
      </c>
      <c r="M3" s="58"/>
      <c r="N3" s="58">
        <v>0.5</v>
      </c>
      <c r="O3" s="4"/>
      <c r="P3" s="58"/>
      <c r="Q3" s="58"/>
    </row>
    <row r="4" spans="1:17">
      <c r="A4" s="139">
        <v>1</v>
      </c>
      <c r="B4" s="59">
        <v>46098</v>
      </c>
      <c r="C4" s="58" t="str">
        <f t="shared" si="1"/>
        <v>Tuesday</v>
      </c>
      <c r="D4" s="58" t="s">
        <v>491</v>
      </c>
      <c r="E4" s="58" t="str">
        <f t="shared" si="0"/>
        <v>March</v>
      </c>
      <c r="F4" s="58">
        <v>2026</v>
      </c>
      <c r="G4" s="58">
        <v>2</v>
      </c>
      <c r="H4" s="58" t="s">
        <v>99</v>
      </c>
      <c r="I4" s="140" t="s">
        <v>108</v>
      </c>
      <c r="J4" s="58" t="s">
        <v>366</v>
      </c>
      <c r="K4" s="58" t="s">
        <v>104</v>
      </c>
      <c r="L4" s="142" t="s">
        <v>484</v>
      </c>
      <c r="M4" s="58"/>
      <c r="N4" s="58">
        <v>2</v>
      </c>
      <c r="O4" s="4" t="s">
        <v>63</v>
      </c>
      <c r="P4" s="58"/>
      <c r="Q4" s="58"/>
    </row>
    <row r="5" spans="1:17">
      <c r="A5" s="139">
        <v>2</v>
      </c>
      <c r="B5" s="59">
        <v>46101</v>
      </c>
      <c r="C5" s="58" t="str">
        <f t="shared" si="1"/>
        <v>Friday</v>
      </c>
      <c r="D5" s="58" t="s">
        <v>491</v>
      </c>
      <c r="E5" s="58" t="str">
        <f t="shared" si="0"/>
        <v>March</v>
      </c>
      <c r="F5" s="58">
        <v>2026</v>
      </c>
      <c r="G5" s="58">
        <v>2</v>
      </c>
      <c r="H5" s="58" t="s">
        <v>99</v>
      </c>
      <c r="I5" s="140" t="s">
        <v>108</v>
      </c>
      <c r="J5" s="58" t="s">
        <v>366</v>
      </c>
      <c r="K5" s="58" t="s">
        <v>104</v>
      </c>
      <c r="L5" s="142" t="s">
        <v>500</v>
      </c>
      <c r="M5" s="58"/>
      <c r="N5" s="58">
        <v>2</v>
      </c>
      <c r="O5" s="4" t="s">
        <v>63</v>
      </c>
      <c r="P5" s="58"/>
      <c r="Q5" s="58"/>
    </row>
    <row r="6" spans="1:17">
      <c r="A6" s="139">
        <v>3</v>
      </c>
      <c r="B6" s="59">
        <v>46105</v>
      </c>
      <c r="C6" s="58" t="str">
        <f t="shared" si="1"/>
        <v>Tuesday</v>
      </c>
      <c r="D6" s="58"/>
      <c r="E6" s="58" t="str">
        <f t="shared" si="0"/>
        <v>March</v>
      </c>
      <c r="F6" s="58">
        <v>2026</v>
      </c>
      <c r="G6" s="58"/>
      <c r="H6" s="58" t="s">
        <v>99</v>
      </c>
      <c r="I6" s="140" t="s">
        <v>108</v>
      </c>
      <c r="J6" s="58" t="s">
        <v>366</v>
      </c>
      <c r="K6" s="58" t="s">
        <v>104</v>
      </c>
      <c r="L6" s="142" t="s">
        <v>512</v>
      </c>
      <c r="M6" s="58"/>
      <c r="N6" s="58"/>
      <c r="O6" s="4"/>
      <c r="P6" s="58"/>
      <c r="Q6" s="58"/>
    </row>
    <row r="7" spans="1:17">
      <c r="A7" s="139">
        <v>4</v>
      </c>
      <c r="B7" s="59">
        <v>46106</v>
      </c>
      <c r="C7" s="58" t="str">
        <f t="shared" si="1"/>
        <v>Wednesday</v>
      </c>
      <c r="D7" s="58"/>
      <c r="E7" s="58" t="str">
        <f t="shared" si="0"/>
        <v>March</v>
      </c>
      <c r="F7" s="58">
        <v>2026</v>
      </c>
      <c r="G7" s="58"/>
      <c r="H7" s="58" t="s">
        <v>99</v>
      </c>
      <c r="I7" s="140" t="s">
        <v>108</v>
      </c>
      <c r="J7" s="58" t="s">
        <v>366</v>
      </c>
      <c r="K7" s="58" t="s">
        <v>104</v>
      </c>
      <c r="L7" s="142" t="s">
        <v>526</v>
      </c>
      <c r="M7" s="58"/>
      <c r="N7" s="58"/>
      <c r="O7" s="4"/>
      <c r="P7" s="58"/>
      <c r="Q7" s="58"/>
    </row>
    <row r="8" spans="1:17">
      <c r="A8" s="139">
        <v>5</v>
      </c>
      <c r="B8" s="59">
        <v>46112</v>
      </c>
      <c r="C8" s="58" t="str">
        <f t="shared" si="1"/>
        <v>Tuesday</v>
      </c>
      <c r="D8" s="58" t="s">
        <v>491</v>
      </c>
      <c r="E8" s="58" t="str">
        <f t="shared" si="0"/>
        <v>March</v>
      </c>
      <c r="F8" s="58">
        <v>2026</v>
      </c>
      <c r="G8" s="58">
        <v>2</v>
      </c>
      <c r="H8" s="58" t="s">
        <v>99</v>
      </c>
      <c r="I8" s="140" t="s">
        <v>108</v>
      </c>
      <c r="J8" s="58" t="s">
        <v>366</v>
      </c>
      <c r="K8" s="58" t="s">
        <v>104</v>
      </c>
      <c r="L8" s="142" t="s">
        <v>542</v>
      </c>
      <c r="M8" s="58"/>
      <c r="N8" s="58">
        <v>2</v>
      </c>
      <c r="O8" s="4" t="s">
        <v>109</v>
      </c>
      <c r="P8" s="58"/>
      <c r="Q8" s="58"/>
    </row>
    <row r="9" spans="1:17">
      <c r="A9" s="139">
        <v>6</v>
      </c>
      <c r="B9" s="59">
        <v>46114</v>
      </c>
      <c r="C9" s="58" t="str">
        <f t="shared" si="1"/>
        <v>Thursday</v>
      </c>
      <c r="D9" s="58" t="s">
        <v>491</v>
      </c>
      <c r="E9" s="58" t="str">
        <f t="shared" si="0"/>
        <v>April</v>
      </c>
      <c r="F9" s="58">
        <v>2026</v>
      </c>
      <c r="G9" s="58">
        <v>2</v>
      </c>
      <c r="H9" s="58" t="s">
        <v>99</v>
      </c>
      <c r="I9" s="140" t="s">
        <v>108</v>
      </c>
      <c r="J9" s="58" t="s">
        <v>366</v>
      </c>
      <c r="K9" s="58" t="s">
        <v>104</v>
      </c>
      <c r="L9" s="142" t="s">
        <v>555</v>
      </c>
      <c r="M9" s="58"/>
      <c r="N9" s="58">
        <v>2</v>
      </c>
      <c r="O9" s="4" t="s">
        <v>109</v>
      </c>
      <c r="P9" s="58"/>
      <c r="Q9" s="58"/>
    </row>
    <row r="10" spans="1:17">
      <c r="A10" s="139"/>
      <c r="B10" s="59">
        <v>46115</v>
      </c>
      <c r="C10" s="58" t="str">
        <f t="shared" si="1"/>
        <v>Friday</v>
      </c>
      <c r="D10" s="58"/>
      <c r="E10" s="58" t="str">
        <f t="shared" si="0"/>
        <v>April</v>
      </c>
      <c r="F10" s="58">
        <v>2026</v>
      </c>
      <c r="G10" s="58"/>
      <c r="H10" s="58" t="s">
        <v>99</v>
      </c>
      <c r="I10" s="140" t="s">
        <v>108</v>
      </c>
      <c r="J10" s="58" t="s">
        <v>366</v>
      </c>
      <c r="K10" s="58" t="s">
        <v>104</v>
      </c>
      <c r="L10" s="144" t="s">
        <v>391</v>
      </c>
      <c r="M10" s="58"/>
      <c r="N10" s="58"/>
      <c r="O10" s="4"/>
      <c r="P10" s="58"/>
      <c r="Q10" s="58"/>
    </row>
    <row r="11" spans="1:17">
      <c r="A11" s="139">
        <v>7</v>
      </c>
      <c r="B11" s="59">
        <v>46119</v>
      </c>
      <c r="C11" s="58" t="str">
        <f t="shared" si="1"/>
        <v>Tuesday</v>
      </c>
      <c r="D11" s="58" t="s">
        <v>491</v>
      </c>
      <c r="E11" s="58" t="str">
        <f t="shared" si="0"/>
        <v>April</v>
      </c>
      <c r="F11" s="58">
        <v>2026</v>
      </c>
      <c r="G11" s="58">
        <v>2</v>
      </c>
      <c r="H11" s="58" t="s">
        <v>99</v>
      </c>
      <c r="I11" s="140" t="s">
        <v>108</v>
      </c>
      <c r="J11" s="58" t="s">
        <v>366</v>
      </c>
      <c r="K11" s="58" t="s">
        <v>104</v>
      </c>
      <c r="L11" s="142" t="s">
        <v>566</v>
      </c>
      <c r="M11" s="58"/>
      <c r="N11" s="58">
        <v>2</v>
      </c>
      <c r="O11" s="4" t="s">
        <v>109</v>
      </c>
      <c r="P11" s="58"/>
      <c r="Q11" s="58"/>
    </row>
    <row r="12" spans="1:17">
      <c r="A12" s="139">
        <v>8</v>
      </c>
      <c r="B12" s="59">
        <v>46121</v>
      </c>
      <c r="C12" s="58" t="str">
        <f t="shared" si="1"/>
        <v>Thursday</v>
      </c>
      <c r="D12" s="58" t="s">
        <v>491</v>
      </c>
      <c r="E12" s="58" t="str">
        <f t="shared" si="0"/>
        <v>April</v>
      </c>
      <c r="F12" s="58">
        <v>2026</v>
      </c>
      <c r="G12" s="58">
        <v>2</v>
      </c>
      <c r="H12" s="58" t="s">
        <v>99</v>
      </c>
      <c r="I12" s="140" t="s">
        <v>108</v>
      </c>
      <c r="J12" s="58" t="s">
        <v>366</v>
      </c>
      <c r="K12" s="58" t="s">
        <v>104</v>
      </c>
      <c r="L12" s="142" t="s">
        <v>576</v>
      </c>
      <c r="M12" s="58"/>
      <c r="N12" s="58">
        <v>2</v>
      </c>
      <c r="O12" s="4" t="s">
        <v>109</v>
      </c>
      <c r="P12" s="58"/>
      <c r="Q12" s="58"/>
    </row>
    <row r="13" spans="1:17">
      <c r="A13" s="139">
        <v>9</v>
      </c>
      <c r="B13" s="59">
        <v>46126</v>
      </c>
      <c r="C13" s="58" t="str">
        <f t="shared" ref="C13:C17" si="2">TEXT(B13,"dddd")</f>
        <v>Tuesday</v>
      </c>
      <c r="D13" s="58" t="s">
        <v>491</v>
      </c>
      <c r="E13" s="58" t="str">
        <f t="shared" ref="E13:E17" si="3">TEXT(B13,"mmmm")</f>
        <v>April</v>
      </c>
      <c r="F13" s="58">
        <v>2026</v>
      </c>
      <c r="G13" s="58">
        <v>2</v>
      </c>
      <c r="H13" s="58" t="s">
        <v>99</v>
      </c>
      <c r="I13" s="140" t="s">
        <v>108</v>
      </c>
      <c r="J13" s="58" t="s">
        <v>366</v>
      </c>
      <c r="K13" s="58" t="s">
        <v>104</v>
      </c>
      <c r="L13" s="142" t="s">
        <v>596</v>
      </c>
      <c r="M13" s="58"/>
      <c r="N13" s="58">
        <v>2</v>
      </c>
      <c r="O13" s="4" t="s">
        <v>109</v>
      </c>
      <c r="P13" s="58"/>
      <c r="Q13" s="58"/>
    </row>
    <row r="14" spans="1:17">
      <c r="A14" s="139">
        <v>10</v>
      </c>
      <c r="B14" s="59">
        <v>46128</v>
      </c>
      <c r="C14" s="58" t="str">
        <f t="shared" si="2"/>
        <v>Thursday</v>
      </c>
      <c r="D14" s="58" t="s">
        <v>491</v>
      </c>
      <c r="E14" s="58" t="str">
        <f t="shared" si="3"/>
        <v>April</v>
      </c>
      <c r="F14" s="58">
        <v>2026</v>
      </c>
      <c r="G14" s="58">
        <v>2</v>
      </c>
      <c r="H14" s="58" t="s">
        <v>99</v>
      </c>
      <c r="I14" s="140" t="s">
        <v>108</v>
      </c>
      <c r="J14" s="58" t="s">
        <v>366</v>
      </c>
      <c r="K14" s="58" t="s">
        <v>104</v>
      </c>
      <c r="L14" s="142" t="s">
        <v>598</v>
      </c>
      <c r="M14" s="58"/>
      <c r="N14" s="58">
        <v>2</v>
      </c>
      <c r="O14" s="4" t="s">
        <v>109</v>
      </c>
      <c r="P14" s="58"/>
      <c r="Q14" s="58"/>
    </row>
    <row r="15" spans="1:17">
      <c r="A15" s="139"/>
      <c r="B15" s="59">
        <v>46129</v>
      </c>
      <c r="C15" s="58" t="str">
        <f t="shared" si="2"/>
        <v>Friday</v>
      </c>
      <c r="D15" s="58"/>
      <c r="E15" s="58" t="str">
        <f t="shared" si="3"/>
        <v>April</v>
      </c>
      <c r="F15" s="58">
        <v>2026</v>
      </c>
      <c r="G15" s="58"/>
      <c r="H15" s="58" t="s">
        <v>99</v>
      </c>
      <c r="I15" s="140" t="s">
        <v>108</v>
      </c>
      <c r="J15" s="58" t="s">
        <v>366</v>
      </c>
      <c r="K15" s="58" t="s">
        <v>104</v>
      </c>
      <c r="L15" s="144" t="s">
        <v>391</v>
      </c>
      <c r="M15" s="58"/>
      <c r="N15" s="58"/>
      <c r="O15" s="4"/>
      <c r="P15" s="58"/>
      <c r="Q15" s="58"/>
    </row>
    <row r="16" spans="1:17">
      <c r="A16" s="139"/>
      <c r="B16" s="59">
        <v>46134</v>
      </c>
      <c r="C16" s="58" t="str">
        <f t="shared" si="2"/>
        <v>Wednesday</v>
      </c>
      <c r="D16" s="58"/>
      <c r="E16" s="58" t="str">
        <f t="shared" si="3"/>
        <v>April</v>
      </c>
      <c r="F16" s="58">
        <v>2026</v>
      </c>
      <c r="G16" s="58"/>
      <c r="H16" s="58" t="s">
        <v>99</v>
      </c>
      <c r="I16" s="140" t="s">
        <v>108</v>
      </c>
      <c r="J16" s="58" t="s">
        <v>366</v>
      </c>
      <c r="K16" s="58" t="s">
        <v>104</v>
      </c>
      <c r="L16" s="144" t="s">
        <v>391</v>
      </c>
      <c r="M16" s="58"/>
      <c r="N16" s="58"/>
      <c r="O16" s="4" t="s">
        <v>109</v>
      </c>
      <c r="P16" s="58"/>
      <c r="Q16" s="58"/>
    </row>
    <row r="17" spans="1:17">
      <c r="A17" s="139"/>
      <c r="B17" s="59">
        <v>46135</v>
      </c>
      <c r="C17" s="58" t="str">
        <f t="shared" si="2"/>
        <v>Thursday</v>
      </c>
      <c r="D17" s="58" t="s">
        <v>491</v>
      </c>
      <c r="E17" s="58" t="str">
        <f t="shared" si="3"/>
        <v>April</v>
      </c>
      <c r="F17" s="58">
        <v>2026</v>
      </c>
      <c r="G17" s="58"/>
      <c r="H17" s="58" t="s">
        <v>99</v>
      </c>
      <c r="I17" s="140" t="s">
        <v>108</v>
      </c>
      <c r="J17" s="58" t="s">
        <v>366</v>
      </c>
      <c r="K17" s="58" t="s">
        <v>104</v>
      </c>
      <c r="L17" s="144" t="s">
        <v>391</v>
      </c>
      <c r="M17" s="58"/>
      <c r="N17" s="58"/>
      <c r="O17" s="4" t="s">
        <v>109</v>
      </c>
      <c r="P17" s="58"/>
      <c r="Q17" s="58"/>
    </row>
    <row r="18" spans="1:17" ht="30.75">
      <c r="A18" s="139"/>
      <c r="B18" s="59">
        <v>46140</v>
      </c>
      <c r="C18" s="58" t="str">
        <f>TEXT(B18,"dddd")</f>
        <v>Tuesday</v>
      </c>
      <c r="D18" s="190"/>
      <c r="E18" s="58" t="str">
        <f>TEXT(B18,"mmmm")</f>
        <v>April</v>
      </c>
      <c r="F18" s="58">
        <v>2026</v>
      </c>
      <c r="G18" s="191"/>
      <c r="H18" s="58" t="s">
        <v>99</v>
      </c>
      <c r="I18" s="140" t="s">
        <v>108</v>
      </c>
      <c r="J18" s="58" t="s">
        <v>366</v>
      </c>
      <c r="K18" s="58" t="s">
        <v>104</v>
      </c>
      <c r="L18" s="194" t="s">
        <v>649</v>
      </c>
      <c r="M18" s="58"/>
      <c r="N18" s="191"/>
      <c r="O18" s="4"/>
      <c r="P18" s="58"/>
      <c r="Q18" s="58"/>
    </row>
    <row r="19" spans="1:17">
      <c r="A19" s="139"/>
      <c r="B19" s="59">
        <v>46147</v>
      </c>
      <c r="C19" s="58" t="str">
        <f t="shared" ref="C19:C22" si="4">TEXT(B19,"dddd")</f>
        <v>Tuesday</v>
      </c>
      <c r="D19" s="58" t="s">
        <v>667</v>
      </c>
      <c r="E19" s="58" t="str">
        <f t="shared" ref="E19:E22" si="5">TEXT(B19,"mmmm")</f>
        <v>May</v>
      </c>
      <c r="F19" s="58">
        <v>2026</v>
      </c>
      <c r="G19" s="191">
        <v>4</v>
      </c>
      <c r="H19" s="58" t="s">
        <v>99</v>
      </c>
      <c r="I19" s="140" t="s">
        <v>108</v>
      </c>
      <c r="J19" s="58" t="s">
        <v>366</v>
      </c>
      <c r="K19" s="58" t="s">
        <v>104</v>
      </c>
      <c r="L19" s="192" t="s">
        <v>666</v>
      </c>
      <c r="M19" s="58"/>
      <c r="N19" s="191">
        <v>4</v>
      </c>
      <c r="O19" s="4" t="s">
        <v>109</v>
      </c>
      <c r="P19" s="58"/>
      <c r="Q19" s="58"/>
    </row>
    <row r="20" spans="1:17">
      <c r="A20" s="139"/>
      <c r="B20" s="59">
        <v>46154</v>
      </c>
      <c r="C20" s="58" t="str">
        <f t="shared" si="4"/>
        <v>Tuesday</v>
      </c>
      <c r="D20" s="58" t="s">
        <v>667</v>
      </c>
      <c r="E20" s="58" t="str">
        <f t="shared" si="5"/>
        <v>May</v>
      </c>
      <c r="F20" s="58">
        <v>2026</v>
      </c>
      <c r="G20" s="191">
        <v>4</v>
      </c>
      <c r="H20" s="58" t="s">
        <v>99</v>
      </c>
      <c r="I20" s="140" t="s">
        <v>108</v>
      </c>
      <c r="J20" s="58" t="s">
        <v>366</v>
      </c>
      <c r="K20" s="58" t="s">
        <v>104</v>
      </c>
      <c r="L20" s="192" t="s">
        <v>695</v>
      </c>
      <c r="M20" s="58"/>
      <c r="N20" s="191">
        <v>4</v>
      </c>
      <c r="O20" s="4" t="s">
        <v>109</v>
      </c>
      <c r="P20" s="58"/>
      <c r="Q20" s="58"/>
    </row>
    <row r="21" spans="1:17">
      <c r="A21" s="139"/>
      <c r="B21" s="59">
        <v>46161</v>
      </c>
      <c r="C21" s="58" t="str">
        <f t="shared" si="4"/>
        <v>Tuesday</v>
      </c>
      <c r="D21" s="58" t="s">
        <v>667</v>
      </c>
      <c r="E21" s="58" t="str">
        <f t="shared" si="5"/>
        <v>May</v>
      </c>
      <c r="F21" s="58">
        <v>2026</v>
      </c>
      <c r="G21" s="191">
        <v>4</v>
      </c>
      <c r="H21" s="58" t="s">
        <v>99</v>
      </c>
      <c r="I21" s="140" t="s">
        <v>108</v>
      </c>
      <c r="J21" s="58" t="s">
        <v>366</v>
      </c>
      <c r="K21" s="58" t="s">
        <v>104</v>
      </c>
      <c r="L21" s="192" t="s">
        <v>725</v>
      </c>
      <c r="M21" s="58"/>
      <c r="N21" s="191">
        <v>4</v>
      </c>
      <c r="O21" s="4" t="s">
        <v>109</v>
      </c>
      <c r="P21" s="58"/>
      <c r="Q21" s="58"/>
    </row>
    <row r="22" spans="1:17">
      <c r="A22" s="145"/>
      <c r="B22" s="59">
        <v>46175</v>
      </c>
      <c r="C22" s="100" t="str">
        <f t="shared" si="4"/>
        <v>Tuesday</v>
      </c>
      <c r="D22" s="58" t="s">
        <v>667</v>
      </c>
      <c r="E22" s="100" t="str">
        <f t="shared" si="5"/>
        <v>June</v>
      </c>
      <c r="F22" s="100">
        <v>2026</v>
      </c>
      <c r="G22" s="178">
        <v>4</v>
      </c>
      <c r="H22" s="100" t="s">
        <v>99</v>
      </c>
      <c r="I22" s="146" t="s">
        <v>108</v>
      </c>
      <c r="J22" s="100" t="s">
        <v>366</v>
      </c>
      <c r="K22" s="58" t="s">
        <v>104</v>
      </c>
      <c r="L22" s="193" t="s">
        <v>765</v>
      </c>
      <c r="M22" s="100"/>
      <c r="N22" s="178">
        <v>4</v>
      </c>
      <c r="O22" s="4" t="s">
        <v>109</v>
      </c>
      <c r="P22" s="100"/>
      <c r="Q22" s="100"/>
    </row>
    <row r="23" spans="1:17">
      <c r="A23" s="139"/>
      <c r="B23" s="59">
        <v>46185</v>
      </c>
      <c r="C23" s="58" t="str">
        <f>TEXT(B23,"dddd")</f>
        <v>Friday</v>
      </c>
      <c r="D23" s="190"/>
      <c r="E23" s="58" t="str">
        <f>TEXT(B23,"mmmm")</f>
        <v>June</v>
      </c>
      <c r="F23" s="58">
        <v>2026</v>
      </c>
      <c r="G23" s="191"/>
      <c r="H23" s="58" t="s">
        <v>99</v>
      </c>
      <c r="I23" s="140" t="s">
        <v>108</v>
      </c>
      <c r="J23" s="58" t="s">
        <v>366</v>
      </c>
      <c r="K23" s="58" t="s">
        <v>104</v>
      </c>
      <c r="L23" s="194" t="s">
        <v>800</v>
      </c>
      <c r="M23" s="58"/>
      <c r="N23" s="191"/>
      <c r="O23" s="4"/>
      <c r="P23" s="58"/>
      <c r="Q23" s="58"/>
    </row>
    <row r="24" spans="1:17">
      <c r="A24" s="139"/>
      <c r="B24" s="59">
        <v>46191</v>
      </c>
      <c r="C24" s="58" t="str">
        <f t="shared" ref="C24:C32" si="6">TEXT(B24,"dddd")</f>
        <v>Thursday</v>
      </c>
      <c r="D24" s="58" t="s">
        <v>491</v>
      </c>
      <c r="E24" s="58" t="str">
        <f t="shared" ref="E24:E32" si="7">TEXT(B24,"mmmm")</f>
        <v>June</v>
      </c>
      <c r="F24" s="58">
        <v>2026</v>
      </c>
      <c r="G24" s="191">
        <v>2</v>
      </c>
      <c r="H24" s="58" t="s">
        <v>99</v>
      </c>
      <c r="I24" s="140" t="s">
        <v>108</v>
      </c>
      <c r="J24" s="58" t="s">
        <v>366</v>
      </c>
      <c r="K24" s="58" t="s">
        <v>104</v>
      </c>
      <c r="L24" s="192" t="s">
        <v>813</v>
      </c>
      <c r="M24" s="58"/>
      <c r="N24" s="191">
        <v>2</v>
      </c>
      <c r="O24" s="4"/>
      <c r="P24" s="58"/>
      <c r="Q24" s="58"/>
    </row>
    <row r="25" spans="1:17">
      <c r="A25" s="139"/>
      <c r="B25" s="59">
        <v>46196</v>
      </c>
      <c r="C25" s="58" t="str">
        <f t="shared" si="6"/>
        <v>Tuesday</v>
      </c>
      <c r="D25" s="58" t="s">
        <v>491</v>
      </c>
      <c r="E25" s="58" t="str">
        <f t="shared" si="7"/>
        <v>June</v>
      </c>
      <c r="F25" s="58">
        <v>2026</v>
      </c>
      <c r="G25" s="191">
        <v>2</v>
      </c>
      <c r="H25" s="58" t="s">
        <v>99</v>
      </c>
      <c r="I25" s="140" t="s">
        <v>108</v>
      </c>
      <c r="J25" s="58" t="s">
        <v>366</v>
      </c>
      <c r="K25" s="58" t="s">
        <v>104</v>
      </c>
      <c r="L25" s="192" t="s">
        <v>820</v>
      </c>
      <c r="M25" s="58"/>
      <c r="N25" s="191">
        <v>2</v>
      </c>
      <c r="O25" s="4"/>
      <c r="P25" s="58"/>
      <c r="Q25" s="58"/>
    </row>
    <row r="26" spans="1:17">
      <c r="A26" s="139"/>
      <c r="B26" s="59">
        <v>46198</v>
      </c>
      <c r="C26" s="58" t="str">
        <f t="shared" si="6"/>
        <v>Thursday</v>
      </c>
      <c r="D26" s="58" t="s">
        <v>491</v>
      </c>
      <c r="E26" s="58" t="str">
        <f t="shared" si="7"/>
        <v>June</v>
      </c>
      <c r="F26" s="58">
        <v>2026</v>
      </c>
      <c r="G26" s="191">
        <v>2</v>
      </c>
      <c r="H26" s="58" t="s">
        <v>99</v>
      </c>
      <c r="I26" s="140" t="s">
        <v>108</v>
      </c>
      <c r="J26" s="58" t="s">
        <v>366</v>
      </c>
      <c r="K26" s="58" t="s">
        <v>104</v>
      </c>
      <c r="L26" s="192" t="s">
        <v>826</v>
      </c>
      <c r="M26" s="58"/>
      <c r="N26" s="191">
        <v>2</v>
      </c>
      <c r="O26" s="4"/>
      <c r="P26" s="58"/>
      <c r="Q26" s="58"/>
    </row>
    <row r="27" spans="1:17">
      <c r="A27" s="139"/>
      <c r="B27" s="59">
        <v>46203</v>
      </c>
      <c r="C27" s="58" t="str">
        <f t="shared" si="6"/>
        <v>Tuesday</v>
      </c>
      <c r="D27" s="58" t="s">
        <v>844</v>
      </c>
      <c r="E27" s="58" t="str">
        <f t="shared" si="7"/>
        <v>June</v>
      </c>
      <c r="F27" s="58">
        <v>2026</v>
      </c>
      <c r="G27" s="191">
        <v>3</v>
      </c>
      <c r="H27" s="58" t="s">
        <v>99</v>
      </c>
      <c r="I27" s="140" t="s">
        <v>108</v>
      </c>
      <c r="J27" s="58" t="s">
        <v>366</v>
      </c>
      <c r="K27" s="58" t="s">
        <v>104</v>
      </c>
      <c r="L27" s="192" t="s">
        <v>842</v>
      </c>
      <c r="M27" s="58"/>
      <c r="N27" s="191">
        <v>3</v>
      </c>
      <c r="O27" s="4"/>
      <c r="P27" s="58"/>
      <c r="Q27" s="58"/>
    </row>
    <row r="28" spans="1:17">
      <c r="A28" s="139"/>
      <c r="B28" s="59">
        <v>46210</v>
      </c>
      <c r="C28" s="58" t="str">
        <f t="shared" si="6"/>
        <v>Tuesday</v>
      </c>
      <c r="D28" s="58" t="s">
        <v>844</v>
      </c>
      <c r="E28" s="58" t="str">
        <f t="shared" si="7"/>
        <v>July</v>
      </c>
      <c r="F28" s="58">
        <v>2026</v>
      </c>
      <c r="G28" s="191">
        <v>3</v>
      </c>
      <c r="H28" s="58" t="s">
        <v>99</v>
      </c>
      <c r="I28" s="140" t="s">
        <v>108</v>
      </c>
      <c r="J28" s="58" t="s">
        <v>366</v>
      </c>
      <c r="K28" s="58" t="s">
        <v>104</v>
      </c>
      <c r="L28" s="192" t="s">
        <v>855</v>
      </c>
      <c r="M28" s="58"/>
      <c r="N28" s="191">
        <v>3</v>
      </c>
      <c r="O28" s="4"/>
      <c r="P28" s="58"/>
      <c r="Q28" s="58"/>
    </row>
    <row r="29" spans="1:17">
      <c r="A29" s="139"/>
      <c r="B29" s="59">
        <v>46219</v>
      </c>
      <c r="C29" s="58" t="str">
        <f t="shared" si="6"/>
        <v>Thursday</v>
      </c>
      <c r="D29" s="58" t="s">
        <v>844</v>
      </c>
      <c r="E29" s="58" t="str">
        <f t="shared" si="7"/>
        <v>July</v>
      </c>
      <c r="F29" s="58">
        <v>2026</v>
      </c>
      <c r="G29" s="191">
        <v>3</v>
      </c>
      <c r="H29" s="58" t="s">
        <v>99</v>
      </c>
      <c r="I29" s="140" t="s">
        <v>108</v>
      </c>
      <c r="J29" s="58" t="s">
        <v>366</v>
      </c>
      <c r="K29" s="58" t="s">
        <v>104</v>
      </c>
      <c r="L29" s="192" t="s">
        <v>870</v>
      </c>
      <c r="M29" s="58"/>
      <c r="N29" s="191">
        <v>3</v>
      </c>
      <c r="O29" s="4"/>
      <c r="P29" s="58"/>
      <c r="Q29" s="58"/>
    </row>
    <row r="30" spans="1:17">
      <c r="A30" s="139"/>
      <c r="B30" s="59">
        <v>46224</v>
      </c>
      <c r="C30" s="58" t="str">
        <f t="shared" si="6"/>
        <v>Tuesday</v>
      </c>
      <c r="D30" s="58" t="s">
        <v>844</v>
      </c>
      <c r="E30" s="58" t="str">
        <f t="shared" si="7"/>
        <v>July</v>
      </c>
      <c r="F30" s="58">
        <v>2026</v>
      </c>
      <c r="G30" s="191">
        <v>3</v>
      </c>
      <c r="H30" s="58" t="s">
        <v>99</v>
      </c>
      <c r="I30" s="140" t="s">
        <v>108</v>
      </c>
      <c r="J30" s="58" t="s">
        <v>366</v>
      </c>
      <c r="K30" s="58" t="s">
        <v>104</v>
      </c>
      <c r="L30" s="153" t="s">
        <v>887</v>
      </c>
      <c r="M30" s="58"/>
      <c r="N30" s="191">
        <v>3</v>
      </c>
      <c r="O30" s="4"/>
      <c r="P30" s="58"/>
      <c r="Q30" s="58"/>
    </row>
    <row r="31" spans="1:17">
      <c r="A31" s="139"/>
      <c r="B31" s="59">
        <v>46231</v>
      </c>
      <c r="C31" s="58" t="str">
        <f t="shared" si="6"/>
        <v>Tuesday</v>
      </c>
      <c r="D31" s="58" t="s">
        <v>844</v>
      </c>
      <c r="E31" s="58" t="str">
        <f t="shared" si="7"/>
        <v>July</v>
      </c>
      <c r="F31" s="58">
        <v>2026</v>
      </c>
      <c r="G31" s="191">
        <v>3</v>
      </c>
      <c r="H31" s="58" t="s">
        <v>99</v>
      </c>
      <c r="I31" s="140" t="s">
        <v>108</v>
      </c>
      <c r="J31" s="58" t="s">
        <v>366</v>
      </c>
      <c r="K31" s="58" t="s">
        <v>104</v>
      </c>
      <c r="L31" s="153" t="s">
        <v>887</v>
      </c>
      <c r="M31" s="58"/>
      <c r="N31" s="191">
        <v>3</v>
      </c>
      <c r="O31" s="4"/>
      <c r="P31" s="58"/>
      <c r="Q31" s="58"/>
    </row>
    <row r="32" spans="1:17">
      <c r="A32" s="145"/>
      <c r="B32" s="59">
        <v>46238</v>
      </c>
      <c r="C32" s="100" t="str">
        <f t="shared" si="6"/>
        <v>Tuesday</v>
      </c>
      <c r="D32" s="58" t="s">
        <v>844</v>
      </c>
      <c r="E32" s="100" t="str">
        <f t="shared" si="7"/>
        <v>August</v>
      </c>
      <c r="F32" s="100">
        <v>2026</v>
      </c>
      <c r="G32" s="178"/>
      <c r="H32" s="100" t="s">
        <v>99</v>
      </c>
      <c r="I32" s="146" t="s">
        <v>108</v>
      </c>
      <c r="J32" s="100" t="s">
        <v>366</v>
      </c>
      <c r="K32" s="58" t="s">
        <v>104</v>
      </c>
      <c r="L32" s="194" t="s">
        <v>912</v>
      </c>
      <c r="M32" s="100"/>
      <c r="N32" s="178"/>
      <c r="O32" s="5"/>
      <c r="P32" s="100"/>
      <c r="Q32" s="100"/>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4ECA-C8D5-4C3E-8C11-E7462D78B087}">
  <dimension ref="A1:Q30"/>
  <sheetViews>
    <sheetView workbookViewId="0">
      <selection activeCell="G20" sqref="G20:G24"/>
    </sheetView>
  </sheetViews>
  <sheetFormatPr defaultRowHeight="15"/>
  <cols>
    <col min="1" max="1" width="9.140625" style="3"/>
    <col min="2" max="2" width="18.140625" style="3" customWidth="1"/>
    <col min="3" max="3" width="15.85546875" style="3" customWidth="1"/>
    <col min="4" max="4" width="30.5703125" style="3" customWidth="1"/>
    <col min="5" max="5" width="10.42578125" style="3" customWidth="1"/>
    <col min="6" max="6" width="9.140625" style="3"/>
    <col min="7" max="7" width="18.42578125" style="3" bestFit="1" customWidth="1"/>
    <col min="8" max="8" width="9.42578125" style="3" bestFit="1" customWidth="1"/>
    <col min="9" max="9" width="33.7109375" style="3" customWidth="1"/>
    <col min="10" max="10" width="28.28515625" style="3" customWidth="1"/>
    <col min="11" max="11" width="9.42578125" style="3" bestFit="1" customWidth="1"/>
    <col min="12" max="12" width="69.28515625" style="3" customWidth="1"/>
    <col min="13" max="13" width="19.85546875" style="3" customWidth="1"/>
    <col min="14" max="14" width="28" style="3" customWidth="1"/>
    <col min="15" max="15" width="17.5703125" style="3" customWidth="1"/>
    <col min="16" max="17" width="13" style="3" bestFit="1" customWidth="1"/>
    <col min="18" max="16384" width="9.140625" style="3"/>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ht="20.25" customHeight="1">
      <c r="A2" s="139"/>
      <c r="B2" s="59">
        <v>46086</v>
      </c>
      <c r="C2" s="58" t="str">
        <f>TEXT(B2,"dddd")</f>
        <v>Thursday</v>
      </c>
      <c r="D2" s="58" t="s">
        <v>433</v>
      </c>
      <c r="E2" s="58" t="str">
        <f t="shared" ref="E2:E12" si="0">TEXT(B2,"mmmm")</f>
        <v>March</v>
      </c>
      <c r="F2" s="58">
        <v>2026</v>
      </c>
      <c r="G2" s="58">
        <v>1</v>
      </c>
      <c r="H2" s="58" t="s">
        <v>99</v>
      </c>
      <c r="I2" s="140" t="s">
        <v>108</v>
      </c>
      <c r="J2" s="58" t="s">
        <v>366</v>
      </c>
      <c r="K2" s="58" t="s">
        <v>106</v>
      </c>
      <c r="L2" s="141" t="s">
        <v>434</v>
      </c>
      <c r="M2" s="58"/>
      <c r="N2" s="58">
        <v>1</v>
      </c>
      <c r="O2" s="4"/>
      <c r="P2" s="58"/>
      <c r="Q2" s="58"/>
    </row>
    <row r="3" spans="1:17">
      <c r="A3" s="139"/>
      <c r="B3" s="59">
        <v>46090</v>
      </c>
      <c r="C3" s="58" t="str">
        <f t="shared" ref="C3:C12" si="1">TEXT(B3,"dddd")</f>
        <v>Monday</v>
      </c>
      <c r="D3" s="58" t="s">
        <v>448</v>
      </c>
      <c r="E3" s="58" t="str">
        <f t="shared" si="0"/>
        <v>March</v>
      </c>
      <c r="F3" s="58">
        <v>2026</v>
      </c>
      <c r="G3" s="58">
        <v>0.5</v>
      </c>
      <c r="H3" s="58" t="s">
        <v>99</v>
      </c>
      <c r="I3" s="140" t="s">
        <v>108</v>
      </c>
      <c r="J3" s="58" t="s">
        <v>366</v>
      </c>
      <c r="K3" s="58" t="s">
        <v>106</v>
      </c>
      <c r="L3" s="141" t="s">
        <v>445</v>
      </c>
      <c r="M3" s="58"/>
      <c r="N3" s="58">
        <v>0.5</v>
      </c>
      <c r="O3" s="4"/>
      <c r="P3" s="58"/>
      <c r="Q3" s="58"/>
    </row>
    <row r="4" spans="1:17">
      <c r="A4" s="139">
        <v>1</v>
      </c>
      <c r="B4" s="59">
        <v>46099</v>
      </c>
      <c r="C4" s="58" t="str">
        <f t="shared" si="1"/>
        <v>Wednesday</v>
      </c>
      <c r="D4" s="58" t="s">
        <v>491</v>
      </c>
      <c r="E4" s="58" t="str">
        <f t="shared" si="0"/>
        <v>March</v>
      </c>
      <c r="F4" s="58">
        <v>2026</v>
      </c>
      <c r="G4" s="58">
        <v>2.5</v>
      </c>
      <c r="H4" s="58" t="s">
        <v>99</v>
      </c>
      <c r="I4" s="140" t="s">
        <v>108</v>
      </c>
      <c r="J4" s="58" t="s">
        <v>366</v>
      </c>
      <c r="K4" s="58" t="s">
        <v>106</v>
      </c>
      <c r="L4" s="142" t="s">
        <v>484</v>
      </c>
      <c r="M4" s="58"/>
      <c r="N4" s="58">
        <v>2.5</v>
      </c>
      <c r="O4" s="4" t="s">
        <v>63</v>
      </c>
      <c r="P4" s="58"/>
      <c r="Q4" s="58"/>
    </row>
    <row r="5" spans="1:17">
      <c r="A5" s="139">
        <v>2</v>
      </c>
      <c r="B5" s="59">
        <v>46104</v>
      </c>
      <c r="C5" s="58" t="str">
        <f t="shared" si="1"/>
        <v>Monday</v>
      </c>
      <c r="D5" s="58" t="s">
        <v>491</v>
      </c>
      <c r="E5" s="58" t="str">
        <f t="shared" si="0"/>
        <v>March</v>
      </c>
      <c r="F5" s="58">
        <v>2026</v>
      </c>
      <c r="G5" s="58">
        <v>2.5</v>
      </c>
      <c r="H5" s="58" t="s">
        <v>99</v>
      </c>
      <c r="I5" s="140" t="s">
        <v>108</v>
      </c>
      <c r="J5" s="58" t="s">
        <v>366</v>
      </c>
      <c r="K5" s="58" t="s">
        <v>106</v>
      </c>
      <c r="L5" s="142" t="s">
        <v>500</v>
      </c>
      <c r="M5" s="58"/>
      <c r="N5" s="58">
        <v>2.5</v>
      </c>
      <c r="O5" s="4" t="s">
        <v>63</v>
      </c>
      <c r="P5" s="58"/>
      <c r="Q5" s="58"/>
    </row>
    <row r="6" spans="1:17">
      <c r="A6" s="139">
        <v>3</v>
      </c>
      <c r="B6" s="59">
        <v>46106</v>
      </c>
      <c r="C6" s="58" t="str">
        <f t="shared" si="1"/>
        <v>Wednesday</v>
      </c>
      <c r="D6" s="58" t="s">
        <v>491</v>
      </c>
      <c r="E6" s="58" t="str">
        <f t="shared" si="0"/>
        <v>March</v>
      </c>
      <c r="F6" s="58">
        <v>2026</v>
      </c>
      <c r="G6" s="58">
        <v>2.5</v>
      </c>
      <c r="H6" s="58" t="s">
        <v>99</v>
      </c>
      <c r="I6" s="140" t="s">
        <v>108</v>
      </c>
      <c r="J6" s="58" t="s">
        <v>366</v>
      </c>
      <c r="K6" s="58" t="s">
        <v>106</v>
      </c>
      <c r="L6" s="142" t="s">
        <v>512</v>
      </c>
      <c r="M6" s="58"/>
      <c r="N6" s="58">
        <v>2.5</v>
      </c>
      <c r="O6" s="4" t="s">
        <v>112</v>
      </c>
      <c r="P6" s="58"/>
      <c r="Q6" s="58"/>
    </row>
    <row r="7" spans="1:17">
      <c r="A7" s="139"/>
      <c r="B7" s="59">
        <v>46108</v>
      </c>
      <c r="C7" s="58" t="str">
        <f t="shared" si="1"/>
        <v>Friday</v>
      </c>
      <c r="D7" s="58"/>
      <c r="E7" s="58" t="str">
        <f t="shared" si="0"/>
        <v>March</v>
      </c>
      <c r="F7" s="58">
        <v>2026</v>
      </c>
      <c r="G7" s="58"/>
      <c r="H7" s="58" t="s">
        <v>99</v>
      </c>
      <c r="I7" s="140" t="s">
        <v>108</v>
      </c>
      <c r="J7" s="58" t="s">
        <v>366</v>
      </c>
      <c r="K7" s="58" t="s">
        <v>106</v>
      </c>
      <c r="L7" s="144" t="s">
        <v>391</v>
      </c>
      <c r="M7" s="58"/>
      <c r="N7" s="58"/>
      <c r="O7" s="4"/>
      <c r="P7" s="58"/>
      <c r="Q7" s="58"/>
    </row>
    <row r="8" spans="1:17">
      <c r="A8" s="139">
        <v>4</v>
      </c>
      <c r="B8" s="59">
        <v>46111</v>
      </c>
      <c r="C8" s="58" t="str">
        <f t="shared" si="1"/>
        <v>Monday</v>
      </c>
      <c r="D8" s="58" t="s">
        <v>491</v>
      </c>
      <c r="E8" s="58" t="str">
        <f t="shared" si="0"/>
        <v>March</v>
      </c>
      <c r="F8" s="58">
        <v>2026</v>
      </c>
      <c r="G8" s="58">
        <v>2.5</v>
      </c>
      <c r="H8" s="58" t="s">
        <v>99</v>
      </c>
      <c r="I8" s="140" t="s">
        <v>108</v>
      </c>
      <c r="J8" s="58" t="s">
        <v>366</v>
      </c>
      <c r="K8" s="58" t="s">
        <v>106</v>
      </c>
      <c r="L8" s="142" t="s">
        <v>526</v>
      </c>
      <c r="M8" s="58"/>
      <c r="N8" s="58">
        <v>2.5</v>
      </c>
      <c r="O8" s="4" t="s">
        <v>112</v>
      </c>
      <c r="P8" s="58"/>
      <c r="Q8" s="58"/>
    </row>
    <row r="9" spans="1:17">
      <c r="A9" s="139">
        <v>5</v>
      </c>
      <c r="B9" s="59">
        <v>46113</v>
      </c>
      <c r="C9" s="58" t="str">
        <f t="shared" si="1"/>
        <v>Wednesday</v>
      </c>
      <c r="D9" s="58" t="s">
        <v>491</v>
      </c>
      <c r="E9" s="58" t="str">
        <f t="shared" si="0"/>
        <v>April</v>
      </c>
      <c r="F9" s="58">
        <v>2026</v>
      </c>
      <c r="G9" s="58">
        <v>2.5</v>
      </c>
      <c r="H9" s="58" t="s">
        <v>99</v>
      </c>
      <c r="I9" s="140" t="s">
        <v>108</v>
      </c>
      <c r="J9" s="58" t="s">
        <v>366</v>
      </c>
      <c r="K9" s="58" t="s">
        <v>106</v>
      </c>
      <c r="L9" s="142" t="s">
        <v>542</v>
      </c>
      <c r="M9" s="58"/>
      <c r="N9" s="58">
        <v>2.5</v>
      </c>
      <c r="O9" s="4" t="s">
        <v>112</v>
      </c>
      <c r="P9" s="58"/>
      <c r="Q9" s="58"/>
    </row>
    <row r="10" spans="1:17">
      <c r="A10" s="139">
        <v>6</v>
      </c>
      <c r="B10" s="59">
        <v>46119</v>
      </c>
      <c r="C10" s="58" t="str">
        <f t="shared" si="1"/>
        <v>Tuesday</v>
      </c>
      <c r="D10" s="58" t="s">
        <v>491</v>
      </c>
      <c r="E10" s="58" t="str">
        <f t="shared" si="0"/>
        <v>April</v>
      </c>
      <c r="F10" s="58">
        <v>2026</v>
      </c>
      <c r="G10" s="58">
        <v>2.5</v>
      </c>
      <c r="H10" s="58" t="s">
        <v>99</v>
      </c>
      <c r="I10" s="140" t="s">
        <v>108</v>
      </c>
      <c r="J10" s="58" t="s">
        <v>366</v>
      </c>
      <c r="K10" s="58" t="s">
        <v>106</v>
      </c>
      <c r="L10" s="142" t="s">
        <v>555</v>
      </c>
      <c r="M10" s="58"/>
      <c r="N10" s="58">
        <v>2.5</v>
      </c>
      <c r="O10" s="4" t="s">
        <v>63</v>
      </c>
      <c r="P10" s="58"/>
      <c r="Q10" s="58"/>
    </row>
    <row r="11" spans="1:17">
      <c r="A11" s="139">
        <v>7</v>
      </c>
      <c r="B11" s="59">
        <v>46120</v>
      </c>
      <c r="C11" s="58" t="str">
        <f t="shared" si="1"/>
        <v>Wednesday</v>
      </c>
      <c r="D11" s="58" t="s">
        <v>491</v>
      </c>
      <c r="E11" s="58" t="str">
        <f t="shared" si="0"/>
        <v>April</v>
      </c>
      <c r="F11" s="58">
        <v>2026</v>
      </c>
      <c r="G11" s="58">
        <v>2.5</v>
      </c>
      <c r="H11" s="58" t="s">
        <v>99</v>
      </c>
      <c r="I11" s="140" t="s">
        <v>108</v>
      </c>
      <c r="J11" s="58" t="s">
        <v>366</v>
      </c>
      <c r="K11" s="58" t="s">
        <v>106</v>
      </c>
      <c r="L11" s="142" t="s">
        <v>566</v>
      </c>
      <c r="M11" s="58"/>
      <c r="N11" s="58">
        <v>2.5</v>
      </c>
      <c r="O11" s="4" t="s">
        <v>63</v>
      </c>
      <c r="P11" s="58"/>
      <c r="Q11" s="58"/>
    </row>
    <row r="12" spans="1:17">
      <c r="A12" s="139">
        <v>8</v>
      </c>
      <c r="B12" s="59">
        <v>46126</v>
      </c>
      <c r="C12" s="58" t="str">
        <f t="shared" si="1"/>
        <v>Tuesday</v>
      </c>
      <c r="D12" s="58" t="s">
        <v>491</v>
      </c>
      <c r="E12" s="58" t="str">
        <f t="shared" si="0"/>
        <v>April</v>
      </c>
      <c r="F12" s="58">
        <v>2026</v>
      </c>
      <c r="G12" s="58">
        <v>2.5</v>
      </c>
      <c r="H12" s="58" t="s">
        <v>99</v>
      </c>
      <c r="I12" s="140" t="s">
        <v>108</v>
      </c>
      <c r="J12" s="58" t="s">
        <v>366</v>
      </c>
      <c r="K12" s="58" t="s">
        <v>106</v>
      </c>
      <c r="L12" s="142" t="s">
        <v>576</v>
      </c>
      <c r="M12" s="58"/>
      <c r="N12" s="58">
        <v>2.5</v>
      </c>
      <c r="O12" s="4" t="s">
        <v>112</v>
      </c>
      <c r="P12" s="58"/>
      <c r="Q12" s="58"/>
    </row>
    <row r="13" spans="1:17">
      <c r="A13" s="139">
        <v>9</v>
      </c>
      <c r="B13" s="59">
        <v>46129</v>
      </c>
      <c r="C13" s="58" t="str">
        <f t="shared" ref="C13:C15" si="2">TEXT(B13,"dddd")</f>
        <v>Friday</v>
      </c>
      <c r="D13" s="58" t="s">
        <v>491</v>
      </c>
      <c r="E13" s="58" t="str">
        <f t="shared" ref="E13:E15" si="3">TEXT(B13,"mmmm")</f>
        <v>April</v>
      </c>
      <c r="F13" s="58">
        <v>2026</v>
      </c>
      <c r="G13" s="58">
        <v>2.5</v>
      </c>
      <c r="H13" s="58" t="s">
        <v>99</v>
      </c>
      <c r="I13" s="140" t="s">
        <v>108</v>
      </c>
      <c r="J13" s="58" t="s">
        <v>366</v>
      </c>
      <c r="K13" s="58" t="s">
        <v>106</v>
      </c>
      <c r="L13" s="142" t="s">
        <v>596</v>
      </c>
      <c r="M13" s="58"/>
      <c r="N13" s="58">
        <v>2.5</v>
      </c>
      <c r="O13" s="4" t="s">
        <v>109</v>
      </c>
      <c r="P13" s="58"/>
      <c r="Q13" s="58"/>
    </row>
    <row r="14" spans="1:17">
      <c r="A14" s="139">
        <v>10</v>
      </c>
      <c r="B14" s="59">
        <v>46132</v>
      </c>
      <c r="C14" s="58" t="str">
        <f t="shared" si="2"/>
        <v>Monday</v>
      </c>
      <c r="D14" s="58" t="s">
        <v>491</v>
      </c>
      <c r="E14" s="58" t="str">
        <f t="shared" si="3"/>
        <v>April</v>
      </c>
      <c r="F14" s="58">
        <v>2026</v>
      </c>
      <c r="G14" s="58">
        <v>2.5</v>
      </c>
      <c r="H14" s="58" t="s">
        <v>99</v>
      </c>
      <c r="I14" s="140" t="s">
        <v>108</v>
      </c>
      <c r="J14" s="58" t="s">
        <v>366</v>
      </c>
      <c r="K14" s="58" t="s">
        <v>106</v>
      </c>
      <c r="L14" s="142" t="s">
        <v>598</v>
      </c>
      <c r="M14" s="58"/>
      <c r="N14" s="58">
        <v>2.5</v>
      </c>
      <c r="O14" s="4" t="s">
        <v>112</v>
      </c>
      <c r="P14" s="58"/>
      <c r="Q14" s="58"/>
    </row>
    <row r="15" spans="1:17">
      <c r="A15" s="139"/>
      <c r="B15" s="59">
        <v>46134</v>
      </c>
      <c r="C15" s="58" t="str">
        <f t="shared" si="2"/>
        <v>Wednesday</v>
      </c>
      <c r="D15" s="58" t="s">
        <v>491</v>
      </c>
      <c r="E15" s="58" t="str">
        <f t="shared" si="3"/>
        <v>April</v>
      </c>
      <c r="F15" s="58">
        <v>2026</v>
      </c>
      <c r="G15" s="58">
        <v>2.5</v>
      </c>
      <c r="H15" s="58" t="s">
        <v>99</v>
      </c>
      <c r="I15" s="140" t="s">
        <v>108</v>
      </c>
      <c r="J15" s="58" t="s">
        <v>366</v>
      </c>
      <c r="K15" s="58" t="s">
        <v>106</v>
      </c>
      <c r="L15" s="144" t="s">
        <v>391</v>
      </c>
      <c r="M15" s="58"/>
      <c r="N15" s="58"/>
      <c r="O15" s="4" t="s">
        <v>112</v>
      </c>
      <c r="P15" s="58"/>
      <c r="Q15" s="58"/>
    </row>
    <row r="16" spans="1:17" ht="30.75">
      <c r="A16" s="196"/>
      <c r="B16" s="59">
        <v>46140</v>
      </c>
      <c r="C16" s="58" t="str">
        <f>TEXT(B16,"dddd")</f>
        <v>Tuesday</v>
      </c>
      <c r="D16" s="197"/>
      <c r="E16" s="58" t="str">
        <f>TEXT(B16,"mmmm")</f>
        <v>April</v>
      </c>
      <c r="F16" s="58">
        <v>2026</v>
      </c>
      <c r="G16" s="191"/>
      <c r="H16" s="58" t="s">
        <v>99</v>
      </c>
      <c r="I16" s="140" t="s">
        <v>108</v>
      </c>
      <c r="J16" s="58" t="s">
        <v>366</v>
      </c>
      <c r="K16" s="58" t="s">
        <v>106</v>
      </c>
      <c r="L16" s="202" t="s">
        <v>649</v>
      </c>
      <c r="M16" s="58"/>
      <c r="N16" s="191"/>
      <c r="O16" s="199"/>
      <c r="P16" s="58"/>
      <c r="Q16" s="58"/>
    </row>
    <row r="17" spans="1:17">
      <c r="A17" s="196"/>
      <c r="B17" s="59">
        <v>46149</v>
      </c>
      <c r="C17" s="58" t="str">
        <f t="shared" ref="C17:C20" si="4">TEXT(B17,"dddd")</f>
        <v>Thursday</v>
      </c>
      <c r="D17" s="58" t="s">
        <v>667</v>
      </c>
      <c r="E17" s="58" t="str">
        <f t="shared" ref="E17:E20" si="5">TEXT(B17,"mmmm")</f>
        <v>May</v>
      </c>
      <c r="F17" s="58">
        <v>2026</v>
      </c>
      <c r="G17" s="191">
        <v>4</v>
      </c>
      <c r="H17" s="58" t="s">
        <v>99</v>
      </c>
      <c r="I17" s="140" t="s">
        <v>108</v>
      </c>
      <c r="J17" s="58" t="s">
        <v>366</v>
      </c>
      <c r="K17" s="58" t="s">
        <v>106</v>
      </c>
      <c r="L17" s="198" t="s">
        <v>666</v>
      </c>
      <c r="M17" s="58"/>
      <c r="N17" s="191">
        <v>4</v>
      </c>
      <c r="O17" s="4" t="s">
        <v>91</v>
      </c>
      <c r="P17" s="58"/>
      <c r="Q17" s="58"/>
    </row>
    <row r="18" spans="1:17">
      <c r="A18" s="196"/>
      <c r="B18" s="59">
        <v>46157</v>
      </c>
      <c r="C18" s="58" t="str">
        <f t="shared" si="4"/>
        <v>Friday</v>
      </c>
      <c r="D18" s="58" t="s">
        <v>667</v>
      </c>
      <c r="E18" s="58" t="str">
        <f t="shared" si="5"/>
        <v>May</v>
      </c>
      <c r="F18" s="58">
        <v>2026</v>
      </c>
      <c r="G18" s="191">
        <v>4</v>
      </c>
      <c r="H18" s="58" t="s">
        <v>99</v>
      </c>
      <c r="I18" s="140" t="s">
        <v>108</v>
      </c>
      <c r="J18" s="58" t="s">
        <v>366</v>
      </c>
      <c r="K18" s="58" t="s">
        <v>106</v>
      </c>
      <c r="L18" s="198" t="s">
        <v>695</v>
      </c>
      <c r="M18" s="58"/>
      <c r="N18" s="191">
        <v>4</v>
      </c>
      <c r="O18" s="4" t="s">
        <v>91</v>
      </c>
      <c r="P18" s="58"/>
      <c r="Q18" s="58"/>
    </row>
    <row r="19" spans="1:17">
      <c r="A19" s="196"/>
      <c r="B19" s="59">
        <v>46164</v>
      </c>
      <c r="C19" s="58" t="str">
        <f t="shared" si="4"/>
        <v>Friday</v>
      </c>
      <c r="D19" s="58" t="s">
        <v>667</v>
      </c>
      <c r="E19" s="58" t="str">
        <f t="shared" si="5"/>
        <v>May</v>
      </c>
      <c r="F19" s="58">
        <v>2026</v>
      </c>
      <c r="G19" s="191">
        <v>4</v>
      </c>
      <c r="H19" s="58" t="s">
        <v>99</v>
      </c>
      <c r="I19" s="140" t="s">
        <v>108</v>
      </c>
      <c r="J19" s="58" t="s">
        <v>366</v>
      </c>
      <c r="K19" s="58" t="s">
        <v>106</v>
      </c>
      <c r="L19" s="198" t="s">
        <v>725</v>
      </c>
      <c r="M19" s="58"/>
      <c r="N19" s="191">
        <v>4</v>
      </c>
      <c r="O19" s="4" t="s">
        <v>91</v>
      </c>
      <c r="P19" s="58"/>
      <c r="Q19" s="58"/>
    </row>
    <row r="20" spans="1:17">
      <c r="A20" s="200"/>
      <c r="B20" s="59">
        <v>46178</v>
      </c>
      <c r="C20" s="100" t="str">
        <f t="shared" si="4"/>
        <v>Friday</v>
      </c>
      <c r="D20" s="58" t="s">
        <v>667</v>
      </c>
      <c r="E20" s="100" t="str">
        <f t="shared" si="5"/>
        <v>June</v>
      </c>
      <c r="F20" s="100">
        <v>2026</v>
      </c>
      <c r="G20" s="178">
        <v>4</v>
      </c>
      <c r="H20" s="100" t="s">
        <v>99</v>
      </c>
      <c r="I20" s="146" t="s">
        <v>108</v>
      </c>
      <c r="J20" s="100" t="s">
        <v>366</v>
      </c>
      <c r="K20" s="58" t="s">
        <v>106</v>
      </c>
      <c r="L20" s="201" t="s">
        <v>765</v>
      </c>
      <c r="M20" s="100"/>
      <c r="N20" s="178">
        <v>4</v>
      </c>
      <c r="O20" s="4" t="s">
        <v>91</v>
      </c>
      <c r="P20" s="100"/>
      <c r="Q20" s="100"/>
    </row>
    <row r="21" spans="1:17">
      <c r="A21" s="196"/>
      <c r="B21" s="59">
        <v>46185</v>
      </c>
      <c r="C21" s="58" t="str">
        <f>TEXT(B21,"dddd")</f>
        <v>Friday</v>
      </c>
      <c r="D21" s="197"/>
      <c r="E21" s="58" t="str">
        <f>TEXT(B21,"mmmm")</f>
        <v>June</v>
      </c>
      <c r="F21" s="58">
        <v>2026</v>
      </c>
      <c r="G21" s="191"/>
      <c r="H21" s="58" t="s">
        <v>99</v>
      </c>
      <c r="I21" s="140" t="s">
        <v>108</v>
      </c>
      <c r="J21" s="58" t="s">
        <v>366</v>
      </c>
      <c r="K21" s="58" t="s">
        <v>106</v>
      </c>
      <c r="L21" s="202" t="s">
        <v>800</v>
      </c>
      <c r="M21" s="58"/>
      <c r="N21" s="191"/>
      <c r="O21" s="199"/>
      <c r="P21" s="58"/>
      <c r="Q21" s="58"/>
    </row>
    <row r="22" spans="1:17">
      <c r="A22" s="196"/>
      <c r="B22" s="59">
        <v>46190</v>
      </c>
      <c r="C22" s="58" t="str">
        <f t="shared" ref="C22:C30" si="6">TEXT(B22,"dddd")</f>
        <v>Wednesday</v>
      </c>
      <c r="D22" s="197" t="s">
        <v>491</v>
      </c>
      <c r="E22" s="58" t="str">
        <f t="shared" ref="E22:E30" si="7">TEXT(B22,"mmmm")</f>
        <v>June</v>
      </c>
      <c r="F22" s="58">
        <v>2026</v>
      </c>
      <c r="G22" s="191">
        <v>2</v>
      </c>
      <c r="H22" s="58" t="s">
        <v>99</v>
      </c>
      <c r="I22" s="140" t="s">
        <v>108</v>
      </c>
      <c r="J22" s="58" t="s">
        <v>366</v>
      </c>
      <c r="K22" s="58" t="s">
        <v>106</v>
      </c>
      <c r="L22" s="198" t="s">
        <v>813</v>
      </c>
      <c r="M22" s="58"/>
      <c r="N22" s="191">
        <v>2</v>
      </c>
      <c r="O22" s="4" t="s">
        <v>91</v>
      </c>
      <c r="P22" s="58"/>
      <c r="Q22" s="58"/>
    </row>
    <row r="23" spans="1:17">
      <c r="A23" s="196"/>
      <c r="B23" s="59">
        <v>46192</v>
      </c>
      <c r="C23" s="58" t="str">
        <f t="shared" si="6"/>
        <v>Friday</v>
      </c>
      <c r="D23" s="197" t="s">
        <v>491</v>
      </c>
      <c r="E23" s="58" t="str">
        <f t="shared" si="7"/>
        <v>June</v>
      </c>
      <c r="F23" s="58">
        <v>2026</v>
      </c>
      <c r="G23" s="191">
        <v>2</v>
      </c>
      <c r="H23" s="58" t="s">
        <v>99</v>
      </c>
      <c r="I23" s="140" t="s">
        <v>108</v>
      </c>
      <c r="J23" s="58" t="s">
        <v>366</v>
      </c>
      <c r="K23" s="58" t="s">
        <v>106</v>
      </c>
      <c r="L23" s="198" t="s">
        <v>820</v>
      </c>
      <c r="M23" s="58"/>
      <c r="N23" s="191">
        <v>2</v>
      </c>
      <c r="O23" s="4" t="s">
        <v>91</v>
      </c>
      <c r="P23" s="58"/>
      <c r="Q23" s="58"/>
    </row>
    <row r="24" spans="1:17">
      <c r="A24" s="196"/>
      <c r="B24" s="59">
        <v>46198</v>
      </c>
      <c r="C24" s="58" t="str">
        <f t="shared" si="6"/>
        <v>Thursday</v>
      </c>
      <c r="D24" s="197" t="s">
        <v>491</v>
      </c>
      <c r="E24" s="58" t="str">
        <f t="shared" si="7"/>
        <v>June</v>
      </c>
      <c r="F24" s="58">
        <v>2026</v>
      </c>
      <c r="G24" s="191">
        <v>2</v>
      </c>
      <c r="H24" s="58" t="s">
        <v>99</v>
      </c>
      <c r="I24" s="140" t="s">
        <v>108</v>
      </c>
      <c r="J24" s="58" t="s">
        <v>366</v>
      </c>
      <c r="K24" s="58" t="s">
        <v>106</v>
      </c>
      <c r="L24" s="198" t="s">
        <v>826</v>
      </c>
      <c r="M24" s="58"/>
      <c r="N24" s="191">
        <v>2</v>
      </c>
      <c r="O24" s="4" t="s">
        <v>91</v>
      </c>
      <c r="P24" s="58"/>
      <c r="Q24" s="58"/>
    </row>
    <row r="25" spans="1:17">
      <c r="A25" s="196"/>
      <c r="B25" s="59">
        <v>46206</v>
      </c>
      <c r="C25" s="58" t="str">
        <f t="shared" si="6"/>
        <v>Friday</v>
      </c>
      <c r="D25" s="197" t="s">
        <v>844</v>
      </c>
      <c r="E25" s="58" t="str">
        <f t="shared" si="7"/>
        <v>July</v>
      </c>
      <c r="F25" s="58">
        <v>2026</v>
      </c>
      <c r="G25" s="191">
        <v>3</v>
      </c>
      <c r="H25" s="58" t="s">
        <v>99</v>
      </c>
      <c r="I25" s="140" t="s">
        <v>108</v>
      </c>
      <c r="J25" s="58" t="s">
        <v>366</v>
      </c>
      <c r="K25" s="58" t="s">
        <v>106</v>
      </c>
      <c r="L25" s="198" t="s">
        <v>842</v>
      </c>
      <c r="M25" s="58"/>
      <c r="N25" s="191">
        <v>3</v>
      </c>
      <c r="O25" s="4" t="s">
        <v>91</v>
      </c>
      <c r="P25" s="58"/>
      <c r="Q25" s="58"/>
    </row>
    <row r="26" spans="1:17">
      <c r="A26" s="196"/>
      <c r="B26" s="59">
        <v>46211</v>
      </c>
      <c r="C26" s="58" t="str">
        <f t="shared" si="6"/>
        <v>Wednesday</v>
      </c>
      <c r="D26" s="197" t="s">
        <v>844</v>
      </c>
      <c r="E26" s="58" t="str">
        <f t="shared" si="7"/>
        <v>July</v>
      </c>
      <c r="F26" s="58">
        <v>2026</v>
      </c>
      <c r="G26" s="191">
        <v>3</v>
      </c>
      <c r="H26" s="58" t="s">
        <v>99</v>
      </c>
      <c r="I26" s="140" t="s">
        <v>108</v>
      </c>
      <c r="J26" s="58" t="s">
        <v>366</v>
      </c>
      <c r="K26" s="58" t="s">
        <v>106</v>
      </c>
      <c r="L26" s="198" t="s">
        <v>855</v>
      </c>
      <c r="M26" s="58"/>
      <c r="N26" s="191">
        <v>3</v>
      </c>
      <c r="O26" s="4" t="s">
        <v>91</v>
      </c>
      <c r="P26" s="58"/>
      <c r="Q26" s="58"/>
    </row>
    <row r="27" spans="1:17">
      <c r="A27" s="196"/>
      <c r="B27" s="59">
        <v>46218</v>
      </c>
      <c r="C27" s="58" t="str">
        <f t="shared" si="6"/>
        <v>Wednesday</v>
      </c>
      <c r="D27" s="197" t="s">
        <v>844</v>
      </c>
      <c r="E27" s="58" t="str">
        <f t="shared" si="7"/>
        <v>July</v>
      </c>
      <c r="F27" s="58">
        <v>2026</v>
      </c>
      <c r="G27" s="191">
        <v>3</v>
      </c>
      <c r="H27" s="58" t="s">
        <v>99</v>
      </c>
      <c r="I27" s="140" t="s">
        <v>108</v>
      </c>
      <c r="J27" s="58" t="s">
        <v>366</v>
      </c>
      <c r="K27" s="58" t="s">
        <v>106</v>
      </c>
      <c r="L27" s="198" t="s">
        <v>870</v>
      </c>
      <c r="M27" s="58"/>
      <c r="N27" s="191">
        <v>3</v>
      </c>
      <c r="O27" s="4" t="s">
        <v>91</v>
      </c>
      <c r="P27" s="58"/>
      <c r="Q27" s="58"/>
    </row>
    <row r="28" spans="1:17">
      <c r="A28" s="196"/>
      <c r="B28" s="59">
        <v>46225</v>
      </c>
      <c r="C28" s="58" t="str">
        <f t="shared" si="6"/>
        <v>Wednesday</v>
      </c>
      <c r="D28" s="197" t="s">
        <v>844</v>
      </c>
      <c r="E28" s="58" t="str">
        <f t="shared" si="7"/>
        <v>July</v>
      </c>
      <c r="F28" s="58">
        <v>2026</v>
      </c>
      <c r="G28" s="191">
        <v>3</v>
      </c>
      <c r="H28" s="58" t="s">
        <v>99</v>
      </c>
      <c r="I28" s="140" t="s">
        <v>108</v>
      </c>
      <c r="J28" s="58" t="s">
        <v>366</v>
      </c>
      <c r="K28" s="58" t="s">
        <v>106</v>
      </c>
      <c r="L28" s="245" t="s">
        <v>887</v>
      </c>
      <c r="M28" s="58"/>
      <c r="N28" s="191">
        <v>3</v>
      </c>
      <c r="O28" s="4" t="s">
        <v>91</v>
      </c>
      <c r="P28" s="58"/>
      <c r="Q28" s="58"/>
    </row>
    <row r="29" spans="1:17">
      <c r="A29" s="196"/>
      <c r="B29" s="59">
        <v>46232</v>
      </c>
      <c r="C29" s="58" t="str">
        <f t="shared" si="6"/>
        <v>Wednesday</v>
      </c>
      <c r="D29" s="197" t="s">
        <v>844</v>
      </c>
      <c r="E29" s="58" t="str">
        <f t="shared" si="7"/>
        <v>July</v>
      </c>
      <c r="F29" s="58">
        <v>2026</v>
      </c>
      <c r="G29" s="191">
        <v>3</v>
      </c>
      <c r="H29" s="58" t="s">
        <v>99</v>
      </c>
      <c r="I29" s="140" t="s">
        <v>108</v>
      </c>
      <c r="J29" s="58" t="s">
        <v>366</v>
      </c>
      <c r="K29" s="58" t="s">
        <v>106</v>
      </c>
      <c r="L29" s="245" t="s">
        <v>887</v>
      </c>
      <c r="M29" s="58"/>
      <c r="N29" s="191">
        <v>3</v>
      </c>
      <c r="O29" s="4" t="s">
        <v>91</v>
      </c>
      <c r="P29" s="58"/>
      <c r="Q29" s="58"/>
    </row>
    <row r="30" spans="1:17">
      <c r="A30" s="200"/>
      <c r="B30" s="101">
        <v>46238</v>
      </c>
      <c r="C30" s="100" t="str">
        <f t="shared" si="6"/>
        <v>Tuesday</v>
      </c>
      <c r="D30" s="243" t="s">
        <v>844</v>
      </c>
      <c r="E30" s="100" t="str">
        <f t="shared" si="7"/>
        <v>August</v>
      </c>
      <c r="F30" s="100">
        <v>2026</v>
      </c>
      <c r="G30" s="178"/>
      <c r="H30" s="100" t="s">
        <v>99</v>
      </c>
      <c r="I30" s="146" t="s">
        <v>108</v>
      </c>
      <c r="J30" s="100" t="s">
        <v>366</v>
      </c>
      <c r="K30" s="58" t="s">
        <v>106</v>
      </c>
      <c r="L30" s="202" t="s">
        <v>912</v>
      </c>
      <c r="M30" s="100"/>
      <c r="N30" s="178"/>
      <c r="O30" s="244"/>
      <c r="P30" s="100"/>
      <c r="Q30" s="100"/>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FA08D-B23C-4A4A-A750-5CC2D5117ACC}">
  <dimension ref="A1:Q39"/>
  <sheetViews>
    <sheetView topLeftCell="A4" workbookViewId="0">
      <selection activeCell="L18" sqref="L18"/>
    </sheetView>
  </sheetViews>
  <sheetFormatPr defaultRowHeight="15"/>
  <cols>
    <col min="1" max="1" width="8.85546875" bestFit="1" customWidth="1"/>
    <col min="2" max="2" width="21.7109375" customWidth="1"/>
    <col min="3" max="3" width="14" customWidth="1"/>
    <col min="4" max="4" width="28.5703125" customWidth="1"/>
    <col min="5" max="5" width="12.85546875" customWidth="1"/>
    <col min="6" max="6" width="8.140625" bestFit="1" customWidth="1"/>
    <col min="7" max="7" width="18.42578125" bestFit="1" customWidth="1"/>
    <col min="8" max="8" width="9.42578125" bestFit="1" customWidth="1"/>
    <col min="9" max="9" width="18.5703125" bestFit="1" customWidth="1"/>
    <col min="10" max="10" width="26.28515625" bestFit="1" customWidth="1"/>
    <col min="11" max="11" width="9.42578125" bestFit="1" customWidth="1"/>
    <col min="12" max="12" width="70.7109375" customWidth="1"/>
    <col min="13" max="13" width="19.85546875" bestFit="1" customWidth="1"/>
    <col min="14" max="14" width="24.28515625" bestFit="1" customWidth="1"/>
    <col min="15" max="15" width="12.5703125" bestFit="1" customWidth="1"/>
    <col min="16" max="17" width="13" bestFit="1"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39">
        <v>1</v>
      </c>
      <c r="B2" s="59">
        <v>46091</v>
      </c>
      <c r="C2" s="58" t="str">
        <f>TEXT(B2,"dddd")</f>
        <v>Tuesday</v>
      </c>
      <c r="D2" s="58" t="s">
        <v>456</v>
      </c>
      <c r="E2" s="58" t="str">
        <f t="shared" ref="E2:E37" si="0">TEXT(B2,"mmmm")</f>
        <v>March</v>
      </c>
      <c r="F2" s="58">
        <v>2026</v>
      </c>
      <c r="G2" s="58">
        <v>2.5</v>
      </c>
      <c r="H2" s="58" t="s">
        <v>99</v>
      </c>
      <c r="I2" s="140" t="s">
        <v>100</v>
      </c>
      <c r="J2" s="58" t="s">
        <v>373</v>
      </c>
      <c r="K2" s="58" t="s">
        <v>101</v>
      </c>
      <c r="L2" s="142" t="s">
        <v>431</v>
      </c>
      <c r="M2" s="58"/>
      <c r="N2" s="58">
        <v>2.5</v>
      </c>
      <c r="O2" s="4" t="s">
        <v>102</v>
      </c>
      <c r="P2" s="58"/>
      <c r="Q2" s="58"/>
    </row>
    <row r="3" spans="1:17">
      <c r="A3" s="139">
        <v>2</v>
      </c>
      <c r="B3" s="59">
        <v>46093</v>
      </c>
      <c r="C3" s="58" t="str">
        <f t="shared" ref="C2:C37" si="1">TEXT(B3,"dddd")</f>
        <v>Thursday</v>
      </c>
      <c r="D3" s="58" t="s">
        <v>456</v>
      </c>
      <c r="E3" s="58" t="str">
        <f t="shared" si="0"/>
        <v>March</v>
      </c>
      <c r="F3" s="58">
        <v>2026</v>
      </c>
      <c r="G3" s="58">
        <v>2.5</v>
      </c>
      <c r="H3" s="58" t="s">
        <v>99</v>
      </c>
      <c r="I3" s="140" t="s">
        <v>100</v>
      </c>
      <c r="J3" s="58" t="s">
        <v>373</v>
      </c>
      <c r="K3" s="58" t="s">
        <v>101</v>
      </c>
      <c r="L3" s="142" t="s">
        <v>457</v>
      </c>
      <c r="M3" s="58"/>
      <c r="N3" s="58">
        <v>2.5</v>
      </c>
      <c r="O3" s="4" t="s">
        <v>102</v>
      </c>
      <c r="P3" s="58"/>
      <c r="Q3" s="58"/>
    </row>
    <row r="4" spans="1:17" ht="45.75">
      <c r="A4" s="139">
        <v>3</v>
      </c>
      <c r="B4" s="59">
        <v>46098</v>
      </c>
      <c r="C4" s="58" t="str">
        <f t="shared" si="1"/>
        <v>Tuesday</v>
      </c>
      <c r="D4" s="58" t="s">
        <v>456</v>
      </c>
      <c r="E4" s="58" t="str">
        <f t="shared" si="0"/>
        <v>March</v>
      </c>
      <c r="F4" s="58">
        <v>2026</v>
      </c>
      <c r="G4" s="58">
        <v>2.5</v>
      </c>
      <c r="H4" s="58" t="s">
        <v>99</v>
      </c>
      <c r="I4" s="140" t="s">
        <v>100</v>
      </c>
      <c r="J4" s="58" t="s">
        <v>373</v>
      </c>
      <c r="K4" s="58" t="s">
        <v>101</v>
      </c>
      <c r="L4" s="142" t="s">
        <v>468</v>
      </c>
      <c r="M4" s="58"/>
      <c r="N4" s="58">
        <v>2.5</v>
      </c>
      <c r="O4" s="4" t="s">
        <v>102</v>
      </c>
      <c r="P4" s="58"/>
      <c r="Q4" s="58"/>
    </row>
    <row r="5" spans="1:17" ht="30.75">
      <c r="A5" s="139">
        <v>4</v>
      </c>
      <c r="B5" s="59">
        <v>46105</v>
      </c>
      <c r="C5" s="58" t="str">
        <f t="shared" si="1"/>
        <v>Tuesday</v>
      </c>
      <c r="D5" s="58" t="s">
        <v>456</v>
      </c>
      <c r="E5" s="58" t="str">
        <f t="shared" si="0"/>
        <v>March</v>
      </c>
      <c r="F5" s="58">
        <v>2026</v>
      </c>
      <c r="G5" s="58">
        <v>2.5</v>
      </c>
      <c r="H5" s="58" t="s">
        <v>99</v>
      </c>
      <c r="I5" s="140" t="s">
        <v>100</v>
      </c>
      <c r="J5" s="58" t="s">
        <v>373</v>
      </c>
      <c r="K5" s="58" t="s">
        <v>101</v>
      </c>
      <c r="L5" s="142" t="s">
        <v>517</v>
      </c>
      <c r="M5" s="58"/>
      <c r="N5" s="58">
        <v>2.5</v>
      </c>
      <c r="O5" s="4" t="s">
        <v>102</v>
      </c>
      <c r="P5" s="58"/>
      <c r="Q5" s="58"/>
    </row>
    <row r="6" spans="1:17">
      <c r="A6" s="139"/>
      <c r="B6" s="59">
        <v>46107</v>
      </c>
      <c r="C6" s="58" t="str">
        <f t="shared" si="1"/>
        <v>Thursday</v>
      </c>
      <c r="D6" s="58"/>
      <c r="E6" s="58" t="str">
        <f t="shared" si="0"/>
        <v>March</v>
      </c>
      <c r="F6" s="58">
        <v>2026</v>
      </c>
      <c r="G6" s="58"/>
      <c r="H6" s="58" t="s">
        <v>99</v>
      </c>
      <c r="I6" s="140" t="s">
        <v>100</v>
      </c>
      <c r="J6" s="58" t="s">
        <v>373</v>
      </c>
      <c r="K6" s="58" t="s">
        <v>101</v>
      </c>
      <c r="L6" s="154" t="s">
        <v>427</v>
      </c>
      <c r="M6" s="58"/>
      <c r="N6" s="58"/>
      <c r="O6" s="4" t="s">
        <v>102</v>
      </c>
      <c r="P6" s="58"/>
      <c r="Q6" s="58"/>
    </row>
    <row r="7" spans="1:17" ht="45.75">
      <c r="A7" s="139">
        <v>5</v>
      </c>
      <c r="B7" s="59">
        <v>46112</v>
      </c>
      <c r="C7" s="58" t="str">
        <f t="shared" si="1"/>
        <v>Tuesday</v>
      </c>
      <c r="D7" s="58" t="s">
        <v>456</v>
      </c>
      <c r="E7" s="58" t="str">
        <f t="shared" si="0"/>
        <v>March</v>
      </c>
      <c r="F7" s="58">
        <v>2026</v>
      </c>
      <c r="G7" s="58">
        <v>2.5</v>
      </c>
      <c r="H7" s="58" t="s">
        <v>99</v>
      </c>
      <c r="I7" s="140" t="s">
        <v>100</v>
      </c>
      <c r="J7" s="58" t="s">
        <v>373</v>
      </c>
      <c r="K7" s="58" t="s">
        <v>101</v>
      </c>
      <c r="L7" s="142" t="s">
        <v>547</v>
      </c>
      <c r="M7" s="58"/>
      <c r="N7" s="58">
        <v>2.5</v>
      </c>
      <c r="O7" s="4" t="s">
        <v>102</v>
      </c>
      <c r="P7" s="58"/>
      <c r="Q7" s="58"/>
    </row>
    <row r="8" spans="1:17" ht="30.75">
      <c r="A8" s="139">
        <v>6</v>
      </c>
      <c r="B8" s="59">
        <v>46119</v>
      </c>
      <c r="C8" s="58" t="str">
        <f t="shared" si="1"/>
        <v>Tuesday</v>
      </c>
      <c r="D8" s="58" t="s">
        <v>456</v>
      </c>
      <c r="E8" s="58" t="str">
        <f t="shared" si="0"/>
        <v>April</v>
      </c>
      <c r="F8" s="58">
        <v>2026</v>
      </c>
      <c r="G8" s="58">
        <v>2.5</v>
      </c>
      <c r="H8" s="58" t="s">
        <v>99</v>
      </c>
      <c r="I8" s="140" t="s">
        <v>100</v>
      </c>
      <c r="J8" s="58" t="s">
        <v>373</v>
      </c>
      <c r="K8" s="58" t="s">
        <v>101</v>
      </c>
      <c r="L8" s="142" t="s">
        <v>548</v>
      </c>
      <c r="M8" s="58"/>
      <c r="N8" s="58">
        <v>2.5</v>
      </c>
      <c r="O8" s="4" t="s">
        <v>102</v>
      </c>
      <c r="P8" s="58"/>
      <c r="Q8" s="58"/>
    </row>
    <row r="9" spans="1:17" ht="30.75">
      <c r="A9" s="139">
        <v>7</v>
      </c>
      <c r="B9" s="59">
        <v>46128</v>
      </c>
      <c r="C9" s="58" t="str">
        <f t="shared" si="1"/>
        <v>Thursday</v>
      </c>
      <c r="D9" s="58" t="s">
        <v>456</v>
      </c>
      <c r="E9" s="58" t="str">
        <f t="shared" si="0"/>
        <v>April</v>
      </c>
      <c r="F9" s="58">
        <v>2026</v>
      </c>
      <c r="G9" s="58">
        <v>2.5</v>
      </c>
      <c r="H9" s="58" t="s">
        <v>99</v>
      </c>
      <c r="I9" s="140" t="s">
        <v>100</v>
      </c>
      <c r="J9" s="58" t="s">
        <v>373</v>
      </c>
      <c r="K9" s="58" t="s">
        <v>101</v>
      </c>
      <c r="L9" s="142" t="s">
        <v>572</v>
      </c>
      <c r="M9" s="58"/>
      <c r="N9" s="58">
        <v>2.5</v>
      </c>
      <c r="O9" s="4" t="s">
        <v>102</v>
      </c>
      <c r="P9" s="58"/>
      <c r="Q9" s="58"/>
    </row>
    <row r="10" spans="1:17">
      <c r="A10" s="139">
        <v>8</v>
      </c>
      <c r="B10" s="59">
        <v>46133</v>
      </c>
      <c r="C10" s="58" t="str">
        <f t="shared" si="1"/>
        <v>Tuesday</v>
      </c>
      <c r="D10" s="58" t="s">
        <v>456</v>
      </c>
      <c r="E10" s="58" t="str">
        <f t="shared" si="0"/>
        <v>April</v>
      </c>
      <c r="F10" s="58">
        <v>2026</v>
      </c>
      <c r="G10" s="58">
        <v>2.5</v>
      </c>
      <c r="H10" s="58" t="s">
        <v>99</v>
      </c>
      <c r="I10" s="140" t="s">
        <v>100</v>
      </c>
      <c r="J10" s="58" t="s">
        <v>373</v>
      </c>
      <c r="K10" s="58" t="s">
        <v>101</v>
      </c>
      <c r="L10" s="142" t="s">
        <v>606</v>
      </c>
      <c r="M10" s="58"/>
      <c r="N10" s="58">
        <v>2.5</v>
      </c>
      <c r="O10" s="4" t="s">
        <v>102</v>
      </c>
      <c r="P10" s="58"/>
      <c r="Q10" s="58"/>
    </row>
    <row r="11" spans="1:17">
      <c r="A11" s="139"/>
      <c r="B11" s="59">
        <v>46135</v>
      </c>
      <c r="C11" s="58" t="str">
        <f t="shared" si="1"/>
        <v>Thursday</v>
      </c>
      <c r="D11" s="58"/>
      <c r="E11" s="58" t="str">
        <f t="shared" si="0"/>
        <v>April</v>
      </c>
      <c r="F11" s="58">
        <v>2026</v>
      </c>
      <c r="G11" s="58"/>
      <c r="H11" s="58" t="s">
        <v>99</v>
      </c>
      <c r="I11" s="140" t="s">
        <v>100</v>
      </c>
      <c r="J11" s="58" t="s">
        <v>373</v>
      </c>
      <c r="K11" s="58" t="s">
        <v>101</v>
      </c>
      <c r="L11" s="154" t="s">
        <v>427</v>
      </c>
      <c r="M11" s="58"/>
      <c r="N11" s="58"/>
      <c r="O11" s="4" t="s">
        <v>102</v>
      </c>
      <c r="P11" s="58"/>
      <c r="Q11" s="58"/>
    </row>
    <row r="12" spans="1:17">
      <c r="A12" s="139">
        <v>9</v>
      </c>
      <c r="B12" s="59">
        <v>46140</v>
      </c>
      <c r="C12" s="58" t="str">
        <f t="shared" si="1"/>
        <v>Tuesday</v>
      </c>
      <c r="D12" s="58" t="s">
        <v>456</v>
      </c>
      <c r="E12" s="58" t="str">
        <f t="shared" si="0"/>
        <v>April</v>
      </c>
      <c r="F12" s="58">
        <v>2026</v>
      </c>
      <c r="G12" s="58">
        <v>2.5</v>
      </c>
      <c r="H12" s="58" t="s">
        <v>99</v>
      </c>
      <c r="I12" s="140" t="s">
        <v>100</v>
      </c>
      <c r="J12" s="58" t="s">
        <v>373</v>
      </c>
      <c r="K12" s="58" t="s">
        <v>101</v>
      </c>
      <c r="L12" s="142" t="s">
        <v>621</v>
      </c>
      <c r="M12" s="58"/>
      <c r="N12" s="58">
        <v>2.5</v>
      </c>
      <c r="O12" s="4" t="s">
        <v>102</v>
      </c>
      <c r="P12" s="58"/>
      <c r="Q12" s="58"/>
    </row>
    <row r="13" spans="1:17" ht="30.75">
      <c r="A13" s="139">
        <v>10</v>
      </c>
      <c r="B13" s="59">
        <v>46142</v>
      </c>
      <c r="C13" s="58" t="str">
        <f t="shared" si="1"/>
        <v>Thursday</v>
      </c>
      <c r="D13" s="58" t="s">
        <v>456</v>
      </c>
      <c r="E13" s="58" t="str">
        <f t="shared" si="0"/>
        <v>April</v>
      </c>
      <c r="F13" s="58">
        <v>2026</v>
      </c>
      <c r="G13" s="58">
        <v>2.5</v>
      </c>
      <c r="H13" s="58" t="s">
        <v>99</v>
      </c>
      <c r="I13" s="140" t="s">
        <v>100</v>
      </c>
      <c r="J13" s="58" t="s">
        <v>373</v>
      </c>
      <c r="K13" s="58" t="s">
        <v>101</v>
      </c>
      <c r="L13" s="142" t="s">
        <v>650</v>
      </c>
      <c r="M13" s="58"/>
      <c r="N13" s="58">
        <v>2.5</v>
      </c>
      <c r="O13" s="4" t="s">
        <v>102</v>
      </c>
      <c r="P13" s="58"/>
      <c r="Q13" s="58"/>
    </row>
    <row r="14" spans="1:17">
      <c r="A14" s="139">
        <v>14</v>
      </c>
      <c r="B14" s="59">
        <v>46147</v>
      </c>
      <c r="C14" s="58" t="str">
        <f t="shared" si="1"/>
        <v>Tuesday</v>
      </c>
      <c r="D14" s="58" t="s">
        <v>456</v>
      </c>
      <c r="E14" s="58" t="str">
        <f t="shared" si="0"/>
        <v>May</v>
      </c>
      <c r="F14" s="58">
        <v>2026</v>
      </c>
      <c r="G14" s="58">
        <v>2.5</v>
      </c>
      <c r="H14" s="58" t="s">
        <v>99</v>
      </c>
      <c r="I14" s="140" t="s">
        <v>100</v>
      </c>
      <c r="J14" s="58" t="s">
        <v>373</v>
      </c>
      <c r="K14" s="58" t="s">
        <v>101</v>
      </c>
      <c r="L14" s="142" t="s">
        <v>668</v>
      </c>
      <c r="M14" s="58"/>
      <c r="N14" s="58"/>
      <c r="O14" s="4" t="s">
        <v>102</v>
      </c>
      <c r="P14" s="58"/>
      <c r="Q14" s="58"/>
    </row>
    <row r="15" spans="1:17">
      <c r="A15" s="139"/>
      <c r="B15" s="59">
        <v>46149</v>
      </c>
      <c r="C15" s="58" t="str">
        <f t="shared" si="1"/>
        <v>Thursday</v>
      </c>
      <c r="D15" s="58" t="s">
        <v>456</v>
      </c>
      <c r="E15" s="58" t="str">
        <f t="shared" si="0"/>
        <v>May</v>
      </c>
      <c r="F15" s="58">
        <v>2026</v>
      </c>
      <c r="G15" s="58">
        <v>2.5</v>
      </c>
      <c r="H15" s="58" t="s">
        <v>99</v>
      </c>
      <c r="I15" s="140" t="s">
        <v>100</v>
      </c>
      <c r="J15" s="58" t="s">
        <v>373</v>
      </c>
      <c r="K15" s="58" t="s">
        <v>101</v>
      </c>
      <c r="L15" s="155" t="s">
        <v>678</v>
      </c>
      <c r="M15" s="58"/>
      <c r="N15" s="58"/>
      <c r="O15" s="4" t="s">
        <v>102</v>
      </c>
      <c r="P15" s="58"/>
      <c r="Q15" s="58"/>
    </row>
    <row r="16" spans="1:17" ht="30.75">
      <c r="A16" s="139">
        <v>15</v>
      </c>
      <c r="B16" s="59">
        <v>46154</v>
      </c>
      <c r="C16" s="58" t="str">
        <f t="shared" si="1"/>
        <v>Tuesday</v>
      </c>
      <c r="D16" s="58" t="s">
        <v>456</v>
      </c>
      <c r="E16" s="58" t="str">
        <f t="shared" si="0"/>
        <v>May</v>
      </c>
      <c r="F16" s="58">
        <v>2026</v>
      </c>
      <c r="G16" s="58">
        <v>2.5</v>
      </c>
      <c r="H16" s="58" t="s">
        <v>99</v>
      </c>
      <c r="I16" s="140" t="s">
        <v>100</v>
      </c>
      <c r="J16" s="58" t="s">
        <v>373</v>
      </c>
      <c r="K16" s="58" t="s">
        <v>101</v>
      </c>
      <c r="L16" s="142" t="s">
        <v>696</v>
      </c>
      <c r="M16" s="58"/>
      <c r="N16" s="58">
        <v>2.5</v>
      </c>
      <c r="O16" s="4" t="s">
        <v>102</v>
      </c>
      <c r="P16" s="58"/>
      <c r="Q16" s="58"/>
    </row>
    <row r="17" spans="1:17">
      <c r="A17" s="139"/>
      <c r="B17" s="59">
        <v>46156</v>
      </c>
      <c r="C17" s="58" t="str">
        <f t="shared" si="1"/>
        <v>Thursday</v>
      </c>
      <c r="D17" s="58"/>
      <c r="E17" s="58" t="str">
        <f t="shared" si="0"/>
        <v>May</v>
      </c>
      <c r="F17" s="58">
        <v>2026</v>
      </c>
      <c r="G17" s="58"/>
      <c r="H17" s="58" t="s">
        <v>99</v>
      </c>
      <c r="I17" s="140" t="s">
        <v>100</v>
      </c>
      <c r="J17" s="58" t="s">
        <v>373</v>
      </c>
      <c r="K17" s="58" t="s">
        <v>101</v>
      </c>
      <c r="L17" s="154" t="s">
        <v>427</v>
      </c>
      <c r="M17" s="58"/>
      <c r="N17" s="58"/>
      <c r="O17" s="4" t="s">
        <v>102</v>
      </c>
      <c r="P17" s="58"/>
      <c r="Q17" s="58"/>
    </row>
    <row r="18" spans="1:17">
      <c r="A18" s="139">
        <v>16</v>
      </c>
      <c r="B18" s="59">
        <v>46161</v>
      </c>
      <c r="C18" s="58" t="str">
        <f t="shared" si="1"/>
        <v>Tuesday</v>
      </c>
      <c r="D18" s="58" t="s">
        <v>456</v>
      </c>
      <c r="E18" s="58" t="str">
        <f t="shared" si="0"/>
        <v>May</v>
      </c>
      <c r="F18" s="58">
        <v>2026</v>
      </c>
      <c r="G18" s="58">
        <v>2.5</v>
      </c>
      <c r="H18" s="58" t="s">
        <v>99</v>
      </c>
      <c r="I18" s="140" t="s">
        <v>100</v>
      </c>
      <c r="J18" s="58" t="s">
        <v>373</v>
      </c>
      <c r="K18" s="58" t="s">
        <v>101</v>
      </c>
      <c r="L18" s="142" t="s">
        <v>726</v>
      </c>
      <c r="M18" s="58"/>
      <c r="N18" s="58">
        <v>2.5</v>
      </c>
      <c r="O18" s="4" t="s">
        <v>102</v>
      </c>
      <c r="P18" s="58"/>
      <c r="Q18" s="58"/>
    </row>
    <row r="19" spans="1:17">
      <c r="A19" s="139">
        <v>17</v>
      </c>
      <c r="B19" s="59">
        <v>46163</v>
      </c>
      <c r="C19" s="58" t="str">
        <f t="shared" si="1"/>
        <v>Thursday</v>
      </c>
      <c r="D19" s="58" t="s">
        <v>456</v>
      </c>
      <c r="E19" s="58" t="str">
        <f t="shared" si="0"/>
        <v>May</v>
      </c>
      <c r="F19" s="58">
        <v>2026</v>
      </c>
      <c r="G19" s="58">
        <v>2.5</v>
      </c>
      <c r="H19" s="58" t="s">
        <v>99</v>
      </c>
      <c r="I19" s="140" t="s">
        <v>100</v>
      </c>
      <c r="J19" s="58" t="s">
        <v>373</v>
      </c>
      <c r="K19" s="58" t="s">
        <v>101</v>
      </c>
      <c r="L19" s="142" t="s">
        <v>739</v>
      </c>
      <c r="M19" s="58"/>
      <c r="N19" s="58">
        <v>2.5</v>
      </c>
      <c r="O19" s="4" t="s">
        <v>102</v>
      </c>
      <c r="P19" s="58"/>
      <c r="Q19" s="58"/>
    </row>
    <row r="20" spans="1:17" ht="30.75">
      <c r="A20" s="139">
        <v>11</v>
      </c>
      <c r="B20" s="59">
        <v>46168</v>
      </c>
      <c r="C20" s="58" t="str">
        <f t="shared" si="1"/>
        <v>Tuesday</v>
      </c>
      <c r="D20" s="58" t="s">
        <v>456</v>
      </c>
      <c r="E20" s="58" t="str">
        <f t="shared" si="0"/>
        <v>May</v>
      </c>
      <c r="F20" s="58">
        <v>2026</v>
      </c>
      <c r="G20" s="58">
        <v>2.5</v>
      </c>
      <c r="H20" s="58" t="s">
        <v>99</v>
      </c>
      <c r="I20" s="140" t="s">
        <v>100</v>
      </c>
      <c r="J20" s="58" t="s">
        <v>373</v>
      </c>
      <c r="K20" s="58" t="s">
        <v>101</v>
      </c>
      <c r="L20" s="142" t="s">
        <v>755</v>
      </c>
      <c r="M20" s="58"/>
      <c r="N20" s="58">
        <v>2.5</v>
      </c>
      <c r="O20" s="4" t="s">
        <v>102</v>
      </c>
      <c r="P20" s="58"/>
      <c r="Q20" s="58"/>
    </row>
    <row r="21" spans="1:17">
      <c r="A21" s="139">
        <v>12</v>
      </c>
      <c r="B21" s="59">
        <v>46170</v>
      </c>
      <c r="C21" s="58" t="str">
        <f t="shared" si="1"/>
        <v>Thursday</v>
      </c>
      <c r="D21" s="58" t="s">
        <v>456</v>
      </c>
      <c r="E21" s="58" t="str">
        <f t="shared" si="0"/>
        <v>May</v>
      </c>
      <c r="F21" s="58">
        <v>2026</v>
      </c>
      <c r="G21" s="58">
        <v>2.5</v>
      </c>
      <c r="H21" s="58" t="s">
        <v>99</v>
      </c>
      <c r="I21" s="140" t="s">
        <v>100</v>
      </c>
      <c r="J21" s="58" t="s">
        <v>373</v>
      </c>
      <c r="K21" s="58" t="s">
        <v>101</v>
      </c>
      <c r="L21" s="142" t="s">
        <v>758</v>
      </c>
      <c r="M21" s="58"/>
      <c r="N21" s="58">
        <v>2.5</v>
      </c>
      <c r="O21" s="4" t="s">
        <v>102</v>
      </c>
      <c r="P21" s="58"/>
      <c r="Q21" s="58"/>
    </row>
    <row r="22" spans="1:17">
      <c r="A22" s="139">
        <v>13</v>
      </c>
      <c r="B22" s="59">
        <v>46175</v>
      </c>
      <c r="C22" s="58" t="str">
        <f t="shared" si="1"/>
        <v>Tuesday</v>
      </c>
      <c r="D22" s="58" t="s">
        <v>456</v>
      </c>
      <c r="E22" s="58" t="str">
        <f t="shared" si="0"/>
        <v>June</v>
      </c>
      <c r="F22" s="58">
        <v>2026</v>
      </c>
      <c r="G22" s="58">
        <v>2.5</v>
      </c>
      <c r="H22" s="58" t="s">
        <v>99</v>
      </c>
      <c r="I22" s="140" t="s">
        <v>100</v>
      </c>
      <c r="J22" s="58" t="s">
        <v>373</v>
      </c>
      <c r="K22" s="58" t="s">
        <v>101</v>
      </c>
      <c r="L22" s="142" t="s">
        <v>766</v>
      </c>
      <c r="M22" s="58"/>
      <c r="N22" s="58">
        <v>2.5</v>
      </c>
      <c r="O22" s="4" t="s">
        <v>102</v>
      </c>
      <c r="P22" s="58"/>
      <c r="Q22" s="58"/>
    </row>
    <row r="23" spans="1:17">
      <c r="A23" s="139">
        <v>18</v>
      </c>
      <c r="B23" s="59">
        <v>46177</v>
      </c>
      <c r="C23" s="58" t="str">
        <f t="shared" si="1"/>
        <v>Thursday</v>
      </c>
      <c r="D23" s="58" t="s">
        <v>456</v>
      </c>
      <c r="E23" s="58" t="str">
        <f t="shared" si="0"/>
        <v>June</v>
      </c>
      <c r="F23" s="58">
        <v>2026</v>
      </c>
      <c r="G23" s="58">
        <v>2.5</v>
      </c>
      <c r="H23" s="58" t="s">
        <v>99</v>
      </c>
      <c r="I23" s="140" t="s">
        <v>100</v>
      </c>
      <c r="J23" s="58" t="s">
        <v>373</v>
      </c>
      <c r="K23" s="58" t="s">
        <v>101</v>
      </c>
      <c r="L23" s="142" t="s">
        <v>778</v>
      </c>
      <c r="M23" s="58"/>
      <c r="N23" s="58">
        <v>2.5</v>
      </c>
      <c r="O23" s="4" t="s">
        <v>102</v>
      </c>
      <c r="P23" s="58"/>
      <c r="Q23" s="58"/>
    </row>
    <row r="24" spans="1:17">
      <c r="A24" s="139">
        <v>19</v>
      </c>
      <c r="B24" s="59">
        <v>46182</v>
      </c>
      <c r="C24" s="58" t="str">
        <f t="shared" si="1"/>
        <v>Tuesday</v>
      </c>
      <c r="D24" s="58" t="s">
        <v>456</v>
      </c>
      <c r="E24" s="58" t="str">
        <f t="shared" si="0"/>
        <v>June</v>
      </c>
      <c r="F24" s="58">
        <v>2026</v>
      </c>
      <c r="G24" s="58">
        <v>2.5</v>
      </c>
      <c r="H24" s="58" t="s">
        <v>99</v>
      </c>
      <c r="I24" s="140" t="s">
        <v>100</v>
      </c>
      <c r="J24" s="58" t="s">
        <v>373</v>
      </c>
      <c r="K24" s="58" t="s">
        <v>101</v>
      </c>
      <c r="L24" s="142" t="s">
        <v>789</v>
      </c>
      <c r="M24" s="58"/>
      <c r="N24" s="58">
        <v>2.5</v>
      </c>
      <c r="O24" s="4" t="s">
        <v>102</v>
      </c>
      <c r="P24" s="58"/>
      <c r="Q24" s="58"/>
    </row>
    <row r="25" spans="1:17">
      <c r="A25" s="139">
        <v>20</v>
      </c>
      <c r="B25" s="59">
        <v>46184</v>
      </c>
      <c r="C25" s="58" t="str">
        <f t="shared" si="1"/>
        <v>Thursday</v>
      </c>
      <c r="D25" s="58" t="s">
        <v>456</v>
      </c>
      <c r="E25" s="58" t="str">
        <f t="shared" si="0"/>
        <v>June</v>
      </c>
      <c r="F25" s="58">
        <v>2026</v>
      </c>
      <c r="G25" s="58">
        <v>2.5</v>
      </c>
      <c r="H25" s="58" t="s">
        <v>99</v>
      </c>
      <c r="I25" s="140" t="s">
        <v>100</v>
      </c>
      <c r="J25" s="58" t="s">
        <v>373</v>
      </c>
      <c r="K25" s="58" t="s">
        <v>101</v>
      </c>
      <c r="L25" s="142" t="s">
        <v>797</v>
      </c>
      <c r="M25" s="58"/>
      <c r="N25" s="58">
        <v>2.5</v>
      </c>
      <c r="O25" s="4" t="s">
        <v>102</v>
      </c>
      <c r="P25" s="58"/>
      <c r="Q25" s="58"/>
    </row>
    <row r="26" spans="1:17">
      <c r="A26" s="139">
        <v>21</v>
      </c>
      <c r="B26" s="59">
        <v>46189</v>
      </c>
      <c r="C26" s="58" t="str">
        <f t="shared" si="1"/>
        <v>Tuesday</v>
      </c>
      <c r="D26" s="58" t="s">
        <v>456</v>
      </c>
      <c r="E26" s="58" t="str">
        <f t="shared" si="0"/>
        <v>June</v>
      </c>
      <c r="F26" s="58">
        <v>2026</v>
      </c>
      <c r="G26" s="58">
        <v>2.5</v>
      </c>
      <c r="H26" s="58" t="s">
        <v>99</v>
      </c>
      <c r="I26" s="140" t="s">
        <v>100</v>
      </c>
      <c r="J26" s="58" t="s">
        <v>373</v>
      </c>
      <c r="K26" s="58" t="s">
        <v>101</v>
      </c>
      <c r="L26" s="142" t="s">
        <v>808</v>
      </c>
      <c r="M26" s="58"/>
      <c r="N26" s="58">
        <v>2.5</v>
      </c>
      <c r="O26" s="4" t="s">
        <v>102</v>
      </c>
      <c r="P26" s="58"/>
      <c r="Q26" s="58"/>
    </row>
    <row r="27" spans="1:17">
      <c r="A27" s="139">
        <v>22</v>
      </c>
      <c r="B27" s="59">
        <v>46191</v>
      </c>
      <c r="C27" s="58" t="str">
        <f t="shared" si="1"/>
        <v>Thursday</v>
      </c>
      <c r="D27" s="58" t="s">
        <v>456</v>
      </c>
      <c r="E27" s="58" t="str">
        <f t="shared" si="0"/>
        <v>June</v>
      </c>
      <c r="F27" s="58">
        <v>2026</v>
      </c>
      <c r="G27" s="58">
        <v>2.5</v>
      </c>
      <c r="H27" s="58" t="s">
        <v>99</v>
      </c>
      <c r="I27" s="140" t="s">
        <v>100</v>
      </c>
      <c r="J27" s="58" t="s">
        <v>373</v>
      </c>
      <c r="K27" s="58" t="s">
        <v>101</v>
      </c>
      <c r="L27" s="142" t="s">
        <v>816</v>
      </c>
      <c r="M27" s="58"/>
      <c r="N27" s="58">
        <v>2.5</v>
      </c>
      <c r="O27" s="4" t="s">
        <v>102</v>
      </c>
      <c r="P27" s="58"/>
      <c r="Q27" s="58"/>
    </row>
    <row r="28" spans="1:17" ht="30.75">
      <c r="A28" s="139">
        <v>23</v>
      </c>
      <c r="B28" s="59">
        <v>46196</v>
      </c>
      <c r="C28" s="58" t="str">
        <f t="shared" si="1"/>
        <v>Tuesday</v>
      </c>
      <c r="D28" s="58" t="s">
        <v>827</v>
      </c>
      <c r="E28" s="58" t="str">
        <f t="shared" si="0"/>
        <v>June</v>
      </c>
      <c r="F28" s="58">
        <v>2026</v>
      </c>
      <c r="G28" s="58">
        <v>2.5</v>
      </c>
      <c r="H28" s="58" t="s">
        <v>99</v>
      </c>
      <c r="I28" s="140" t="s">
        <v>100</v>
      </c>
      <c r="J28" s="58" t="s">
        <v>373</v>
      </c>
      <c r="K28" s="58" t="s">
        <v>101</v>
      </c>
      <c r="L28" s="142" t="s">
        <v>828</v>
      </c>
      <c r="M28" s="58"/>
      <c r="N28" s="58">
        <v>2.5</v>
      </c>
      <c r="O28" s="4" t="s">
        <v>102</v>
      </c>
      <c r="P28" s="58"/>
      <c r="Q28" s="58"/>
    </row>
    <row r="29" spans="1:17">
      <c r="A29" s="139">
        <v>24</v>
      </c>
      <c r="B29" s="59">
        <v>46198</v>
      </c>
      <c r="C29" s="58" t="str">
        <f t="shared" si="1"/>
        <v>Thursday</v>
      </c>
      <c r="D29" s="58" t="s">
        <v>456</v>
      </c>
      <c r="E29" s="58" t="str">
        <f t="shared" si="0"/>
        <v>June</v>
      </c>
      <c r="F29" s="58">
        <v>2026</v>
      </c>
      <c r="G29" s="58">
        <v>2.5</v>
      </c>
      <c r="H29" s="58" t="s">
        <v>99</v>
      </c>
      <c r="I29" s="140" t="s">
        <v>100</v>
      </c>
      <c r="J29" s="58" t="s">
        <v>373</v>
      </c>
      <c r="K29" s="58" t="s">
        <v>101</v>
      </c>
      <c r="L29" s="142" t="s">
        <v>833</v>
      </c>
      <c r="M29" s="58"/>
      <c r="N29" s="58">
        <v>2.5</v>
      </c>
      <c r="O29" s="4" t="s">
        <v>102</v>
      </c>
      <c r="P29" s="58"/>
      <c r="Q29" s="58"/>
    </row>
    <row r="30" spans="1:17">
      <c r="A30" s="139">
        <v>25</v>
      </c>
      <c r="B30" s="59">
        <v>46203</v>
      </c>
      <c r="C30" s="58" t="str">
        <f t="shared" si="1"/>
        <v>Tuesday</v>
      </c>
      <c r="D30" s="58" t="s">
        <v>827</v>
      </c>
      <c r="E30" s="58" t="str">
        <f t="shared" si="0"/>
        <v>June</v>
      </c>
      <c r="F30" s="58">
        <v>2026</v>
      </c>
      <c r="G30" s="58">
        <v>2.5</v>
      </c>
      <c r="H30" s="58" t="s">
        <v>99</v>
      </c>
      <c r="I30" s="140" t="s">
        <v>100</v>
      </c>
      <c r="J30" s="58" t="s">
        <v>373</v>
      </c>
      <c r="K30" s="58" t="s">
        <v>101</v>
      </c>
      <c r="L30" s="142" t="s">
        <v>845</v>
      </c>
      <c r="M30" s="58"/>
      <c r="N30" s="58">
        <v>2.5</v>
      </c>
      <c r="O30" s="4" t="s">
        <v>102</v>
      </c>
      <c r="P30" s="58"/>
      <c r="Q30" s="58"/>
    </row>
    <row r="31" spans="1:17">
      <c r="A31" s="139"/>
      <c r="B31" s="59">
        <v>46205</v>
      </c>
      <c r="C31" s="58" t="str">
        <f t="shared" si="1"/>
        <v>Thursday</v>
      </c>
      <c r="D31" s="58"/>
      <c r="E31" s="58" t="str">
        <f t="shared" si="0"/>
        <v>July</v>
      </c>
      <c r="F31" s="58">
        <v>2026</v>
      </c>
      <c r="G31" s="58"/>
      <c r="H31" s="58" t="s">
        <v>99</v>
      </c>
      <c r="I31" s="140" t="s">
        <v>100</v>
      </c>
      <c r="J31" s="58" t="s">
        <v>373</v>
      </c>
      <c r="K31" s="58" t="s">
        <v>101</v>
      </c>
      <c r="L31" s="154" t="s">
        <v>427</v>
      </c>
      <c r="M31" s="58"/>
      <c r="N31" s="58"/>
      <c r="O31" s="4" t="s">
        <v>102</v>
      </c>
      <c r="P31" s="58"/>
      <c r="Q31" s="58"/>
    </row>
    <row r="32" spans="1:17">
      <c r="A32" s="139">
        <v>26</v>
      </c>
      <c r="B32" s="59">
        <v>46210</v>
      </c>
      <c r="C32" s="58" t="str">
        <f t="shared" si="1"/>
        <v>Tuesday</v>
      </c>
      <c r="D32" s="58" t="s">
        <v>827</v>
      </c>
      <c r="E32" s="58" t="str">
        <f t="shared" si="0"/>
        <v>July</v>
      </c>
      <c r="F32" s="58">
        <v>2026</v>
      </c>
      <c r="G32" s="58">
        <v>1.5</v>
      </c>
      <c r="H32" s="58" t="s">
        <v>99</v>
      </c>
      <c r="I32" s="140" t="s">
        <v>100</v>
      </c>
      <c r="J32" s="58" t="s">
        <v>373</v>
      </c>
      <c r="K32" s="58" t="s">
        <v>101</v>
      </c>
      <c r="L32" s="142" t="s">
        <v>856</v>
      </c>
      <c r="M32" s="58"/>
      <c r="N32" s="58">
        <v>1.5</v>
      </c>
      <c r="O32" s="4" t="s">
        <v>102</v>
      </c>
      <c r="P32" s="58"/>
      <c r="Q32" s="58"/>
    </row>
    <row r="33" spans="1:17">
      <c r="A33" s="139">
        <v>27</v>
      </c>
      <c r="B33" s="59">
        <v>46212</v>
      </c>
      <c r="C33" s="58" t="str">
        <f t="shared" si="1"/>
        <v>Thursday</v>
      </c>
      <c r="D33" s="58" t="s">
        <v>827</v>
      </c>
      <c r="E33" s="58" t="str">
        <f t="shared" si="0"/>
        <v>July</v>
      </c>
      <c r="F33" s="58">
        <v>2026</v>
      </c>
      <c r="G33" s="58">
        <v>1.5</v>
      </c>
      <c r="H33" s="58" t="s">
        <v>99</v>
      </c>
      <c r="I33" s="140" t="s">
        <v>100</v>
      </c>
      <c r="J33" s="58" t="s">
        <v>373</v>
      </c>
      <c r="K33" s="58" t="s">
        <v>101</v>
      </c>
      <c r="L33" s="142" t="s">
        <v>862</v>
      </c>
      <c r="M33" s="58"/>
      <c r="N33" s="58">
        <v>1.5</v>
      </c>
      <c r="O33" s="4" t="s">
        <v>102</v>
      </c>
      <c r="P33" s="58"/>
      <c r="Q33" s="58"/>
    </row>
    <row r="34" spans="1:17">
      <c r="A34" s="139">
        <v>28</v>
      </c>
      <c r="B34" s="59">
        <v>46217</v>
      </c>
      <c r="C34" s="58" t="str">
        <f t="shared" si="1"/>
        <v>Tuesday</v>
      </c>
      <c r="D34" s="58" t="s">
        <v>456</v>
      </c>
      <c r="E34" s="58" t="str">
        <f t="shared" si="0"/>
        <v>July</v>
      </c>
      <c r="F34" s="58">
        <v>2026</v>
      </c>
      <c r="G34" s="58">
        <v>1.5</v>
      </c>
      <c r="H34" s="58" t="s">
        <v>99</v>
      </c>
      <c r="I34" s="140" t="s">
        <v>100</v>
      </c>
      <c r="J34" s="58" t="s">
        <v>373</v>
      </c>
      <c r="K34" s="58" t="s">
        <v>101</v>
      </c>
      <c r="L34" s="142" t="s">
        <v>871</v>
      </c>
      <c r="M34" s="58"/>
      <c r="N34" s="58">
        <v>1.5</v>
      </c>
      <c r="O34" s="4" t="s">
        <v>102</v>
      </c>
      <c r="P34" s="58"/>
      <c r="Q34" s="58"/>
    </row>
    <row r="35" spans="1:17">
      <c r="A35" s="139">
        <v>29</v>
      </c>
      <c r="B35" s="59">
        <v>46219</v>
      </c>
      <c r="C35" s="58" t="str">
        <f t="shared" si="1"/>
        <v>Thursday</v>
      </c>
      <c r="D35" s="58" t="s">
        <v>456</v>
      </c>
      <c r="E35" s="58" t="str">
        <f t="shared" si="0"/>
        <v>July</v>
      </c>
      <c r="F35" s="58">
        <v>2026</v>
      </c>
      <c r="G35" s="58">
        <v>1.5</v>
      </c>
      <c r="H35" s="58" t="s">
        <v>99</v>
      </c>
      <c r="I35" s="140" t="s">
        <v>100</v>
      </c>
      <c r="J35" s="58" t="s">
        <v>373</v>
      </c>
      <c r="K35" s="58" t="s">
        <v>101</v>
      </c>
      <c r="L35" s="142" t="s">
        <v>877</v>
      </c>
      <c r="M35" s="58"/>
      <c r="N35" s="58">
        <v>1.5</v>
      </c>
      <c r="O35" s="4" t="s">
        <v>102</v>
      </c>
      <c r="P35" s="58"/>
      <c r="Q35" s="58"/>
    </row>
    <row r="36" spans="1:17">
      <c r="A36" s="139"/>
      <c r="B36" s="59">
        <v>46224</v>
      </c>
      <c r="C36" s="58" t="str">
        <f t="shared" si="1"/>
        <v>Tuesday</v>
      </c>
      <c r="D36" s="58"/>
      <c r="E36" s="58" t="str">
        <f t="shared" si="0"/>
        <v>July</v>
      </c>
      <c r="F36" s="58">
        <v>2026</v>
      </c>
      <c r="G36" s="58">
        <v>2.5</v>
      </c>
      <c r="H36" s="58" t="s">
        <v>99</v>
      </c>
      <c r="I36" s="140" t="s">
        <v>100</v>
      </c>
      <c r="J36" s="58" t="s">
        <v>373</v>
      </c>
      <c r="K36" s="58" t="s">
        <v>101</v>
      </c>
      <c r="L36" s="142" t="s">
        <v>888</v>
      </c>
      <c r="M36" s="58"/>
      <c r="N36" s="58">
        <v>2.5</v>
      </c>
      <c r="O36" s="4" t="s">
        <v>102</v>
      </c>
      <c r="P36" s="58"/>
      <c r="Q36" s="58"/>
    </row>
    <row r="37" spans="1:17">
      <c r="A37" s="139"/>
      <c r="B37" s="59">
        <v>46226</v>
      </c>
      <c r="C37" s="58" t="str">
        <f t="shared" si="1"/>
        <v>Thursday</v>
      </c>
      <c r="D37" s="58"/>
      <c r="E37" s="58" t="str">
        <f t="shared" si="0"/>
        <v>July</v>
      </c>
      <c r="F37" s="58">
        <v>2026</v>
      </c>
      <c r="G37" s="58">
        <v>2.5</v>
      </c>
      <c r="H37" s="58" t="s">
        <v>99</v>
      </c>
      <c r="I37" s="140" t="s">
        <v>100</v>
      </c>
      <c r="J37" s="58" t="s">
        <v>373</v>
      </c>
      <c r="K37" s="58" t="s">
        <v>101</v>
      </c>
      <c r="L37" s="142" t="s">
        <v>888</v>
      </c>
      <c r="M37" s="58"/>
      <c r="N37" s="58">
        <v>2.5</v>
      </c>
      <c r="O37" s="4" t="s">
        <v>102</v>
      </c>
      <c r="P37" s="58"/>
      <c r="Q37" s="58"/>
    </row>
    <row r="38" spans="1:17">
      <c r="A38" s="139">
        <v>30</v>
      </c>
      <c r="B38" s="59">
        <v>46240</v>
      </c>
      <c r="C38" s="58" t="str">
        <f t="shared" ref="C38:C39" si="2">TEXT(B38,"dddd")</f>
        <v>Thursday</v>
      </c>
      <c r="D38" s="58" t="s">
        <v>456</v>
      </c>
      <c r="E38" s="58" t="str">
        <f t="shared" ref="E38:E39" si="3">TEXT(B38,"mmmm")</f>
        <v>August</v>
      </c>
      <c r="F38" s="58"/>
      <c r="G38" s="58"/>
      <c r="H38" s="58"/>
      <c r="I38" s="140" t="s">
        <v>100</v>
      </c>
      <c r="J38" s="58"/>
      <c r="K38" s="58"/>
      <c r="L38" s="142" t="s">
        <v>668</v>
      </c>
      <c r="M38" s="58"/>
      <c r="N38" s="58"/>
      <c r="O38" s="4" t="s">
        <v>102</v>
      </c>
      <c r="P38" s="58"/>
      <c r="Q38" s="58"/>
    </row>
    <row r="39" spans="1:17">
      <c r="A39" s="139"/>
      <c r="B39" s="59">
        <v>46245</v>
      </c>
      <c r="C39" s="58" t="str">
        <f t="shared" si="2"/>
        <v>Tuesday</v>
      </c>
      <c r="D39" s="58" t="s">
        <v>456</v>
      </c>
      <c r="E39" s="58" t="str">
        <f t="shared" si="3"/>
        <v>August</v>
      </c>
      <c r="F39" s="58"/>
      <c r="G39" s="58"/>
      <c r="H39" s="58"/>
      <c r="I39" s="140" t="s">
        <v>100</v>
      </c>
      <c r="J39" s="58"/>
      <c r="K39" s="58"/>
      <c r="L39" s="156" t="s">
        <v>923</v>
      </c>
      <c r="M39" s="58"/>
      <c r="N39" s="58"/>
      <c r="O39" s="4" t="s">
        <v>102</v>
      </c>
      <c r="P39" s="58"/>
      <c r="Q39" s="58"/>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15B1-00D2-44F2-AC25-A94564601C03}">
  <dimension ref="A1:Q42"/>
  <sheetViews>
    <sheetView topLeftCell="A5" workbookViewId="0">
      <selection activeCell="L14" sqref="L14"/>
    </sheetView>
  </sheetViews>
  <sheetFormatPr defaultRowHeight="15"/>
  <cols>
    <col min="1" max="1" width="8.85546875" bestFit="1" customWidth="1"/>
    <col min="2" max="2" width="21.7109375" customWidth="1"/>
    <col min="3" max="3" width="14" customWidth="1"/>
    <col min="4" max="4" width="28.5703125" customWidth="1"/>
    <col min="5" max="5" width="12.85546875" customWidth="1"/>
    <col min="6" max="6" width="8.140625" bestFit="1" customWidth="1"/>
    <col min="7" max="7" width="18.42578125" bestFit="1" customWidth="1"/>
    <col min="8" max="8" width="9.42578125" bestFit="1" customWidth="1"/>
    <col min="9" max="9" width="18.5703125" bestFit="1" customWidth="1"/>
    <col min="10" max="10" width="26.28515625" bestFit="1" customWidth="1"/>
    <col min="11" max="11" width="9.42578125" bestFit="1" customWidth="1"/>
    <col min="12" max="12" width="70.7109375" customWidth="1"/>
    <col min="13" max="13" width="19.85546875" bestFit="1" customWidth="1"/>
    <col min="14" max="14" width="24.28515625" bestFit="1" customWidth="1"/>
    <col min="15" max="15" width="22.5703125" customWidth="1"/>
    <col min="16" max="17" width="13" bestFit="1"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39"/>
      <c r="B2" s="59">
        <v>46077</v>
      </c>
      <c r="C2" s="58" t="str">
        <f t="shared" ref="C2:C36" si="0">TEXT(B2,"dddd")</f>
        <v>Tuesday</v>
      </c>
      <c r="D2" s="58"/>
      <c r="E2" s="58" t="str">
        <f>TEXT(B2,"mmmm")</f>
        <v>February</v>
      </c>
      <c r="F2" s="58">
        <v>2026</v>
      </c>
      <c r="G2" s="58"/>
      <c r="H2" s="58" t="s">
        <v>99</v>
      </c>
      <c r="I2" s="140" t="s">
        <v>100</v>
      </c>
      <c r="J2" s="58" t="s">
        <v>373</v>
      </c>
      <c r="K2" s="58" t="s">
        <v>10</v>
      </c>
      <c r="L2" s="144" t="s">
        <v>418</v>
      </c>
      <c r="M2" s="58"/>
      <c r="N2" s="58">
        <v>2.5</v>
      </c>
      <c r="O2" s="41" t="s">
        <v>29</v>
      </c>
      <c r="P2" s="58"/>
      <c r="Q2" s="58"/>
    </row>
    <row r="3" spans="1:17">
      <c r="A3" s="139">
        <v>1</v>
      </c>
      <c r="B3" s="59">
        <v>46107</v>
      </c>
      <c r="C3" s="58" t="str">
        <f t="shared" si="0"/>
        <v>Thursday</v>
      </c>
      <c r="D3" s="58" t="s">
        <v>532</v>
      </c>
      <c r="E3" s="58" t="str">
        <f t="shared" ref="E3:E39" si="1">TEXT(B3,"mmmm")</f>
        <v>March</v>
      </c>
      <c r="F3" s="58">
        <v>2026</v>
      </c>
      <c r="G3" s="58">
        <v>2.5</v>
      </c>
      <c r="H3" s="58" t="s">
        <v>99</v>
      </c>
      <c r="I3" s="140" t="s">
        <v>100</v>
      </c>
      <c r="J3" s="58" t="s">
        <v>373</v>
      </c>
      <c r="K3" s="58" t="s">
        <v>10</v>
      </c>
      <c r="L3" s="142" t="s">
        <v>431</v>
      </c>
      <c r="M3" s="58"/>
      <c r="N3" s="58">
        <v>2.5</v>
      </c>
      <c r="O3" s="41" t="s">
        <v>29</v>
      </c>
      <c r="P3" s="58"/>
      <c r="Q3" s="58"/>
    </row>
    <row r="4" spans="1:17">
      <c r="A4" s="139">
        <v>2</v>
      </c>
      <c r="B4" s="59">
        <v>46119</v>
      </c>
      <c r="C4" s="58" t="str">
        <f t="shared" si="0"/>
        <v>Tuesday</v>
      </c>
      <c r="D4" s="58" t="s">
        <v>532</v>
      </c>
      <c r="E4" s="58" t="str">
        <f t="shared" si="1"/>
        <v>April</v>
      </c>
      <c r="F4" s="58">
        <v>2026</v>
      </c>
      <c r="G4" s="58">
        <v>2.5</v>
      </c>
      <c r="H4" s="58" t="s">
        <v>99</v>
      </c>
      <c r="I4" s="140" t="s">
        <v>100</v>
      </c>
      <c r="J4" s="58" t="s">
        <v>373</v>
      </c>
      <c r="K4" s="58" t="s">
        <v>10</v>
      </c>
      <c r="L4" s="142" t="s">
        <v>457</v>
      </c>
      <c r="M4" s="58"/>
      <c r="N4" s="58">
        <v>2.5</v>
      </c>
      <c r="O4" s="41" t="s">
        <v>29</v>
      </c>
      <c r="P4" s="58"/>
      <c r="Q4" s="58"/>
    </row>
    <row r="5" spans="1:17" ht="45.75">
      <c r="A5" s="139">
        <v>3</v>
      </c>
      <c r="B5" s="59">
        <v>46121</v>
      </c>
      <c r="C5" s="58" t="str">
        <f t="shared" si="0"/>
        <v>Thursday</v>
      </c>
      <c r="D5" s="58" t="s">
        <v>532</v>
      </c>
      <c r="E5" s="58" t="str">
        <f t="shared" si="1"/>
        <v>April</v>
      </c>
      <c r="F5" s="58">
        <v>2026</v>
      </c>
      <c r="G5" s="58">
        <v>2.5</v>
      </c>
      <c r="H5" s="58" t="s">
        <v>99</v>
      </c>
      <c r="I5" s="140" t="s">
        <v>100</v>
      </c>
      <c r="J5" s="58" t="s">
        <v>373</v>
      </c>
      <c r="K5" s="58" t="s">
        <v>10</v>
      </c>
      <c r="L5" s="142" t="s">
        <v>468</v>
      </c>
      <c r="M5" s="58"/>
      <c r="N5" s="58">
        <v>2.5</v>
      </c>
      <c r="O5" s="41" t="s">
        <v>29</v>
      </c>
      <c r="P5" s="58"/>
      <c r="Q5" s="58"/>
    </row>
    <row r="6" spans="1:17" ht="30.75">
      <c r="A6" s="139">
        <v>4</v>
      </c>
      <c r="B6" s="59">
        <v>46133</v>
      </c>
      <c r="C6" s="58" t="str">
        <f t="shared" si="0"/>
        <v>Tuesday</v>
      </c>
      <c r="D6" s="58" t="s">
        <v>532</v>
      </c>
      <c r="E6" s="58" t="str">
        <f t="shared" si="1"/>
        <v>April</v>
      </c>
      <c r="F6" s="58">
        <v>2026</v>
      </c>
      <c r="G6" s="58">
        <v>2.5</v>
      </c>
      <c r="H6" s="58" t="s">
        <v>99</v>
      </c>
      <c r="I6" s="140" t="s">
        <v>100</v>
      </c>
      <c r="J6" s="58" t="s">
        <v>373</v>
      </c>
      <c r="K6" s="58" t="s">
        <v>10</v>
      </c>
      <c r="L6" s="142" t="s">
        <v>492</v>
      </c>
      <c r="M6" s="58"/>
      <c r="N6" s="58">
        <v>2.5</v>
      </c>
      <c r="O6" s="41" t="s">
        <v>29</v>
      </c>
      <c r="P6" s="58"/>
      <c r="Q6" s="58"/>
    </row>
    <row r="7" spans="1:17" ht="45.75">
      <c r="A7" s="139">
        <v>5</v>
      </c>
      <c r="B7" s="59">
        <v>46135</v>
      </c>
      <c r="C7" s="58" t="str">
        <f t="shared" si="0"/>
        <v>Thursday</v>
      </c>
      <c r="D7" s="58" t="s">
        <v>532</v>
      </c>
      <c r="E7" s="58" t="str">
        <f t="shared" si="1"/>
        <v>April</v>
      </c>
      <c r="F7" s="58">
        <v>2026</v>
      </c>
      <c r="G7" s="58">
        <v>2.5</v>
      </c>
      <c r="H7" s="58" t="s">
        <v>99</v>
      </c>
      <c r="I7" s="140" t="s">
        <v>100</v>
      </c>
      <c r="J7" s="58" t="s">
        <v>373</v>
      </c>
      <c r="K7" s="58" t="s">
        <v>10</v>
      </c>
      <c r="L7" s="142" t="s">
        <v>547</v>
      </c>
      <c r="M7" s="58"/>
      <c r="N7" s="58">
        <v>2.5</v>
      </c>
      <c r="O7" s="41" t="s">
        <v>29</v>
      </c>
      <c r="P7" s="58"/>
      <c r="Q7" s="58"/>
    </row>
    <row r="8" spans="1:17" ht="30.75">
      <c r="A8" s="139">
        <v>6</v>
      </c>
      <c r="B8" s="59">
        <v>46140</v>
      </c>
      <c r="C8" s="58" t="str">
        <f t="shared" si="0"/>
        <v>Tuesday</v>
      </c>
      <c r="D8" s="58" t="s">
        <v>532</v>
      </c>
      <c r="E8" s="58" t="str">
        <f t="shared" si="1"/>
        <v>April</v>
      </c>
      <c r="F8" s="58">
        <v>2026</v>
      </c>
      <c r="G8" s="58">
        <v>2.5</v>
      </c>
      <c r="H8" s="58" t="s">
        <v>99</v>
      </c>
      <c r="I8" s="140" t="s">
        <v>100</v>
      </c>
      <c r="J8" s="58" t="s">
        <v>373</v>
      </c>
      <c r="K8" s="58" t="s">
        <v>10</v>
      </c>
      <c r="L8" s="142" t="s">
        <v>548</v>
      </c>
      <c r="M8" s="58"/>
      <c r="N8" s="58">
        <v>2.5</v>
      </c>
      <c r="O8" s="41" t="s">
        <v>29</v>
      </c>
      <c r="P8" s="58"/>
      <c r="Q8" s="58"/>
    </row>
    <row r="9" spans="1:17" ht="30.75">
      <c r="A9" s="139">
        <v>7</v>
      </c>
      <c r="B9" s="59">
        <v>46142</v>
      </c>
      <c r="C9" s="58" t="str">
        <f t="shared" si="0"/>
        <v>Thursday</v>
      </c>
      <c r="D9" s="58" t="s">
        <v>532</v>
      </c>
      <c r="E9" s="58" t="str">
        <f t="shared" si="1"/>
        <v>April</v>
      </c>
      <c r="F9" s="58">
        <v>2026</v>
      </c>
      <c r="G9" s="58">
        <v>2.5</v>
      </c>
      <c r="H9" s="58" t="s">
        <v>99</v>
      </c>
      <c r="I9" s="140" t="s">
        <v>100</v>
      </c>
      <c r="J9" s="58" t="s">
        <v>373</v>
      </c>
      <c r="K9" s="58" t="s">
        <v>10</v>
      </c>
      <c r="L9" s="142" t="s">
        <v>572</v>
      </c>
      <c r="M9" s="58"/>
      <c r="N9" s="58">
        <v>2.5</v>
      </c>
      <c r="O9" s="41" t="s">
        <v>29</v>
      </c>
      <c r="P9" s="58"/>
      <c r="Q9" s="58"/>
    </row>
    <row r="10" spans="1:17">
      <c r="A10" s="139">
        <v>8</v>
      </c>
      <c r="B10" s="59">
        <v>46147</v>
      </c>
      <c r="C10" s="58" t="str">
        <f t="shared" si="0"/>
        <v>Tuesday</v>
      </c>
      <c r="D10" s="58" t="s">
        <v>532</v>
      </c>
      <c r="E10" s="58" t="str">
        <f t="shared" si="1"/>
        <v>May</v>
      </c>
      <c r="F10" s="58">
        <v>2026</v>
      </c>
      <c r="G10" s="58">
        <v>2.5</v>
      </c>
      <c r="H10" s="58" t="s">
        <v>99</v>
      </c>
      <c r="I10" s="140" t="s">
        <v>100</v>
      </c>
      <c r="J10" s="58" t="s">
        <v>373</v>
      </c>
      <c r="K10" s="58" t="s">
        <v>10</v>
      </c>
      <c r="L10" s="142" t="s">
        <v>606</v>
      </c>
      <c r="M10" s="58"/>
      <c r="N10" s="58">
        <v>2.5</v>
      </c>
      <c r="O10" s="41" t="s">
        <v>29</v>
      </c>
      <c r="P10" s="58"/>
      <c r="Q10" s="58"/>
    </row>
    <row r="11" spans="1:17">
      <c r="A11" s="139">
        <v>9</v>
      </c>
      <c r="B11" s="59">
        <v>46149</v>
      </c>
      <c r="C11" s="58" t="str">
        <f t="shared" si="0"/>
        <v>Thursday</v>
      </c>
      <c r="D11" s="58" t="s">
        <v>532</v>
      </c>
      <c r="E11" s="58" t="str">
        <f t="shared" si="1"/>
        <v>May</v>
      </c>
      <c r="F11" s="58">
        <v>2026</v>
      </c>
      <c r="G11" s="58">
        <v>2.5</v>
      </c>
      <c r="H11" s="58" t="s">
        <v>99</v>
      </c>
      <c r="I11" s="140" t="s">
        <v>100</v>
      </c>
      <c r="J11" s="58" t="s">
        <v>373</v>
      </c>
      <c r="K11" s="58" t="s">
        <v>10</v>
      </c>
      <c r="L11" s="142" t="s">
        <v>621</v>
      </c>
      <c r="M11" s="58"/>
      <c r="N11" s="58"/>
      <c r="O11" s="41" t="s">
        <v>29</v>
      </c>
      <c r="P11" s="58"/>
      <c r="Q11" s="58"/>
    </row>
    <row r="12" spans="1:17">
      <c r="A12" s="139"/>
      <c r="B12" s="59">
        <v>46154</v>
      </c>
      <c r="C12" s="58" t="str">
        <f t="shared" si="0"/>
        <v>Tuesday</v>
      </c>
      <c r="D12" s="58"/>
      <c r="E12" s="58" t="str">
        <f t="shared" si="1"/>
        <v>May</v>
      </c>
      <c r="F12" s="58">
        <v>2026</v>
      </c>
      <c r="G12" s="58"/>
      <c r="H12" s="58" t="s">
        <v>99</v>
      </c>
      <c r="I12" s="140" t="s">
        <v>100</v>
      </c>
      <c r="J12" s="58" t="s">
        <v>373</v>
      </c>
      <c r="K12" s="58" t="s">
        <v>10</v>
      </c>
      <c r="L12" s="144" t="s">
        <v>427</v>
      </c>
      <c r="M12" s="58"/>
      <c r="N12" s="58">
        <v>2.5</v>
      </c>
      <c r="O12" s="41" t="s">
        <v>29</v>
      </c>
      <c r="P12" s="58"/>
      <c r="Q12" s="58"/>
    </row>
    <row r="13" spans="1:17" ht="30.75">
      <c r="A13" s="139">
        <v>10</v>
      </c>
      <c r="B13" s="59">
        <v>46156</v>
      </c>
      <c r="C13" s="58" t="str">
        <f t="shared" si="0"/>
        <v>Thursday</v>
      </c>
      <c r="D13" s="58" t="s">
        <v>532</v>
      </c>
      <c r="E13" s="58" t="str">
        <f t="shared" si="1"/>
        <v>May</v>
      </c>
      <c r="F13" s="58">
        <v>2026</v>
      </c>
      <c r="G13" s="58">
        <v>2.5</v>
      </c>
      <c r="H13" s="58" t="s">
        <v>99</v>
      </c>
      <c r="I13" s="140" t="s">
        <v>100</v>
      </c>
      <c r="J13" s="58" t="s">
        <v>373</v>
      </c>
      <c r="K13" s="58" t="s">
        <v>10</v>
      </c>
      <c r="L13" s="142" t="s">
        <v>650</v>
      </c>
      <c r="M13" s="58"/>
      <c r="N13" s="58"/>
      <c r="O13" s="41" t="s">
        <v>29</v>
      </c>
      <c r="P13" s="58"/>
      <c r="Q13" s="58"/>
    </row>
    <row r="14" spans="1:17">
      <c r="A14" s="139">
        <v>14</v>
      </c>
      <c r="B14" s="59">
        <v>46161</v>
      </c>
      <c r="C14" s="58" t="str">
        <f t="shared" si="0"/>
        <v>Tuesday</v>
      </c>
      <c r="D14" s="58" t="s">
        <v>532</v>
      </c>
      <c r="E14" s="58" t="str">
        <f t="shared" si="1"/>
        <v>May</v>
      </c>
      <c r="F14" s="58">
        <v>2026</v>
      </c>
      <c r="G14" s="58"/>
      <c r="H14" s="58" t="s">
        <v>99</v>
      </c>
      <c r="I14" s="140" t="s">
        <v>100</v>
      </c>
      <c r="J14" s="58" t="s">
        <v>373</v>
      </c>
      <c r="K14" s="58" t="s">
        <v>10</v>
      </c>
      <c r="L14" s="142" t="s">
        <v>668</v>
      </c>
      <c r="M14" s="58"/>
      <c r="N14" s="58"/>
      <c r="O14" s="41" t="s">
        <v>29</v>
      </c>
      <c r="P14" s="58"/>
      <c r="Q14" s="58"/>
    </row>
    <row r="15" spans="1:17">
      <c r="A15" s="139"/>
      <c r="B15" s="59">
        <v>46163</v>
      </c>
      <c r="C15" s="58" t="str">
        <f t="shared" si="0"/>
        <v>Thursday</v>
      </c>
      <c r="D15" s="58" t="s">
        <v>532</v>
      </c>
      <c r="E15" s="58" t="str">
        <f t="shared" si="1"/>
        <v>May</v>
      </c>
      <c r="F15" s="58">
        <v>2026</v>
      </c>
      <c r="G15" s="58">
        <v>2.5</v>
      </c>
      <c r="H15" s="58" t="s">
        <v>99</v>
      </c>
      <c r="I15" s="140" t="s">
        <v>100</v>
      </c>
      <c r="J15" s="58" t="s">
        <v>373</v>
      </c>
      <c r="K15" s="58" t="s">
        <v>10</v>
      </c>
      <c r="L15" s="156" t="s">
        <v>678</v>
      </c>
      <c r="M15" s="58"/>
      <c r="N15" s="58">
        <v>2.5</v>
      </c>
      <c r="O15" s="41" t="s">
        <v>29</v>
      </c>
      <c r="P15" s="58"/>
      <c r="Q15" s="58"/>
    </row>
    <row r="16" spans="1:17" ht="30.75">
      <c r="A16" s="139">
        <v>15</v>
      </c>
      <c r="B16" s="59">
        <v>46168</v>
      </c>
      <c r="C16" s="58" t="str">
        <f t="shared" si="0"/>
        <v>Tuesday</v>
      </c>
      <c r="D16" s="58" t="s">
        <v>532</v>
      </c>
      <c r="E16" s="58" t="str">
        <f t="shared" si="1"/>
        <v>May</v>
      </c>
      <c r="F16" s="58">
        <v>2026</v>
      </c>
      <c r="G16" s="58">
        <v>2.5</v>
      </c>
      <c r="H16" s="58" t="s">
        <v>99</v>
      </c>
      <c r="I16" s="140" t="s">
        <v>100</v>
      </c>
      <c r="J16" s="58" t="s">
        <v>373</v>
      </c>
      <c r="K16" s="58" t="s">
        <v>10</v>
      </c>
      <c r="L16" s="142" t="s">
        <v>696</v>
      </c>
      <c r="M16" s="58"/>
      <c r="N16" s="58">
        <v>2.5</v>
      </c>
      <c r="O16" s="41" t="s">
        <v>29</v>
      </c>
      <c r="P16" s="58"/>
      <c r="Q16" s="58"/>
    </row>
    <row r="17" spans="1:17">
      <c r="A17" s="139">
        <v>16</v>
      </c>
      <c r="B17" s="59">
        <v>46170</v>
      </c>
      <c r="C17" s="58" t="str">
        <f t="shared" si="0"/>
        <v>Thursday</v>
      </c>
      <c r="D17" s="58" t="s">
        <v>532</v>
      </c>
      <c r="E17" s="58" t="str">
        <f t="shared" si="1"/>
        <v>May</v>
      </c>
      <c r="F17" s="58">
        <v>2026</v>
      </c>
      <c r="G17" s="58">
        <v>2.5</v>
      </c>
      <c r="H17" s="58" t="s">
        <v>99</v>
      </c>
      <c r="I17" s="140" t="s">
        <v>100</v>
      </c>
      <c r="J17" s="58" t="s">
        <v>373</v>
      </c>
      <c r="K17" s="58" t="s">
        <v>10</v>
      </c>
      <c r="L17" s="142" t="s">
        <v>726</v>
      </c>
      <c r="M17" s="58"/>
      <c r="N17" s="58">
        <v>2.5</v>
      </c>
      <c r="O17" s="41" t="s">
        <v>29</v>
      </c>
      <c r="P17" s="58"/>
      <c r="Q17" s="58"/>
    </row>
    <row r="18" spans="1:17">
      <c r="A18" s="139">
        <v>17</v>
      </c>
      <c r="B18" s="59">
        <v>46175</v>
      </c>
      <c r="C18" s="58" t="str">
        <f t="shared" si="0"/>
        <v>Tuesday</v>
      </c>
      <c r="D18" s="58" t="s">
        <v>532</v>
      </c>
      <c r="E18" s="58" t="str">
        <f t="shared" si="1"/>
        <v>June</v>
      </c>
      <c r="F18" s="58">
        <v>2026</v>
      </c>
      <c r="G18" s="58">
        <v>2.5</v>
      </c>
      <c r="H18" s="58" t="s">
        <v>99</v>
      </c>
      <c r="I18" s="140" t="s">
        <v>100</v>
      </c>
      <c r="J18" s="58" t="s">
        <v>373</v>
      </c>
      <c r="K18" s="58" t="s">
        <v>10</v>
      </c>
      <c r="L18" s="142" t="s">
        <v>739</v>
      </c>
      <c r="M18" s="58"/>
      <c r="N18" s="58"/>
      <c r="O18" s="41" t="s">
        <v>29</v>
      </c>
      <c r="P18" s="58"/>
      <c r="Q18" s="58"/>
    </row>
    <row r="19" spans="1:17">
      <c r="A19" s="139"/>
      <c r="B19" s="59">
        <v>46177</v>
      </c>
      <c r="C19" s="58" t="str">
        <f t="shared" si="0"/>
        <v>Thursday</v>
      </c>
      <c r="D19" s="58"/>
      <c r="E19" s="58" t="str">
        <f t="shared" si="1"/>
        <v>June</v>
      </c>
      <c r="F19" s="58">
        <v>2026</v>
      </c>
      <c r="G19" s="58"/>
      <c r="H19" s="58" t="s">
        <v>99</v>
      </c>
      <c r="I19" s="140" t="s">
        <v>100</v>
      </c>
      <c r="J19" s="58" t="s">
        <v>373</v>
      </c>
      <c r="K19" s="58" t="s">
        <v>10</v>
      </c>
      <c r="L19" s="144" t="s">
        <v>427</v>
      </c>
      <c r="M19" s="58"/>
      <c r="N19" s="58">
        <v>2.5</v>
      </c>
      <c r="O19" s="41" t="s">
        <v>29</v>
      </c>
      <c r="P19" s="58"/>
      <c r="Q19" s="58"/>
    </row>
    <row r="20" spans="1:17" ht="30.75">
      <c r="A20" s="139">
        <v>11</v>
      </c>
      <c r="B20" s="59">
        <v>46182</v>
      </c>
      <c r="C20" s="58" t="str">
        <f t="shared" si="0"/>
        <v>Tuesday</v>
      </c>
      <c r="D20" s="58" t="s">
        <v>532</v>
      </c>
      <c r="E20" s="58" t="str">
        <f t="shared" si="1"/>
        <v>June</v>
      </c>
      <c r="F20" s="58">
        <v>2026</v>
      </c>
      <c r="G20" s="58">
        <v>2.5</v>
      </c>
      <c r="H20" s="58" t="s">
        <v>99</v>
      </c>
      <c r="I20" s="140" t="s">
        <v>100</v>
      </c>
      <c r="J20" s="58" t="s">
        <v>373</v>
      </c>
      <c r="K20" s="58" t="s">
        <v>10</v>
      </c>
      <c r="L20" s="142" t="s">
        <v>755</v>
      </c>
      <c r="M20" s="58"/>
      <c r="N20" s="58">
        <v>2.5</v>
      </c>
      <c r="O20" s="41" t="s">
        <v>29</v>
      </c>
      <c r="P20" s="58"/>
      <c r="Q20" s="58"/>
    </row>
    <row r="21" spans="1:17">
      <c r="A21" s="139">
        <v>12</v>
      </c>
      <c r="B21" s="59">
        <v>46184</v>
      </c>
      <c r="C21" s="58" t="str">
        <f t="shared" si="0"/>
        <v>Thursday</v>
      </c>
      <c r="D21" s="58" t="s">
        <v>532</v>
      </c>
      <c r="E21" s="58" t="str">
        <f t="shared" si="1"/>
        <v>June</v>
      </c>
      <c r="F21" s="58">
        <v>2026</v>
      </c>
      <c r="G21" s="58">
        <v>2.5</v>
      </c>
      <c r="H21" s="58" t="s">
        <v>99</v>
      </c>
      <c r="I21" s="140" t="s">
        <v>100</v>
      </c>
      <c r="J21" s="58" t="s">
        <v>373</v>
      </c>
      <c r="K21" s="58" t="s">
        <v>10</v>
      </c>
      <c r="L21" s="142" t="s">
        <v>758</v>
      </c>
      <c r="M21" s="58"/>
      <c r="N21" s="58">
        <v>2.5</v>
      </c>
      <c r="O21" s="41" t="s">
        <v>29</v>
      </c>
      <c r="P21" s="58"/>
      <c r="Q21" s="58"/>
    </row>
    <row r="22" spans="1:17">
      <c r="A22" s="139">
        <v>13</v>
      </c>
      <c r="B22" s="59">
        <v>46189</v>
      </c>
      <c r="C22" s="58" t="str">
        <f t="shared" si="0"/>
        <v>Tuesday</v>
      </c>
      <c r="D22" s="58" t="s">
        <v>532</v>
      </c>
      <c r="E22" s="58" t="str">
        <f t="shared" si="1"/>
        <v>June</v>
      </c>
      <c r="F22" s="58">
        <v>2026</v>
      </c>
      <c r="G22" s="58">
        <v>2.5</v>
      </c>
      <c r="H22" s="58" t="s">
        <v>99</v>
      </c>
      <c r="I22" s="140" t="s">
        <v>100</v>
      </c>
      <c r="J22" s="58" t="s">
        <v>373</v>
      </c>
      <c r="K22" s="58" t="s">
        <v>10</v>
      </c>
      <c r="L22" s="142" t="s">
        <v>766</v>
      </c>
      <c r="M22" s="58"/>
      <c r="N22" s="58">
        <v>2.5</v>
      </c>
      <c r="O22" s="41" t="s">
        <v>29</v>
      </c>
      <c r="P22" s="58"/>
      <c r="Q22" s="58"/>
    </row>
    <row r="23" spans="1:17">
      <c r="A23" s="139">
        <v>18</v>
      </c>
      <c r="B23" s="59">
        <v>46191</v>
      </c>
      <c r="C23" s="58" t="str">
        <f t="shared" si="0"/>
        <v>Thursday</v>
      </c>
      <c r="D23" s="58" t="s">
        <v>532</v>
      </c>
      <c r="E23" s="58" t="str">
        <f t="shared" si="1"/>
        <v>June</v>
      </c>
      <c r="F23" s="58">
        <v>2026</v>
      </c>
      <c r="G23" s="58">
        <v>2.5</v>
      </c>
      <c r="H23" s="58" t="s">
        <v>99</v>
      </c>
      <c r="I23" s="140" t="s">
        <v>100</v>
      </c>
      <c r="J23" s="58" t="s">
        <v>373</v>
      </c>
      <c r="K23" s="58" t="s">
        <v>10</v>
      </c>
      <c r="L23" s="142" t="s">
        <v>778</v>
      </c>
      <c r="M23" s="58"/>
      <c r="N23" s="58">
        <v>2.5</v>
      </c>
      <c r="O23" s="41" t="s">
        <v>29</v>
      </c>
      <c r="P23" s="58"/>
      <c r="Q23" s="58"/>
    </row>
    <row r="24" spans="1:17">
      <c r="A24" s="139">
        <v>19</v>
      </c>
      <c r="B24" s="59">
        <v>46196</v>
      </c>
      <c r="C24" s="58" t="str">
        <f t="shared" si="0"/>
        <v>Tuesday</v>
      </c>
      <c r="D24" s="58" t="s">
        <v>532</v>
      </c>
      <c r="E24" s="58" t="str">
        <f t="shared" si="1"/>
        <v>June</v>
      </c>
      <c r="F24" s="58">
        <v>2026</v>
      </c>
      <c r="G24" s="58">
        <v>2.5</v>
      </c>
      <c r="H24" s="58" t="s">
        <v>99</v>
      </c>
      <c r="I24" s="140" t="s">
        <v>100</v>
      </c>
      <c r="J24" s="58" t="s">
        <v>373</v>
      </c>
      <c r="K24" s="58" t="s">
        <v>10</v>
      </c>
      <c r="L24" s="142" t="s">
        <v>789</v>
      </c>
      <c r="M24" s="58"/>
      <c r="N24" s="58">
        <v>2.5</v>
      </c>
      <c r="O24" s="41" t="s">
        <v>29</v>
      </c>
      <c r="P24" s="58"/>
      <c r="Q24" s="58"/>
    </row>
    <row r="25" spans="1:17">
      <c r="A25" s="139">
        <v>20</v>
      </c>
      <c r="B25" s="59">
        <v>46198</v>
      </c>
      <c r="C25" s="58" t="str">
        <f t="shared" si="0"/>
        <v>Thursday</v>
      </c>
      <c r="D25" s="58" t="s">
        <v>532</v>
      </c>
      <c r="E25" s="58" t="str">
        <f t="shared" si="1"/>
        <v>June</v>
      </c>
      <c r="F25" s="58">
        <v>2026</v>
      </c>
      <c r="G25" s="58">
        <v>2.5</v>
      </c>
      <c r="H25" s="58" t="s">
        <v>99</v>
      </c>
      <c r="I25" s="140" t="s">
        <v>100</v>
      </c>
      <c r="J25" s="58" t="s">
        <v>373</v>
      </c>
      <c r="K25" s="58" t="s">
        <v>10</v>
      </c>
      <c r="L25" s="142" t="s">
        <v>797</v>
      </c>
      <c r="M25" s="58"/>
      <c r="N25" s="58">
        <v>2.5</v>
      </c>
      <c r="O25" s="41" t="s">
        <v>29</v>
      </c>
      <c r="P25" s="58"/>
      <c r="Q25" s="58"/>
    </row>
    <row r="26" spans="1:17">
      <c r="A26" s="139">
        <v>21</v>
      </c>
      <c r="B26" s="59">
        <v>46203</v>
      </c>
      <c r="C26" s="58" t="str">
        <f t="shared" si="0"/>
        <v>Tuesday</v>
      </c>
      <c r="D26" s="58" t="s">
        <v>532</v>
      </c>
      <c r="E26" s="58" t="str">
        <f t="shared" si="1"/>
        <v>June</v>
      </c>
      <c r="F26" s="58">
        <v>2026</v>
      </c>
      <c r="G26" s="58">
        <v>2.5</v>
      </c>
      <c r="H26" s="58" t="s">
        <v>99</v>
      </c>
      <c r="I26" s="140" t="s">
        <v>100</v>
      </c>
      <c r="J26" s="58" t="s">
        <v>373</v>
      </c>
      <c r="K26" s="58" t="s">
        <v>10</v>
      </c>
      <c r="L26" s="142" t="s">
        <v>829</v>
      </c>
      <c r="M26" s="58"/>
      <c r="N26" s="58">
        <v>2.5</v>
      </c>
      <c r="O26" s="41" t="s">
        <v>29</v>
      </c>
      <c r="P26" s="58"/>
      <c r="Q26" s="58"/>
    </row>
    <row r="27" spans="1:17">
      <c r="A27" s="139">
        <v>22</v>
      </c>
      <c r="B27" s="59">
        <v>46210</v>
      </c>
      <c r="C27" s="58" t="str">
        <f t="shared" si="0"/>
        <v>Tuesday</v>
      </c>
      <c r="D27" s="58" t="s">
        <v>532</v>
      </c>
      <c r="E27" s="58" t="str">
        <f t="shared" si="1"/>
        <v>July</v>
      </c>
      <c r="F27" s="58">
        <v>2026</v>
      </c>
      <c r="G27" s="58">
        <v>2.5</v>
      </c>
      <c r="H27" s="58" t="s">
        <v>99</v>
      </c>
      <c r="I27" s="140" t="s">
        <v>100</v>
      </c>
      <c r="J27" s="58" t="s">
        <v>373</v>
      </c>
      <c r="K27" s="58" t="s">
        <v>10</v>
      </c>
      <c r="L27" s="142" t="s">
        <v>816</v>
      </c>
      <c r="M27" s="58"/>
      <c r="N27" s="58"/>
      <c r="O27" s="41" t="s">
        <v>29</v>
      </c>
      <c r="P27" s="58"/>
      <c r="Q27" s="58"/>
    </row>
    <row r="28" spans="1:17">
      <c r="A28" s="139"/>
      <c r="B28" s="59">
        <v>46212</v>
      </c>
      <c r="C28" s="58" t="str">
        <f t="shared" si="0"/>
        <v>Thursday</v>
      </c>
      <c r="D28" s="58"/>
      <c r="E28" s="58" t="str">
        <f t="shared" si="1"/>
        <v>July</v>
      </c>
      <c r="F28" s="58">
        <v>2026</v>
      </c>
      <c r="G28" s="58"/>
      <c r="H28" s="58" t="s">
        <v>99</v>
      </c>
      <c r="I28" s="140" t="s">
        <v>100</v>
      </c>
      <c r="J28" s="58" t="s">
        <v>373</v>
      </c>
      <c r="K28" s="58" t="s">
        <v>10</v>
      </c>
      <c r="L28" s="144" t="s">
        <v>427</v>
      </c>
      <c r="M28" s="58"/>
      <c r="N28" s="58">
        <v>2.5</v>
      </c>
      <c r="O28" s="41" t="s">
        <v>29</v>
      </c>
      <c r="P28" s="58"/>
      <c r="Q28" s="58"/>
    </row>
    <row r="29" spans="1:17" ht="30.75">
      <c r="A29" s="139">
        <v>23</v>
      </c>
      <c r="B29" s="59">
        <v>46217</v>
      </c>
      <c r="C29" s="58" t="str">
        <f t="shared" si="0"/>
        <v>Tuesday</v>
      </c>
      <c r="D29" s="58" t="s">
        <v>532</v>
      </c>
      <c r="E29" s="58" t="str">
        <f t="shared" si="1"/>
        <v>July</v>
      </c>
      <c r="F29" s="58">
        <v>2026</v>
      </c>
      <c r="G29" s="58">
        <v>2.5</v>
      </c>
      <c r="H29" s="58" t="s">
        <v>99</v>
      </c>
      <c r="I29" s="140" t="s">
        <v>100</v>
      </c>
      <c r="J29" s="58" t="s">
        <v>373</v>
      </c>
      <c r="K29" s="58" t="s">
        <v>10</v>
      </c>
      <c r="L29" s="142" t="s">
        <v>828</v>
      </c>
      <c r="M29" s="58"/>
      <c r="N29" s="58">
        <v>2.5</v>
      </c>
      <c r="O29" s="41" t="s">
        <v>29</v>
      </c>
      <c r="P29" s="58"/>
      <c r="Q29" s="58"/>
    </row>
    <row r="30" spans="1:17">
      <c r="A30" s="139">
        <v>24</v>
      </c>
      <c r="B30" s="59">
        <v>46219</v>
      </c>
      <c r="C30" s="58" t="str">
        <f t="shared" si="0"/>
        <v>Thursday</v>
      </c>
      <c r="D30" s="58" t="s">
        <v>532</v>
      </c>
      <c r="E30" s="58" t="str">
        <f t="shared" si="1"/>
        <v>July</v>
      </c>
      <c r="F30" s="58">
        <v>2026</v>
      </c>
      <c r="G30" s="58">
        <v>2.5</v>
      </c>
      <c r="H30" s="58" t="s">
        <v>99</v>
      </c>
      <c r="I30" s="140" t="s">
        <v>100</v>
      </c>
      <c r="J30" s="58" t="s">
        <v>373</v>
      </c>
      <c r="K30" s="58" t="s">
        <v>10</v>
      </c>
      <c r="L30" s="142" t="s">
        <v>833</v>
      </c>
      <c r="M30" s="58"/>
      <c r="N30" s="58">
        <v>2.5</v>
      </c>
      <c r="O30" s="41" t="s">
        <v>29</v>
      </c>
      <c r="P30" s="58"/>
      <c r="Q30" s="58"/>
    </row>
    <row r="31" spans="1:17">
      <c r="A31" s="139">
        <v>25</v>
      </c>
      <c r="B31" s="59">
        <v>46224</v>
      </c>
      <c r="C31" s="58" t="str">
        <f t="shared" si="0"/>
        <v>Tuesday</v>
      </c>
      <c r="D31" s="58" t="s">
        <v>532</v>
      </c>
      <c r="E31" s="58" t="str">
        <f t="shared" si="1"/>
        <v>July</v>
      </c>
      <c r="F31" s="58">
        <v>2026</v>
      </c>
      <c r="G31" s="58">
        <v>2.5</v>
      </c>
      <c r="H31" s="58" t="s">
        <v>99</v>
      </c>
      <c r="I31" s="140" t="s">
        <v>100</v>
      </c>
      <c r="J31" s="58" t="s">
        <v>373</v>
      </c>
      <c r="K31" s="58" t="s">
        <v>10</v>
      </c>
      <c r="L31" s="142" t="s">
        <v>845</v>
      </c>
      <c r="M31" s="58"/>
      <c r="N31" s="58">
        <v>1.5</v>
      </c>
      <c r="O31" s="41" t="s">
        <v>29</v>
      </c>
      <c r="P31" s="58"/>
      <c r="Q31" s="58"/>
    </row>
    <row r="32" spans="1:17">
      <c r="A32" s="139">
        <v>26</v>
      </c>
      <c r="B32" s="59">
        <v>46226</v>
      </c>
      <c r="C32" s="58" t="str">
        <f t="shared" si="0"/>
        <v>Thursday</v>
      </c>
      <c r="D32" s="58" t="s">
        <v>532</v>
      </c>
      <c r="E32" s="58" t="str">
        <f t="shared" si="1"/>
        <v>July</v>
      </c>
      <c r="F32" s="58">
        <v>2026</v>
      </c>
      <c r="G32" s="58">
        <v>1.5</v>
      </c>
      <c r="H32" s="58" t="s">
        <v>99</v>
      </c>
      <c r="I32" s="140" t="s">
        <v>100</v>
      </c>
      <c r="J32" s="58" t="s">
        <v>373</v>
      </c>
      <c r="K32" s="58" t="s">
        <v>10</v>
      </c>
      <c r="L32" s="142" t="s">
        <v>856</v>
      </c>
      <c r="M32" s="58"/>
      <c r="N32" s="58">
        <v>1.5</v>
      </c>
      <c r="O32" s="41" t="s">
        <v>29</v>
      </c>
      <c r="P32" s="58"/>
      <c r="Q32" s="58"/>
    </row>
    <row r="33" spans="1:17">
      <c r="A33" s="139">
        <v>27</v>
      </c>
      <c r="B33" s="59">
        <v>46231</v>
      </c>
      <c r="C33" s="58" t="str">
        <f t="shared" si="0"/>
        <v>Tuesday</v>
      </c>
      <c r="D33" s="58" t="s">
        <v>532</v>
      </c>
      <c r="E33" s="58" t="str">
        <f t="shared" si="1"/>
        <v>July</v>
      </c>
      <c r="F33" s="58">
        <v>2026</v>
      </c>
      <c r="G33" s="58">
        <v>1.5</v>
      </c>
      <c r="H33" s="58" t="s">
        <v>99</v>
      </c>
      <c r="I33" s="140" t="s">
        <v>100</v>
      </c>
      <c r="J33" s="58" t="s">
        <v>373</v>
      </c>
      <c r="K33" s="58" t="s">
        <v>10</v>
      </c>
      <c r="L33" s="142" t="s">
        <v>862</v>
      </c>
      <c r="M33" s="58"/>
      <c r="N33" s="58">
        <v>1.5</v>
      </c>
      <c r="O33" s="41" t="s">
        <v>29</v>
      </c>
      <c r="P33" s="58"/>
      <c r="Q33" s="58"/>
    </row>
    <row r="34" spans="1:17">
      <c r="A34" s="139">
        <v>28</v>
      </c>
      <c r="B34" s="59">
        <v>46233</v>
      </c>
      <c r="C34" s="58" t="str">
        <f t="shared" si="0"/>
        <v>Thursday</v>
      </c>
      <c r="D34" s="58" t="s">
        <v>532</v>
      </c>
      <c r="E34" s="58" t="str">
        <f t="shared" si="1"/>
        <v>July</v>
      </c>
      <c r="F34" s="58">
        <v>2026</v>
      </c>
      <c r="G34" s="58">
        <v>1.5</v>
      </c>
      <c r="H34" s="58" t="s">
        <v>99</v>
      </c>
      <c r="I34" s="140" t="s">
        <v>100</v>
      </c>
      <c r="J34" s="58" t="s">
        <v>373</v>
      </c>
      <c r="K34" s="58" t="s">
        <v>10</v>
      </c>
      <c r="L34" s="142" t="s">
        <v>871</v>
      </c>
      <c r="M34" s="58"/>
      <c r="N34" s="58">
        <v>1.5</v>
      </c>
      <c r="O34" s="41" t="s">
        <v>29</v>
      </c>
      <c r="P34" s="58"/>
      <c r="Q34" s="58"/>
    </row>
    <row r="35" spans="1:17">
      <c r="A35" s="139">
        <v>29</v>
      </c>
      <c r="B35" s="59">
        <v>46238</v>
      </c>
      <c r="C35" s="58" t="str">
        <f t="shared" si="0"/>
        <v>Tuesday</v>
      </c>
      <c r="D35" s="58" t="s">
        <v>532</v>
      </c>
      <c r="E35" s="58" t="str">
        <f t="shared" si="1"/>
        <v>August</v>
      </c>
      <c r="F35" s="58">
        <v>2026</v>
      </c>
      <c r="G35" s="58">
        <v>1.5</v>
      </c>
      <c r="H35" s="58" t="s">
        <v>99</v>
      </c>
      <c r="I35" s="140" t="s">
        <v>100</v>
      </c>
      <c r="J35" s="58" t="s">
        <v>373</v>
      </c>
      <c r="K35" s="58" t="s">
        <v>10</v>
      </c>
      <c r="L35" s="142" t="s">
        <v>877</v>
      </c>
      <c r="M35" s="58"/>
      <c r="N35" s="58">
        <v>2.5</v>
      </c>
      <c r="O35" s="41" t="s">
        <v>29</v>
      </c>
      <c r="P35" s="58"/>
      <c r="Q35" s="58"/>
    </row>
    <row r="36" spans="1:17">
      <c r="A36" s="139"/>
      <c r="B36" s="59">
        <v>46240</v>
      </c>
      <c r="C36" s="58" t="str">
        <f t="shared" si="0"/>
        <v>Thursday</v>
      </c>
      <c r="D36" s="58" t="s">
        <v>532</v>
      </c>
      <c r="E36" s="58" t="str">
        <f t="shared" si="1"/>
        <v>August</v>
      </c>
      <c r="F36" s="58">
        <v>2026</v>
      </c>
      <c r="G36" s="58">
        <v>2.5</v>
      </c>
      <c r="H36" s="58" t="s">
        <v>99</v>
      </c>
      <c r="I36" s="140" t="s">
        <v>100</v>
      </c>
      <c r="J36" s="58" t="s">
        <v>373</v>
      </c>
      <c r="K36" s="58" t="s">
        <v>10</v>
      </c>
      <c r="L36" s="144" t="s">
        <v>888</v>
      </c>
      <c r="M36" s="58"/>
      <c r="N36" s="58">
        <v>2.5</v>
      </c>
      <c r="O36" s="41" t="s">
        <v>29</v>
      </c>
      <c r="P36" s="58"/>
      <c r="Q36" s="58"/>
    </row>
    <row r="37" spans="1:17">
      <c r="A37" s="139"/>
      <c r="B37" s="59"/>
      <c r="C37" s="58" t="str">
        <f t="shared" ref="C37:C39" si="2">TEXT(B37,"dddd")</f>
        <v>Saturday</v>
      </c>
      <c r="D37" s="58"/>
      <c r="E37" s="58" t="str">
        <f t="shared" si="1"/>
        <v>January</v>
      </c>
      <c r="F37" s="58">
        <v>2026</v>
      </c>
      <c r="G37" s="58"/>
      <c r="H37" s="58" t="s">
        <v>99</v>
      </c>
      <c r="I37" s="140" t="s">
        <v>100</v>
      </c>
      <c r="J37" s="58" t="s">
        <v>373</v>
      </c>
      <c r="K37" s="58" t="s">
        <v>10</v>
      </c>
      <c r="L37" s="144" t="s">
        <v>888</v>
      </c>
      <c r="M37" s="58"/>
      <c r="N37" s="58"/>
      <c r="O37" s="41" t="s">
        <v>29</v>
      </c>
      <c r="P37" s="58"/>
      <c r="Q37" s="58"/>
    </row>
    <row r="38" spans="1:17">
      <c r="A38" s="139"/>
      <c r="B38" s="59">
        <v>46245</v>
      </c>
      <c r="C38" s="58" t="str">
        <f t="shared" si="2"/>
        <v>Tuesday</v>
      </c>
      <c r="D38" s="58" t="s">
        <v>532</v>
      </c>
      <c r="E38" s="58" t="str">
        <f t="shared" si="1"/>
        <v>August</v>
      </c>
      <c r="F38" s="58">
        <v>2026</v>
      </c>
      <c r="G38" s="58">
        <v>2.5</v>
      </c>
      <c r="H38" s="58" t="s">
        <v>99</v>
      </c>
      <c r="I38" s="140" t="s">
        <v>100</v>
      </c>
      <c r="J38" s="58" t="s">
        <v>373</v>
      </c>
      <c r="K38" s="58" t="s">
        <v>10</v>
      </c>
      <c r="L38" s="144" t="s">
        <v>888</v>
      </c>
      <c r="M38" s="58"/>
      <c r="N38" s="58"/>
      <c r="O38" s="41" t="s">
        <v>29</v>
      </c>
      <c r="P38" s="58"/>
      <c r="Q38" s="58"/>
    </row>
    <row r="39" spans="1:17">
      <c r="A39" s="139"/>
      <c r="B39" s="59"/>
      <c r="C39" s="58" t="str">
        <f t="shared" si="2"/>
        <v>Saturday</v>
      </c>
      <c r="D39" s="58"/>
      <c r="E39" s="58" t="str">
        <f t="shared" si="1"/>
        <v>January</v>
      </c>
      <c r="F39" s="58">
        <v>2026</v>
      </c>
      <c r="G39" s="58"/>
      <c r="H39" s="58" t="s">
        <v>99</v>
      </c>
      <c r="I39" s="140" t="s">
        <v>100</v>
      </c>
      <c r="J39" s="58" t="s">
        <v>373</v>
      </c>
      <c r="K39" s="58" t="s">
        <v>10</v>
      </c>
      <c r="L39" s="144" t="s">
        <v>888</v>
      </c>
      <c r="M39" s="58"/>
      <c r="N39" s="58"/>
      <c r="O39" s="41" t="s">
        <v>29</v>
      </c>
      <c r="P39" s="58"/>
      <c r="Q39" s="58"/>
    </row>
    <row r="40" spans="1:17">
      <c r="A40" s="139"/>
      <c r="B40" s="59">
        <v>46252</v>
      </c>
      <c r="C40" s="58" t="str">
        <f t="shared" ref="C40:C42" si="3">TEXT(B40,"dddd")</f>
        <v>Tuesday</v>
      </c>
      <c r="D40" s="58"/>
      <c r="E40" s="58" t="str">
        <f t="shared" ref="E40:E42" si="4">TEXT(B40,"mmmm")</f>
        <v>August</v>
      </c>
      <c r="F40" s="58"/>
      <c r="G40" s="58"/>
      <c r="H40" s="58"/>
      <c r="I40" s="140"/>
      <c r="J40" s="58"/>
      <c r="K40" s="58"/>
      <c r="L40" s="144" t="s">
        <v>427</v>
      </c>
      <c r="M40" s="58"/>
      <c r="N40" s="58"/>
      <c r="O40" s="41" t="s">
        <v>29</v>
      </c>
      <c r="P40" s="58"/>
      <c r="Q40" s="58"/>
    </row>
    <row r="41" spans="1:17">
      <c r="A41" s="139"/>
      <c r="B41" s="59">
        <v>46259</v>
      </c>
      <c r="C41" s="58" t="str">
        <f t="shared" si="3"/>
        <v>Tuesday</v>
      </c>
      <c r="D41" s="58" t="s">
        <v>532</v>
      </c>
      <c r="E41" s="58" t="str">
        <f t="shared" si="4"/>
        <v>August</v>
      </c>
      <c r="F41" s="58"/>
      <c r="G41" s="58"/>
      <c r="H41" s="58"/>
      <c r="I41" s="140"/>
      <c r="J41" s="58"/>
      <c r="K41" s="58"/>
      <c r="L41" s="142" t="s">
        <v>668</v>
      </c>
      <c r="M41" s="58"/>
      <c r="N41" s="58"/>
      <c r="O41" s="41" t="s">
        <v>29</v>
      </c>
      <c r="P41" s="58"/>
      <c r="Q41" s="58"/>
    </row>
    <row r="42" spans="1:17">
      <c r="A42" s="139"/>
      <c r="B42" s="59">
        <v>46261</v>
      </c>
      <c r="C42" s="58" t="str">
        <f t="shared" si="3"/>
        <v>Thursday</v>
      </c>
      <c r="D42" s="58" t="s">
        <v>532</v>
      </c>
      <c r="E42" s="58" t="str">
        <f t="shared" si="4"/>
        <v>August</v>
      </c>
      <c r="F42" s="58"/>
      <c r="G42" s="58"/>
      <c r="H42" s="58"/>
      <c r="I42" s="140"/>
      <c r="J42" s="58"/>
      <c r="K42" s="58"/>
      <c r="L42" s="142" t="s">
        <v>923</v>
      </c>
      <c r="M42" s="58"/>
      <c r="N42" s="58"/>
      <c r="O42" s="4"/>
      <c r="P42" s="58"/>
      <c r="Q42" s="58"/>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8CFA4-EF15-4978-B549-946F9346D81D}">
  <dimension ref="A1:Q39"/>
  <sheetViews>
    <sheetView topLeftCell="A4" workbookViewId="0">
      <selection activeCell="L14" sqref="L14"/>
    </sheetView>
  </sheetViews>
  <sheetFormatPr defaultRowHeight="15"/>
  <cols>
    <col min="1" max="1" width="8.85546875" bestFit="1" customWidth="1"/>
    <col min="2" max="2" width="21.7109375" customWidth="1"/>
    <col min="3" max="3" width="14" customWidth="1"/>
    <col min="4" max="4" width="28.5703125" customWidth="1"/>
    <col min="5" max="5" width="12.85546875" customWidth="1"/>
    <col min="6" max="6" width="8.140625" bestFit="1" customWidth="1"/>
    <col min="7" max="7" width="18.42578125" bestFit="1" customWidth="1"/>
    <col min="8" max="8" width="9.42578125" bestFit="1" customWidth="1"/>
    <col min="9" max="9" width="18.5703125" bestFit="1" customWidth="1"/>
    <col min="10" max="10" width="26.28515625" bestFit="1" customWidth="1"/>
    <col min="11" max="11" width="9.42578125" bestFit="1" customWidth="1"/>
    <col min="12" max="12" width="70.7109375" customWidth="1"/>
    <col min="13" max="13" width="19.85546875" bestFit="1" customWidth="1"/>
    <col min="14" max="14" width="24.28515625" bestFit="1" customWidth="1"/>
    <col min="15" max="15" width="12.5703125" bestFit="1" customWidth="1"/>
    <col min="16" max="17" width="13" bestFit="1"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39">
        <v>1</v>
      </c>
      <c r="B2" s="59">
        <v>46093</v>
      </c>
      <c r="C2" s="58" t="str">
        <f t="shared" ref="C2:C36" si="0">TEXT(B2,"dddd")</f>
        <v>Thursday</v>
      </c>
      <c r="D2" s="58" t="s">
        <v>467</v>
      </c>
      <c r="E2" s="58" t="str">
        <f t="shared" ref="E2:E39" si="1">TEXT(B2,"mmmm")</f>
        <v>March</v>
      </c>
      <c r="F2" s="58">
        <v>2026</v>
      </c>
      <c r="G2" s="58">
        <v>2.5</v>
      </c>
      <c r="H2" s="58" t="s">
        <v>99</v>
      </c>
      <c r="I2" s="140" t="s">
        <v>100</v>
      </c>
      <c r="J2" s="58" t="s">
        <v>373</v>
      </c>
      <c r="K2" s="58" t="s">
        <v>104</v>
      </c>
      <c r="L2" s="142" t="s">
        <v>431</v>
      </c>
      <c r="M2" s="58"/>
      <c r="N2" s="58">
        <v>2.5</v>
      </c>
      <c r="O2" s="4" t="s">
        <v>432</v>
      </c>
      <c r="P2" s="58"/>
      <c r="Q2" s="58"/>
    </row>
    <row r="3" spans="1:17">
      <c r="A3" s="139">
        <v>2</v>
      </c>
      <c r="B3" s="59">
        <v>46098</v>
      </c>
      <c r="C3" s="58" t="str">
        <f t="shared" si="0"/>
        <v>Tuesday</v>
      </c>
      <c r="D3" s="58" t="s">
        <v>467</v>
      </c>
      <c r="E3" s="58" t="str">
        <f t="shared" si="1"/>
        <v>March</v>
      </c>
      <c r="F3" s="58">
        <v>2026</v>
      </c>
      <c r="G3" s="58">
        <v>2.5</v>
      </c>
      <c r="H3" s="58" t="s">
        <v>99</v>
      </c>
      <c r="I3" s="140" t="s">
        <v>100</v>
      </c>
      <c r="J3" s="58" t="s">
        <v>373</v>
      </c>
      <c r="K3" s="58" t="s">
        <v>104</v>
      </c>
      <c r="L3" s="142" t="s">
        <v>457</v>
      </c>
      <c r="M3" s="58"/>
      <c r="N3" s="58">
        <v>2.5</v>
      </c>
      <c r="O3" s="4" t="s">
        <v>432</v>
      </c>
      <c r="P3" s="58"/>
      <c r="Q3" s="58"/>
    </row>
    <row r="4" spans="1:17" ht="45.75">
      <c r="A4" s="139">
        <v>3</v>
      </c>
      <c r="B4" s="59">
        <v>46105</v>
      </c>
      <c r="C4" s="58" t="str">
        <f t="shared" si="0"/>
        <v>Tuesday</v>
      </c>
      <c r="D4" s="58" t="s">
        <v>467</v>
      </c>
      <c r="E4" s="58" t="str">
        <f t="shared" si="1"/>
        <v>March</v>
      </c>
      <c r="F4" s="58">
        <v>2026</v>
      </c>
      <c r="G4" s="58">
        <v>2.5</v>
      </c>
      <c r="H4" s="58" t="s">
        <v>99</v>
      </c>
      <c r="I4" s="140" t="s">
        <v>100</v>
      </c>
      <c r="J4" s="58" t="s">
        <v>373</v>
      </c>
      <c r="K4" s="58" t="s">
        <v>104</v>
      </c>
      <c r="L4" s="142" t="s">
        <v>468</v>
      </c>
      <c r="M4" s="58"/>
      <c r="N4" s="58">
        <v>2.5</v>
      </c>
      <c r="O4" s="4" t="s">
        <v>432</v>
      </c>
      <c r="P4" s="58"/>
      <c r="Q4" s="58"/>
    </row>
    <row r="5" spans="1:17">
      <c r="A5" s="139"/>
      <c r="B5" s="59">
        <v>46107</v>
      </c>
      <c r="C5" s="58" t="str">
        <f t="shared" si="0"/>
        <v>Thursday</v>
      </c>
      <c r="D5" s="58"/>
      <c r="E5" s="58" t="str">
        <f t="shared" si="1"/>
        <v>March</v>
      </c>
      <c r="F5" s="58">
        <v>2026</v>
      </c>
      <c r="G5" s="58"/>
      <c r="H5" s="58" t="s">
        <v>99</v>
      </c>
      <c r="I5" s="140" t="s">
        <v>100</v>
      </c>
      <c r="J5" s="58" t="s">
        <v>373</v>
      </c>
      <c r="K5" s="58" t="s">
        <v>104</v>
      </c>
      <c r="L5" s="144" t="s">
        <v>427</v>
      </c>
      <c r="M5" s="58"/>
      <c r="N5" s="58">
        <v>2.5</v>
      </c>
      <c r="O5" s="4"/>
      <c r="P5" s="58"/>
      <c r="Q5" s="58"/>
    </row>
    <row r="6" spans="1:17" ht="30.75">
      <c r="A6" s="139">
        <v>4</v>
      </c>
      <c r="B6" s="59">
        <v>46112</v>
      </c>
      <c r="C6" s="58" t="str">
        <f t="shared" si="0"/>
        <v>Tuesday</v>
      </c>
      <c r="D6" s="58" t="s">
        <v>467</v>
      </c>
      <c r="E6" s="58" t="str">
        <f t="shared" si="1"/>
        <v>March</v>
      </c>
      <c r="F6" s="58">
        <v>2026</v>
      </c>
      <c r="G6" s="58">
        <v>2.5</v>
      </c>
      <c r="H6" s="58" t="s">
        <v>99</v>
      </c>
      <c r="I6" s="140" t="s">
        <v>100</v>
      </c>
      <c r="J6" s="58" t="s">
        <v>373</v>
      </c>
      <c r="K6" s="58" t="s">
        <v>104</v>
      </c>
      <c r="L6" s="142" t="s">
        <v>517</v>
      </c>
      <c r="M6" s="58"/>
      <c r="N6" s="58">
        <v>2.5</v>
      </c>
      <c r="O6" s="4" t="s">
        <v>70</v>
      </c>
      <c r="P6" s="58"/>
      <c r="Q6" s="58"/>
    </row>
    <row r="7" spans="1:17" ht="45.75">
      <c r="A7" s="139">
        <v>5</v>
      </c>
      <c r="B7" s="59">
        <v>46119</v>
      </c>
      <c r="C7" s="58" t="str">
        <f t="shared" si="0"/>
        <v>Tuesday</v>
      </c>
      <c r="D7" s="58" t="s">
        <v>467</v>
      </c>
      <c r="E7" s="58" t="str">
        <f t="shared" si="1"/>
        <v>April</v>
      </c>
      <c r="F7" s="58">
        <v>2026</v>
      </c>
      <c r="G7" s="58">
        <v>2.5</v>
      </c>
      <c r="H7" s="58" t="s">
        <v>99</v>
      </c>
      <c r="I7" s="140" t="s">
        <v>100</v>
      </c>
      <c r="J7" s="58" t="s">
        <v>373</v>
      </c>
      <c r="K7" s="58" t="s">
        <v>104</v>
      </c>
      <c r="L7" s="142" t="s">
        <v>547</v>
      </c>
      <c r="M7" s="58"/>
      <c r="N7" s="58">
        <v>2.5</v>
      </c>
      <c r="O7" s="4" t="s">
        <v>70</v>
      </c>
      <c r="P7" s="58"/>
      <c r="Q7" s="58"/>
    </row>
    <row r="8" spans="1:17" ht="30.75">
      <c r="A8" s="139">
        <v>6</v>
      </c>
      <c r="B8" s="59">
        <v>46128</v>
      </c>
      <c r="C8" s="58" t="str">
        <f t="shared" si="0"/>
        <v>Thursday</v>
      </c>
      <c r="D8" s="58" t="s">
        <v>467</v>
      </c>
      <c r="E8" s="58" t="str">
        <f t="shared" si="1"/>
        <v>April</v>
      </c>
      <c r="F8" s="58">
        <v>2026</v>
      </c>
      <c r="G8" s="58">
        <v>2.5</v>
      </c>
      <c r="H8" s="58" t="s">
        <v>99</v>
      </c>
      <c r="I8" s="140" t="s">
        <v>100</v>
      </c>
      <c r="J8" s="58" t="s">
        <v>373</v>
      </c>
      <c r="K8" s="58" t="s">
        <v>104</v>
      </c>
      <c r="L8" s="142" t="s">
        <v>548</v>
      </c>
      <c r="M8" s="58"/>
      <c r="N8" s="58">
        <v>2.5</v>
      </c>
      <c r="O8" s="4" t="s">
        <v>70</v>
      </c>
      <c r="P8" s="58"/>
      <c r="Q8" s="58"/>
    </row>
    <row r="9" spans="1:17" ht="30.75">
      <c r="A9" s="139">
        <v>7</v>
      </c>
      <c r="B9" s="59">
        <v>46133</v>
      </c>
      <c r="C9" s="58" t="str">
        <f t="shared" si="0"/>
        <v>Tuesday</v>
      </c>
      <c r="D9" s="58" t="s">
        <v>467</v>
      </c>
      <c r="E9" s="58" t="str">
        <f t="shared" si="1"/>
        <v>April</v>
      </c>
      <c r="F9" s="58">
        <v>2026</v>
      </c>
      <c r="G9" s="58">
        <v>2.5</v>
      </c>
      <c r="H9" s="58" t="s">
        <v>99</v>
      </c>
      <c r="I9" s="140" t="s">
        <v>100</v>
      </c>
      <c r="J9" s="58" t="s">
        <v>373</v>
      </c>
      <c r="K9" s="58" t="s">
        <v>104</v>
      </c>
      <c r="L9" s="142" t="s">
        <v>572</v>
      </c>
      <c r="M9" s="58"/>
      <c r="N9" s="58">
        <v>2.5</v>
      </c>
      <c r="O9" s="4" t="s">
        <v>70</v>
      </c>
      <c r="P9" s="58"/>
      <c r="Q9" s="58"/>
    </row>
    <row r="10" spans="1:17">
      <c r="A10" s="139">
        <v>8</v>
      </c>
      <c r="B10" s="59">
        <v>46140</v>
      </c>
      <c r="C10" s="58" t="str">
        <f t="shared" si="0"/>
        <v>Tuesday</v>
      </c>
      <c r="D10" s="58" t="s">
        <v>467</v>
      </c>
      <c r="E10" s="58" t="str">
        <f t="shared" si="1"/>
        <v>April</v>
      </c>
      <c r="F10" s="58">
        <v>2026</v>
      </c>
      <c r="G10" s="58">
        <v>2.5</v>
      </c>
      <c r="H10" s="58" t="s">
        <v>99</v>
      </c>
      <c r="I10" s="140" t="s">
        <v>100</v>
      </c>
      <c r="J10" s="58" t="s">
        <v>373</v>
      </c>
      <c r="K10" s="58" t="s">
        <v>104</v>
      </c>
      <c r="L10" s="142" t="s">
        <v>606</v>
      </c>
      <c r="M10" s="58"/>
      <c r="N10" s="58">
        <v>2.5</v>
      </c>
      <c r="O10" s="4" t="s">
        <v>70</v>
      </c>
      <c r="P10" s="58"/>
      <c r="Q10" s="58"/>
    </row>
    <row r="11" spans="1:17">
      <c r="A11" s="139">
        <v>9</v>
      </c>
      <c r="B11" s="59">
        <v>46147</v>
      </c>
      <c r="C11" s="58" t="str">
        <f t="shared" si="0"/>
        <v>Tuesday</v>
      </c>
      <c r="D11" s="58" t="s">
        <v>467</v>
      </c>
      <c r="E11" s="58" t="str">
        <f t="shared" si="1"/>
        <v>May</v>
      </c>
      <c r="F11" s="58">
        <v>2026</v>
      </c>
      <c r="G11" s="58">
        <v>2.5</v>
      </c>
      <c r="H11" s="58" t="s">
        <v>99</v>
      </c>
      <c r="I11" s="140" t="s">
        <v>100</v>
      </c>
      <c r="J11" s="58" t="s">
        <v>373</v>
      </c>
      <c r="K11" s="58" t="s">
        <v>104</v>
      </c>
      <c r="L11" s="142" t="s">
        <v>621</v>
      </c>
      <c r="M11" s="58"/>
      <c r="N11" s="58"/>
      <c r="O11" s="4" t="s">
        <v>70</v>
      </c>
      <c r="P11" s="58"/>
      <c r="Q11" s="58"/>
    </row>
    <row r="12" spans="1:17" ht="30.75">
      <c r="A12" s="139">
        <v>10</v>
      </c>
      <c r="B12" s="59">
        <v>46149</v>
      </c>
      <c r="C12" s="58" t="str">
        <f t="shared" si="0"/>
        <v>Thursday</v>
      </c>
      <c r="D12" s="58" t="s">
        <v>467</v>
      </c>
      <c r="E12" s="58" t="str">
        <f t="shared" si="1"/>
        <v>May</v>
      </c>
      <c r="F12" s="58">
        <v>2026</v>
      </c>
      <c r="G12" s="58">
        <v>2.5</v>
      </c>
      <c r="H12" s="58" t="s">
        <v>99</v>
      </c>
      <c r="I12" s="140" t="s">
        <v>100</v>
      </c>
      <c r="J12" s="58" t="s">
        <v>373</v>
      </c>
      <c r="K12" s="58" t="s">
        <v>104</v>
      </c>
      <c r="L12" s="142" t="s">
        <v>650</v>
      </c>
      <c r="M12" s="58"/>
      <c r="N12" s="58">
        <v>2.5</v>
      </c>
      <c r="O12" s="4" t="s">
        <v>70</v>
      </c>
      <c r="P12" s="58"/>
      <c r="Q12" s="58"/>
    </row>
    <row r="13" spans="1:17">
      <c r="A13" s="139">
        <v>11</v>
      </c>
      <c r="B13" s="59">
        <v>46156</v>
      </c>
      <c r="C13" s="58" t="str">
        <f t="shared" si="0"/>
        <v>Thursday</v>
      </c>
      <c r="D13" s="58" t="s">
        <v>467</v>
      </c>
      <c r="E13" s="58" t="str">
        <f t="shared" si="1"/>
        <v>May</v>
      </c>
      <c r="F13" s="58">
        <v>2026</v>
      </c>
      <c r="G13" s="58">
        <v>2.5</v>
      </c>
      <c r="H13" s="58" t="s">
        <v>99</v>
      </c>
      <c r="I13" s="140" t="s">
        <v>100</v>
      </c>
      <c r="J13" s="58" t="s">
        <v>373</v>
      </c>
      <c r="K13" s="58" t="s">
        <v>104</v>
      </c>
      <c r="L13" s="142" t="s">
        <v>668</v>
      </c>
      <c r="M13" s="58"/>
      <c r="N13" s="58"/>
      <c r="O13" s="4" t="s">
        <v>70</v>
      </c>
      <c r="P13" s="58"/>
      <c r="Q13" s="58"/>
    </row>
    <row r="14" spans="1:17">
      <c r="A14" s="139"/>
      <c r="B14" s="59">
        <v>46161</v>
      </c>
      <c r="C14" s="58" t="str">
        <f t="shared" si="0"/>
        <v>Tuesday</v>
      </c>
      <c r="D14" s="58" t="s">
        <v>467</v>
      </c>
      <c r="E14" s="58" t="str">
        <f t="shared" si="1"/>
        <v>May</v>
      </c>
      <c r="F14" s="58">
        <v>2026</v>
      </c>
      <c r="G14" s="58">
        <v>2.5</v>
      </c>
      <c r="H14" s="58" t="s">
        <v>99</v>
      </c>
      <c r="I14" s="140" t="s">
        <v>100</v>
      </c>
      <c r="J14" s="58" t="s">
        <v>373</v>
      </c>
      <c r="K14" s="58" t="s">
        <v>104</v>
      </c>
      <c r="L14" s="156" t="s">
        <v>678</v>
      </c>
      <c r="M14" s="58"/>
      <c r="N14" s="58"/>
      <c r="O14" s="4" t="s">
        <v>70</v>
      </c>
      <c r="P14" s="58"/>
      <c r="Q14" s="58"/>
    </row>
    <row r="15" spans="1:17" ht="30.75">
      <c r="A15" s="139">
        <v>12</v>
      </c>
      <c r="B15" s="59">
        <v>46163</v>
      </c>
      <c r="C15" s="58" t="str">
        <f t="shared" si="0"/>
        <v>Thursday</v>
      </c>
      <c r="D15" s="58" t="s">
        <v>467</v>
      </c>
      <c r="E15" s="58" t="str">
        <f t="shared" si="1"/>
        <v>May</v>
      </c>
      <c r="F15" s="58">
        <v>2026</v>
      </c>
      <c r="G15" s="58">
        <v>2.5</v>
      </c>
      <c r="H15" s="58" t="s">
        <v>99</v>
      </c>
      <c r="I15" s="140" t="s">
        <v>100</v>
      </c>
      <c r="J15" s="58" t="s">
        <v>373</v>
      </c>
      <c r="K15" s="58" t="s">
        <v>104</v>
      </c>
      <c r="L15" s="142" t="s">
        <v>696</v>
      </c>
      <c r="M15" s="58"/>
      <c r="N15" s="58">
        <v>2.5</v>
      </c>
      <c r="O15" s="4" t="s">
        <v>70</v>
      </c>
      <c r="P15" s="58"/>
      <c r="Q15" s="58"/>
    </row>
    <row r="16" spans="1:17">
      <c r="A16" s="139">
        <v>13</v>
      </c>
      <c r="B16" s="59">
        <v>46170</v>
      </c>
      <c r="C16" s="58" t="str">
        <f t="shared" si="0"/>
        <v>Thursday</v>
      </c>
      <c r="D16" s="58" t="s">
        <v>467</v>
      </c>
      <c r="E16" s="58" t="str">
        <f t="shared" si="1"/>
        <v>May</v>
      </c>
      <c r="F16" s="58">
        <v>2026</v>
      </c>
      <c r="G16" s="58">
        <v>2.5</v>
      </c>
      <c r="H16" s="58" t="s">
        <v>99</v>
      </c>
      <c r="I16" s="140" t="s">
        <v>100</v>
      </c>
      <c r="J16" s="58" t="s">
        <v>373</v>
      </c>
      <c r="K16" s="58" t="s">
        <v>104</v>
      </c>
      <c r="L16" s="142" t="s">
        <v>726</v>
      </c>
      <c r="M16" s="58"/>
      <c r="N16" s="58">
        <v>2.5</v>
      </c>
      <c r="O16" s="4" t="s">
        <v>70</v>
      </c>
      <c r="P16" s="58"/>
      <c r="Q16" s="58"/>
    </row>
    <row r="17" spans="1:17">
      <c r="A17" s="139">
        <v>14</v>
      </c>
      <c r="B17" s="59">
        <v>46175</v>
      </c>
      <c r="C17" s="58" t="str">
        <f t="shared" si="0"/>
        <v>Tuesday</v>
      </c>
      <c r="D17" s="58" t="s">
        <v>467</v>
      </c>
      <c r="E17" s="58" t="str">
        <f t="shared" si="1"/>
        <v>June</v>
      </c>
      <c r="F17" s="58">
        <v>2026</v>
      </c>
      <c r="G17" s="58">
        <v>2.5</v>
      </c>
      <c r="H17" s="58" t="s">
        <v>99</v>
      </c>
      <c r="I17" s="140" t="s">
        <v>100</v>
      </c>
      <c r="J17" s="58" t="s">
        <v>373</v>
      </c>
      <c r="K17" s="58" t="s">
        <v>104</v>
      </c>
      <c r="L17" s="142" t="s">
        <v>739</v>
      </c>
      <c r="M17" s="58"/>
      <c r="N17" s="58">
        <v>2.5</v>
      </c>
      <c r="O17" s="4" t="s">
        <v>70</v>
      </c>
      <c r="P17" s="58"/>
      <c r="Q17" s="58"/>
    </row>
    <row r="18" spans="1:17" ht="30.75">
      <c r="A18" s="139">
        <v>14</v>
      </c>
      <c r="B18" s="59">
        <v>46177</v>
      </c>
      <c r="C18" s="58" t="str">
        <f t="shared" si="0"/>
        <v>Thursday</v>
      </c>
      <c r="D18" s="58" t="s">
        <v>467</v>
      </c>
      <c r="E18" s="58" t="str">
        <f t="shared" si="1"/>
        <v>June</v>
      </c>
      <c r="F18" s="58">
        <v>2026</v>
      </c>
      <c r="G18" s="58"/>
      <c r="H18" s="58" t="s">
        <v>99</v>
      </c>
      <c r="I18" s="140" t="s">
        <v>100</v>
      </c>
      <c r="J18" s="58" t="s">
        <v>373</v>
      </c>
      <c r="K18" s="58" t="s">
        <v>104</v>
      </c>
      <c r="L18" s="142" t="s">
        <v>755</v>
      </c>
      <c r="M18" s="58"/>
      <c r="N18" s="58"/>
      <c r="O18" s="4" t="s">
        <v>70</v>
      </c>
      <c r="P18" s="58"/>
      <c r="Q18" s="58"/>
    </row>
    <row r="19" spans="1:17">
      <c r="A19" s="139">
        <v>16</v>
      </c>
      <c r="B19" s="59">
        <v>46182</v>
      </c>
      <c r="C19" s="58" t="str">
        <f t="shared" si="0"/>
        <v>Tuesday</v>
      </c>
      <c r="D19" s="58" t="s">
        <v>467</v>
      </c>
      <c r="E19" s="58" t="str">
        <f t="shared" si="1"/>
        <v>June</v>
      </c>
      <c r="F19" s="58">
        <v>2026</v>
      </c>
      <c r="G19" s="58">
        <v>2.5</v>
      </c>
      <c r="H19" s="58" t="s">
        <v>99</v>
      </c>
      <c r="I19" s="140" t="s">
        <v>100</v>
      </c>
      <c r="J19" s="58" t="s">
        <v>373</v>
      </c>
      <c r="K19" s="58" t="s">
        <v>104</v>
      </c>
      <c r="L19" s="142" t="s">
        <v>758</v>
      </c>
      <c r="M19" s="58"/>
      <c r="N19" s="58">
        <v>2.5</v>
      </c>
      <c r="O19" s="4" t="s">
        <v>70</v>
      </c>
      <c r="P19" s="58"/>
      <c r="Q19" s="58"/>
    </row>
    <row r="20" spans="1:17">
      <c r="A20" s="139">
        <v>17</v>
      </c>
      <c r="B20" s="59">
        <v>46184</v>
      </c>
      <c r="C20" s="58" t="str">
        <f t="shared" si="0"/>
        <v>Thursday</v>
      </c>
      <c r="D20" s="58" t="s">
        <v>467</v>
      </c>
      <c r="E20" s="58" t="str">
        <f t="shared" si="1"/>
        <v>June</v>
      </c>
      <c r="F20" s="58">
        <v>2026</v>
      </c>
      <c r="G20" s="58">
        <v>2.5</v>
      </c>
      <c r="H20" s="58" t="s">
        <v>99</v>
      </c>
      <c r="I20" s="140" t="s">
        <v>100</v>
      </c>
      <c r="J20" s="58" t="s">
        <v>373</v>
      </c>
      <c r="K20" s="58" t="s">
        <v>104</v>
      </c>
      <c r="L20" s="142" t="s">
        <v>766</v>
      </c>
      <c r="M20" s="58"/>
      <c r="N20" s="58">
        <v>2.5</v>
      </c>
      <c r="O20" s="4" t="s">
        <v>70</v>
      </c>
      <c r="P20" s="58"/>
      <c r="Q20" s="58"/>
    </row>
    <row r="21" spans="1:17">
      <c r="A21" s="139">
        <v>18</v>
      </c>
      <c r="B21" s="59">
        <v>46189</v>
      </c>
      <c r="C21" s="58" t="str">
        <f t="shared" si="0"/>
        <v>Tuesday</v>
      </c>
      <c r="D21" s="58" t="s">
        <v>467</v>
      </c>
      <c r="E21" s="58" t="str">
        <f t="shared" si="1"/>
        <v>June</v>
      </c>
      <c r="F21" s="58">
        <v>2026</v>
      </c>
      <c r="G21" s="58">
        <v>2.5</v>
      </c>
      <c r="H21" s="58" t="s">
        <v>99</v>
      </c>
      <c r="I21" s="140" t="s">
        <v>100</v>
      </c>
      <c r="J21" s="58" t="s">
        <v>373</v>
      </c>
      <c r="K21" s="58" t="s">
        <v>104</v>
      </c>
      <c r="L21" s="142" t="s">
        <v>778</v>
      </c>
      <c r="M21" s="58"/>
      <c r="N21" s="58">
        <v>2.5</v>
      </c>
      <c r="O21" s="4" t="s">
        <v>432</v>
      </c>
      <c r="P21" s="58"/>
      <c r="Q21" s="58"/>
    </row>
    <row r="22" spans="1:17">
      <c r="A22" s="139">
        <v>19</v>
      </c>
      <c r="B22" s="59">
        <v>46191</v>
      </c>
      <c r="C22" s="58" t="str">
        <f t="shared" si="0"/>
        <v>Thursday</v>
      </c>
      <c r="D22" s="58" t="s">
        <v>467</v>
      </c>
      <c r="E22" s="58" t="str">
        <f t="shared" si="1"/>
        <v>June</v>
      </c>
      <c r="F22" s="58">
        <v>2026</v>
      </c>
      <c r="G22" s="58">
        <v>2.5</v>
      </c>
      <c r="H22" s="58" t="s">
        <v>99</v>
      </c>
      <c r="I22" s="140" t="s">
        <v>100</v>
      </c>
      <c r="J22" s="58" t="s">
        <v>373</v>
      </c>
      <c r="K22" s="58" t="s">
        <v>104</v>
      </c>
      <c r="L22" s="142" t="s">
        <v>789</v>
      </c>
      <c r="M22" s="58"/>
      <c r="N22" s="58">
        <v>2.5</v>
      </c>
      <c r="O22" s="4" t="s">
        <v>432</v>
      </c>
      <c r="P22" s="58"/>
      <c r="Q22" s="58"/>
    </row>
    <row r="23" spans="1:17">
      <c r="A23" s="139">
        <v>20</v>
      </c>
      <c r="B23" s="59">
        <v>46196</v>
      </c>
      <c r="C23" s="58" t="str">
        <f t="shared" si="0"/>
        <v>Tuesday</v>
      </c>
      <c r="D23" s="58" t="s">
        <v>467</v>
      </c>
      <c r="E23" s="58" t="str">
        <f t="shared" si="1"/>
        <v>June</v>
      </c>
      <c r="F23" s="58">
        <v>2026</v>
      </c>
      <c r="G23" s="58">
        <v>2.5</v>
      </c>
      <c r="H23" s="58" t="s">
        <v>99</v>
      </c>
      <c r="I23" s="140" t="s">
        <v>100</v>
      </c>
      <c r="J23" s="58" t="s">
        <v>373</v>
      </c>
      <c r="K23" s="58" t="s">
        <v>104</v>
      </c>
      <c r="L23" s="142" t="s">
        <v>797</v>
      </c>
      <c r="M23" s="58"/>
      <c r="N23" s="58">
        <v>2.5</v>
      </c>
      <c r="O23" s="4" t="s">
        <v>70</v>
      </c>
      <c r="P23" s="58"/>
      <c r="Q23" s="58"/>
    </row>
    <row r="24" spans="1:17">
      <c r="A24" s="139"/>
      <c r="B24" s="59">
        <v>46198</v>
      </c>
      <c r="C24" s="58" t="str">
        <f t="shared" si="0"/>
        <v>Thursday</v>
      </c>
      <c r="D24" s="58"/>
      <c r="E24" s="58" t="str">
        <f t="shared" si="1"/>
        <v>June</v>
      </c>
      <c r="F24" s="58">
        <v>2026</v>
      </c>
      <c r="G24" s="58">
        <v>2.5</v>
      </c>
      <c r="H24" s="58" t="s">
        <v>99</v>
      </c>
      <c r="I24" s="140" t="s">
        <v>100</v>
      </c>
      <c r="J24" s="58" t="s">
        <v>373</v>
      </c>
      <c r="K24" s="58" t="s">
        <v>104</v>
      </c>
      <c r="L24" s="144" t="s">
        <v>427</v>
      </c>
      <c r="M24" s="58"/>
      <c r="N24" s="58">
        <v>2.5</v>
      </c>
      <c r="O24" s="4"/>
      <c r="P24" s="58"/>
      <c r="Q24" s="58"/>
    </row>
    <row r="25" spans="1:17">
      <c r="A25" s="139">
        <v>21</v>
      </c>
      <c r="B25" s="59">
        <v>46203</v>
      </c>
      <c r="C25" s="58" t="str">
        <f t="shared" si="0"/>
        <v>Tuesday</v>
      </c>
      <c r="D25" s="58" t="s">
        <v>467</v>
      </c>
      <c r="E25" s="58" t="str">
        <f t="shared" si="1"/>
        <v>June</v>
      </c>
      <c r="F25" s="58">
        <v>2026</v>
      </c>
      <c r="G25" s="58">
        <v>2.5</v>
      </c>
      <c r="H25" s="58" t="s">
        <v>99</v>
      </c>
      <c r="I25" s="140" t="s">
        <v>100</v>
      </c>
      <c r="J25" s="58" t="s">
        <v>373</v>
      </c>
      <c r="K25" s="58" t="s">
        <v>104</v>
      </c>
      <c r="L25" s="142" t="s">
        <v>808</v>
      </c>
      <c r="M25" s="58"/>
      <c r="N25" s="58">
        <v>2.5</v>
      </c>
      <c r="O25" s="4" t="s">
        <v>70</v>
      </c>
      <c r="P25" s="58"/>
      <c r="Q25" s="58"/>
    </row>
    <row r="26" spans="1:17">
      <c r="A26" s="139">
        <v>22</v>
      </c>
      <c r="B26" s="59">
        <v>46205</v>
      </c>
      <c r="C26" s="58" t="str">
        <f t="shared" si="0"/>
        <v>Thursday</v>
      </c>
      <c r="D26" s="58" t="s">
        <v>467</v>
      </c>
      <c r="E26" s="58" t="str">
        <f t="shared" si="1"/>
        <v>July</v>
      </c>
      <c r="F26" s="58">
        <v>2026</v>
      </c>
      <c r="G26" s="58">
        <v>2.5</v>
      </c>
      <c r="H26" s="58" t="s">
        <v>99</v>
      </c>
      <c r="I26" s="140" t="s">
        <v>100</v>
      </c>
      <c r="J26" s="58" t="s">
        <v>373</v>
      </c>
      <c r="K26" s="58" t="s">
        <v>104</v>
      </c>
      <c r="L26" s="142" t="s">
        <v>816</v>
      </c>
      <c r="M26" s="58"/>
      <c r="N26" s="58">
        <v>2.5</v>
      </c>
      <c r="O26" s="4" t="s">
        <v>70</v>
      </c>
      <c r="P26" s="58"/>
      <c r="Q26" s="58"/>
    </row>
    <row r="27" spans="1:17" ht="30.75">
      <c r="A27" s="139">
        <v>23</v>
      </c>
      <c r="B27" s="59">
        <v>46210</v>
      </c>
      <c r="C27" s="58" t="str">
        <f t="shared" si="0"/>
        <v>Tuesday</v>
      </c>
      <c r="D27" s="58" t="s">
        <v>467</v>
      </c>
      <c r="E27" s="58" t="str">
        <f t="shared" si="1"/>
        <v>July</v>
      </c>
      <c r="F27" s="58">
        <v>2026</v>
      </c>
      <c r="G27" s="58"/>
      <c r="H27" s="58" t="s">
        <v>99</v>
      </c>
      <c r="I27" s="140" t="s">
        <v>100</v>
      </c>
      <c r="J27" s="58" t="s">
        <v>373</v>
      </c>
      <c r="K27" s="58" t="s">
        <v>104</v>
      </c>
      <c r="L27" s="142" t="s">
        <v>828</v>
      </c>
      <c r="M27" s="58"/>
      <c r="N27" s="58"/>
      <c r="O27" s="4" t="s">
        <v>432</v>
      </c>
      <c r="P27" s="58"/>
      <c r="Q27" s="58"/>
    </row>
    <row r="28" spans="1:17">
      <c r="A28" s="139">
        <v>24</v>
      </c>
      <c r="B28" s="59">
        <v>46212</v>
      </c>
      <c r="C28" s="58" t="str">
        <f t="shared" si="0"/>
        <v>Thursday</v>
      </c>
      <c r="D28" s="58" t="s">
        <v>467</v>
      </c>
      <c r="E28" s="58" t="str">
        <f t="shared" si="1"/>
        <v>July</v>
      </c>
      <c r="F28" s="58">
        <v>2026</v>
      </c>
      <c r="G28" s="58">
        <v>2.5</v>
      </c>
      <c r="H28" s="58" t="s">
        <v>99</v>
      </c>
      <c r="I28" s="140" t="s">
        <v>100</v>
      </c>
      <c r="J28" s="58" t="s">
        <v>373</v>
      </c>
      <c r="K28" s="58" t="s">
        <v>104</v>
      </c>
      <c r="L28" s="142" t="s">
        <v>833</v>
      </c>
      <c r="M28" s="58"/>
      <c r="N28" s="58">
        <v>2.5</v>
      </c>
      <c r="O28" s="4" t="s">
        <v>70</v>
      </c>
      <c r="P28" s="58"/>
      <c r="Q28" s="58"/>
    </row>
    <row r="29" spans="1:17">
      <c r="A29" s="139">
        <v>25</v>
      </c>
      <c r="B29" s="59">
        <v>46219</v>
      </c>
      <c r="C29" s="58" t="str">
        <f t="shared" si="0"/>
        <v>Thursday</v>
      </c>
      <c r="D29" s="58" t="s">
        <v>467</v>
      </c>
      <c r="E29" s="58" t="str">
        <f t="shared" si="1"/>
        <v>July</v>
      </c>
      <c r="F29" s="58">
        <v>2026</v>
      </c>
      <c r="G29" s="58">
        <v>2.5</v>
      </c>
      <c r="H29" s="58" t="s">
        <v>99</v>
      </c>
      <c r="I29" s="140" t="s">
        <v>100</v>
      </c>
      <c r="J29" s="58" t="s">
        <v>373</v>
      </c>
      <c r="K29" s="58" t="s">
        <v>104</v>
      </c>
      <c r="L29" s="142" t="s">
        <v>845</v>
      </c>
      <c r="M29" s="58"/>
      <c r="N29" s="58">
        <v>2.5</v>
      </c>
      <c r="O29" s="4" t="s">
        <v>70</v>
      </c>
      <c r="P29" s="58"/>
      <c r="Q29" s="58"/>
    </row>
    <row r="30" spans="1:17">
      <c r="A30" s="139">
        <v>26</v>
      </c>
      <c r="B30" s="59">
        <v>46224</v>
      </c>
      <c r="C30" s="58" t="str">
        <f t="shared" si="0"/>
        <v>Tuesday</v>
      </c>
      <c r="D30" s="58" t="s">
        <v>467</v>
      </c>
      <c r="E30" s="58" t="str">
        <f t="shared" si="1"/>
        <v>July</v>
      </c>
      <c r="F30" s="58">
        <v>2026</v>
      </c>
      <c r="G30" s="58">
        <v>2.5</v>
      </c>
      <c r="H30" s="58" t="s">
        <v>99</v>
      </c>
      <c r="I30" s="140" t="s">
        <v>100</v>
      </c>
      <c r="J30" s="58" t="s">
        <v>373</v>
      </c>
      <c r="K30" s="58" t="s">
        <v>104</v>
      </c>
      <c r="L30" s="142" t="s">
        <v>856</v>
      </c>
      <c r="M30" s="58"/>
      <c r="N30" s="58">
        <v>2.5</v>
      </c>
      <c r="O30" s="4" t="s">
        <v>70</v>
      </c>
      <c r="P30" s="58"/>
      <c r="Q30" s="58"/>
    </row>
    <row r="31" spans="1:17">
      <c r="A31" s="139">
        <v>27</v>
      </c>
      <c r="B31" s="59">
        <v>46226</v>
      </c>
      <c r="C31" s="58" t="str">
        <f t="shared" si="0"/>
        <v>Thursday</v>
      </c>
      <c r="D31" s="58" t="s">
        <v>467</v>
      </c>
      <c r="E31" s="58" t="str">
        <f t="shared" si="1"/>
        <v>July</v>
      </c>
      <c r="F31" s="58">
        <v>2026</v>
      </c>
      <c r="G31" s="58">
        <v>1.5</v>
      </c>
      <c r="H31" s="58" t="s">
        <v>99</v>
      </c>
      <c r="I31" s="140" t="s">
        <v>100</v>
      </c>
      <c r="J31" s="58" t="s">
        <v>373</v>
      </c>
      <c r="K31" s="58" t="s">
        <v>104</v>
      </c>
      <c r="L31" s="142" t="s">
        <v>862</v>
      </c>
      <c r="M31" s="58"/>
      <c r="N31" s="58">
        <v>1.5</v>
      </c>
      <c r="O31" s="4" t="s">
        <v>70</v>
      </c>
      <c r="P31" s="58"/>
      <c r="Q31" s="58"/>
    </row>
    <row r="32" spans="1:17">
      <c r="A32" s="139"/>
      <c r="B32" s="59">
        <v>46231</v>
      </c>
      <c r="C32" s="58" t="str">
        <f t="shared" si="0"/>
        <v>Tuesday</v>
      </c>
      <c r="D32" s="58"/>
      <c r="E32" s="58" t="str">
        <f t="shared" si="1"/>
        <v>July</v>
      </c>
      <c r="F32" s="58">
        <v>2026</v>
      </c>
      <c r="G32" s="58">
        <v>1.5</v>
      </c>
      <c r="H32" s="58" t="s">
        <v>99</v>
      </c>
      <c r="I32" s="140" t="s">
        <v>100</v>
      </c>
      <c r="J32" s="58" t="s">
        <v>373</v>
      </c>
      <c r="K32" s="58" t="s">
        <v>104</v>
      </c>
      <c r="L32" s="144" t="s">
        <v>427</v>
      </c>
      <c r="M32" s="58"/>
      <c r="N32" s="58">
        <v>1.5</v>
      </c>
      <c r="O32" s="4"/>
      <c r="P32" s="58"/>
      <c r="Q32" s="58"/>
    </row>
    <row r="33" spans="1:17">
      <c r="A33" s="139">
        <v>28</v>
      </c>
      <c r="B33" s="59">
        <v>46233</v>
      </c>
      <c r="C33" s="58" t="str">
        <f t="shared" si="0"/>
        <v>Thursday</v>
      </c>
      <c r="D33" s="58" t="s">
        <v>467</v>
      </c>
      <c r="E33" s="58" t="str">
        <f t="shared" si="1"/>
        <v>July</v>
      </c>
      <c r="F33" s="58">
        <v>2026</v>
      </c>
      <c r="G33" s="58">
        <v>1.5</v>
      </c>
      <c r="H33" s="58" t="s">
        <v>99</v>
      </c>
      <c r="I33" s="140" t="s">
        <v>100</v>
      </c>
      <c r="J33" s="58" t="s">
        <v>373</v>
      </c>
      <c r="K33" s="58" t="s">
        <v>104</v>
      </c>
      <c r="L33" s="142" t="s">
        <v>871</v>
      </c>
      <c r="M33" s="58"/>
      <c r="N33" s="58">
        <v>1.5</v>
      </c>
      <c r="O33" s="4" t="s">
        <v>70</v>
      </c>
      <c r="P33" s="58"/>
      <c r="Q33" s="58"/>
    </row>
    <row r="34" spans="1:17">
      <c r="A34" s="139">
        <v>29</v>
      </c>
      <c r="B34" s="59">
        <v>46238</v>
      </c>
      <c r="C34" s="58" t="str">
        <f t="shared" si="0"/>
        <v>Tuesday</v>
      </c>
      <c r="D34" s="58" t="s">
        <v>467</v>
      </c>
      <c r="E34" s="58" t="str">
        <f t="shared" si="1"/>
        <v>August</v>
      </c>
      <c r="F34" s="58">
        <v>2026</v>
      </c>
      <c r="G34" s="58">
        <v>1.5</v>
      </c>
      <c r="H34" s="58" t="s">
        <v>99</v>
      </c>
      <c r="I34" s="140" t="s">
        <v>100</v>
      </c>
      <c r="J34" s="58" t="s">
        <v>373</v>
      </c>
      <c r="K34" s="58" t="s">
        <v>104</v>
      </c>
      <c r="L34" s="142" t="s">
        <v>877</v>
      </c>
      <c r="M34" s="58"/>
      <c r="N34" s="58">
        <v>1.5</v>
      </c>
      <c r="O34" s="4" t="s">
        <v>70</v>
      </c>
      <c r="P34" s="58"/>
      <c r="Q34" s="58"/>
    </row>
    <row r="35" spans="1:17">
      <c r="A35" s="139"/>
      <c r="B35" s="59">
        <v>46240</v>
      </c>
      <c r="C35" s="58" t="str">
        <f t="shared" si="0"/>
        <v>Thursday</v>
      </c>
      <c r="D35" s="58"/>
      <c r="E35" s="58" t="str">
        <f t="shared" si="1"/>
        <v>August</v>
      </c>
      <c r="F35" s="58">
        <v>2026</v>
      </c>
      <c r="G35" s="58">
        <v>2.5</v>
      </c>
      <c r="H35" s="58" t="s">
        <v>99</v>
      </c>
      <c r="I35" s="140" t="s">
        <v>100</v>
      </c>
      <c r="J35" s="58" t="s">
        <v>373</v>
      </c>
      <c r="K35" s="58" t="s">
        <v>104</v>
      </c>
      <c r="L35" s="142" t="s">
        <v>888</v>
      </c>
      <c r="M35" s="58"/>
      <c r="N35" s="58">
        <v>2.5</v>
      </c>
      <c r="O35" s="4"/>
      <c r="P35" s="58"/>
      <c r="Q35" s="58"/>
    </row>
    <row r="36" spans="1:17">
      <c r="A36" s="139"/>
      <c r="B36" s="59">
        <v>46245</v>
      </c>
      <c r="C36" s="58" t="str">
        <f t="shared" si="0"/>
        <v>Tuesday</v>
      </c>
      <c r="D36" s="58"/>
      <c r="E36" s="58" t="str">
        <f t="shared" si="1"/>
        <v>August</v>
      </c>
      <c r="F36" s="58">
        <v>2026</v>
      </c>
      <c r="G36" s="58">
        <v>2.5</v>
      </c>
      <c r="H36" s="58" t="s">
        <v>99</v>
      </c>
      <c r="I36" s="140" t="s">
        <v>100</v>
      </c>
      <c r="J36" s="58" t="s">
        <v>373</v>
      </c>
      <c r="K36" s="58" t="s">
        <v>104</v>
      </c>
      <c r="L36" s="142" t="s">
        <v>888</v>
      </c>
      <c r="M36" s="58"/>
      <c r="N36" s="58">
        <v>2.5</v>
      </c>
      <c r="O36" s="4"/>
      <c r="P36" s="58"/>
      <c r="Q36" s="58"/>
    </row>
    <row r="37" spans="1:17">
      <c r="A37" s="139">
        <v>30</v>
      </c>
      <c r="B37" s="59">
        <v>46247</v>
      </c>
      <c r="C37" s="58" t="str">
        <f t="shared" ref="C37:C39" si="2">TEXT(B37,"dddd")</f>
        <v>Thursday</v>
      </c>
      <c r="D37" s="58" t="s">
        <v>467</v>
      </c>
      <c r="E37" s="58" t="str">
        <f t="shared" si="1"/>
        <v>August</v>
      </c>
      <c r="F37" s="58">
        <v>2026</v>
      </c>
      <c r="G37" s="58"/>
      <c r="H37" s="58" t="s">
        <v>99</v>
      </c>
      <c r="I37" s="140" t="s">
        <v>100</v>
      </c>
      <c r="J37" s="58" t="s">
        <v>373</v>
      </c>
      <c r="K37" s="58" t="s">
        <v>104</v>
      </c>
      <c r="L37" s="142" t="s">
        <v>668</v>
      </c>
      <c r="M37" s="58"/>
      <c r="N37" s="58"/>
      <c r="O37" s="4"/>
      <c r="P37" s="58"/>
      <c r="Q37" s="58"/>
    </row>
    <row r="38" spans="1:17">
      <c r="A38" s="139"/>
      <c r="B38" s="59">
        <v>46252</v>
      </c>
      <c r="C38" s="58" t="str">
        <f t="shared" si="2"/>
        <v>Tuesday</v>
      </c>
      <c r="D38" s="58" t="s">
        <v>467</v>
      </c>
      <c r="E38" s="58" t="str">
        <f t="shared" si="1"/>
        <v>August</v>
      </c>
      <c r="F38" s="58">
        <v>2026</v>
      </c>
      <c r="G38" s="58"/>
      <c r="H38" s="58" t="s">
        <v>99</v>
      </c>
      <c r="I38" s="140" t="s">
        <v>100</v>
      </c>
      <c r="J38" s="58" t="s">
        <v>373</v>
      </c>
      <c r="K38" s="58" t="s">
        <v>104</v>
      </c>
      <c r="L38" s="156" t="s">
        <v>923</v>
      </c>
      <c r="M38" s="58"/>
      <c r="N38" s="58"/>
      <c r="O38" s="4"/>
      <c r="P38" s="58"/>
      <c r="Q38" s="58"/>
    </row>
    <row r="39" spans="1:17">
      <c r="A39" s="139"/>
      <c r="B39" s="59">
        <v>46245</v>
      </c>
      <c r="C39" s="58" t="str">
        <f t="shared" si="2"/>
        <v>Tuesday</v>
      </c>
      <c r="D39" s="58" t="s">
        <v>430</v>
      </c>
      <c r="E39" s="58" t="str">
        <f t="shared" si="1"/>
        <v>August</v>
      </c>
      <c r="F39" s="58">
        <v>2026</v>
      </c>
      <c r="G39" s="58"/>
      <c r="H39" s="58" t="s">
        <v>99</v>
      </c>
      <c r="I39" s="140" t="s">
        <v>100</v>
      </c>
      <c r="J39" s="58" t="s">
        <v>373</v>
      </c>
      <c r="K39" s="58" t="s">
        <v>104</v>
      </c>
      <c r="L39" s="156" t="s">
        <v>923</v>
      </c>
      <c r="M39" s="58"/>
      <c r="N39" s="58"/>
      <c r="O39" s="4"/>
      <c r="P39" s="58"/>
      <c r="Q39" s="58"/>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40FC-8BBB-4C70-AA6A-0A98E37BB499}">
  <dimension ref="A1:Q40"/>
  <sheetViews>
    <sheetView topLeftCell="A6" workbookViewId="0">
      <selection activeCell="L17" sqref="L17"/>
    </sheetView>
  </sheetViews>
  <sheetFormatPr defaultRowHeight="15"/>
  <cols>
    <col min="1" max="1" width="8.85546875" bestFit="1" customWidth="1"/>
    <col min="2" max="2" width="21.7109375" customWidth="1"/>
    <col min="3" max="3" width="14" customWidth="1"/>
    <col min="4" max="4" width="28.5703125" customWidth="1"/>
    <col min="5" max="5" width="12.85546875" customWidth="1"/>
    <col min="6" max="6" width="8.140625" bestFit="1" customWidth="1"/>
    <col min="7" max="7" width="18.42578125" bestFit="1" customWidth="1"/>
    <col min="8" max="8" width="9.42578125" bestFit="1" customWidth="1"/>
    <col min="9" max="9" width="18.5703125" bestFit="1" customWidth="1"/>
    <col min="10" max="10" width="26.28515625" bestFit="1" customWidth="1"/>
    <col min="11" max="11" width="9.42578125" bestFit="1" customWidth="1"/>
    <col min="12" max="12" width="70.7109375" customWidth="1"/>
    <col min="13" max="13" width="19.85546875" bestFit="1" customWidth="1"/>
    <col min="14" max="14" width="24.28515625" bestFit="1" customWidth="1"/>
    <col min="15" max="15" width="12.5703125" bestFit="1" customWidth="1"/>
    <col min="16" max="17" width="13" bestFit="1"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39">
        <v>1</v>
      </c>
      <c r="B2" s="59">
        <v>46084</v>
      </c>
      <c r="C2" s="58" t="str">
        <f t="shared" ref="C2:C6" si="0">TEXT(B2,"dddd")</f>
        <v>Tuesday</v>
      </c>
      <c r="D2" s="58" t="s">
        <v>430</v>
      </c>
      <c r="E2" s="58" t="str">
        <f t="shared" ref="E2:E40" si="1">TEXT(B2,"mmmm")</f>
        <v>March</v>
      </c>
      <c r="F2" s="58">
        <v>2026</v>
      </c>
      <c r="G2" s="58">
        <v>2.5</v>
      </c>
      <c r="H2" s="58" t="s">
        <v>99</v>
      </c>
      <c r="I2" s="140" t="s">
        <v>100</v>
      </c>
      <c r="J2" s="58" t="s">
        <v>373</v>
      </c>
      <c r="K2" s="58" t="s">
        <v>106</v>
      </c>
      <c r="L2" s="142" t="s">
        <v>431</v>
      </c>
      <c r="M2" s="58"/>
      <c r="N2" s="58">
        <v>2.5</v>
      </c>
      <c r="O2" s="4" t="s">
        <v>432</v>
      </c>
      <c r="P2" s="58"/>
      <c r="Q2" s="58"/>
    </row>
    <row r="3" spans="1:17">
      <c r="A3" s="139">
        <v>2</v>
      </c>
      <c r="B3" s="59">
        <v>46091</v>
      </c>
      <c r="C3" s="58" t="str">
        <f t="shared" si="0"/>
        <v>Tuesday</v>
      </c>
      <c r="D3" s="58" t="s">
        <v>430</v>
      </c>
      <c r="E3" s="58" t="str">
        <f t="shared" si="1"/>
        <v>March</v>
      </c>
      <c r="F3" s="58">
        <v>2026</v>
      </c>
      <c r="G3" s="58">
        <v>2.5</v>
      </c>
      <c r="H3" s="58" t="s">
        <v>99</v>
      </c>
      <c r="I3" s="140" t="s">
        <v>100</v>
      </c>
      <c r="J3" s="58" t="s">
        <v>373</v>
      </c>
      <c r="K3" s="58" t="s">
        <v>106</v>
      </c>
      <c r="L3" s="142" t="s">
        <v>457</v>
      </c>
      <c r="M3" s="58"/>
      <c r="N3" s="58">
        <v>2.5</v>
      </c>
      <c r="O3" s="4" t="s">
        <v>432</v>
      </c>
      <c r="P3" s="58"/>
      <c r="Q3" s="58"/>
    </row>
    <row r="4" spans="1:17" ht="45.75">
      <c r="A4" s="139">
        <v>3</v>
      </c>
      <c r="B4" s="59">
        <v>46093</v>
      </c>
      <c r="C4" s="58" t="str">
        <f t="shared" si="0"/>
        <v>Thursday</v>
      </c>
      <c r="D4" s="58" t="s">
        <v>430</v>
      </c>
      <c r="E4" s="58" t="str">
        <f t="shared" si="1"/>
        <v>March</v>
      </c>
      <c r="F4" s="58">
        <v>2026</v>
      </c>
      <c r="G4" s="58">
        <v>2.5</v>
      </c>
      <c r="H4" s="58" t="s">
        <v>99</v>
      </c>
      <c r="I4" s="140" t="s">
        <v>100</v>
      </c>
      <c r="J4" s="58" t="s">
        <v>373</v>
      </c>
      <c r="K4" s="58" t="s">
        <v>106</v>
      </c>
      <c r="L4" s="142" t="s">
        <v>468</v>
      </c>
      <c r="M4" s="58"/>
      <c r="N4" s="58">
        <v>2.5</v>
      </c>
      <c r="O4" s="4" t="s">
        <v>432</v>
      </c>
      <c r="P4" s="58"/>
      <c r="Q4" s="58"/>
    </row>
    <row r="5" spans="1:17" ht="30.75">
      <c r="A5" s="139">
        <v>4</v>
      </c>
      <c r="B5" s="59">
        <v>46098</v>
      </c>
      <c r="C5" s="58" t="str">
        <f t="shared" si="0"/>
        <v>Tuesday</v>
      </c>
      <c r="D5" s="58" t="s">
        <v>430</v>
      </c>
      <c r="E5" s="58" t="str">
        <f t="shared" si="1"/>
        <v>March</v>
      </c>
      <c r="F5" s="58">
        <v>2026</v>
      </c>
      <c r="G5" s="58">
        <v>2.5</v>
      </c>
      <c r="H5" s="58" t="s">
        <v>99</v>
      </c>
      <c r="I5" s="140" t="s">
        <v>100</v>
      </c>
      <c r="J5" s="58" t="s">
        <v>373</v>
      </c>
      <c r="K5" s="58" t="s">
        <v>106</v>
      </c>
      <c r="L5" s="142" t="s">
        <v>492</v>
      </c>
      <c r="M5" s="58"/>
      <c r="N5" s="58">
        <v>2.5</v>
      </c>
      <c r="O5" s="4" t="s">
        <v>432</v>
      </c>
      <c r="P5" s="58"/>
      <c r="Q5" s="58"/>
    </row>
    <row r="6" spans="1:17" ht="45.75">
      <c r="A6" s="139">
        <v>5</v>
      </c>
      <c r="B6" s="59">
        <v>46105</v>
      </c>
      <c r="C6" s="58" t="str">
        <f t="shared" si="0"/>
        <v>Tuesday</v>
      </c>
      <c r="D6" s="58" t="s">
        <v>430</v>
      </c>
      <c r="E6" s="58" t="str">
        <f t="shared" si="1"/>
        <v>March</v>
      </c>
      <c r="F6" s="58">
        <v>2026</v>
      </c>
      <c r="G6" s="58">
        <v>2.5</v>
      </c>
      <c r="H6" s="58" t="s">
        <v>99</v>
      </c>
      <c r="I6" s="140" t="s">
        <v>100</v>
      </c>
      <c r="J6" s="58" t="s">
        <v>373</v>
      </c>
      <c r="K6" s="58" t="s">
        <v>106</v>
      </c>
      <c r="L6" s="142" t="s">
        <v>518</v>
      </c>
      <c r="M6" s="58"/>
      <c r="N6" s="58">
        <v>2.5</v>
      </c>
      <c r="O6" s="4" t="s">
        <v>432</v>
      </c>
      <c r="P6" s="58"/>
      <c r="Q6" s="58"/>
    </row>
    <row r="7" spans="1:17">
      <c r="A7" s="139"/>
      <c r="B7" s="59">
        <v>46107</v>
      </c>
      <c r="C7" s="58" t="str">
        <f t="shared" ref="C7:C40" si="2">TEXT(B7,"dddd")</f>
        <v>Thursday</v>
      </c>
      <c r="D7" s="58"/>
      <c r="E7" s="58" t="str">
        <f t="shared" si="1"/>
        <v>March</v>
      </c>
      <c r="F7" s="58">
        <v>2026</v>
      </c>
      <c r="G7" s="58"/>
      <c r="H7" s="58" t="s">
        <v>99</v>
      </c>
      <c r="I7" s="140" t="s">
        <v>100</v>
      </c>
      <c r="J7" s="58" t="s">
        <v>373</v>
      </c>
      <c r="K7" s="58" t="s">
        <v>106</v>
      </c>
      <c r="L7" s="144" t="s">
        <v>427</v>
      </c>
      <c r="M7" s="58"/>
      <c r="N7" s="58"/>
      <c r="O7" s="4"/>
      <c r="P7" s="58"/>
      <c r="Q7" s="58"/>
    </row>
    <row r="8" spans="1:17" ht="30.75">
      <c r="A8" s="139">
        <v>6</v>
      </c>
      <c r="B8" s="59">
        <v>46112</v>
      </c>
      <c r="C8" s="58" t="str">
        <f t="shared" si="2"/>
        <v>Tuesday</v>
      </c>
      <c r="D8" s="58" t="s">
        <v>430</v>
      </c>
      <c r="E8" s="58" t="str">
        <f t="shared" si="1"/>
        <v>March</v>
      </c>
      <c r="F8" s="58">
        <v>2026</v>
      </c>
      <c r="G8" s="58">
        <v>2.5</v>
      </c>
      <c r="H8" s="58" t="s">
        <v>99</v>
      </c>
      <c r="I8" s="140" t="s">
        <v>100</v>
      </c>
      <c r="J8" s="58" t="s">
        <v>373</v>
      </c>
      <c r="K8" s="58" t="s">
        <v>106</v>
      </c>
      <c r="L8" s="142" t="s">
        <v>548</v>
      </c>
      <c r="M8" s="58"/>
      <c r="N8" s="58">
        <v>2.5</v>
      </c>
      <c r="O8" s="4" t="s">
        <v>432</v>
      </c>
      <c r="P8" s="58"/>
      <c r="Q8" s="58"/>
    </row>
    <row r="9" spans="1:17" ht="30.75">
      <c r="A9" s="139">
        <v>7</v>
      </c>
      <c r="B9" s="59">
        <v>46119</v>
      </c>
      <c r="C9" s="58" t="str">
        <f t="shared" si="2"/>
        <v>Tuesday</v>
      </c>
      <c r="D9" s="58" t="s">
        <v>430</v>
      </c>
      <c r="E9" s="58" t="str">
        <f t="shared" si="1"/>
        <v>April</v>
      </c>
      <c r="F9" s="58">
        <v>2026</v>
      </c>
      <c r="G9" s="58">
        <v>2.5</v>
      </c>
      <c r="H9" s="58" t="s">
        <v>99</v>
      </c>
      <c r="I9" s="140" t="s">
        <v>100</v>
      </c>
      <c r="J9" s="58" t="s">
        <v>373</v>
      </c>
      <c r="K9" s="58" t="s">
        <v>106</v>
      </c>
      <c r="L9" s="142" t="s">
        <v>572</v>
      </c>
      <c r="M9" s="58"/>
      <c r="N9" s="58">
        <v>2.5</v>
      </c>
      <c r="O9" s="4" t="s">
        <v>432</v>
      </c>
      <c r="P9" s="58"/>
      <c r="Q9" s="58"/>
    </row>
    <row r="10" spans="1:17">
      <c r="A10" s="139">
        <v>8</v>
      </c>
      <c r="B10" s="59">
        <v>46128</v>
      </c>
      <c r="C10" s="58" t="str">
        <f t="shared" si="2"/>
        <v>Thursday</v>
      </c>
      <c r="D10" s="58" t="s">
        <v>430</v>
      </c>
      <c r="E10" s="58" t="str">
        <f t="shared" si="1"/>
        <v>April</v>
      </c>
      <c r="F10" s="58">
        <v>2026</v>
      </c>
      <c r="G10" s="58">
        <v>2.5</v>
      </c>
      <c r="H10" s="58" t="s">
        <v>99</v>
      </c>
      <c r="I10" s="140" t="s">
        <v>100</v>
      </c>
      <c r="J10" s="58" t="s">
        <v>373</v>
      </c>
      <c r="K10" s="58" t="s">
        <v>106</v>
      </c>
      <c r="L10" s="142" t="s">
        <v>606</v>
      </c>
      <c r="M10" s="58"/>
      <c r="N10" s="58">
        <v>2.5</v>
      </c>
      <c r="O10" s="4" t="s">
        <v>432</v>
      </c>
      <c r="P10" s="58"/>
      <c r="Q10" s="58"/>
    </row>
    <row r="11" spans="1:17">
      <c r="A11" s="139">
        <v>9</v>
      </c>
      <c r="B11" s="59">
        <v>46133</v>
      </c>
      <c r="C11" s="58" t="str">
        <f t="shared" si="2"/>
        <v>Tuesday</v>
      </c>
      <c r="D11" s="58" t="s">
        <v>430</v>
      </c>
      <c r="E11" s="58" t="str">
        <f t="shared" si="1"/>
        <v>April</v>
      </c>
      <c r="F11" s="58">
        <v>2026</v>
      </c>
      <c r="G11" s="58">
        <v>2.5</v>
      </c>
      <c r="H11" s="58" t="s">
        <v>99</v>
      </c>
      <c r="I11" s="140" t="s">
        <v>100</v>
      </c>
      <c r="J11" s="58" t="s">
        <v>373</v>
      </c>
      <c r="K11" s="58" t="s">
        <v>106</v>
      </c>
      <c r="L11" s="142" t="s">
        <v>621</v>
      </c>
      <c r="M11" s="58"/>
      <c r="N11" s="58">
        <v>2.5</v>
      </c>
      <c r="O11" s="4" t="s">
        <v>432</v>
      </c>
      <c r="P11" s="58"/>
      <c r="Q11" s="58"/>
    </row>
    <row r="12" spans="1:17">
      <c r="A12" s="139"/>
      <c r="B12" s="59">
        <v>46135</v>
      </c>
      <c r="C12" s="58" t="str">
        <f t="shared" si="2"/>
        <v>Thursday</v>
      </c>
      <c r="D12" s="58"/>
      <c r="E12" s="58" t="str">
        <f t="shared" si="1"/>
        <v>April</v>
      </c>
      <c r="F12" s="58">
        <v>2026</v>
      </c>
      <c r="G12" s="58"/>
      <c r="H12" s="58" t="s">
        <v>99</v>
      </c>
      <c r="I12" s="140" t="s">
        <v>100</v>
      </c>
      <c r="J12" s="58" t="s">
        <v>373</v>
      </c>
      <c r="K12" s="58" t="s">
        <v>106</v>
      </c>
      <c r="L12" s="144" t="s">
        <v>427</v>
      </c>
      <c r="M12" s="58"/>
      <c r="N12" s="58"/>
      <c r="O12" s="4"/>
      <c r="P12" s="58"/>
      <c r="Q12" s="58"/>
    </row>
    <row r="13" spans="1:17" ht="30.75">
      <c r="A13" s="139">
        <v>10</v>
      </c>
      <c r="B13" s="59">
        <v>46140</v>
      </c>
      <c r="C13" s="58" t="str">
        <f t="shared" si="2"/>
        <v>Tuesday</v>
      </c>
      <c r="D13" s="58" t="s">
        <v>430</v>
      </c>
      <c r="E13" s="58" t="str">
        <f t="shared" si="1"/>
        <v>April</v>
      </c>
      <c r="F13" s="58">
        <v>2026</v>
      </c>
      <c r="G13" s="58">
        <v>2.5</v>
      </c>
      <c r="H13" s="58" t="s">
        <v>99</v>
      </c>
      <c r="I13" s="140" t="s">
        <v>100</v>
      </c>
      <c r="J13" s="58" t="s">
        <v>373</v>
      </c>
      <c r="K13" s="58" t="s">
        <v>106</v>
      </c>
      <c r="L13" s="142" t="s">
        <v>650</v>
      </c>
      <c r="M13" s="58"/>
      <c r="N13" s="58">
        <v>2.5</v>
      </c>
      <c r="O13" s="4" t="s">
        <v>432</v>
      </c>
      <c r="P13" s="58"/>
      <c r="Q13" s="58"/>
    </row>
    <row r="14" spans="1:17">
      <c r="A14" s="139">
        <v>14</v>
      </c>
      <c r="B14" s="59">
        <v>46147</v>
      </c>
      <c r="C14" s="58" t="str">
        <f t="shared" si="2"/>
        <v>Tuesday</v>
      </c>
      <c r="D14" s="58" t="s">
        <v>430</v>
      </c>
      <c r="E14" s="58" t="str">
        <f t="shared" si="1"/>
        <v>May</v>
      </c>
      <c r="F14" s="58">
        <v>2026</v>
      </c>
      <c r="G14" s="58">
        <v>2.5</v>
      </c>
      <c r="H14" s="58" t="s">
        <v>99</v>
      </c>
      <c r="I14" s="140" t="s">
        <v>100</v>
      </c>
      <c r="J14" s="58" t="s">
        <v>373</v>
      </c>
      <c r="K14" s="58" t="s">
        <v>106</v>
      </c>
      <c r="L14" s="142" t="s">
        <v>668</v>
      </c>
      <c r="M14" s="58"/>
      <c r="N14" s="58"/>
      <c r="O14" s="4" t="s">
        <v>432</v>
      </c>
      <c r="P14" s="58"/>
      <c r="Q14" s="58"/>
    </row>
    <row r="15" spans="1:17">
      <c r="A15" s="139"/>
      <c r="B15" s="59">
        <v>46149</v>
      </c>
      <c r="C15" s="58" t="str">
        <f t="shared" si="2"/>
        <v>Thursday</v>
      </c>
      <c r="D15" s="58" t="s">
        <v>430</v>
      </c>
      <c r="E15" s="58" t="str">
        <f t="shared" si="1"/>
        <v>May</v>
      </c>
      <c r="F15" s="58">
        <v>2026</v>
      </c>
      <c r="G15" s="58">
        <v>2.5</v>
      </c>
      <c r="H15" s="58" t="s">
        <v>99</v>
      </c>
      <c r="I15" s="140" t="s">
        <v>100</v>
      </c>
      <c r="J15" s="58" t="s">
        <v>373</v>
      </c>
      <c r="K15" s="58" t="s">
        <v>106</v>
      </c>
      <c r="L15" s="156" t="s">
        <v>678</v>
      </c>
      <c r="M15" s="58"/>
      <c r="N15" s="58"/>
      <c r="O15" s="4" t="s">
        <v>432</v>
      </c>
      <c r="P15" s="58"/>
      <c r="Q15" s="58"/>
    </row>
    <row r="16" spans="1:17" ht="30.75">
      <c r="A16" s="139">
        <v>15</v>
      </c>
      <c r="B16" s="59">
        <v>46154</v>
      </c>
      <c r="C16" s="58" t="str">
        <f t="shared" si="2"/>
        <v>Tuesday</v>
      </c>
      <c r="D16" s="58" t="s">
        <v>430</v>
      </c>
      <c r="E16" s="58" t="str">
        <f t="shared" si="1"/>
        <v>May</v>
      </c>
      <c r="F16" s="58">
        <v>2026</v>
      </c>
      <c r="G16" s="58">
        <v>2.5</v>
      </c>
      <c r="H16" s="58" t="s">
        <v>99</v>
      </c>
      <c r="I16" s="140" t="s">
        <v>100</v>
      </c>
      <c r="J16" s="58" t="s">
        <v>373</v>
      </c>
      <c r="K16" s="58" t="s">
        <v>106</v>
      </c>
      <c r="L16" s="142" t="s">
        <v>696</v>
      </c>
      <c r="M16" s="58"/>
      <c r="N16" s="58">
        <v>2.5</v>
      </c>
      <c r="O16" s="4" t="s">
        <v>432</v>
      </c>
      <c r="P16" s="58"/>
      <c r="Q16" s="58"/>
    </row>
    <row r="17" spans="1:17">
      <c r="A17" s="139">
        <v>16</v>
      </c>
      <c r="B17" s="59">
        <v>46161</v>
      </c>
      <c r="C17" s="58" t="str">
        <f t="shared" si="2"/>
        <v>Tuesday</v>
      </c>
      <c r="D17" s="58" t="s">
        <v>430</v>
      </c>
      <c r="E17" s="58" t="str">
        <f t="shared" si="1"/>
        <v>May</v>
      </c>
      <c r="F17" s="58">
        <v>2026</v>
      </c>
      <c r="G17" s="58">
        <v>2.5</v>
      </c>
      <c r="H17" s="58" t="s">
        <v>99</v>
      </c>
      <c r="I17" s="140" t="s">
        <v>100</v>
      </c>
      <c r="J17" s="58" t="s">
        <v>373</v>
      </c>
      <c r="K17" s="58" t="s">
        <v>106</v>
      </c>
      <c r="L17" s="142" t="s">
        <v>726</v>
      </c>
      <c r="M17" s="58"/>
      <c r="N17" s="58">
        <v>2.5</v>
      </c>
      <c r="O17" s="4" t="s">
        <v>432</v>
      </c>
      <c r="P17" s="58"/>
      <c r="Q17" s="58"/>
    </row>
    <row r="18" spans="1:17">
      <c r="A18" s="139">
        <v>17</v>
      </c>
      <c r="B18" s="59">
        <v>46163</v>
      </c>
      <c r="C18" s="58" t="str">
        <f t="shared" si="2"/>
        <v>Thursday</v>
      </c>
      <c r="D18" s="58" t="s">
        <v>430</v>
      </c>
      <c r="E18" s="58" t="str">
        <f t="shared" si="1"/>
        <v>May</v>
      </c>
      <c r="F18" s="58">
        <v>2026</v>
      </c>
      <c r="G18" s="58">
        <v>2.5</v>
      </c>
      <c r="H18" s="58" t="s">
        <v>99</v>
      </c>
      <c r="I18" s="140" t="s">
        <v>100</v>
      </c>
      <c r="J18" s="58" t="s">
        <v>373</v>
      </c>
      <c r="K18" s="58" t="s">
        <v>106</v>
      </c>
      <c r="L18" s="142" t="s">
        <v>739</v>
      </c>
      <c r="M18" s="58"/>
      <c r="N18" s="58">
        <v>2.5</v>
      </c>
      <c r="O18" s="4" t="s">
        <v>432</v>
      </c>
      <c r="P18" s="58"/>
      <c r="Q18" s="58"/>
    </row>
    <row r="19" spans="1:17">
      <c r="A19" s="139"/>
      <c r="B19" s="59">
        <v>46168</v>
      </c>
      <c r="C19" s="58" t="str">
        <f t="shared" si="2"/>
        <v>Tuesday</v>
      </c>
      <c r="D19" s="58"/>
      <c r="E19" s="58" t="str">
        <f t="shared" si="1"/>
        <v>May</v>
      </c>
      <c r="F19" s="58">
        <v>2026</v>
      </c>
      <c r="G19" s="58"/>
      <c r="H19" s="58" t="s">
        <v>99</v>
      </c>
      <c r="I19" s="140" t="s">
        <v>100</v>
      </c>
      <c r="J19" s="58" t="s">
        <v>373</v>
      </c>
      <c r="K19" s="58" t="s">
        <v>106</v>
      </c>
      <c r="L19" s="144" t="s">
        <v>427</v>
      </c>
      <c r="M19" s="58"/>
      <c r="N19" s="58"/>
      <c r="O19" s="4"/>
      <c r="P19" s="58"/>
      <c r="Q19" s="58"/>
    </row>
    <row r="20" spans="1:17" ht="30.75">
      <c r="A20" s="139">
        <v>11</v>
      </c>
      <c r="B20" s="59">
        <v>46175</v>
      </c>
      <c r="C20" s="58" t="str">
        <f t="shared" si="2"/>
        <v>Tuesday</v>
      </c>
      <c r="D20" s="58" t="s">
        <v>430</v>
      </c>
      <c r="E20" s="58" t="str">
        <f t="shared" si="1"/>
        <v>June</v>
      </c>
      <c r="F20" s="58">
        <v>2026</v>
      </c>
      <c r="G20" s="58">
        <v>2.5</v>
      </c>
      <c r="H20" s="58" t="s">
        <v>99</v>
      </c>
      <c r="I20" s="140" t="s">
        <v>100</v>
      </c>
      <c r="J20" s="58" t="s">
        <v>373</v>
      </c>
      <c r="K20" s="58" t="s">
        <v>106</v>
      </c>
      <c r="L20" s="142" t="s">
        <v>755</v>
      </c>
      <c r="M20" s="58"/>
      <c r="N20" s="58">
        <v>2.5</v>
      </c>
      <c r="O20" s="4" t="s">
        <v>432</v>
      </c>
      <c r="P20" s="58"/>
      <c r="Q20" s="58"/>
    </row>
    <row r="21" spans="1:17">
      <c r="A21" s="139">
        <v>12</v>
      </c>
      <c r="B21" s="59">
        <v>46176</v>
      </c>
      <c r="C21" s="58" t="str">
        <f t="shared" si="2"/>
        <v>Wednesday</v>
      </c>
      <c r="D21" s="58" t="s">
        <v>430</v>
      </c>
      <c r="E21" s="58" t="str">
        <f t="shared" si="1"/>
        <v>June</v>
      </c>
      <c r="F21" s="58">
        <v>2026</v>
      </c>
      <c r="G21" s="58">
        <v>2.5</v>
      </c>
      <c r="H21" s="58" t="s">
        <v>99</v>
      </c>
      <c r="I21" s="140" t="s">
        <v>100</v>
      </c>
      <c r="J21" s="58" t="s">
        <v>373</v>
      </c>
      <c r="K21" s="58" t="s">
        <v>106</v>
      </c>
      <c r="L21" s="142" t="s">
        <v>758</v>
      </c>
      <c r="M21" s="58"/>
      <c r="N21" s="58">
        <v>2.5</v>
      </c>
      <c r="O21" s="4" t="s">
        <v>432</v>
      </c>
      <c r="P21" s="58"/>
      <c r="Q21" s="58"/>
    </row>
    <row r="22" spans="1:17">
      <c r="A22" s="139">
        <v>13</v>
      </c>
      <c r="B22" s="59">
        <v>46182</v>
      </c>
      <c r="C22" s="58" t="str">
        <f t="shared" si="2"/>
        <v>Tuesday</v>
      </c>
      <c r="D22" s="58" t="s">
        <v>430</v>
      </c>
      <c r="E22" s="58" t="str">
        <f t="shared" si="1"/>
        <v>June</v>
      </c>
      <c r="F22" s="58">
        <v>2026</v>
      </c>
      <c r="G22" s="58">
        <v>2.5</v>
      </c>
      <c r="H22" s="58" t="s">
        <v>99</v>
      </c>
      <c r="I22" s="140" t="s">
        <v>100</v>
      </c>
      <c r="J22" s="58" t="s">
        <v>373</v>
      </c>
      <c r="K22" s="58" t="s">
        <v>106</v>
      </c>
      <c r="L22" s="142" t="s">
        <v>766</v>
      </c>
      <c r="M22" s="58"/>
      <c r="N22" s="58">
        <v>2.5</v>
      </c>
      <c r="O22" s="4" t="s">
        <v>432</v>
      </c>
      <c r="P22" s="58"/>
      <c r="Q22" s="58"/>
    </row>
    <row r="23" spans="1:17">
      <c r="A23" s="139">
        <v>18</v>
      </c>
      <c r="B23" s="59">
        <v>46184</v>
      </c>
      <c r="C23" s="58" t="str">
        <f t="shared" si="2"/>
        <v>Thursday</v>
      </c>
      <c r="D23" s="58" t="s">
        <v>430</v>
      </c>
      <c r="E23" s="58" t="str">
        <f t="shared" si="1"/>
        <v>June</v>
      </c>
      <c r="F23" s="58">
        <v>2026</v>
      </c>
      <c r="G23" s="58">
        <v>2.5</v>
      </c>
      <c r="H23" s="58" t="s">
        <v>99</v>
      </c>
      <c r="I23" s="140" t="s">
        <v>100</v>
      </c>
      <c r="J23" s="58" t="s">
        <v>373</v>
      </c>
      <c r="K23" s="58" t="s">
        <v>106</v>
      </c>
      <c r="L23" s="142" t="s">
        <v>778</v>
      </c>
      <c r="M23" s="58"/>
      <c r="N23" s="58">
        <v>2.5</v>
      </c>
      <c r="O23" s="4" t="s">
        <v>432</v>
      </c>
      <c r="P23" s="58"/>
      <c r="Q23" s="58"/>
    </row>
    <row r="24" spans="1:17">
      <c r="A24" s="139">
        <v>19</v>
      </c>
      <c r="B24" s="59">
        <v>46189</v>
      </c>
      <c r="C24" s="58" t="str">
        <f t="shared" si="2"/>
        <v>Tuesday</v>
      </c>
      <c r="D24" s="58" t="s">
        <v>430</v>
      </c>
      <c r="E24" s="58" t="str">
        <f t="shared" si="1"/>
        <v>June</v>
      </c>
      <c r="F24" s="58">
        <v>2026</v>
      </c>
      <c r="G24" s="58">
        <v>2.5</v>
      </c>
      <c r="H24" s="58" t="s">
        <v>99</v>
      </c>
      <c r="I24" s="140" t="s">
        <v>100</v>
      </c>
      <c r="J24" s="58" t="s">
        <v>373</v>
      </c>
      <c r="K24" s="58" t="s">
        <v>106</v>
      </c>
      <c r="L24" s="142" t="s">
        <v>789</v>
      </c>
      <c r="M24" s="58"/>
      <c r="N24" s="58">
        <v>2.5</v>
      </c>
      <c r="O24" s="4" t="s">
        <v>432</v>
      </c>
      <c r="P24" s="58"/>
      <c r="Q24" s="58"/>
    </row>
    <row r="25" spans="1:17">
      <c r="A25" s="139">
        <v>20</v>
      </c>
      <c r="B25" s="59">
        <v>46191</v>
      </c>
      <c r="C25" s="58" t="str">
        <f t="shared" si="2"/>
        <v>Thursday</v>
      </c>
      <c r="D25" s="58" t="s">
        <v>430</v>
      </c>
      <c r="E25" s="58" t="str">
        <f t="shared" si="1"/>
        <v>June</v>
      </c>
      <c r="F25" s="58">
        <v>2026</v>
      </c>
      <c r="G25" s="58">
        <v>2.5</v>
      </c>
      <c r="H25" s="58" t="s">
        <v>99</v>
      </c>
      <c r="I25" s="140" t="s">
        <v>100</v>
      </c>
      <c r="J25" s="58" t="s">
        <v>373</v>
      </c>
      <c r="K25" s="58" t="s">
        <v>106</v>
      </c>
      <c r="L25" s="142" t="s">
        <v>797</v>
      </c>
      <c r="M25" s="58"/>
      <c r="N25" s="58">
        <v>2.5</v>
      </c>
      <c r="O25" s="4" t="s">
        <v>432</v>
      </c>
      <c r="P25" s="58"/>
      <c r="Q25" s="58"/>
    </row>
    <row r="26" spans="1:17">
      <c r="A26" s="139">
        <v>21</v>
      </c>
      <c r="B26" s="59">
        <v>46196</v>
      </c>
      <c r="C26" s="58" t="str">
        <f t="shared" si="2"/>
        <v>Tuesday</v>
      </c>
      <c r="D26" s="58" t="s">
        <v>430</v>
      </c>
      <c r="E26" s="58" t="str">
        <f t="shared" si="1"/>
        <v>June</v>
      </c>
      <c r="F26" s="58">
        <v>2026</v>
      </c>
      <c r="G26" s="58">
        <v>2.5</v>
      </c>
      <c r="H26" s="58" t="s">
        <v>99</v>
      </c>
      <c r="I26" s="140" t="s">
        <v>100</v>
      </c>
      <c r="J26" s="58" t="s">
        <v>373</v>
      </c>
      <c r="K26" s="58" t="s">
        <v>106</v>
      </c>
      <c r="L26" s="142" t="s">
        <v>829</v>
      </c>
      <c r="M26" s="58"/>
      <c r="N26" s="58">
        <v>2.5</v>
      </c>
      <c r="O26" s="4" t="s">
        <v>432</v>
      </c>
      <c r="P26" s="58"/>
      <c r="Q26" s="58"/>
    </row>
    <row r="27" spans="1:17">
      <c r="A27" s="139">
        <v>22</v>
      </c>
      <c r="B27" s="59">
        <v>46198</v>
      </c>
      <c r="C27" s="58" t="str">
        <f t="shared" si="2"/>
        <v>Thursday</v>
      </c>
      <c r="D27" s="58" t="s">
        <v>430</v>
      </c>
      <c r="E27" s="58" t="str">
        <f t="shared" si="1"/>
        <v>June</v>
      </c>
      <c r="F27" s="58">
        <v>2026</v>
      </c>
      <c r="G27" s="58">
        <v>2.5</v>
      </c>
      <c r="H27" s="58" t="s">
        <v>99</v>
      </c>
      <c r="I27" s="140" t="s">
        <v>100</v>
      </c>
      <c r="J27" s="58" t="s">
        <v>373</v>
      </c>
      <c r="K27" s="58" t="s">
        <v>106</v>
      </c>
      <c r="L27" s="142" t="s">
        <v>816</v>
      </c>
      <c r="M27" s="58"/>
      <c r="N27" s="58">
        <v>2.5</v>
      </c>
      <c r="O27" s="4" t="s">
        <v>432</v>
      </c>
      <c r="P27" s="58"/>
      <c r="Q27" s="58"/>
    </row>
    <row r="28" spans="1:17">
      <c r="A28" s="139"/>
      <c r="B28" s="59">
        <v>46203</v>
      </c>
      <c r="C28" s="58" t="str">
        <f t="shared" si="2"/>
        <v>Tuesday</v>
      </c>
      <c r="D28" s="58"/>
      <c r="E28" s="58" t="str">
        <f t="shared" si="1"/>
        <v>June</v>
      </c>
      <c r="F28" s="58">
        <v>2026</v>
      </c>
      <c r="G28" s="58"/>
      <c r="H28" s="58" t="s">
        <v>99</v>
      </c>
      <c r="I28" s="140" t="s">
        <v>100</v>
      </c>
      <c r="J28" s="58" t="s">
        <v>373</v>
      </c>
      <c r="K28" s="58" t="s">
        <v>106</v>
      </c>
      <c r="L28" s="144" t="s">
        <v>427</v>
      </c>
      <c r="M28" s="58"/>
      <c r="N28" s="58"/>
      <c r="O28" s="4"/>
      <c r="P28" s="58"/>
      <c r="Q28" s="58"/>
    </row>
    <row r="29" spans="1:17" ht="30.75">
      <c r="A29" s="139">
        <v>23</v>
      </c>
      <c r="B29" s="59">
        <v>46204</v>
      </c>
      <c r="C29" s="58" t="str">
        <f t="shared" si="2"/>
        <v>Wednesday</v>
      </c>
      <c r="D29" s="58" t="s">
        <v>430</v>
      </c>
      <c r="E29" s="58" t="str">
        <f t="shared" si="1"/>
        <v>July</v>
      </c>
      <c r="F29" s="58">
        <v>2026</v>
      </c>
      <c r="G29" s="58">
        <v>2.5</v>
      </c>
      <c r="H29" s="58" t="s">
        <v>99</v>
      </c>
      <c r="I29" s="140" t="s">
        <v>100</v>
      </c>
      <c r="J29" s="58" t="s">
        <v>373</v>
      </c>
      <c r="K29" s="58" t="s">
        <v>106</v>
      </c>
      <c r="L29" s="142" t="s">
        <v>828</v>
      </c>
      <c r="M29" s="58"/>
      <c r="N29" s="58">
        <v>2.5</v>
      </c>
      <c r="O29" s="4" t="s">
        <v>432</v>
      </c>
      <c r="P29" s="58"/>
      <c r="Q29" s="58"/>
    </row>
    <row r="30" spans="1:17">
      <c r="A30" s="139">
        <v>24</v>
      </c>
      <c r="B30" s="59">
        <v>46210</v>
      </c>
      <c r="C30" s="58" t="str">
        <f t="shared" si="2"/>
        <v>Tuesday</v>
      </c>
      <c r="D30" s="58" t="s">
        <v>430</v>
      </c>
      <c r="E30" s="58" t="str">
        <f t="shared" si="1"/>
        <v>July</v>
      </c>
      <c r="F30" s="58">
        <v>2026</v>
      </c>
      <c r="G30" s="58">
        <v>2.5</v>
      </c>
      <c r="H30" s="58" t="s">
        <v>99</v>
      </c>
      <c r="I30" s="140" t="s">
        <v>100</v>
      </c>
      <c r="J30" s="58" t="s">
        <v>373</v>
      </c>
      <c r="K30" s="58" t="s">
        <v>106</v>
      </c>
      <c r="L30" s="142" t="s">
        <v>833</v>
      </c>
      <c r="M30" s="58"/>
      <c r="N30" s="58">
        <v>2.5</v>
      </c>
      <c r="O30" s="4" t="s">
        <v>432</v>
      </c>
      <c r="P30" s="58"/>
      <c r="Q30" s="58"/>
    </row>
    <row r="31" spans="1:17">
      <c r="A31" s="139">
        <v>25</v>
      </c>
      <c r="B31" s="59">
        <v>46212</v>
      </c>
      <c r="C31" s="58" t="str">
        <f t="shared" si="2"/>
        <v>Thursday</v>
      </c>
      <c r="D31" s="58" t="s">
        <v>430</v>
      </c>
      <c r="E31" s="58" t="str">
        <f t="shared" si="1"/>
        <v>July</v>
      </c>
      <c r="F31" s="58">
        <v>2026</v>
      </c>
      <c r="G31" s="58">
        <v>2.5</v>
      </c>
      <c r="H31" s="58" t="s">
        <v>99</v>
      </c>
      <c r="I31" s="140" t="s">
        <v>100</v>
      </c>
      <c r="J31" s="58" t="s">
        <v>373</v>
      </c>
      <c r="K31" s="58" t="s">
        <v>106</v>
      </c>
      <c r="L31" s="142" t="s">
        <v>845</v>
      </c>
      <c r="M31" s="58"/>
      <c r="N31" s="58">
        <v>2.5</v>
      </c>
      <c r="O31" s="4" t="s">
        <v>432</v>
      </c>
      <c r="P31" s="58"/>
      <c r="Q31" s="58"/>
    </row>
    <row r="32" spans="1:17">
      <c r="A32" s="139">
        <v>26</v>
      </c>
      <c r="B32" s="59">
        <v>46216</v>
      </c>
      <c r="C32" s="58" t="str">
        <f t="shared" si="2"/>
        <v>Monday</v>
      </c>
      <c r="D32" s="58" t="s">
        <v>430</v>
      </c>
      <c r="E32" s="58" t="str">
        <f t="shared" si="1"/>
        <v>July</v>
      </c>
      <c r="F32" s="58">
        <v>2026</v>
      </c>
      <c r="G32" s="58">
        <v>1.5</v>
      </c>
      <c r="H32" s="58" t="s">
        <v>99</v>
      </c>
      <c r="I32" s="140" t="s">
        <v>100</v>
      </c>
      <c r="J32" s="58" t="s">
        <v>373</v>
      </c>
      <c r="K32" s="58" t="s">
        <v>106</v>
      </c>
      <c r="L32" s="142" t="s">
        <v>856</v>
      </c>
      <c r="M32" s="58"/>
      <c r="N32" s="58">
        <v>1.5</v>
      </c>
      <c r="O32" s="4" t="s">
        <v>432</v>
      </c>
      <c r="P32" s="58"/>
      <c r="Q32" s="58"/>
    </row>
    <row r="33" spans="1:17">
      <c r="A33" s="139">
        <v>27</v>
      </c>
      <c r="B33" s="59">
        <v>46219</v>
      </c>
      <c r="C33" s="58" t="str">
        <f t="shared" si="2"/>
        <v>Thursday</v>
      </c>
      <c r="D33" s="58" t="s">
        <v>430</v>
      </c>
      <c r="E33" s="58" t="str">
        <f t="shared" si="1"/>
        <v>July</v>
      </c>
      <c r="F33" s="58">
        <v>2026</v>
      </c>
      <c r="G33" s="58">
        <v>1.5</v>
      </c>
      <c r="H33" s="58" t="s">
        <v>99</v>
      </c>
      <c r="I33" s="140" t="s">
        <v>100</v>
      </c>
      <c r="J33" s="58" t="s">
        <v>373</v>
      </c>
      <c r="K33" s="58" t="s">
        <v>106</v>
      </c>
      <c r="L33" s="142" t="s">
        <v>862</v>
      </c>
      <c r="M33" s="58"/>
      <c r="N33" s="58">
        <v>1.5</v>
      </c>
      <c r="O33" s="4" t="s">
        <v>432</v>
      </c>
      <c r="P33" s="58"/>
      <c r="Q33" s="58"/>
    </row>
    <row r="34" spans="1:17">
      <c r="A34" s="139">
        <v>28</v>
      </c>
      <c r="B34" s="59">
        <v>46224</v>
      </c>
      <c r="C34" s="58" t="str">
        <f t="shared" si="2"/>
        <v>Tuesday</v>
      </c>
      <c r="D34" s="58" t="s">
        <v>430</v>
      </c>
      <c r="E34" s="58" t="str">
        <f t="shared" si="1"/>
        <v>July</v>
      </c>
      <c r="F34" s="58">
        <v>2026</v>
      </c>
      <c r="G34" s="58">
        <v>1.5</v>
      </c>
      <c r="H34" s="58" t="s">
        <v>99</v>
      </c>
      <c r="I34" s="140" t="s">
        <v>100</v>
      </c>
      <c r="J34" s="58" t="s">
        <v>373</v>
      </c>
      <c r="K34" s="58" t="s">
        <v>106</v>
      </c>
      <c r="L34" s="142" t="s">
        <v>871</v>
      </c>
      <c r="M34" s="58"/>
      <c r="N34" s="58">
        <v>1.5</v>
      </c>
      <c r="O34" s="4" t="s">
        <v>432</v>
      </c>
      <c r="P34" s="58"/>
      <c r="Q34" s="58"/>
    </row>
    <row r="35" spans="1:17">
      <c r="A35" s="139">
        <v>29</v>
      </c>
      <c r="B35" s="59">
        <v>46225</v>
      </c>
      <c r="C35" s="58" t="str">
        <f t="shared" si="2"/>
        <v>Wednesday</v>
      </c>
      <c r="D35" s="58" t="s">
        <v>430</v>
      </c>
      <c r="E35" s="58" t="str">
        <f t="shared" si="1"/>
        <v>July</v>
      </c>
      <c r="F35" s="58">
        <v>2026</v>
      </c>
      <c r="G35" s="58">
        <v>1.5</v>
      </c>
      <c r="H35" s="58" t="s">
        <v>99</v>
      </c>
      <c r="I35" s="140" t="s">
        <v>100</v>
      </c>
      <c r="J35" s="58" t="s">
        <v>373</v>
      </c>
      <c r="K35" s="58" t="s">
        <v>106</v>
      </c>
      <c r="L35" s="142" t="s">
        <v>877</v>
      </c>
      <c r="M35" s="58"/>
      <c r="N35" s="58">
        <v>1.5</v>
      </c>
      <c r="O35" s="4" t="s">
        <v>432</v>
      </c>
      <c r="P35" s="58"/>
      <c r="Q35" s="58"/>
    </row>
    <row r="36" spans="1:17">
      <c r="A36" s="139"/>
      <c r="B36" s="59">
        <v>46231</v>
      </c>
      <c r="C36" s="58" t="str">
        <f t="shared" si="2"/>
        <v>Tuesday</v>
      </c>
      <c r="D36" s="58"/>
      <c r="E36" s="58" t="str">
        <f t="shared" si="1"/>
        <v>July</v>
      </c>
      <c r="F36" s="58">
        <v>2026</v>
      </c>
      <c r="G36" s="58">
        <v>2.5</v>
      </c>
      <c r="H36" s="58" t="s">
        <v>99</v>
      </c>
      <c r="I36" s="140" t="s">
        <v>100</v>
      </c>
      <c r="J36" s="58" t="s">
        <v>373</v>
      </c>
      <c r="K36" s="58" t="s">
        <v>106</v>
      </c>
      <c r="L36" s="142" t="s">
        <v>888</v>
      </c>
      <c r="M36" s="58"/>
      <c r="N36" s="58">
        <v>2.5</v>
      </c>
      <c r="O36" s="4"/>
      <c r="P36" s="58"/>
      <c r="Q36" s="58"/>
    </row>
    <row r="37" spans="1:17">
      <c r="A37" s="139"/>
      <c r="B37" s="59">
        <v>46233</v>
      </c>
      <c r="C37" s="58" t="str">
        <f t="shared" si="2"/>
        <v>Thursday</v>
      </c>
      <c r="D37" s="58"/>
      <c r="E37" s="58" t="str">
        <f t="shared" si="1"/>
        <v>July</v>
      </c>
      <c r="F37" s="58">
        <v>2026</v>
      </c>
      <c r="G37" s="58">
        <v>2.5</v>
      </c>
      <c r="H37" s="58" t="s">
        <v>99</v>
      </c>
      <c r="I37" s="140" t="s">
        <v>100</v>
      </c>
      <c r="J37" s="58" t="s">
        <v>373</v>
      </c>
      <c r="K37" s="58" t="s">
        <v>106</v>
      </c>
      <c r="L37" s="142" t="s">
        <v>888</v>
      </c>
      <c r="M37" s="58"/>
      <c r="N37" s="58">
        <v>2.5</v>
      </c>
      <c r="O37" s="4"/>
      <c r="P37" s="58"/>
      <c r="Q37" s="58"/>
    </row>
    <row r="38" spans="1:17">
      <c r="A38" s="139"/>
      <c r="B38" s="59">
        <v>46238</v>
      </c>
      <c r="C38" s="58" t="str">
        <f t="shared" si="2"/>
        <v>Tuesday</v>
      </c>
      <c r="D38" s="58"/>
      <c r="E38" s="58" t="str">
        <f t="shared" si="1"/>
        <v>August</v>
      </c>
      <c r="F38" s="58">
        <v>2026</v>
      </c>
      <c r="G38" s="58"/>
      <c r="H38" s="58" t="s">
        <v>99</v>
      </c>
      <c r="I38" s="140" t="s">
        <v>100</v>
      </c>
      <c r="J38" s="58" t="s">
        <v>373</v>
      </c>
      <c r="K38" s="58" t="s">
        <v>106</v>
      </c>
      <c r="L38" s="144" t="s">
        <v>427</v>
      </c>
      <c r="M38" s="58"/>
      <c r="N38" s="58"/>
      <c r="O38" s="4"/>
      <c r="P38" s="58"/>
      <c r="Q38" s="58"/>
    </row>
    <row r="39" spans="1:17">
      <c r="A39" s="139">
        <v>30</v>
      </c>
      <c r="B39" s="59">
        <v>46240</v>
      </c>
      <c r="C39" s="58" t="str">
        <f t="shared" si="2"/>
        <v>Thursday</v>
      </c>
      <c r="D39" s="58" t="s">
        <v>430</v>
      </c>
      <c r="E39" s="58" t="str">
        <f t="shared" si="1"/>
        <v>August</v>
      </c>
      <c r="F39" s="58">
        <v>2026</v>
      </c>
      <c r="G39" s="58"/>
      <c r="H39" s="58" t="s">
        <v>99</v>
      </c>
      <c r="I39" s="140" t="s">
        <v>100</v>
      </c>
      <c r="J39" s="58" t="s">
        <v>373</v>
      </c>
      <c r="K39" s="58" t="s">
        <v>106</v>
      </c>
      <c r="L39" s="142" t="s">
        <v>668</v>
      </c>
      <c r="M39" s="58"/>
      <c r="N39" s="58"/>
      <c r="O39" s="4" t="s">
        <v>432</v>
      </c>
      <c r="P39" s="58"/>
      <c r="Q39" s="58"/>
    </row>
    <row r="40" spans="1:17">
      <c r="A40" s="139"/>
      <c r="B40" s="59">
        <v>46245</v>
      </c>
      <c r="C40" s="58" t="str">
        <f t="shared" si="2"/>
        <v>Tuesday</v>
      </c>
      <c r="D40" s="58" t="s">
        <v>430</v>
      </c>
      <c r="E40" s="58" t="str">
        <f t="shared" si="1"/>
        <v>August</v>
      </c>
      <c r="F40" s="58">
        <v>2026</v>
      </c>
      <c r="G40" s="58"/>
      <c r="H40" s="58" t="s">
        <v>99</v>
      </c>
      <c r="I40" s="140" t="s">
        <v>100</v>
      </c>
      <c r="J40" s="58" t="s">
        <v>373</v>
      </c>
      <c r="K40" s="58" t="s">
        <v>106</v>
      </c>
      <c r="L40" s="156" t="s">
        <v>923</v>
      </c>
      <c r="M40" s="58"/>
      <c r="N40" s="58"/>
      <c r="O40" s="4" t="s">
        <v>432</v>
      </c>
      <c r="P40" s="58"/>
      <c r="Q40" s="58"/>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96DD-D9DE-4D7A-8260-CDD57D6CE729}">
  <dimension ref="A1:Q21"/>
  <sheetViews>
    <sheetView topLeftCell="G1" workbookViewId="0">
      <selection activeCell="I16" sqref="I16"/>
    </sheetView>
  </sheetViews>
  <sheetFormatPr defaultRowHeight="15"/>
  <cols>
    <col min="1" max="1" width="8.85546875" bestFit="1" customWidth="1"/>
    <col min="2" max="2" width="19.28515625" bestFit="1" customWidth="1"/>
    <col min="3" max="3" width="13.140625" bestFit="1" customWidth="1"/>
    <col min="4" max="4" width="23.7109375" bestFit="1" customWidth="1"/>
    <col min="5" max="5" width="10.42578125" bestFit="1" customWidth="1"/>
    <col min="6" max="6" width="8.140625" bestFit="1" customWidth="1"/>
    <col min="7" max="7" width="18.42578125" bestFit="1" customWidth="1"/>
    <col min="8" max="8" width="9.42578125" bestFit="1" customWidth="1"/>
    <col min="9" max="9" width="26.28515625" customWidth="1"/>
    <col min="10" max="10" width="26.28515625" bestFit="1" customWidth="1"/>
    <col min="11" max="11" width="9.42578125" bestFit="1" customWidth="1"/>
    <col min="12" max="12" width="36.5703125" bestFit="1" customWidth="1"/>
    <col min="13" max="13" width="19.85546875" bestFit="1" customWidth="1"/>
    <col min="14" max="14" width="24.28515625" bestFit="1" customWidth="1"/>
    <col min="15" max="15" width="14.28515625" bestFit="1" customWidth="1"/>
    <col min="16" max="17" width="13" bestFit="1"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c r="A2" s="139">
        <v>1</v>
      </c>
      <c r="B2" s="59">
        <v>46066</v>
      </c>
      <c r="C2" s="58" t="str">
        <f>TEXT(B2,"dddd")</f>
        <v>Friday</v>
      </c>
      <c r="D2" s="58" t="s">
        <v>398</v>
      </c>
      <c r="E2" s="58" t="str">
        <f t="shared" ref="E2:E21" si="0">TEXT(B2,"mmmm")</f>
        <v>February</v>
      </c>
      <c r="F2" s="58">
        <v>2026</v>
      </c>
      <c r="G2" s="58">
        <v>2</v>
      </c>
      <c r="H2" s="58" t="s">
        <v>57</v>
      </c>
      <c r="I2" s="140" t="s">
        <v>74</v>
      </c>
      <c r="J2" s="58" t="s">
        <v>373</v>
      </c>
      <c r="K2" s="58"/>
      <c r="L2" s="141" t="s">
        <v>399</v>
      </c>
      <c r="M2" s="58"/>
      <c r="N2" s="58">
        <v>2</v>
      </c>
      <c r="O2" s="4" t="s">
        <v>66</v>
      </c>
      <c r="P2" s="58"/>
      <c r="Q2" s="58"/>
    </row>
    <row r="3" spans="1:17">
      <c r="A3" s="139">
        <v>2</v>
      </c>
      <c r="B3" s="59">
        <v>46069</v>
      </c>
      <c r="C3" s="58" t="str">
        <f t="shared" ref="C3:C21" si="1">TEXT(B3,"dddd")</f>
        <v>Monday</v>
      </c>
      <c r="D3" s="58" t="s">
        <v>398</v>
      </c>
      <c r="E3" s="58" t="str">
        <f t="shared" si="0"/>
        <v>February</v>
      </c>
      <c r="F3" s="58">
        <v>2026</v>
      </c>
      <c r="G3" s="58">
        <v>2</v>
      </c>
      <c r="H3" s="58" t="s">
        <v>57</v>
      </c>
      <c r="I3" s="140" t="s">
        <v>74</v>
      </c>
      <c r="J3" s="58" t="s">
        <v>373</v>
      </c>
      <c r="K3" s="58"/>
      <c r="L3" s="142" t="s">
        <v>406</v>
      </c>
      <c r="M3" s="58"/>
      <c r="N3" s="58">
        <v>2</v>
      </c>
      <c r="O3" s="4" t="s">
        <v>66</v>
      </c>
      <c r="P3" s="58"/>
      <c r="Q3" s="58"/>
    </row>
    <row r="4" spans="1:17">
      <c r="A4" s="139">
        <v>3</v>
      </c>
      <c r="B4" s="59">
        <v>46071</v>
      </c>
      <c r="C4" s="58" t="str">
        <f t="shared" si="1"/>
        <v>Wednesday</v>
      </c>
      <c r="D4" s="58" t="s">
        <v>398</v>
      </c>
      <c r="E4" s="58" t="str">
        <f t="shared" si="0"/>
        <v>February</v>
      </c>
      <c r="F4" s="58">
        <v>2026</v>
      </c>
      <c r="G4" s="58">
        <v>2</v>
      </c>
      <c r="H4" s="58" t="s">
        <v>57</v>
      </c>
      <c r="I4" s="140" t="s">
        <v>74</v>
      </c>
      <c r="J4" s="58" t="s">
        <v>373</v>
      </c>
      <c r="K4" s="58"/>
      <c r="L4" s="142" t="s">
        <v>408</v>
      </c>
      <c r="M4" s="58"/>
      <c r="N4" s="58">
        <v>2</v>
      </c>
      <c r="O4" s="4" t="s">
        <v>66</v>
      </c>
      <c r="P4" s="58"/>
      <c r="Q4" s="58"/>
    </row>
    <row r="5" spans="1:17">
      <c r="A5" s="139">
        <v>4</v>
      </c>
      <c r="B5" s="59">
        <v>46073</v>
      </c>
      <c r="C5" s="58" t="str">
        <f t="shared" si="1"/>
        <v>Friday</v>
      </c>
      <c r="D5" s="58" t="s">
        <v>398</v>
      </c>
      <c r="E5" s="58" t="str">
        <f t="shared" si="0"/>
        <v>February</v>
      </c>
      <c r="F5" s="58">
        <v>2026</v>
      </c>
      <c r="G5" s="58">
        <v>2</v>
      </c>
      <c r="H5" s="58" t="s">
        <v>57</v>
      </c>
      <c r="I5" s="140" t="s">
        <v>74</v>
      </c>
      <c r="J5" s="58" t="s">
        <v>373</v>
      </c>
      <c r="K5" s="58"/>
      <c r="L5" s="142" t="s">
        <v>412</v>
      </c>
      <c r="M5" s="58"/>
      <c r="N5" s="58">
        <v>2</v>
      </c>
      <c r="O5" s="4" t="s">
        <v>66</v>
      </c>
      <c r="P5" s="58"/>
      <c r="Q5" s="58"/>
    </row>
    <row r="6" spans="1:17">
      <c r="A6" s="139">
        <v>5</v>
      </c>
      <c r="B6" s="59">
        <v>46076</v>
      </c>
      <c r="C6" s="58" t="str">
        <f t="shared" si="1"/>
        <v>Monday</v>
      </c>
      <c r="D6" s="58" t="s">
        <v>398</v>
      </c>
      <c r="E6" s="58" t="str">
        <f t="shared" si="0"/>
        <v>February</v>
      </c>
      <c r="F6" s="58">
        <v>2026</v>
      </c>
      <c r="G6" s="58">
        <v>2</v>
      </c>
      <c r="H6" s="58" t="s">
        <v>57</v>
      </c>
      <c r="I6" s="140" t="s">
        <v>74</v>
      </c>
      <c r="J6" s="58" t="s">
        <v>373</v>
      </c>
      <c r="K6" s="58"/>
      <c r="L6" s="142" t="s">
        <v>416</v>
      </c>
      <c r="M6" s="58"/>
      <c r="N6" s="58">
        <v>2</v>
      </c>
      <c r="O6" s="4" t="s">
        <v>66</v>
      </c>
      <c r="P6" s="58"/>
      <c r="Q6" s="58"/>
    </row>
    <row r="7" spans="1:17">
      <c r="A7" s="139">
        <v>6</v>
      </c>
      <c r="B7" s="59">
        <v>46078</v>
      </c>
      <c r="C7" s="58" t="str">
        <f t="shared" si="1"/>
        <v>Wednesday</v>
      </c>
      <c r="D7" s="58" t="s">
        <v>398</v>
      </c>
      <c r="E7" s="58" t="str">
        <f t="shared" si="0"/>
        <v>February</v>
      </c>
      <c r="F7" s="58">
        <v>2026</v>
      </c>
      <c r="G7" s="58">
        <v>2</v>
      </c>
      <c r="H7" s="58" t="s">
        <v>57</v>
      </c>
      <c r="I7" s="140" t="s">
        <v>74</v>
      </c>
      <c r="J7" s="58" t="s">
        <v>373</v>
      </c>
      <c r="K7" s="58"/>
      <c r="L7" s="142" t="s">
        <v>421</v>
      </c>
      <c r="M7" s="58"/>
      <c r="N7" s="58">
        <v>2</v>
      </c>
      <c r="O7" s="4" t="s">
        <v>66</v>
      </c>
      <c r="P7" s="58"/>
      <c r="Q7" s="58"/>
    </row>
    <row r="8" spans="1:17">
      <c r="A8" s="139">
        <v>7</v>
      </c>
      <c r="B8" s="59">
        <v>46080</v>
      </c>
      <c r="C8" s="58" t="str">
        <f t="shared" si="1"/>
        <v>Friday</v>
      </c>
      <c r="D8" s="58" t="s">
        <v>398</v>
      </c>
      <c r="E8" s="58" t="str">
        <f t="shared" si="0"/>
        <v>February</v>
      </c>
      <c r="F8" s="58">
        <v>2026</v>
      </c>
      <c r="G8" s="58">
        <v>2</v>
      </c>
      <c r="H8" s="58" t="s">
        <v>57</v>
      </c>
      <c r="I8" s="140" t="s">
        <v>74</v>
      </c>
      <c r="J8" s="58" t="s">
        <v>373</v>
      </c>
      <c r="K8" s="58"/>
      <c r="L8" s="142" t="s">
        <v>425</v>
      </c>
      <c r="M8" s="58"/>
      <c r="N8" s="58">
        <v>2</v>
      </c>
      <c r="O8" s="4" t="s">
        <v>66</v>
      </c>
      <c r="P8" s="58"/>
      <c r="Q8" s="58"/>
    </row>
    <row r="9" spans="1:17">
      <c r="A9" s="139"/>
      <c r="B9" s="59">
        <v>46083</v>
      </c>
      <c r="C9" s="58" t="str">
        <f t="shared" si="1"/>
        <v>Monday</v>
      </c>
      <c r="D9" s="58"/>
      <c r="E9" s="58" t="str">
        <f t="shared" si="0"/>
        <v>March</v>
      </c>
      <c r="F9" s="58">
        <v>2026</v>
      </c>
      <c r="G9" s="58"/>
      <c r="H9" s="58" t="s">
        <v>57</v>
      </c>
      <c r="I9" s="140" t="s">
        <v>74</v>
      </c>
      <c r="J9" s="58" t="s">
        <v>373</v>
      </c>
      <c r="K9" s="58"/>
      <c r="L9" s="144" t="s">
        <v>391</v>
      </c>
      <c r="M9" s="58"/>
      <c r="N9" s="58"/>
      <c r="O9" s="4" t="s">
        <v>66</v>
      </c>
      <c r="P9" s="58"/>
      <c r="Q9" s="58"/>
    </row>
    <row r="10" spans="1:17" ht="30.75">
      <c r="A10" s="139">
        <v>8</v>
      </c>
      <c r="B10" s="59">
        <v>46087</v>
      </c>
      <c r="C10" s="58" t="str">
        <f t="shared" si="1"/>
        <v>Friday</v>
      </c>
      <c r="D10" s="58" t="s">
        <v>398</v>
      </c>
      <c r="E10" s="58" t="str">
        <f t="shared" si="0"/>
        <v>March</v>
      </c>
      <c r="F10" s="58">
        <v>2026</v>
      </c>
      <c r="G10" s="58">
        <v>2</v>
      </c>
      <c r="H10" s="58" t="s">
        <v>57</v>
      </c>
      <c r="I10" s="140" t="s">
        <v>74</v>
      </c>
      <c r="J10" s="58" t="s">
        <v>373</v>
      </c>
      <c r="K10" s="58"/>
      <c r="L10" s="142" t="s">
        <v>440</v>
      </c>
      <c r="M10" s="58"/>
      <c r="N10" s="58">
        <v>2</v>
      </c>
      <c r="O10" s="4" t="s">
        <v>66</v>
      </c>
      <c r="P10" s="58"/>
      <c r="Q10" s="58"/>
    </row>
    <row r="11" spans="1:17" ht="30.75">
      <c r="A11" s="139">
        <v>9</v>
      </c>
      <c r="B11" s="59">
        <v>46090</v>
      </c>
      <c r="C11" s="58" t="str">
        <f t="shared" si="1"/>
        <v>Monday</v>
      </c>
      <c r="D11" s="58" t="s">
        <v>398</v>
      </c>
      <c r="E11" s="58" t="str">
        <f t="shared" si="0"/>
        <v>March</v>
      </c>
      <c r="F11" s="58">
        <v>2026</v>
      </c>
      <c r="G11" s="58">
        <v>2</v>
      </c>
      <c r="H11" s="58" t="s">
        <v>57</v>
      </c>
      <c r="I11" s="140" t="s">
        <v>74</v>
      </c>
      <c r="J11" s="58" t="s">
        <v>373</v>
      </c>
      <c r="K11" s="58"/>
      <c r="L11" s="142" t="s">
        <v>449</v>
      </c>
      <c r="M11" s="58"/>
      <c r="N11" s="58">
        <v>2</v>
      </c>
      <c r="O11" s="4" t="s">
        <v>66</v>
      </c>
      <c r="P11" s="58"/>
      <c r="Q11" s="58"/>
    </row>
    <row r="12" spans="1:17" ht="30.75">
      <c r="A12" s="139">
        <v>10</v>
      </c>
      <c r="B12" s="59">
        <v>46092</v>
      </c>
      <c r="C12" s="58" t="str">
        <f t="shared" si="1"/>
        <v>Wednesday</v>
      </c>
      <c r="D12" s="58" t="s">
        <v>398</v>
      </c>
      <c r="E12" s="58" t="str">
        <f t="shared" si="0"/>
        <v>March</v>
      </c>
      <c r="F12" s="58">
        <v>2026</v>
      </c>
      <c r="G12" s="58">
        <v>2</v>
      </c>
      <c r="H12" s="58" t="s">
        <v>57</v>
      </c>
      <c r="I12" s="140" t="s">
        <v>74</v>
      </c>
      <c r="J12" s="58" t="s">
        <v>373</v>
      </c>
      <c r="K12" s="58"/>
      <c r="L12" s="142" t="s">
        <v>464</v>
      </c>
      <c r="M12" s="58"/>
      <c r="N12" s="58">
        <v>2</v>
      </c>
      <c r="O12" s="4" t="s">
        <v>66</v>
      </c>
      <c r="P12" s="58"/>
      <c r="Q12" s="58"/>
    </row>
    <row r="13" spans="1:17">
      <c r="A13" s="139">
        <v>11</v>
      </c>
      <c r="B13" s="59">
        <v>46094</v>
      </c>
      <c r="C13" s="58" t="str">
        <f t="shared" si="1"/>
        <v>Friday</v>
      </c>
      <c r="D13" s="58" t="s">
        <v>398</v>
      </c>
      <c r="E13" s="58" t="str">
        <f t="shared" si="0"/>
        <v>March</v>
      </c>
      <c r="F13" s="58">
        <v>2026</v>
      </c>
      <c r="G13" s="58">
        <v>2</v>
      </c>
      <c r="H13" s="58" t="s">
        <v>57</v>
      </c>
      <c r="I13" s="140" t="s">
        <v>74</v>
      </c>
      <c r="J13" s="58" t="s">
        <v>373</v>
      </c>
      <c r="K13" s="58"/>
      <c r="L13" s="142" t="s">
        <v>472</v>
      </c>
      <c r="M13" s="58"/>
      <c r="N13" s="58">
        <v>2</v>
      </c>
      <c r="O13" s="4" t="s">
        <v>66</v>
      </c>
      <c r="P13" s="58"/>
      <c r="Q13" s="58"/>
    </row>
    <row r="14" spans="1:17">
      <c r="A14" s="139">
        <v>12</v>
      </c>
      <c r="B14" s="59">
        <v>46097</v>
      </c>
      <c r="C14" s="58" t="str">
        <f t="shared" si="1"/>
        <v>Monday</v>
      </c>
      <c r="D14" s="58" t="s">
        <v>398</v>
      </c>
      <c r="E14" s="58" t="str">
        <f t="shared" si="0"/>
        <v>March</v>
      </c>
      <c r="F14" s="58">
        <v>2026</v>
      </c>
      <c r="G14" s="58">
        <v>2</v>
      </c>
      <c r="H14" s="58" t="s">
        <v>57</v>
      </c>
      <c r="I14" s="140" t="s">
        <v>74</v>
      </c>
      <c r="J14" s="58" t="s">
        <v>373</v>
      </c>
      <c r="K14" s="58"/>
      <c r="L14" s="142" t="s">
        <v>486</v>
      </c>
      <c r="M14" s="58"/>
      <c r="N14" s="58">
        <v>2</v>
      </c>
      <c r="O14" s="4" t="s">
        <v>66</v>
      </c>
      <c r="P14" s="58"/>
      <c r="Q14" s="58"/>
    </row>
    <row r="15" spans="1:17">
      <c r="A15" s="139">
        <v>13</v>
      </c>
      <c r="B15" s="59">
        <v>46099</v>
      </c>
      <c r="C15" s="58" t="str">
        <f t="shared" si="1"/>
        <v>Wednesday</v>
      </c>
      <c r="D15" s="58" t="s">
        <v>398</v>
      </c>
      <c r="E15" s="58" t="str">
        <f t="shared" si="0"/>
        <v>March</v>
      </c>
      <c r="F15" s="58">
        <v>2026</v>
      </c>
      <c r="G15" s="58">
        <v>2</v>
      </c>
      <c r="H15" s="58" t="s">
        <v>57</v>
      </c>
      <c r="I15" s="140" t="s">
        <v>74</v>
      </c>
      <c r="J15" s="58" t="s">
        <v>373</v>
      </c>
      <c r="K15" s="58"/>
      <c r="L15" s="142" t="s">
        <v>501</v>
      </c>
      <c r="M15" s="58"/>
      <c r="N15" s="58">
        <v>2</v>
      </c>
      <c r="O15" s="4" t="s">
        <v>66</v>
      </c>
      <c r="P15" s="58"/>
      <c r="Q15" s="58"/>
    </row>
    <row r="16" spans="1:17" ht="30.75">
      <c r="A16" s="139">
        <v>14</v>
      </c>
      <c r="B16" s="59">
        <v>46106</v>
      </c>
      <c r="C16" s="58" t="str">
        <f t="shared" si="1"/>
        <v>Wednesday</v>
      </c>
      <c r="D16" s="58" t="s">
        <v>398</v>
      </c>
      <c r="E16" s="58" t="str">
        <f t="shared" si="0"/>
        <v>March</v>
      </c>
      <c r="F16" s="58">
        <v>2026</v>
      </c>
      <c r="G16" s="58">
        <v>2</v>
      </c>
      <c r="H16" s="58" t="s">
        <v>57</v>
      </c>
      <c r="I16" s="140" t="s">
        <v>74</v>
      </c>
      <c r="J16" s="58" t="s">
        <v>373</v>
      </c>
      <c r="K16" s="58"/>
      <c r="L16" s="142" t="s">
        <v>527</v>
      </c>
      <c r="M16" s="58"/>
      <c r="N16" s="58">
        <v>2</v>
      </c>
      <c r="O16" s="4" t="s">
        <v>66</v>
      </c>
      <c r="P16" s="58"/>
      <c r="Q16" s="58"/>
    </row>
    <row r="17" spans="1:17" ht="30.75">
      <c r="A17" s="139">
        <v>15</v>
      </c>
      <c r="B17" s="59">
        <v>46111</v>
      </c>
      <c r="C17" s="58" t="str">
        <f t="shared" si="1"/>
        <v>Monday</v>
      </c>
      <c r="D17" s="58" t="s">
        <v>398</v>
      </c>
      <c r="E17" s="58" t="str">
        <f t="shared" si="0"/>
        <v>March</v>
      </c>
      <c r="F17" s="58">
        <v>2026</v>
      </c>
      <c r="G17" s="58">
        <v>2</v>
      </c>
      <c r="H17" s="58" t="s">
        <v>57</v>
      </c>
      <c r="I17" s="140" t="s">
        <v>74</v>
      </c>
      <c r="J17" s="58" t="s">
        <v>373</v>
      </c>
      <c r="K17" s="58"/>
      <c r="L17" s="142" t="s">
        <v>543</v>
      </c>
      <c r="M17" s="58"/>
      <c r="N17" s="58">
        <v>2</v>
      </c>
      <c r="O17" s="4" t="s">
        <v>66</v>
      </c>
      <c r="P17" s="58"/>
      <c r="Q17" s="58"/>
    </row>
    <row r="18" spans="1:17" ht="30.75">
      <c r="A18" s="139">
        <v>16</v>
      </c>
      <c r="B18" s="59">
        <v>46113</v>
      </c>
      <c r="C18" s="58" t="str">
        <f t="shared" si="1"/>
        <v>Wednesday</v>
      </c>
      <c r="D18" s="58" t="s">
        <v>398</v>
      </c>
      <c r="E18" s="58" t="str">
        <f t="shared" si="0"/>
        <v>April</v>
      </c>
      <c r="F18" s="58">
        <v>2026</v>
      </c>
      <c r="G18" s="58">
        <v>2</v>
      </c>
      <c r="H18" s="58" t="s">
        <v>57</v>
      </c>
      <c r="I18" s="140" t="s">
        <v>74</v>
      </c>
      <c r="J18" s="58" t="s">
        <v>373</v>
      </c>
      <c r="K18" s="58"/>
      <c r="L18" s="142" t="s">
        <v>556</v>
      </c>
      <c r="M18" s="58"/>
      <c r="N18" s="58">
        <v>2</v>
      </c>
      <c r="O18" s="4" t="s">
        <v>66</v>
      </c>
      <c r="P18" s="58"/>
      <c r="Q18" s="58"/>
    </row>
    <row r="19" spans="1:17" ht="30.75">
      <c r="A19" s="139">
        <v>17</v>
      </c>
      <c r="B19" s="59">
        <v>46118</v>
      </c>
      <c r="C19" s="58" t="str">
        <f t="shared" si="1"/>
        <v>Monday</v>
      </c>
      <c r="D19" s="58" t="s">
        <v>398</v>
      </c>
      <c r="E19" s="58" t="str">
        <f t="shared" si="0"/>
        <v>April</v>
      </c>
      <c r="F19" s="58">
        <v>2026</v>
      </c>
      <c r="G19" s="58">
        <v>2</v>
      </c>
      <c r="H19" s="58" t="s">
        <v>57</v>
      </c>
      <c r="I19" s="140" t="s">
        <v>74</v>
      </c>
      <c r="J19" s="58" t="s">
        <v>373</v>
      </c>
      <c r="K19" s="58"/>
      <c r="L19" s="142" t="s">
        <v>567</v>
      </c>
      <c r="M19" s="58">
        <v>0</v>
      </c>
      <c r="N19" s="58">
        <v>2</v>
      </c>
      <c r="O19" s="4" t="s">
        <v>66</v>
      </c>
      <c r="P19" s="58"/>
      <c r="Q19" s="58"/>
    </row>
    <row r="20" spans="1:17">
      <c r="A20" s="139">
        <v>18</v>
      </c>
      <c r="B20" s="59">
        <v>46120</v>
      </c>
      <c r="C20" s="58" t="str">
        <f t="shared" si="1"/>
        <v>Wednesday</v>
      </c>
      <c r="D20" s="58" t="s">
        <v>398</v>
      </c>
      <c r="E20" s="58" t="str">
        <f t="shared" si="0"/>
        <v>April</v>
      </c>
      <c r="F20" s="58">
        <v>2026</v>
      </c>
      <c r="G20" s="58">
        <v>2</v>
      </c>
      <c r="H20" s="58" t="s">
        <v>57</v>
      </c>
      <c r="I20" s="140" t="s">
        <v>74</v>
      </c>
      <c r="J20" s="58" t="s">
        <v>373</v>
      </c>
      <c r="K20" s="58"/>
      <c r="L20" s="142" t="s">
        <v>577</v>
      </c>
      <c r="M20" s="58">
        <v>0</v>
      </c>
      <c r="N20" s="58">
        <v>2</v>
      </c>
      <c r="O20" s="4" t="s">
        <v>66</v>
      </c>
      <c r="P20" s="58"/>
      <c r="Q20" s="58"/>
    </row>
    <row r="21" spans="1:17" ht="30.75">
      <c r="A21" s="139">
        <v>19</v>
      </c>
      <c r="B21" s="59">
        <v>46122</v>
      </c>
      <c r="C21" s="58" t="str">
        <f t="shared" si="1"/>
        <v>Friday</v>
      </c>
      <c r="D21" s="58" t="s">
        <v>398</v>
      </c>
      <c r="E21" s="58" t="str">
        <f t="shared" si="0"/>
        <v>April</v>
      </c>
      <c r="F21" s="58">
        <v>2026</v>
      </c>
      <c r="G21" s="58">
        <v>2</v>
      </c>
      <c r="H21" s="58" t="s">
        <v>57</v>
      </c>
      <c r="I21" s="140" t="s">
        <v>74</v>
      </c>
      <c r="J21" s="58" t="s">
        <v>373</v>
      </c>
      <c r="K21" s="58"/>
      <c r="L21" s="142" t="s">
        <v>586</v>
      </c>
      <c r="M21" s="58">
        <v>0</v>
      </c>
      <c r="N21" s="58">
        <v>2</v>
      </c>
      <c r="O21" s="4" t="s">
        <v>66</v>
      </c>
      <c r="P21" s="58"/>
      <c r="Q21" s="58"/>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4BF15-CFCF-422B-AA03-97C30CE5C850}">
  <dimension ref="A1:Q8"/>
  <sheetViews>
    <sheetView topLeftCell="C1" workbookViewId="0">
      <selection activeCell="H5" sqref="H5"/>
    </sheetView>
  </sheetViews>
  <sheetFormatPr defaultRowHeight="15"/>
  <cols>
    <col min="1" max="1" width="8.85546875" style="3" bestFit="1" customWidth="1"/>
    <col min="2" max="2" width="24.5703125" style="3" customWidth="1"/>
    <col min="3" max="3" width="16.140625" style="3" customWidth="1"/>
    <col min="4" max="4" width="22.42578125" style="3" bestFit="1" customWidth="1"/>
    <col min="5" max="5" width="13.28515625" style="3" customWidth="1"/>
    <col min="6" max="6" width="8.140625" style="3" bestFit="1" customWidth="1"/>
    <col min="7" max="7" width="18.42578125" style="3" bestFit="1" customWidth="1"/>
    <col min="8" max="8" width="9.42578125" style="3" bestFit="1" customWidth="1"/>
    <col min="9" max="9" width="18.5703125" style="3" bestFit="1" customWidth="1"/>
    <col min="10" max="10" width="26.28515625" style="3" bestFit="1" customWidth="1"/>
    <col min="11" max="11" width="9.42578125" style="3" bestFit="1" customWidth="1"/>
    <col min="12" max="12" width="36.5703125" style="3" bestFit="1" customWidth="1"/>
    <col min="13" max="13" width="19.85546875" style="3" bestFit="1" customWidth="1"/>
    <col min="14" max="14" width="24.28515625" style="3" bestFit="1" customWidth="1"/>
    <col min="15" max="15" width="12.5703125" style="3" bestFit="1" customWidth="1"/>
    <col min="16" max="17" width="13" style="3" bestFit="1" customWidth="1"/>
    <col min="18" max="16384" width="9.140625" style="3"/>
  </cols>
  <sheetData>
    <row r="1" spans="1:17">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ht="30.75">
      <c r="A2" s="139"/>
      <c r="B2" s="59">
        <v>46049</v>
      </c>
      <c r="C2" s="58" t="str">
        <f>TEXT(B2,"dddd")</f>
        <v>Tuesday</v>
      </c>
      <c r="D2" s="58"/>
      <c r="E2" s="58" t="str">
        <f>TEXT(B3,"mmmm")</f>
        <v>February</v>
      </c>
      <c r="F2" s="58">
        <v>2026</v>
      </c>
      <c r="G2" s="58"/>
      <c r="H2" s="58" t="s">
        <v>363</v>
      </c>
      <c r="I2" s="58"/>
      <c r="J2" s="58" t="s">
        <v>311</v>
      </c>
      <c r="K2" s="58" t="s">
        <v>101</v>
      </c>
      <c r="L2" s="141" t="s">
        <v>364</v>
      </c>
      <c r="M2" s="58"/>
      <c r="N2" s="58"/>
      <c r="O2" s="4"/>
      <c r="P2" s="58"/>
      <c r="Q2" s="58"/>
    </row>
    <row r="3" spans="1:17">
      <c r="A3" s="139">
        <v>1</v>
      </c>
      <c r="B3" s="59">
        <v>46066</v>
      </c>
      <c r="C3" s="58" t="str">
        <f t="shared" ref="C3:C8" si="0">TEXT(B3,"dddd")</f>
        <v>Friday</v>
      </c>
      <c r="D3" s="58"/>
      <c r="E3" s="58" t="str">
        <f t="shared" ref="E3:E8" si="1">TEXT(B4,"mmmm")</f>
        <v>February</v>
      </c>
      <c r="F3" s="58">
        <v>2026</v>
      </c>
      <c r="G3" s="58">
        <v>2.5</v>
      </c>
      <c r="H3" s="58" t="s">
        <v>363</v>
      </c>
      <c r="I3" s="58"/>
      <c r="J3" s="58" t="s">
        <v>311</v>
      </c>
      <c r="K3" s="58" t="s">
        <v>101</v>
      </c>
      <c r="L3" s="142" t="s">
        <v>400</v>
      </c>
      <c r="M3" s="58"/>
      <c r="N3" s="58"/>
      <c r="O3" s="4" t="s">
        <v>401</v>
      </c>
      <c r="P3" s="58"/>
      <c r="Q3" s="58"/>
    </row>
    <row r="4" spans="1:17">
      <c r="A4" s="139">
        <v>2</v>
      </c>
      <c r="B4" s="59">
        <v>46066</v>
      </c>
      <c r="C4" s="58" t="str">
        <f t="shared" si="0"/>
        <v>Friday</v>
      </c>
      <c r="D4" s="58"/>
      <c r="E4" s="58" t="str">
        <f t="shared" si="1"/>
        <v>March</v>
      </c>
      <c r="F4" s="58">
        <v>2026</v>
      </c>
      <c r="G4" s="58">
        <v>2.5</v>
      </c>
      <c r="H4" s="58" t="s">
        <v>363</v>
      </c>
      <c r="I4" s="58"/>
      <c r="J4" s="58" t="s">
        <v>311</v>
      </c>
      <c r="K4" s="58" t="s">
        <v>101</v>
      </c>
      <c r="L4" s="142" t="s">
        <v>403</v>
      </c>
      <c r="M4" s="58"/>
      <c r="N4" s="58"/>
      <c r="O4" s="4" t="s">
        <v>401</v>
      </c>
      <c r="P4" s="58"/>
      <c r="Q4" s="58"/>
    </row>
    <row r="5" spans="1:17">
      <c r="A5" s="139">
        <v>3</v>
      </c>
      <c r="B5" s="59">
        <v>46094</v>
      </c>
      <c r="C5" s="58" t="str">
        <f t="shared" si="0"/>
        <v>Friday</v>
      </c>
      <c r="D5" s="58"/>
      <c r="E5" s="58" t="str">
        <f t="shared" si="1"/>
        <v>March</v>
      </c>
      <c r="F5" s="58">
        <v>2026</v>
      </c>
      <c r="G5" s="58">
        <v>2.5</v>
      </c>
      <c r="H5" s="58" t="s">
        <v>363</v>
      </c>
      <c r="I5" s="58"/>
      <c r="J5" s="58" t="s">
        <v>311</v>
      </c>
      <c r="K5" s="58" t="s">
        <v>101</v>
      </c>
      <c r="L5" s="142" t="s">
        <v>435</v>
      </c>
      <c r="M5" s="58"/>
      <c r="N5" s="58"/>
      <c r="O5" s="4" t="s">
        <v>401</v>
      </c>
      <c r="P5" s="58"/>
      <c r="Q5" s="58"/>
    </row>
    <row r="6" spans="1:17">
      <c r="A6" s="139">
        <v>4</v>
      </c>
      <c r="B6" s="59">
        <v>46094</v>
      </c>
      <c r="C6" s="58" t="str">
        <f t="shared" si="0"/>
        <v>Friday</v>
      </c>
      <c r="D6" s="58"/>
      <c r="E6" s="58" t="str">
        <f t="shared" si="1"/>
        <v>April</v>
      </c>
      <c r="F6" s="58">
        <v>2026</v>
      </c>
      <c r="G6" s="58">
        <v>2.5</v>
      </c>
      <c r="H6" s="58" t="s">
        <v>363</v>
      </c>
      <c r="I6" s="58"/>
      <c r="J6" s="58" t="s">
        <v>311</v>
      </c>
      <c r="K6" s="58" t="s">
        <v>101</v>
      </c>
      <c r="L6" s="144" t="s">
        <v>473</v>
      </c>
      <c r="M6" s="58"/>
      <c r="N6" s="58"/>
      <c r="O6" s="4" t="s">
        <v>401</v>
      </c>
      <c r="P6" s="58"/>
      <c r="Q6" s="58"/>
    </row>
    <row r="7" spans="1:17" ht="36.75" customHeight="1">
      <c r="A7" s="139">
        <v>5</v>
      </c>
      <c r="B7" s="59">
        <v>46122</v>
      </c>
      <c r="C7" s="58" t="str">
        <f t="shared" si="0"/>
        <v>Friday</v>
      </c>
      <c r="D7" s="58"/>
      <c r="E7" s="58" t="str">
        <f t="shared" si="1"/>
        <v>April</v>
      </c>
      <c r="F7" s="58">
        <v>2026</v>
      </c>
      <c r="G7" s="58">
        <v>2.5</v>
      </c>
      <c r="H7" s="58" t="s">
        <v>363</v>
      </c>
      <c r="I7" s="58"/>
      <c r="J7" s="58" t="s">
        <v>311</v>
      </c>
      <c r="K7" s="58" t="s">
        <v>101</v>
      </c>
      <c r="L7" s="156" t="s">
        <v>587</v>
      </c>
      <c r="M7" s="58"/>
      <c r="N7" s="58"/>
      <c r="O7" s="4" t="s">
        <v>401</v>
      </c>
      <c r="P7" s="58"/>
      <c r="Q7" s="58"/>
    </row>
    <row r="8" spans="1:17">
      <c r="A8" s="139"/>
      <c r="B8" s="59">
        <v>46136</v>
      </c>
      <c r="C8" s="58" t="str">
        <f t="shared" si="0"/>
        <v>Friday</v>
      </c>
      <c r="D8" s="58"/>
      <c r="E8" s="58" t="str">
        <f t="shared" si="1"/>
        <v>January</v>
      </c>
      <c r="F8" s="58">
        <v>2026</v>
      </c>
      <c r="G8" s="58"/>
      <c r="H8" s="58" t="s">
        <v>363</v>
      </c>
      <c r="I8" s="58"/>
      <c r="J8" s="58" t="s">
        <v>311</v>
      </c>
      <c r="K8" s="58" t="s">
        <v>101</v>
      </c>
      <c r="L8" s="142"/>
      <c r="M8" s="58"/>
      <c r="N8" s="58"/>
      <c r="O8" s="4"/>
      <c r="P8" s="58"/>
      <c r="Q8" s="58"/>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56EC4-18FB-4662-9185-AAB1DD702869}">
  <dimension ref="A1:Q3"/>
  <sheetViews>
    <sheetView topLeftCell="E1" workbookViewId="0">
      <selection activeCell="O7" sqref="O7"/>
    </sheetView>
  </sheetViews>
  <sheetFormatPr defaultRowHeight="15"/>
  <cols>
    <col min="1" max="1" width="8.85546875" bestFit="1" customWidth="1"/>
    <col min="2" max="2" width="18" bestFit="1" customWidth="1"/>
    <col min="3" max="3" width="9.5703125" bestFit="1" customWidth="1"/>
    <col min="4" max="4" width="22.42578125" bestFit="1" customWidth="1"/>
    <col min="5" max="5" width="10.42578125" bestFit="1" customWidth="1"/>
    <col min="6" max="6" width="8.140625" bestFit="1" customWidth="1"/>
    <col min="7" max="7" width="18.42578125" bestFit="1" customWidth="1"/>
    <col min="8" max="8" width="9.42578125" bestFit="1" customWidth="1"/>
    <col min="9" max="9" width="25.85546875" customWidth="1"/>
    <col min="10" max="10" width="26.28515625" bestFit="1" customWidth="1"/>
    <col min="11" max="11" width="9.42578125" bestFit="1" customWidth="1"/>
    <col min="12" max="12" width="33" bestFit="1" customWidth="1"/>
    <col min="13" max="13" width="19.85546875" bestFit="1" customWidth="1"/>
    <col min="14" max="14" width="24.28515625" bestFit="1" customWidth="1"/>
    <col min="15" max="15" width="17" bestFit="1" customWidth="1"/>
    <col min="16" max="17" width="13" bestFit="1" customWidth="1"/>
  </cols>
  <sheetData>
    <row r="1" spans="1:17"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ht="34.5">
      <c r="A2" s="130">
        <v>1</v>
      </c>
      <c r="B2" s="38">
        <v>46055</v>
      </c>
      <c r="C2" s="37" t="str">
        <f t="shared" ref="C2:C3" si="0">TEXT(B2,"dddd")</f>
        <v>Monday</v>
      </c>
      <c r="D2" s="37" t="s">
        <v>375</v>
      </c>
      <c r="E2" s="37" t="str">
        <f t="shared" ref="E2:E3" si="1">TEXT(B2,"mmmm")</f>
        <v>February</v>
      </c>
      <c r="F2" s="37">
        <v>2026</v>
      </c>
      <c r="G2" s="37">
        <v>8</v>
      </c>
      <c r="H2" s="37" t="s">
        <v>76</v>
      </c>
      <c r="I2" s="45" t="s">
        <v>77</v>
      </c>
      <c r="J2" s="37"/>
      <c r="K2" s="37"/>
      <c r="L2" s="43" t="s">
        <v>376</v>
      </c>
      <c r="M2" s="37"/>
      <c r="N2" s="37">
        <v>8</v>
      </c>
      <c r="O2" s="39" t="s">
        <v>78</v>
      </c>
      <c r="P2" s="37"/>
      <c r="Q2" s="37"/>
    </row>
    <row r="3" spans="1:17" ht="34.5">
      <c r="A3" s="130">
        <v>2</v>
      </c>
      <c r="B3" s="38">
        <v>46056</v>
      </c>
      <c r="C3" s="37" t="str">
        <f t="shared" si="0"/>
        <v>Tuesday</v>
      </c>
      <c r="D3" s="37" t="s">
        <v>375</v>
      </c>
      <c r="E3" s="37" t="str">
        <f t="shared" si="1"/>
        <v>February</v>
      </c>
      <c r="F3" s="37">
        <v>2026</v>
      </c>
      <c r="G3" s="37">
        <v>8</v>
      </c>
      <c r="H3" s="37" t="s">
        <v>76</v>
      </c>
      <c r="I3" s="45" t="s">
        <v>77</v>
      </c>
      <c r="J3" s="37"/>
      <c r="K3" s="37"/>
      <c r="L3" s="43" t="s">
        <v>379</v>
      </c>
      <c r="M3" s="37"/>
      <c r="N3" s="37">
        <v>8</v>
      </c>
      <c r="O3" s="39" t="s">
        <v>380</v>
      </c>
      <c r="P3" s="37"/>
      <c r="Q3" s="37"/>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AF502-D9EF-4140-ABF5-A26C2B087F3C}">
  <dimension ref="A1:Q22"/>
  <sheetViews>
    <sheetView topLeftCell="I1" workbookViewId="0">
      <selection activeCell="B19" sqref="B19"/>
    </sheetView>
  </sheetViews>
  <sheetFormatPr defaultRowHeight="15"/>
  <cols>
    <col min="1" max="1" width="9.140625" style="3"/>
    <col min="2" max="2" width="20.85546875" style="3" customWidth="1"/>
    <col min="3" max="3" width="14.7109375" style="3" customWidth="1"/>
    <col min="4" max="4" width="27.140625" style="3" customWidth="1"/>
    <col min="5" max="5" width="31.140625" style="3" customWidth="1"/>
    <col min="6" max="6" width="9.140625" style="3"/>
    <col min="7" max="7" width="18.42578125" style="3" bestFit="1" customWidth="1"/>
    <col min="8" max="8" width="9.42578125" style="3" bestFit="1" customWidth="1"/>
    <col min="9" max="9" width="37.7109375" style="3" customWidth="1"/>
    <col min="10" max="10" width="26.28515625" style="3" bestFit="1" customWidth="1"/>
    <col min="11" max="11" width="9.42578125" style="3" bestFit="1" customWidth="1"/>
    <col min="12" max="12" width="65.85546875" style="3" customWidth="1"/>
    <col min="13" max="13" width="19.85546875" style="3" bestFit="1" customWidth="1"/>
    <col min="14" max="14" width="24.28515625" style="3" bestFit="1" customWidth="1"/>
    <col min="15" max="15" width="25.140625" style="3" customWidth="1"/>
    <col min="16" max="16" width="14.42578125" style="3" bestFit="1" customWidth="1"/>
    <col min="17" max="17" width="13" style="3" bestFit="1" customWidth="1"/>
    <col min="18" max="16384" width="9.140625" style="3"/>
  </cols>
  <sheetData>
    <row r="1" spans="1:17" s="157" customFormat="1">
      <c r="A1" s="135" t="s">
        <v>274</v>
      </c>
      <c r="B1" s="136" t="s">
        <v>275</v>
      </c>
      <c r="C1" s="137" t="s">
        <v>276</v>
      </c>
      <c r="D1" s="137" t="s">
        <v>277</v>
      </c>
      <c r="E1" s="137" t="s">
        <v>0</v>
      </c>
      <c r="F1" s="137" t="s">
        <v>278</v>
      </c>
      <c r="G1" s="137" t="s">
        <v>279</v>
      </c>
      <c r="H1" s="137" t="s">
        <v>1</v>
      </c>
      <c r="I1" s="137" t="s">
        <v>280</v>
      </c>
      <c r="J1" s="137" t="s">
        <v>281</v>
      </c>
      <c r="K1" s="137" t="s">
        <v>3</v>
      </c>
      <c r="L1" s="138" t="s">
        <v>282</v>
      </c>
      <c r="M1" s="137" t="s">
        <v>1023</v>
      </c>
      <c r="N1" s="137" t="s">
        <v>283</v>
      </c>
      <c r="O1" s="137" t="s">
        <v>285</v>
      </c>
      <c r="P1" s="137" t="s">
        <v>286</v>
      </c>
      <c r="Q1" s="137" t="s">
        <v>287</v>
      </c>
    </row>
    <row r="2" spans="1:17" s="157" customFormat="1" ht="30.75">
      <c r="A2" s="58">
        <v>1</v>
      </c>
      <c r="B2" s="59">
        <v>46050</v>
      </c>
      <c r="C2" s="58" t="str">
        <f t="shared" ref="C2:C9" si="0">TEXT(B2,"dddd")</f>
        <v>Wednesday</v>
      </c>
      <c r="D2" s="58" t="s">
        <v>365</v>
      </c>
      <c r="E2" s="58" t="str">
        <f t="shared" ref="E2:E10" si="1">TEXT(B2,"mmmm")</f>
        <v>January</v>
      </c>
      <c r="F2" s="58">
        <v>2026</v>
      </c>
      <c r="G2" s="58">
        <v>1</v>
      </c>
      <c r="H2" s="58" t="s">
        <v>80</v>
      </c>
      <c r="I2" s="58" t="s">
        <v>81</v>
      </c>
      <c r="J2" s="58" t="s">
        <v>366</v>
      </c>
      <c r="K2" s="58"/>
      <c r="L2" s="141" t="s">
        <v>367</v>
      </c>
      <c r="M2" s="58"/>
      <c r="N2" s="58">
        <v>1</v>
      </c>
      <c r="O2" s="4"/>
      <c r="P2" s="58"/>
      <c r="Q2" s="58"/>
    </row>
    <row r="3" spans="1:17" ht="60.75">
      <c r="A3" s="58">
        <v>2</v>
      </c>
      <c r="B3" s="59">
        <v>46058</v>
      </c>
      <c r="C3" s="58" t="str">
        <f t="shared" si="0"/>
        <v>Thursday</v>
      </c>
      <c r="D3" s="58" t="s">
        <v>385</v>
      </c>
      <c r="E3" s="58" t="str">
        <f t="shared" si="1"/>
        <v>February</v>
      </c>
      <c r="F3" s="58">
        <v>2026</v>
      </c>
      <c r="G3" s="58">
        <v>4</v>
      </c>
      <c r="H3" s="58" t="s">
        <v>80</v>
      </c>
      <c r="I3" s="58" t="s">
        <v>81</v>
      </c>
      <c r="J3" s="58" t="s">
        <v>366</v>
      </c>
      <c r="K3" s="58"/>
      <c r="L3" s="142" t="s">
        <v>1065</v>
      </c>
      <c r="M3" s="58"/>
      <c r="N3" s="58">
        <v>4</v>
      </c>
      <c r="O3" s="4" t="s">
        <v>12</v>
      </c>
      <c r="P3" s="58"/>
      <c r="Q3" s="58"/>
    </row>
    <row r="4" spans="1:17">
      <c r="A4" s="58">
        <v>3</v>
      </c>
      <c r="B4" s="59">
        <v>46059</v>
      </c>
      <c r="C4" s="58" t="str">
        <f t="shared" si="0"/>
        <v>Friday</v>
      </c>
      <c r="D4" s="58" t="s">
        <v>385</v>
      </c>
      <c r="E4" s="58" t="str">
        <f t="shared" si="1"/>
        <v>February</v>
      </c>
      <c r="F4" s="58">
        <v>2026</v>
      </c>
      <c r="G4" s="58">
        <v>4</v>
      </c>
      <c r="H4" s="58" t="s">
        <v>80</v>
      </c>
      <c r="I4" s="58" t="s">
        <v>81</v>
      </c>
      <c r="J4" s="58" t="s">
        <v>366</v>
      </c>
      <c r="K4" s="58"/>
      <c r="L4" s="142" t="s">
        <v>388</v>
      </c>
      <c r="M4" s="58"/>
      <c r="N4" s="58">
        <v>4</v>
      </c>
      <c r="O4" s="4" t="s">
        <v>12</v>
      </c>
      <c r="P4" s="58"/>
      <c r="Q4" s="58"/>
    </row>
    <row r="5" spans="1:17">
      <c r="A5" s="58"/>
      <c r="B5" s="59">
        <v>46062</v>
      </c>
      <c r="C5" s="58" t="str">
        <f t="shared" si="0"/>
        <v>Monday</v>
      </c>
      <c r="D5" s="58"/>
      <c r="E5" s="58" t="str">
        <f t="shared" si="1"/>
        <v>February</v>
      </c>
      <c r="F5" s="58">
        <v>2026</v>
      </c>
      <c r="G5" s="58"/>
      <c r="H5" s="58" t="s">
        <v>80</v>
      </c>
      <c r="I5" s="58" t="s">
        <v>81</v>
      </c>
      <c r="J5" s="58" t="s">
        <v>366</v>
      </c>
      <c r="K5" s="58"/>
      <c r="L5" s="144" t="s">
        <v>391</v>
      </c>
      <c r="M5" s="58"/>
      <c r="N5" s="58"/>
      <c r="O5" s="4"/>
      <c r="P5" s="58"/>
      <c r="Q5" s="58"/>
    </row>
    <row r="6" spans="1:17">
      <c r="A6" s="58">
        <v>4</v>
      </c>
      <c r="B6" s="59">
        <v>46065</v>
      </c>
      <c r="C6" s="58" t="str">
        <f t="shared" si="0"/>
        <v>Thursday</v>
      </c>
      <c r="D6" s="58" t="s">
        <v>395</v>
      </c>
      <c r="E6" s="58" t="str">
        <f t="shared" si="1"/>
        <v>February</v>
      </c>
      <c r="F6" s="58">
        <v>2026</v>
      </c>
      <c r="G6" s="58">
        <v>4</v>
      </c>
      <c r="H6" s="58" t="s">
        <v>80</v>
      </c>
      <c r="I6" s="58" t="s">
        <v>81</v>
      </c>
      <c r="J6" s="58" t="s">
        <v>366</v>
      </c>
      <c r="K6" s="58"/>
      <c r="L6" s="142" t="s">
        <v>396</v>
      </c>
      <c r="M6" s="58"/>
      <c r="N6" s="58">
        <v>4</v>
      </c>
      <c r="O6" s="4" t="s">
        <v>82</v>
      </c>
      <c r="P6" s="58"/>
      <c r="Q6" s="58"/>
    </row>
    <row r="7" spans="1:17">
      <c r="A7" s="58">
        <v>5</v>
      </c>
      <c r="B7" s="59">
        <v>46079</v>
      </c>
      <c r="C7" s="58" t="str">
        <f t="shared" si="0"/>
        <v>Thursday</v>
      </c>
      <c r="D7" s="58" t="s">
        <v>395</v>
      </c>
      <c r="E7" s="58" t="str">
        <f t="shared" si="1"/>
        <v>February</v>
      </c>
      <c r="F7" s="58">
        <v>2026</v>
      </c>
      <c r="G7" s="58">
        <v>4</v>
      </c>
      <c r="H7" s="58" t="s">
        <v>80</v>
      </c>
      <c r="I7" s="58" t="s">
        <v>81</v>
      </c>
      <c r="J7" s="58" t="s">
        <v>366</v>
      </c>
      <c r="K7" s="58"/>
      <c r="L7" s="142" t="s">
        <v>423</v>
      </c>
      <c r="M7" s="58"/>
      <c r="N7" s="58">
        <v>4</v>
      </c>
      <c r="O7" s="4" t="s">
        <v>12</v>
      </c>
      <c r="P7" s="58"/>
      <c r="Q7" s="58"/>
    </row>
    <row r="8" spans="1:17">
      <c r="A8" s="58">
        <v>6</v>
      </c>
      <c r="B8" s="59">
        <v>46080</v>
      </c>
      <c r="C8" s="58" t="str">
        <f t="shared" si="0"/>
        <v>Friday</v>
      </c>
      <c r="D8" s="58" t="s">
        <v>395</v>
      </c>
      <c r="E8" s="58" t="str">
        <f t="shared" si="1"/>
        <v>February</v>
      </c>
      <c r="F8" s="58">
        <v>2026</v>
      </c>
      <c r="G8" s="58">
        <v>4</v>
      </c>
      <c r="H8" s="58" t="s">
        <v>80</v>
      </c>
      <c r="I8" s="58" t="s">
        <v>81</v>
      </c>
      <c r="J8" s="58" t="s">
        <v>366</v>
      </c>
      <c r="K8" s="58"/>
      <c r="L8" s="142" t="s">
        <v>426</v>
      </c>
      <c r="M8" s="58"/>
      <c r="N8" s="58">
        <v>4</v>
      </c>
      <c r="O8" s="4" t="s">
        <v>12</v>
      </c>
      <c r="P8" s="58"/>
      <c r="Q8" s="58"/>
    </row>
    <row r="9" spans="1:17">
      <c r="A9" s="58">
        <v>7</v>
      </c>
      <c r="B9" s="59">
        <v>46086</v>
      </c>
      <c r="C9" s="58" t="str">
        <f t="shared" si="0"/>
        <v>Thursday</v>
      </c>
      <c r="D9" s="58" t="s">
        <v>395</v>
      </c>
      <c r="E9" s="58" t="str">
        <f>TEXT(B9,"mmmm")</f>
        <v>March</v>
      </c>
      <c r="F9" s="58">
        <v>2026</v>
      </c>
      <c r="G9" s="58">
        <v>4</v>
      </c>
      <c r="H9" s="58" t="s">
        <v>80</v>
      </c>
      <c r="I9" s="58" t="s">
        <v>81</v>
      </c>
      <c r="J9" s="58" t="s">
        <v>366</v>
      </c>
      <c r="K9" s="58"/>
      <c r="L9" s="142" t="s">
        <v>435</v>
      </c>
      <c r="M9" s="58"/>
      <c r="N9" s="58">
        <v>4</v>
      </c>
      <c r="O9" s="4" t="s">
        <v>12</v>
      </c>
      <c r="P9" s="58"/>
      <c r="Q9" s="58"/>
    </row>
    <row r="10" spans="1:17">
      <c r="A10" s="58">
        <v>8</v>
      </c>
      <c r="B10" s="59">
        <v>46087</v>
      </c>
      <c r="C10" s="58" t="str">
        <f>TEXT(B10,"dddd")</f>
        <v>Friday</v>
      </c>
      <c r="D10" s="58" t="s">
        <v>395</v>
      </c>
      <c r="E10" s="58" t="str">
        <f t="shared" si="1"/>
        <v>March</v>
      </c>
      <c r="F10" s="58">
        <v>2026</v>
      </c>
      <c r="G10" s="58">
        <v>4</v>
      </c>
      <c r="H10" s="58" t="s">
        <v>80</v>
      </c>
      <c r="I10" s="58" t="s">
        <v>81</v>
      </c>
      <c r="J10" s="58" t="s">
        <v>366</v>
      </c>
      <c r="K10" s="58"/>
      <c r="L10" s="142" t="s">
        <v>441</v>
      </c>
      <c r="M10" s="58"/>
      <c r="N10" s="58">
        <v>4</v>
      </c>
      <c r="O10" s="4" t="s">
        <v>12</v>
      </c>
      <c r="P10" s="58"/>
      <c r="Q10" s="58"/>
    </row>
    <row r="11" spans="1:17">
      <c r="A11" s="58"/>
      <c r="B11" s="59">
        <v>46090</v>
      </c>
      <c r="C11" s="58" t="str">
        <f t="shared" ref="C11:C22" si="2">TEXT(B11,"dddd")</f>
        <v>Monday</v>
      </c>
      <c r="D11" s="58"/>
      <c r="E11" s="58" t="str">
        <f t="shared" ref="E11:E21" si="3">TEXT(B11,"mmmm")</f>
        <v>March</v>
      </c>
      <c r="F11" s="58">
        <v>2026</v>
      </c>
      <c r="G11" s="58"/>
      <c r="H11" s="58" t="s">
        <v>80</v>
      </c>
      <c r="I11" s="58" t="s">
        <v>81</v>
      </c>
      <c r="J11" s="58" t="s">
        <v>366</v>
      </c>
      <c r="K11" s="58"/>
      <c r="L11" s="144" t="s">
        <v>391</v>
      </c>
      <c r="M11" s="58"/>
      <c r="N11" s="58"/>
      <c r="O11" s="4"/>
      <c r="P11" s="58"/>
      <c r="Q11" s="58"/>
    </row>
    <row r="12" spans="1:17">
      <c r="A12" s="58">
        <v>9</v>
      </c>
      <c r="B12" s="59">
        <v>46091</v>
      </c>
      <c r="C12" s="58" t="str">
        <f t="shared" si="2"/>
        <v>Tuesday</v>
      </c>
      <c r="D12" s="58" t="s">
        <v>395</v>
      </c>
      <c r="E12" s="58" t="str">
        <f t="shared" si="3"/>
        <v>March</v>
      </c>
      <c r="F12" s="58">
        <v>2026</v>
      </c>
      <c r="G12" s="58">
        <v>4</v>
      </c>
      <c r="H12" s="58" t="s">
        <v>80</v>
      </c>
      <c r="I12" s="58" t="s">
        <v>81</v>
      </c>
      <c r="J12" s="58" t="s">
        <v>366</v>
      </c>
      <c r="K12" s="58"/>
      <c r="L12" s="142" t="s">
        <v>458</v>
      </c>
      <c r="M12" s="58"/>
      <c r="N12" s="58">
        <v>4</v>
      </c>
      <c r="O12" s="4" t="s">
        <v>119</v>
      </c>
      <c r="P12" s="58"/>
      <c r="Q12" s="58"/>
    </row>
    <row r="13" spans="1:17">
      <c r="A13" s="58">
        <v>10</v>
      </c>
      <c r="B13" s="59">
        <v>46092</v>
      </c>
      <c r="C13" s="58" t="str">
        <f t="shared" si="2"/>
        <v>Wednesday</v>
      </c>
      <c r="D13" s="58" t="s">
        <v>395</v>
      </c>
      <c r="E13" s="58" t="str">
        <f t="shared" si="3"/>
        <v>March</v>
      </c>
      <c r="F13" s="58">
        <v>2026</v>
      </c>
      <c r="G13" s="58">
        <v>4</v>
      </c>
      <c r="H13" s="58" t="s">
        <v>80</v>
      </c>
      <c r="I13" s="58" t="s">
        <v>81</v>
      </c>
      <c r="J13" s="58" t="s">
        <v>366</v>
      </c>
      <c r="K13" s="58"/>
      <c r="L13" s="142" t="s">
        <v>465</v>
      </c>
      <c r="M13" s="58"/>
      <c r="N13" s="58">
        <v>4</v>
      </c>
      <c r="O13" s="4" t="s">
        <v>119</v>
      </c>
      <c r="P13" s="58"/>
      <c r="Q13" s="58"/>
    </row>
    <row r="14" spans="1:17">
      <c r="A14" s="58">
        <v>11</v>
      </c>
      <c r="B14" s="59">
        <v>46112</v>
      </c>
      <c r="C14" s="58" t="str">
        <f t="shared" si="2"/>
        <v>Tuesday</v>
      </c>
      <c r="D14" s="58" t="s">
        <v>395</v>
      </c>
      <c r="E14" s="58" t="str">
        <f t="shared" si="3"/>
        <v>March</v>
      </c>
      <c r="F14" s="58">
        <v>2026</v>
      </c>
      <c r="G14" s="58">
        <v>4</v>
      </c>
      <c r="H14" s="58" t="s">
        <v>80</v>
      </c>
      <c r="I14" s="58" t="s">
        <v>81</v>
      </c>
      <c r="J14" s="58" t="s">
        <v>366</v>
      </c>
      <c r="K14" s="58"/>
      <c r="L14" s="142" t="s">
        <v>549</v>
      </c>
      <c r="M14" s="58"/>
      <c r="N14" s="58">
        <v>4</v>
      </c>
      <c r="O14" s="4" t="s">
        <v>12</v>
      </c>
      <c r="P14" s="58"/>
      <c r="Q14" s="58"/>
    </row>
    <row r="15" spans="1:17">
      <c r="A15" s="58">
        <v>12</v>
      </c>
      <c r="B15" s="59">
        <v>46113</v>
      </c>
      <c r="C15" s="58" t="str">
        <f t="shared" si="2"/>
        <v>Wednesday</v>
      </c>
      <c r="D15" s="58" t="s">
        <v>395</v>
      </c>
      <c r="E15" s="58" t="str">
        <f t="shared" si="3"/>
        <v>April</v>
      </c>
      <c r="F15" s="58">
        <v>2026</v>
      </c>
      <c r="G15" s="58">
        <v>4</v>
      </c>
      <c r="H15" s="58" t="s">
        <v>80</v>
      </c>
      <c r="I15" s="58" t="s">
        <v>81</v>
      </c>
      <c r="J15" s="58" t="s">
        <v>366</v>
      </c>
      <c r="K15" s="58"/>
      <c r="L15" s="142" t="s">
        <v>557</v>
      </c>
      <c r="M15" s="58"/>
      <c r="N15" s="58">
        <v>4</v>
      </c>
      <c r="O15" s="4" t="s">
        <v>12</v>
      </c>
      <c r="P15" s="58"/>
      <c r="Q15" s="58"/>
    </row>
    <row r="16" spans="1:17">
      <c r="A16" s="58">
        <v>13</v>
      </c>
      <c r="B16" s="59">
        <v>46121</v>
      </c>
      <c r="C16" s="58" t="str">
        <f t="shared" si="2"/>
        <v>Thursday</v>
      </c>
      <c r="D16" s="58" t="s">
        <v>395</v>
      </c>
      <c r="E16" s="58" t="str">
        <f t="shared" si="3"/>
        <v>April</v>
      </c>
      <c r="F16" s="58">
        <v>2026</v>
      </c>
      <c r="G16" s="58">
        <v>4</v>
      </c>
      <c r="H16" s="58" t="s">
        <v>80</v>
      </c>
      <c r="I16" s="58" t="s">
        <v>81</v>
      </c>
      <c r="J16" s="58" t="s">
        <v>366</v>
      </c>
      <c r="K16" s="58"/>
      <c r="L16" s="142" t="s">
        <v>581</v>
      </c>
      <c r="M16" s="58"/>
      <c r="N16" s="58">
        <v>4</v>
      </c>
      <c r="O16" s="4" t="s">
        <v>119</v>
      </c>
      <c r="P16" s="58"/>
      <c r="Q16" s="58"/>
    </row>
    <row r="17" spans="1:17">
      <c r="A17" s="58">
        <v>14</v>
      </c>
      <c r="B17" s="59">
        <v>46122</v>
      </c>
      <c r="C17" s="58" t="str">
        <f t="shared" si="2"/>
        <v>Friday</v>
      </c>
      <c r="D17" s="58" t="s">
        <v>395</v>
      </c>
      <c r="E17" s="58" t="str">
        <f t="shared" si="3"/>
        <v>April</v>
      </c>
      <c r="F17" s="58">
        <v>2026</v>
      </c>
      <c r="G17" s="58">
        <v>4</v>
      </c>
      <c r="H17" s="58" t="s">
        <v>80</v>
      </c>
      <c r="I17" s="58" t="s">
        <v>81</v>
      </c>
      <c r="J17" s="58" t="s">
        <v>366</v>
      </c>
      <c r="K17" s="58"/>
      <c r="L17" s="142" t="s">
        <v>588</v>
      </c>
      <c r="M17" s="58"/>
      <c r="N17" s="58">
        <v>4</v>
      </c>
      <c r="O17" s="4" t="s">
        <v>119</v>
      </c>
      <c r="P17" s="58"/>
      <c r="Q17" s="58"/>
    </row>
    <row r="18" spans="1:17">
      <c r="A18" s="58">
        <v>15</v>
      </c>
      <c r="B18" s="59">
        <v>46127</v>
      </c>
      <c r="C18" s="58" t="str">
        <f t="shared" si="2"/>
        <v>Wednesday</v>
      </c>
      <c r="D18" s="58" t="s">
        <v>599</v>
      </c>
      <c r="E18" s="58" t="str">
        <f t="shared" si="3"/>
        <v>April</v>
      </c>
      <c r="F18" s="58">
        <v>2026</v>
      </c>
      <c r="G18" s="58">
        <v>5</v>
      </c>
      <c r="H18" s="58" t="s">
        <v>80</v>
      </c>
      <c r="I18" s="58" t="s">
        <v>81</v>
      </c>
      <c r="J18" s="58" t="s">
        <v>366</v>
      </c>
      <c r="K18" s="58"/>
      <c r="L18" s="142" t="s">
        <v>600</v>
      </c>
      <c r="M18" s="58"/>
      <c r="N18" s="58">
        <v>5</v>
      </c>
      <c r="O18" s="4" t="s">
        <v>12</v>
      </c>
      <c r="P18" s="58"/>
      <c r="Q18" s="58"/>
    </row>
    <row r="19" spans="1:17">
      <c r="A19" s="58">
        <v>16</v>
      </c>
      <c r="B19" s="59">
        <v>46128</v>
      </c>
      <c r="C19" s="58" t="str">
        <f t="shared" si="2"/>
        <v>Thursday</v>
      </c>
      <c r="D19" s="58" t="s">
        <v>607</v>
      </c>
      <c r="E19" s="58" t="str">
        <f t="shared" si="3"/>
        <v>April</v>
      </c>
      <c r="F19" s="58">
        <v>2026</v>
      </c>
      <c r="G19" s="58">
        <v>6</v>
      </c>
      <c r="H19" s="58" t="s">
        <v>80</v>
      </c>
      <c r="I19" s="58" t="s">
        <v>81</v>
      </c>
      <c r="J19" s="58" t="s">
        <v>366</v>
      </c>
      <c r="K19" s="58"/>
      <c r="L19" s="144" t="s">
        <v>608</v>
      </c>
      <c r="M19" s="58"/>
      <c r="N19" s="58">
        <v>5</v>
      </c>
      <c r="O19" s="4" t="s">
        <v>12</v>
      </c>
      <c r="P19" s="58"/>
      <c r="Q19" s="58"/>
    </row>
    <row r="20" spans="1:17">
      <c r="A20" s="58"/>
      <c r="B20" s="59">
        <v>46129</v>
      </c>
      <c r="C20" s="58" t="str">
        <f t="shared" ref="C20" si="4">TEXT(B20,"dddd")</f>
        <v>Friday</v>
      </c>
      <c r="D20" s="58" t="s">
        <v>607</v>
      </c>
      <c r="E20" s="58" t="str">
        <f t="shared" ref="E20" si="5">TEXT(B20,"mmmm")</f>
        <v>April</v>
      </c>
      <c r="F20" s="58">
        <v>2026</v>
      </c>
      <c r="G20" s="58">
        <v>6</v>
      </c>
      <c r="H20" s="58" t="s">
        <v>80</v>
      </c>
      <c r="I20" s="58" t="s">
        <v>81</v>
      </c>
      <c r="J20" s="58" t="s">
        <v>366</v>
      </c>
      <c r="K20" s="58"/>
      <c r="L20" s="144" t="s">
        <v>608</v>
      </c>
      <c r="M20" s="58"/>
      <c r="N20" s="58">
        <v>5</v>
      </c>
      <c r="O20" s="4" t="s">
        <v>12</v>
      </c>
      <c r="P20" s="58"/>
      <c r="Q20" s="58"/>
    </row>
    <row r="21" spans="1:17" ht="45.75">
      <c r="A21" s="58"/>
      <c r="B21" s="59">
        <v>46135</v>
      </c>
      <c r="C21" s="58" t="str">
        <f t="shared" si="2"/>
        <v>Thursday</v>
      </c>
      <c r="D21" s="58" t="s">
        <v>599</v>
      </c>
      <c r="E21" s="58" t="str">
        <f t="shared" si="3"/>
        <v>April</v>
      </c>
      <c r="F21" s="58">
        <v>2026</v>
      </c>
      <c r="G21" s="58">
        <v>5</v>
      </c>
      <c r="H21" s="58" t="s">
        <v>80</v>
      </c>
      <c r="I21" s="58" t="s">
        <v>81</v>
      </c>
      <c r="J21" s="58" t="s">
        <v>366</v>
      </c>
      <c r="K21" s="58"/>
      <c r="L21" s="156" t="s">
        <v>633</v>
      </c>
      <c r="M21" s="58"/>
      <c r="N21" s="58" t="s">
        <v>634</v>
      </c>
      <c r="O21" s="4" t="s">
        <v>12</v>
      </c>
      <c r="P21" s="58"/>
      <c r="Q21" s="58"/>
    </row>
    <row r="22" spans="1:17" ht="45.75">
      <c r="A22" s="58"/>
      <c r="B22" s="59">
        <v>46136</v>
      </c>
      <c r="C22" s="58" t="str">
        <f t="shared" si="2"/>
        <v>Friday</v>
      </c>
      <c r="D22" s="58" t="s">
        <v>599</v>
      </c>
      <c r="E22" s="58" t="str">
        <f t="shared" ref="E22" si="6">TEXT(B22,"mmmm")</f>
        <v>April</v>
      </c>
      <c r="F22" s="58">
        <v>2026</v>
      </c>
      <c r="G22" s="58">
        <v>5</v>
      </c>
      <c r="H22" s="58" t="s">
        <v>80</v>
      </c>
      <c r="I22" s="58" t="s">
        <v>81</v>
      </c>
      <c r="J22" s="58" t="s">
        <v>366</v>
      </c>
      <c r="K22" s="58"/>
      <c r="L22" s="156" t="s">
        <v>633</v>
      </c>
      <c r="M22" s="58"/>
      <c r="N22" s="58" t="s">
        <v>634</v>
      </c>
      <c r="O22" s="4" t="s">
        <v>12</v>
      </c>
      <c r="P22" s="58"/>
      <c r="Q22" s="58"/>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8206-C1CA-42E1-81B7-31F468270DFC}">
  <dimension ref="A1:Q29"/>
  <sheetViews>
    <sheetView topLeftCell="A9" workbookViewId="0">
      <selection activeCell="A27" sqref="A27:XFD29"/>
    </sheetView>
  </sheetViews>
  <sheetFormatPr defaultRowHeight="15"/>
  <cols>
    <col min="2" max="2" width="20.85546875" customWidth="1"/>
    <col min="3" max="3" width="14.7109375" customWidth="1"/>
    <col min="4" max="4" width="27.140625" customWidth="1"/>
    <col min="5" max="5" width="16.28515625" customWidth="1"/>
    <col min="7" max="7" width="18.42578125" bestFit="1" customWidth="1"/>
    <col min="8" max="8" width="9.42578125" bestFit="1" customWidth="1"/>
    <col min="9" max="9" width="37.7109375" customWidth="1"/>
    <col min="10" max="10" width="26.28515625" bestFit="1" customWidth="1"/>
    <col min="11" max="11" width="9.42578125" bestFit="1" customWidth="1"/>
    <col min="12" max="12" width="65.85546875" customWidth="1"/>
    <col min="13" max="13" width="19.85546875" bestFit="1" customWidth="1"/>
    <col min="14" max="14" width="24.28515625" bestFit="1" customWidth="1"/>
    <col min="15" max="15" width="25.140625" customWidth="1"/>
    <col min="16" max="16" width="14.42578125" bestFit="1" customWidth="1"/>
    <col min="17" max="17" width="13" bestFit="1" customWidth="1"/>
  </cols>
  <sheetData>
    <row r="1" spans="1:17" s="102" customFormat="1" ht="17.25">
      <c r="A1" s="103" t="s">
        <v>274</v>
      </c>
      <c r="B1" s="104" t="s">
        <v>275</v>
      </c>
      <c r="C1" s="105" t="s">
        <v>276</v>
      </c>
      <c r="D1" s="105" t="s">
        <v>277</v>
      </c>
      <c r="E1" s="105" t="s">
        <v>0</v>
      </c>
      <c r="F1" s="105" t="s">
        <v>278</v>
      </c>
      <c r="G1" s="105" t="s">
        <v>279</v>
      </c>
      <c r="H1" s="105" t="s">
        <v>1</v>
      </c>
      <c r="I1" s="105" t="s">
        <v>280</v>
      </c>
      <c r="J1" s="105" t="s">
        <v>281</v>
      </c>
      <c r="K1" s="105" t="s">
        <v>3</v>
      </c>
      <c r="L1" s="106" t="s">
        <v>282</v>
      </c>
      <c r="M1" s="105" t="s">
        <v>1023</v>
      </c>
      <c r="N1" s="105" t="s">
        <v>283</v>
      </c>
      <c r="O1" s="105" t="s">
        <v>285</v>
      </c>
      <c r="P1" s="105" t="s">
        <v>286</v>
      </c>
      <c r="Q1" s="105" t="s">
        <v>287</v>
      </c>
    </row>
    <row r="2" spans="1:17" s="102" customFormat="1">
      <c r="A2" s="58">
        <v>1</v>
      </c>
      <c r="B2" s="59">
        <v>46052</v>
      </c>
      <c r="C2" s="58" t="str">
        <f t="shared" ref="C2:C27" si="0">TEXT(B2,"dddd")</f>
        <v>Friday</v>
      </c>
      <c r="D2" s="58" t="s">
        <v>372</v>
      </c>
      <c r="E2" s="58" t="str">
        <f t="shared" ref="E2:E27" si="1">TEXT(B2,"mmmm")</f>
        <v>January</v>
      </c>
      <c r="F2" s="58">
        <v>2026</v>
      </c>
      <c r="G2" s="58">
        <v>2.5</v>
      </c>
      <c r="H2" s="58" t="s">
        <v>57</v>
      </c>
      <c r="I2" s="58" t="s">
        <v>58</v>
      </c>
      <c r="J2" s="58" t="s">
        <v>373</v>
      </c>
      <c r="K2" s="58"/>
      <c r="L2" s="142" t="s">
        <v>374</v>
      </c>
      <c r="M2" s="58"/>
      <c r="N2" s="58">
        <v>2.5</v>
      </c>
      <c r="O2" s="4" t="s">
        <v>60</v>
      </c>
      <c r="P2" s="58"/>
      <c r="Q2" s="58"/>
    </row>
    <row r="3" spans="1:17">
      <c r="A3" s="58">
        <v>2</v>
      </c>
      <c r="B3" s="59">
        <v>46056</v>
      </c>
      <c r="C3" s="58" t="str">
        <f t="shared" si="0"/>
        <v>Tuesday</v>
      </c>
      <c r="D3" s="58" t="s">
        <v>372</v>
      </c>
      <c r="E3" s="58" t="str">
        <f t="shared" si="1"/>
        <v>February</v>
      </c>
      <c r="F3" s="58">
        <v>2026</v>
      </c>
      <c r="G3" s="58">
        <v>2.5</v>
      </c>
      <c r="H3" s="58" t="s">
        <v>57</v>
      </c>
      <c r="I3" s="58" t="s">
        <v>58</v>
      </c>
      <c r="J3" s="58" t="s">
        <v>373</v>
      </c>
      <c r="K3" s="58"/>
      <c r="L3" s="142" t="s">
        <v>381</v>
      </c>
      <c r="M3" s="58"/>
      <c r="N3" s="58">
        <v>2.5</v>
      </c>
      <c r="O3" s="4" t="s">
        <v>382</v>
      </c>
      <c r="P3" s="58" t="s">
        <v>70</v>
      </c>
      <c r="Q3" s="58"/>
    </row>
    <row r="4" spans="1:17">
      <c r="A4" s="58">
        <v>3</v>
      </c>
      <c r="B4" s="59">
        <v>46059</v>
      </c>
      <c r="C4" s="58" t="str">
        <f t="shared" si="0"/>
        <v>Friday</v>
      </c>
      <c r="D4" s="58" t="s">
        <v>372</v>
      </c>
      <c r="E4" s="58" t="str">
        <f t="shared" si="1"/>
        <v>February</v>
      </c>
      <c r="F4" s="58">
        <v>2026</v>
      </c>
      <c r="G4" s="58">
        <v>2.5</v>
      </c>
      <c r="H4" s="58" t="s">
        <v>57</v>
      </c>
      <c r="I4" s="58" t="s">
        <v>58</v>
      </c>
      <c r="J4" s="58" t="s">
        <v>373</v>
      </c>
      <c r="K4" s="58"/>
      <c r="L4" s="142" t="s">
        <v>389</v>
      </c>
      <c r="M4" s="58"/>
      <c r="N4" s="58">
        <v>2.5</v>
      </c>
      <c r="O4" s="4" t="s">
        <v>72</v>
      </c>
      <c r="P4" s="58"/>
      <c r="Q4" s="58"/>
    </row>
    <row r="5" spans="1:17">
      <c r="A5" s="58">
        <v>4</v>
      </c>
      <c r="B5" s="59">
        <v>46063</v>
      </c>
      <c r="C5" s="58" t="str">
        <f t="shared" si="0"/>
        <v>Tuesday</v>
      </c>
      <c r="D5" s="58" t="s">
        <v>372</v>
      </c>
      <c r="E5" s="58" t="str">
        <f t="shared" si="1"/>
        <v>February</v>
      </c>
      <c r="F5" s="58">
        <v>2026</v>
      </c>
      <c r="G5" s="58">
        <v>2.5</v>
      </c>
      <c r="H5" s="58" t="s">
        <v>57</v>
      </c>
      <c r="I5" s="58" t="s">
        <v>58</v>
      </c>
      <c r="J5" s="58" t="s">
        <v>373</v>
      </c>
      <c r="K5" s="58"/>
      <c r="L5" s="142" t="s">
        <v>392</v>
      </c>
      <c r="M5" s="58"/>
      <c r="N5" s="58">
        <v>2.5</v>
      </c>
      <c r="O5" s="4" t="s">
        <v>72</v>
      </c>
      <c r="P5" s="58"/>
      <c r="Q5" s="58"/>
    </row>
    <row r="6" spans="1:17">
      <c r="A6" s="58">
        <v>5</v>
      </c>
      <c r="B6" s="59">
        <v>46066</v>
      </c>
      <c r="C6" s="58" t="str">
        <f t="shared" si="0"/>
        <v>Friday</v>
      </c>
      <c r="D6" s="58" t="s">
        <v>372</v>
      </c>
      <c r="E6" s="58" t="str">
        <f t="shared" si="1"/>
        <v>February</v>
      </c>
      <c r="F6" s="58">
        <v>2026</v>
      </c>
      <c r="G6" s="58">
        <v>2.5</v>
      </c>
      <c r="H6" s="58" t="s">
        <v>57</v>
      </c>
      <c r="I6" s="58" t="s">
        <v>58</v>
      </c>
      <c r="J6" s="58" t="s">
        <v>373</v>
      </c>
      <c r="K6" s="58"/>
      <c r="L6" s="142" t="s">
        <v>404</v>
      </c>
      <c r="M6" s="58"/>
      <c r="N6" s="58">
        <v>2.5</v>
      </c>
      <c r="O6" s="4" t="s">
        <v>70</v>
      </c>
      <c r="P6" s="58"/>
      <c r="Q6" s="58"/>
    </row>
    <row r="7" spans="1:17">
      <c r="A7" s="58"/>
      <c r="B7" s="59">
        <v>46071</v>
      </c>
      <c r="C7" s="58" t="str">
        <f t="shared" si="0"/>
        <v>Wednesday</v>
      </c>
      <c r="D7" s="58" t="s">
        <v>372</v>
      </c>
      <c r="E7" s="58" t="str">
        <f t="shared" si="1"/>
        <v>February</v>
      </c>
      <c r="F7" s="58">
        <v>2026</v>
      </c>
      <c r="G7" s="58">
        <v>2.5</v>
      </c>
      <c r="H7" s="58" t="s">
        <v>57</v>
      </c>
      <c r="I7" s="58" t="s">
        <v>58</v>
      </c>
      <c r="J7" s="58" t="s">
        <v>373</v>
      </c>
      <c r="K7" s="58"/>
      <c r="L7" s="155" t="s">
        <v>409</v>
      </c>
      <c r="M7" s="58"/>
      <c r="N7" s="58">
        <v>2.5</v>
      </c>
      <c r="O7" s="4" t="s">
        <v>70</v>
      </c>
      <c r="P7" s="58"/>
      <c r="Q7" s="58"/>
    </row>
    <row r="8" spans="1:17" ht="45.75">
      <c r="A8" s="58">
        <v>6</v>
      </c>
      <c r="B8" s="59">
        <v>46073</v>
      </c>
      <c r="C8" s="58" t="str">
        <f t="shared" si="0"/>
        <v>Friday</v>
      </c>
      <c r="D8" s="58" t="s">
        <v>372</v>
      </c>
      <c r="E8" s="58" t="str">
        <f t="shared" si="1"/>
        <v>February</v>
      </c>
      <c r="F8" s="58">
        <v>2026</v>
      </c>
      <c r="G8" s="58">
        <v>2.5</v>
      </c>
      <c r="H8" s="58" t="s">
        <v>57</v>
      </c>
      <c r="I8" s="58" t="s">
        <v>58</v>
      </c>
      <c r="J8" s="58" t="s">
        <v>373</v>
      </c>
      <c r="K8" s="58"/>
      <c r="L8" s="142" t="s">
        <v>413</v>
      </c>
      <c r="M8" s="58"/>
      <c r="N8" s="58">
        <v>2.5</v>
      </c>
      <c r="O8" s="4" t="s">
        <v>414</v>
      </c>
      <c r="P8" s="58"/>
      <c r="Q8" s="58"/>
    </row>
    <row r="9" spans="1:17" ht="45.75">
      <c r="A9" s="58">
        <v>7</v>
      </c>
      <c r="B9" s="59">
        <v>46078</v>
      </c>
      <c r="C9" s="58" t="str">
        <f t="shared" si="0"/>
        <v>Wednesday</v>
      </c>
      <c r="D9" s="58" t="s">
        <v>372</v>
      </c>
      <c r="E9" s="58" t="str">
        <f t="shared" si="1"/>
        <v>February</v>
      </c>
      <c r="F9" s="58">
        <v>2026</v>
      </c>
      <c r="G9" s="58">
        <v>2.5</v>
      </c>
      <c r="H9" s="58" t="s">
        <v>57</v>
      </c>
      <c r="I9" s="58" t="s">
        <v>58</v>
      </c>
      <c r="J9" s="58" t="s">
        <v>373</v>
      </c>
      <c r="K9" s="58"/>
      <c r="L9" s="142" t="s">
        <v>413</v>
      </c>
      <c r="M9" s="58"/>
      <c r="N9" s="58">
        <v>2.5</v>
      </c>
      <c r="O9" s="4" t="s">
        <v>414</v>
      </c>
      <c r="P9" s="58"/>
      <c r="Q9" s="58"/>
    </row>
    <row r="10" spans="1:17">
      <c r="A10" s="58"/>
      <c r="B10" s="59">
        <v>46080</v>
      </c>
      <c r="C10" s="58" t="str">
        <f t="shared" si="0"/>
        <v>Friday</v>
      </c>
      <c r="D10" s="58"/>
      <c r="E10" s="58" t="str">
        <f t="shared" si="1"/>
        <v>February</v>
      </c>
      <c r="F10" s="58">
        <v>2026</v>
      </c>
      <c r="G10" s="58"/>
      <c r="H10" s="58" t="s">
        <v>57</v>
      </c>
      <c r="I10" s="58" t="s">
        <v>58</v>
      </c>
      <c r="J10" s="58" t="s">
        <v>373</v>
      </c>
      <c r="K10" s="58"/>
      <c r="L10" s="144" t="s">
        <v>427</v>
      </c>
      <c r="M10" s="58"/>
      <c r="N10" s="58"/>
      <c r="O10" s="4"/>
      <c r="P10" s="58"/>
      <c r="Q10" s="58"/>
    </row>
    <row r="11" spans="1:17">
      <c r="A11" s="58">
        <v>8</v>
      </c>
      <c r="B11" s="59">
        <v>46087</v>
      </c>
      <c r="C11" s="58" t="str">
        <f t="shared" si="0"/>
        <v>Friday</v>
      </c>
      <c r="D11" s="58" t="s">
        <v>372</v>
      </c>
      <c r="E11" s="58" t="str">
        <f t="shared" si="1"/>
        <v>March</v>
      </c>
      <c r="F11" s="58">
        <v>2026</v>
      </c>
      <c r="G11" s="58">
        <v>2.5</v>
      </c>
      <c r="H11" s="58" t="s">
        <v>57</v>
      </c>
      <c r="I11" s="58" t="s">
        <v>58</v>
      </c>
      <c r="J11" s="58" t="s">
        <v>373</v>
      </c>
      <c r="K11" s="58"/>
      <c r="L11" s="142" t="s">
        <v>442</v>
      </c>
      <c r="M11" s="58"/>
      <c r="N11" s="58">
        <v>2.5</v>
      </c>
      <c r="O11" s="4" t="s">
        <v>414</v>
      </c>
      <c r="P11" s="58"/>
      <c r="Q11" s="58"/>
    </row>
    <row r="12" spans="1:17">
      <c r="A12" s="58">
        <v>9</v>
      </c>
      <c r="B12" s="59">
        <v>46092</v>
      </c>
      <c r="C12" s="58" t="str">
        <f t="shared" si="0"/>
        <v>Wednesday</v>
      </c>
      <c r="D12" s="58" t="s">
        <v>372</v>
      </c>
      <c r="E12" s="58" t="str">
        <f t="shared" si="1"/>
        <v>March</v>
      </c>
      <c r="F12" s="58">
        <v>2026</v>
      </c>
      <c r="G12" s="58">
        <v>2.5</v>
      </c>
      <c r="H12" s="58" t="s">
        <v>57</v>
      </c>
      <c r="I12" s="58" t="s">
        <v>58</v>
      </c>
      <c r="J12" s="58" t="s">
        <v>373</v>
      </c>
      <c r="K12" s="58"/>
      <c r="L12" s="142" t="s">
        <v>442</v>
      </c>
      <c r="M12" s="58"/>
      <c r="N12" s="58">
        <v>2.5</v>
      </c>
      <c r="O12" s="4" t="s">
        <v>414</v>
      </c>
      <c r="P12" s="58"/>
      <c r="Q12" s="58"/>
    </row>
    <row r="13" spans="1:17">
      <c r="A13" s="58">
        <v>10</v>
      </c>
      <c r="B13" s="59">
        <v>46094</v>
      </c>
      <c r="C13" s="58" t="str">
        <f t="shared" si="0"/>
        <v>Friday</v>
      </c>
      <c r="D13" s="58" t="s">
        <v>372</v>
      </c>
      <c r="E13" s="58" t="str">
        <f t="shared" si="1"/>
        <v>March</v>
      </c>
      <c r="F13" s="58">
        <v>2026</v>
      </c>
      <c r="G13" s="58">
        <v>2.5</v>
      </c>
      <c r="H13" s="58" t="s">
        <v>57</v>
      </c>
      <c r="I13" s="58" t="s">
        <v>58</v>
      </c>
      <c r="J13" s="58" t="s">
        <v>373</v>
      </c>
      <c r="K13" s="58"/>
      <c r="L13" s="142" t="s">
        <v>474</v>
      </c>
      <c r="M13" s="58"/>
      <c r="N13" s="58">
        <v>2.5</v>
      </c>
      <c r="O13" s="4" t="s">
        <v>414</v>
      </c>
      <c r="P13" s="58"/>
      <c r="Q13" s="58"/>
    </row>
    <row r="14" spans="1:17">
      <c r="A14" s="58">
        <v>11</v>
      </c>
      <c r="B14" s="59">
        <v>46099</v>
      </c>
      <c r="C14" s="58" t="str">
        <f t="shared" si="0"/>
        <v>Wednesday</v>
      </c>
      <c r="D14" s="58" t="s">
        <v>372</v>
      </c>
      <c r="E14" s="58" t="str">
        <f t="shared" si="1"/>
        <v>March</v>
      </c>
      <c r="F14" s="58">
        <v>2026</v>
      </c>
      <c r="G14" s="58">
        <v>2.5</v>
      </c>
      <c r="H14" s="58" t="s">
        <v>57</v>
      </c>
      <c r="I14" s="58" t="s">
        <v>58</v>
      </c>
      <c r="J14" s="58" t="s">
        <v>373</v>
      </c>
      <c r="K14" s="58"/>
      <c r="L14" s="142" t="s">
        <v>474</v>
      </c>
      <c r="M14" s="58"/>
      <c r="N14" s="58">
        <v>2.5</v>
      </c>
      <c r="O14" s="4" t="s">
        <v>414</v>
      </c>
      <c r="P14" s="58"/>
      <c r="Q14" s="58"/>
    </row>
    <row r="15" spans="1:17">
      <c r="A15" s="58"/>
      <c r="B15" s="59">
        <v>46101</v>
      </c>
      <c r="C15" s="58" t="str">
        <f t="shared" si="0"/>
        <v>Friday</v>
      </c>
      <c r="D15" s="58" t="s">
        <v>372</v>
      </c>
      <c r="E15" s="58" t="str">
        <f t="shared" si="1"/>
        <v>March</v>
      </c>
      <c r="F15" s="58">
        <v>2026</v>
      </c>
      <c r="G15" s="58"/>
      <c r="H15" s="58" t="s">
        <v>57</v>
      </c>
      <c r="I15" s="58" t="s">
        <v>58</v>
      </c>
      <c r="J15" s="58" t="s">
        <v>373</v>
      </c>
      <c r="K15" s="58"/>
      <c r="L15" s="144" t="s">
        <v>427</v>
      </c>
      <c r="M15" s="58"/>
      <c r="N15" s="58"/>
      <c r="O15" s="4"/>
      <c r="P15" s="58"/>
      <c r="Q15" s="58"/>
    </row>
    <row r="16" spans="1:17">
      <c r="A16" s="58">
        <v>12</v>
      </c>
      <c r="B16" s="59">
        <v>46106</v>
      </c>
      <c r="C16" s="58" t="str">
        <f t="shared" si="0"/>
        <v>Wednesday</v>
      </c>
      <c r="D16" s="58" t="s">
        <v>372</v>
      </c>
      <c r="E16" s="58" t="str">
        <f t="shared" si="1"/>
        <v>March</v>
      </c>
      <c r="F16" s="58">
        <v>2026</v>
      </c>
      <c r="G16" s="58">
        <v>2.5</v>
      </c>
      <c r="H16" s="58" t="s">
        <v>57</v>
      </c>
      <c r="I16" s="58" t="s">
        <v>58</v>
      </c>
      <c r="J16" s="58" t="s">
        <v>373</v>
      </c>
      <c r="K16" s="58"/>
      <c r="L16" s="142" t="s">
        <v>528</v>
      </c>
      <c r="M16" s="58"/>
      <c r="N16" s="58">
        <v>2.5</v>
      </c>
      <c r="O16" s="4" t="s">
        <v>414</v>
      </c>
      <c r="P16" s="58"/>
      <c r="Q16" s="58"/>
    </row>
    <row r="17" spans="1:17" ht="30.75">
      <c r="A17" s="58">
        <v>13</v>
      </c>
      <c r="B17" s="59">
        <v>46108</v>
      </c>
      <c r="C17" s="58" t="str">
        <f t="shared" si="0"/>
        <v>Friday</v>
      </c>
      <c r="D17" s="58" t="s">
        <v>372</v>
      </c>
      <c r="E17" s="58" t="str">
        <f t="shared" si="1"/>
        <v>March</v>
      </c>
      <c r="F17" s="58">
        <v>2026</v>
      </c>
      <c r="G17" s="58">
        <v>2.5</v>
      </c>
      <c r="H17" s="58" t="s">
        <v>57</v>
      </c>
      <c r="I17" s="58" t="s">
        <v>58</v>
      </c>
      <c r="J17" s="58" t="s">
        <v>373</v>
      </c>
      <c r="K17" s="58"/>
      <c r="L17" s="142" t="s">
        <v>537</v>
      </c>
      <c r="M17" s="58"/>
      <c r="N17" s="58">
        <v>2.5</v>
      </c>
      <c r="O17" s="4" t="s">
        <v>414</v>
      </c>
      <c r="P17" s="58"/>
      <c r="Q17" s="58"/>
    </row>
    <row r="18" spans="1:17">
      <c r="A18" s="58"/>
      <c r="B18" s="59">
        <v>46111</v>
      </c>
      <c r="C18" s="58" t="str">
        <f t="shared" si="0"/>
        <v>Monday</v>
      </c>
      <c r="D18" s="58" t="s">
        <v>372</v>
      </c>
      <c r="E18" s="58" t="str">
        <f t="shared" si="1"/>
        <v>March</v>
      </c>
      <c r="F18" s="58">
        <v>2026</v>
      </c>
      <c r="G18" s="58">
        <v>2.5</v>
      </c>
      <c r="H18" s="58" t="s">
        <v>57</v>
      </c>
      <c r="I18" s="58" t="s">
        <v>58</v>
      </c>
      <c r="J18" s="58" t="s">
        <v>373</v>
      </c>
      <c r="K18" s="58"/>
      <c r="L18" s="155" t="s">
        <v>544</v>
      </c>
      <c r="M18" s="58"/>
      <c r="N18" s="58">
        <v>2.5</v>
      </c>
      <c r="O18" s="4" t="s">
        <v>70</v>
      </c>
      <c r="P18" s="58"/>
      <c r="Q18" s="58"/>
    </row>
    <row r="19" spans="1:17" ht="30.75">
      <c r="A19" s="58">
        <v>14</v>
      </c>
      <c r="B19" s="59">
        <v>46113</v>
      </c>
      <c r="C19" s="58" t="str">
        <f>TEXT(B19,"dddd")</f>
        <v>Wednesday</v>
      </c>
      <c r="D19" s="58" t="s">
        <v>372</v>
      </c>
      <c r="E19" s="58" t="str">
        <f>TEXT(B19,"mmmm")</f>
        <v>April</v>
      </c>
      <c r="F19" s="58">
        <v>2026</v>
      </c>
      <c r="G19" s="58">
        <v>2.5</v>
      </c>
      <c r="H19" s="58" t="s">
        <v>57</v>
      </c>
      <c r="I19" s="58" t="s">
        <v>58</v>
      </c>
      <c r="J19" s="58" t="s">
        <v>373</v>
      </c>
      <c r="K19" s="58"/>
      <c r="L19" s="142" t="s">
        <v>558</v>
      </c>
      <c r="M19" s="58"/>
      <c r="N19" s="58">
        <v>2.5</v>
      </c>
      <c r="O19" s="4" t="s">
        <v>559</v>
      </c>
      <c r="P19" s="58"/>
      <c r="Q19" s="58"/>
    </row>
    <row r="20" spans="1:17">
      <c r="A20" s="58"/>
      <c r="B20" s="59">
        <v>46118</v>
      </c>
      <c r="C20" s="58" t="str">
        <f t="shared" ref="C20" si="2">TEXT(B20,"dddd")</f>
        <v>Monday</v>
      </c>
      <c r="D20" s="58" t="s">
        <v>372</v>
      </c>
      <c r="E20" s="58" t="str">
        <f t="shared" ref="E20" si="3">TEXT(B20,"mmmm")</f>
        <v>April</v>
      </c>
      <c r="F20" s="58">
        <v>2026</v>
      </c>
      <c r="G20" s="58">
        <v>2.5</v>
      </c>
      <c r="H20" s="58" t="s">
        <v>57</v>
      </c>
      <c r="I20" s="58" t="s">
        <v>58</v>
      </c>
      <c r="J20" s="58" t="s">
        <v>373</v>
      </c>
      <c r="K20" s="58"/>
      <c r="L20" s="155" t="s">
        <v>544</v>
      </c>
      <c r="M20" s="58"/>
      <c r="N20" s="58">
        <v>2.5</v>
      </c>
      <c r="O20" s="4" t="s">
        <v>70</v>
      </c>
      <c r="P20" s="58"/>
      <c r="Q20" s="58"/>
    </row>
    <row r="21" spans="1:17" ht="30.75">
      <c r="A21" s="58">
        <v>15</v>
      </c>
      <c r="B21" s="59">
        <v>46120</v>
      </c>
      <c r="C21" s="58" t="str">
        <f t="shared" si="0"/>
        <v>Wednesday</v>
      </c>
      <c r="D21" s="58" t="s">
        <v>372</v>
      </c>
      <c r="E21" s="58" t="str">
        <f t="shared" si="1"/>
        <v>April</v>
      </c>
      <c r="F21" s="58">
        <v>2026</v>
      </c>
      <c r="G21" s="58">
        <v>2.5</v>
      </c>
      <c r="H21" s="58" t="s">
        <v>57</v>
      </c>
      <c r="I21" s="58" t="s">
        <v>58</v>
      </c>
      <c r="J21" s="58" t="s">
        <v>373</v>
      </c>
      <c r="K21" s="58"/>
      <c r="L21" s="142" t="s">
        <v>578</v>
      </c>
      <c r="M21" s="58"/>
      <c r="N21" s="58">
        <v>2.5</v>
      </c>
      <c r="O21" s="4" t="s">
        <v>559</v>
      </c>
      <c r="P21" s="58"/>
      <c r="Q21" s="58"/>
    </row>
    <row r="22" spans="1:17">
      <c r="A22" s="58">
        <v>16</v>
      </c>
      <c r="B22" s="59">
        <v>46122</v>
      </c>
      <c r="C22" s="58" t="str">
        <f t="shared" si="0"/>
        <v>Friday</v>
      </c>
      <c r="D22" s="58" t="s">
        <v>372</v>
      </c>
      <c r="E22" s="58" t="str">
        <f t="shared" si="1"/>
        <v>April</v>
      </c>
      <c r="F22" s="58">
        <v>2026</v>
      </c>
      <c r="G22" s="58">
        <v>2.5</v>
      </c>
      <c r="H22" s="58" t="s">
        <v>57</v>
      </c>
      <c r="I22" s="58" t="s">
        <v>58</v>
      </c>
      <c r="J22" s="58" t="s">
        <v>373</v>
      </c>
      <c r="K22" s="58"/>
      <c r="L22" s="142" t="s">
        <v>589</v>
      </c>
      <c r="M22" s="58"/>
      <c r="N22" s="58">
        <v>2.5</v>
      </c>
      <c r="O22" s="4" t="s">
        <v>559</v>
      </c>
      <c r="P22" s="58"/>
      <c r="Q22" s="58"/>
    </row>
    <row r="23" spans="1:17">
      <c r="A23" s="58"/>
      <c r="B23" s="59">
        <v>46125</v>
      </c>
      <c r="C23" s="58" t="str">
        <f t="shared" si="0"/>
        <v>Monday</v>
      </c>
      <c r="D23" s="58" t="s">
        <v>372</v>
      </c>
      <c r="E23" s="58" t="str">
        <f t="shared" si="1"/>
        <v>April</v>
      </c>
      <c r="F23" s="58">
        <v>2026</v>
      </c>
      <c r="G23" s="58">
        <v>2.5</v>
      </c>
      <c r="H23" s="58" t="s">
        <v>57</v>
      </c>
      <c r="I23" s="58" t="s">
        <v>58</v>
      </c>
      <c r="J23" s="58" t="s">
        <v>373</v>
      </c>
      <c r="K23" s="58"/>
      <c r="L23" s="155" t="s">
        <v>595</v>
      </c>
      <c r="M23" s="58"/>
      <c r="N23" s="58">
        <v>2.5</v>
      </c>
      <c r="O23" s="4" t="s">
        <v>70</v>
      </c>
      <c r="P23" s="58"/>
      <c r="Q23" s="58"/>
    </row>
    <row r="24" spans="1:17">
      <c r="A24" s="58">
        <v>17</v>
      </c>
      <c r="B24" s="59">
        <v>46129</v>
      </c>
      <c r="C24" s="58" t="str">
        <f t="shared" si="0"/>
        <v>Friday</v>
      </c>
      <c r="D24" s="58" t="s">
        <v>372</v>
      </c>
      <c r="E24" s="58" t="str">
        <f t="shared" si="1"/>
        <v>April</v>
      </c>
      <c r="F24" s="58">
        <v>2026</v>
      </c>
      <c r="G24" s="58">
        <v>2.5</v>
      </c>
      <c r="H24" s="58" t="s">
        <v>57</v>
      </c>
      <c r="I24" s="58" t="s">
        <v>58</v>
      </c>
      <c r="J24" s="58" t="s">
        <v>373</v>
      </c>
      <c r="K24" s="58"/>
      <c r="L24" s="142" t="s">
        <v>612</v>
      </c>
      <c r="M24" s="58"/>
      <c r="N24" s="58">
        <v>2.5</v>
      </c>
      <c r="O24" s="4" t="s">
        <v>559</v>
      </c>
      <c r="P24" s="58"/>
      <c r="Q24" s="58"/>
    </row>
    <row r="25" spans="1:17">
      <c r="A25" s="58">
        <v>18</v>
      </c>
      <c r="B25" s="59">
        <v>46134</v>
      </c>
      <c r="C25" s="58" t="str">
        <f t="shared" si="0"/>
        <v>Wednesday</v>
      </c>
      <c r="D25" s="58" t="s">
        <v>372</v>
      </c>
      <c r="E25" s="58" t="str">
        <f t="shared" si="1"/>
        <v>April</v>
      </c>
      <c r="F25" s="58">
        <v>2026</v>
      </c>
      <c r="G25" s="58">
        <v>2.5</v>
      </c>
      <c r="H25" s="58" t="s">
        <v>57</v>
      </c>
      <c r="I25" s="58" t="s">
        <v>58</v>
      </c>
      <c r="J25" s="58" t="s">
        <v>373</v>
      </c>
      <c r="K25" s="58"/>
      <c r="L25" s="142" t="s">
        <v>629</v>
      </c>
      <c r="M25" s="58"/>
      <c r="N25" s="58">
        <v>2.5</v>
      </c>
      <c r="O25" s="4" t="s">
        <v>559</v>
      </c>
      <c r="P25" s="58"/>
      <c r="Q25" s="58"/>
    </row>
    <row r="26" spans="1:17">
      <c r="A26" s="58"/>
      <c r="B26" s="59">
        <v>46136</v>
      </c>
      <c r="C26" s="58" t="str">
        <f t="shared" si="0"/>
        <v>Friday</v>
      </c>
      <c r="D26" s="58" t="s">
        <v>372</v>
      </c>
      <c r="E26" s="58" t="str">
        <f t="shared" si="1"/>
        <v>April</v>
      </c>
      <c r="F26" s="58">
        <v>2026</v>
      </c>
      <c r="G26" s="58"/>
      <c r="H26" s="58" t="s">
        <v>57</v>
      </c>
      <c r="I26" s="58" t="s">
        <v>58</v>
      </c>
      <c r="J26" s="58" t="s">
        <v>373</v>
      </c>
      <c r="K26" s="58"/>
      <c r="L26" s="144" t="s">
        <v>427</v>
      </c>
      <c r="M26" s="58"/>
      <c r="N26" s="58"/>
      <c r="O26" s="4"/>
      <c r="P26" s="58"/>
      <c r="Q26" s="58"/>
    </row>
    <row r="27" spans="1:17">
      <c r="A27" s="58"/>
      <c r="B27" s="59">
        <v>46146</v>
      </c>
      <c r="C27" s="58" t="str">
        <f t="shared" si="0"/>
        <v>Monday</v>
      </c>
      <c r="D27" s="58" t="s">
        <v>372</v>
      </c>
      <c r="E27" s="58" t="str">
        <f t="shared" si="1"/>
        <v>May</v>
      </c>
      <c r="F27" s="58">
        <v>2026</v>
      </c>
      <c r="G27" s="58">
        <v>5</v>
      </c>
      <c r="H27" s="58" t="s">
        <v>57</v>
      </c>
      <c r="I27" s="58" t="s">
        <v>58</v>
      </c>
      <c r="J27" s="58" t="s">
        <v>373</v>
      </c>
      <c r="K27" s="58"/>
      <c r="L27" s="155" t="s">
        <v>659</v>
      </c>
      <c r="M27" s="58"/>
      <c r="N27" s="58">
        <v>5</v>
      </c>
      <c r="O27" s="4" t="s">
        <v>70</v>
      </c>
      <c r="P27" s="58"/>
      <c r="Q27" s="58"/>
    </row>
    <row r="28" spans="1:17">
      <c r="A28" s="178"/>
      <c r="B28" s="179">
        <v>46148</v>
      </c>
      <c r="C28" s="100" t="str">
        <f t="shared" ref="C28" si="4">TEXT(B28,"dddd")</f>
        <v>Wednesday</v>
      </c>
      <c r="D28" s="180" t="s">
        <v>372</v>
      </c>
      <c r="E28" s="100" t="str">
        <f t="shared" ref="E28" si="5">TEXT(B28,"mmmm")</f>
        <v>May</v>
      </c>
      <c r="F28" s="100">
        <v>2026</v>
      </c>
      <c r="G28" s="178"/>
      <c r="H28" s="178" t="s">
        <v>57</v>
      </c>
      <c r="I28" s="178" t="s">
        <v>58</v>
      </c>
      <c r="J28" s="100" t="s">
        <v>373</v>
      </c>
      <c r="K28" s="100"/>
      <c r="L28" s="155" t="s">
        <v>659</v>
      </c>
      <c r="M28" s="100"/>
      <c r="N28" s="100">
        <v>5</v>
      </c>
      <c r="O28" s="181" t="s">
        <v>70</v>
      </c>
      <c r="P28" s="100"/>
      <c r="Q28" s="100"/>
    </row>
    <row r="29" spans="1:17">
      <c r="A29" s="178"/>
      <c r="B29" s="179">
        <v>46150</v>
      </c>
      <c r="C29" s="100" t="str">
        <f t="shared" ref="C29" si="6">TEXT(B29,"dddd")</f>
        <v>Friday</v>
      </c>
      <c r="D29" s="180" t="s">
        <v>372</v>
      </c>
      <c r="E29" s="100" t="str">
        <f t="shared" ref="E29" si="7">TEXT(B29,"mmmm")</f>
        <v>May</v>
      </c>
      <c r="F29" s="100">
        <v>2026</v>
      </c>
      <c r="G29" s="178"/>
      <c r="H29" s="178" t="s">
        <v>57</v>
      </c>
      <c r="I29" s="178" t="s">
        <v>58</v>
      </c>
      <c r="J29" s="100" t="s">
        <v>373</v>
      </c>
      <c r="K29" s="100"/>
      <c r="L29" s="155" t="s">
        <v>659</v>
      </c>
      <c r="M29" s="100"/>
      <c r="N29" s="100">
        <v>5</v>
      </c>
      <c r="O29" s="181" t="s">
        <v>70</v>
      </c>
      <c r="P29" s="100"/>
      <c r="Q29" s="100"/>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2307-F48F-4244-8052-AC8EFB11DF0F}">
  <dimension ref="A1:Q42"/>
  <sheetViews>
    <sheetView topLeftCell="A25" workbookViewId="0">
      <selection activeCell="A8" sqref="A8"/>
    </sheetView>
  </sheetViews>
  <sheetFormatPr defaultRowHeight="15"/>
  <cols>
    <col min="1" max="1" width="8.85546875" bestFit="1" customWidth="1"/>
    <col min="2" max="2" width="20.85546875" bestFit="1" customWidth="1"/>
    <col min="3" max="3" width="13.140625" bestFit="1" customWidth="1"/>
    <col min="4" max="4" width="25.7109375" customWidth="1"/>
    <col min="5" max="5" width="12" bestFit="1" customWidth="1"/>
    <col min="6" max="6" width="8.140625" bestFit="1" customWidth="1"/>
    <col min="7" max="7" width="18.42578125" bestFit="1" customWidth="1"/>
    <col min="8" max="8" width="11.42578125" bestFit="1" customWidth="1"/>
    <col min="9" max="9" width="18.5703125" bestFit="1" customWidth="1"/>
    <col min="10" max="10" width="26.28515625" bestFit="1" customWidth="1"/>
    <col min="11" max="11" width="16" customWidth="1"/>
    <col min="12" max="12" width="113.140625" bestFit="1" customWidth="1"/>
    <col min="13" max="13" width="19.85546875" bestFit="1" customWidth="1"/>
    <col min="14" max="14" width="24.28515625" bestFit="1" customWidth="1"/>
    <col min="15" max="15" width="23.42578125" customWidth="1"/>
    <col min="16" max="17" width="13" bestFit="1" customWidth="1"/>
  </cols>
  <sheetData>
    <row r="1" spans="1:17" ht="17.25">
      <c r="A1" s="47" t="s">
        <v>274</v>
      </c>
      <c r="B1" s="46" t="s">
        <v>275</v>
      </c>
      <c r="C1" s="47" t="s">
        <v>276</v>
      </c>
      <c r="D1" s="47" t="s">
        <v>277</v>
      </c>
      <c r="E1" s="47" t="s">
        <v>0</v>
      </c>
      <c r="F1" s="47" t="s">
        <v>278</v>
      </c>
      <c r="G1" s="47" t="s">
        <v>279</v>
      </c>
      <c r="H1" s="47" t="s">
        <v>1</v>
      </c>
      <c r="I1" s="47" t="s">
        <v>280</v>
      </c>
      <c r="J1" s="47" t="s">
        <v>281</v>
      </c>
      <c r="K1" s="47" t="s">
        <v>3</v>
      </c>
      <c r="L1" s="48" t="s">
        <v>282</v>
      </c>
      <c r="M1" s="105" t="s">
        <v>1023</v>
      </c>
      <c r="N1" s="47" t="s">
        <v>283</v>
      </c>
      <c r="O1" s="47" t="s">
        <v>285</v>
      </c>
      <c r="P1" s="47" t="s">
        <v>286</v>
      </c>
      <c r="Q1" s="47" t="s">
        <v>287</v>
      </c>
    </row>
    <row r="2" spans="1:17">
      <c r="A2" s="58">
        <v>1</v>
      </c>
      <c r="B2" s="158">
        <v>46041</v>
      </c>
      <c r="C2" s="58" t="str">
        <f>TEXT(B2,"dddd")</f>
        <v>Monday</v>
      </c>
      <c r="D2" s="58" t="s">
        <v>358</v>
      </c>
      <c r="E2" s="58" t="str">
        <f t="shared" ref="E2:E42" si="0">TEXT(B2,"mmmm")</f>
        <v>January</v>
      </c>
      <c r="F2" s="58">
        <v>2026</v>
      </c>
      <c r="G2" s="58">
        <v>1</v>
      </c>
      <c r="H2" s="58" t="s">
        <v>61</v>
      </c>
      <c r="I2" s="159" t="s">
        <v>62</v>
      </c>
      <c r="J2" s="159" t="s">
        <v>360</v>
      </c>
      <c r="K2" s="58" t="s">
        <v>34</v>
      </c>
      <c r="L2" s="151" t="s">
        <v>361</v>
      </c>
      <c r="M2" s="58"/>
      <c r="N2" s="2">
        <f t="shared" ref="N2:N42" si="1">M2+G2</f>
        <v>1</v>
      </c>
      <c r="O2" s="2" t="s">
        <v>65</v>
      </c>
      <c r="P2" s="2"/>
      <c r="Q2" s="2"/>
    </row>
    <row r="3" spans="1:17">
      <c r="A3" s="58"/>
      <c r="B3" s="158">
        <v>46050</v>
      </c>
      <c r="C3" s="58" t="str">
        <f t="shared" ref="C3:C42" si="2">TEXT(B3,"dddd")</f>
        <v>Wednesday</v>
      </c>
      <c r="D3" s="58" t="s">
        <v>368</v>
      </c>
      <c r="E3" s="58" t="str">
        <f t="shared" si="0"/>
        <v>January</v>
      </c>
      <c r="F3" s="58">
        <v>2026</v>
      </c>
      <c r="G3" s="58">
        <v>3</v>
      </c>
      <c r="H3" s="58" t="s">
        <v>61</v>
      </c>
      <c r="I3" s="159" t="s">
        <v>62</v>
      </c>
      <c r="J3" s="159" t="s">
        <v>360</v>
      </c>
      <c r="K3" s="58" t="s">
        <v>34</v>
      </c>
      <c r="L3" s="151" t="s">
        <v>369</v>
      </c>
      <c r="M3" s="2"/>
      <c r="N3" s="2">
        <f t="shared" si="1"/>
        <v>3</v>
      </c>
      <c r="O3" s="2" t="s">
        <v>63</v>
      </c>
      <c r="P3" s="2"/>
      <c r="Q3" s="2"/>
    </row>
    <row r="4" spans="1:17">
      <c r="A4" s="58"/>
      <c r="B4" s="158">
        <v>46051</v>
      </c>
      <c r="C4" s="58" t="str">
        <f t="shared" si="2"/>
        <v>Thursday</v>
      </c>
      <c r="D4" s="58" t="s">
        <v>368</v>
      </c>
      <c r="E4" s="58" t="str">
        <f t="shared" si="0"/>
        <v>January</v>
      </c>
      <c r="F4" s="58">
        <v>2026</v>
      </c>
      <c r="G4" s="58">
        <v>3</v>
      </c>
      <c r="H4" s="58" t="s">
        <v>61</v>
      </c>
      <c r="I4" s="159" t="s">
        <v>62</v>
      </c>
      <c r="J4" s="159" t="s">
        <v>360</v>
      </c>
      <c r="K4" s="58" t="s">
        <v>34</v>
      </c>
      <c r="L4" s="151" t="s">
        <v>369</v>
      </c>
      <c r="M4" s="2"/>
      <c r="N4" s="2">
        <f t="shared" si="1"/>
        <v>3</v>
      </c>
      <c r="O4" s="2" t="s">
        <v>63</v>
      </c>
      <c r="P4" s="2"/>
      <c r="Q4" s="2"/>
    </row>
    <row r="5" spans="1:17">
      <c r="A5" s="58">
        <v>2</v>
      </c>
      <c r="B5" s="158">
        <v>46055</v>
      </c>
      <c r="C5" s="58" t="str">
        <f t="shared" si="2"/>
        <v>Monday</v>
      </c>
      <c r="D5" s="58" t="s">
        <v>377</v>
      </c>
      <c r="E5" s="58" t="str">
        <f t="shared" si="0"/>
        <v>February</v>
      </c>
      <c r="F5" s="58">
        <v>2026</v>
      </c>
      <c r="G5" s="58">
        <v>3</v>
      </c>
      <c r="H5" s="58" t="s">
        <v>61</v>
      </c>
      <c r="I5" s="159" t="s">
        <v>62</v>
      </c>
      <c r="J5" s="159" t="s">
        <v>360</v>
      </c>
      <c r="K5" s="58" t="s">
        <v>34</v>
      </c>
      <c r="L5" s="2" t="s">
        <v>378</v>
      </c>
      <c r="M5" s="2"/>
      <c r="N5" s="2">
        <f t="shared" si="1"/>
        <v>3</v>
      </c>
      <c r="O5" s="2" t="s">
        <v>63</v>
      </c>
      <c r="P5" s="2"/>
      <c r="Q5" s="2"/>
    </row>
    <row r="6" spans="1:17">
      <c r="A6" s="58">
        <v>3</v>
      </c>
      <c r="B6" s="158">
        <v>46056</v>
      </c>
      <c r="C6" s="58" t="str">
        <f t="shared" si="2"/>
        <v>Tuesday</v>
      </c>
      <c r="D6" s="58" t="s">
        <v>377</v>
      </c>
      <c r="E6" s="58" t="str">
        <f t="shared" si="0"/>
        <v>February</v>
      </c>
      <c r="F6" s="58">
        <v>2026</v>
      </c>
      <c r="G6" s="58">
        <v>3</v>
      </c>
      <c r="H6" s="58" t="s">
        <v>61</v>
      </c>
      <c r="I6" s="159" t="s">
        <v>62</v>
      </c>
      <c r="J6" s="159" t="s">
        <v>360</v>
      </c>
      <c r="K6" s="58" t="s">
        <v>34</v>
      </c>
      <c r="L6" s="2" t="s">
        <v>383</v>
      </c>
      <c r="M6" s="2"/>
      <c r="N6" s="2">
        <f t="shared" si="1"/>
        <v>3</v>
      </c>
      <c r="O6" s="2" t="s">
        <v>63</v>
      </c>
      <c r="P6" s="2"/>
      <c r="Q6" s="2"/>
    </row>
    <row r="7" spans="1:17">
      <c r="A7" s="58">
        <v>4</v>
      </c>
      <c r="B7" s="158">
        <v>46057</v>
      </c>
      <c r="C7" s="58" t="str">
        <f t="shared" si="2"/>
        <v>Wednesday</v>
      </c>
      <c r="D7" s="58" t="s">
        <v>377</v>
      </c>
      <c r="E7" s="58" t="str">
        <f t="shared" si="0"/>
        <v>February</v>
      </c>
      <c r="F7" s="58">
        <v>2026</v>
      </c>
      <c r="G7" s="58">
        <v>3</v>
      </c>
      <c r="H7" s="58" t="s">
        <v>61</v>
      </c>
      <c r="I7" s="159" t="s">
        <v>62</v>
      </c>
      <c r="J7" s="159" t="s">
        <v>360</v>
      </c>
      <c r="K7" s="58" t="s">
        <v>34</v>
      </c>
      <c r="L7" s="2" t="s">
        <v>384</v>
      </c>
      <c r="M7" s="2"/>
      <c r="N7" s="2">
        <f t="shared" si="1"/>
        <v>3</v>
      </c>
      <c r="O7" s="2" t="s">
        <v>63</v>
      </c>
      <c r="P7" s="2"/>
      <c r="Q7" s="2"/>
    </row>
    <row r="8" spans="1:17">
      <c r="A8" s="58">
        <v>5</v>
      </c>
      <c r="B8" s="158">
        <v>46058</v>
      </c>
      <c r="C8" s="58" t="str">
        <f t="shared" si="2"/>
        <v>Thursday</v>
      </c>
      <c r="D8" s="58" t="s">
        <v>377</v>
      </c>
      <c r="E8" s="58" t="str">
        <f t="shared" si="0"/>
        <v>February</v>
      </c>
      <c r="F8" s="58">
        <v>2026</v>
      </c>
      <c r="G8" s="58">
        <v>3</v>
      </c>
      <c r="H8" s="58" t="s">
        <v>61</v>
      </c>
      <c r="I8" s="159" t="s">
        <v>62</v>
      </c>
      <c r="J8" s="159" t="s">
        <v>360</v>
      </c>
      <c r="K8" s="58" t="s">
        <v>34</v>
      </c>
      <c r="L8" s="2" t="s">
        <v>387</v>
      </c>
      <c r="M8" s="2"/>
      <c r="N8" s="2">
        <f t="shared" si="1"/>
        <v>3</v>
      </c>
      <c r="O8" s="2" t="s">
        <v>63</v>
      </c>
      <c r="P8" s="2"/>
      <c r="Q8" s="2"/>
    </row>
    <row r="9" spans="1:17">
      <c r="A9" s="58">
        <v>6</v>
      </c>
      <c r="B9" s="158">
        <v>46059</v>
      </c>
      <c r="C9" s="58" t="str">
        <f t="shared" si="2"/>
        <v>Friday</v>
      </c>
      <c r="D9" s="58" t="s">
        <v>377</v>
      </c>
      <c r="E9" s="58" t="str">
        <f t="shared" si="0"/>
        <v>February</v>
      </c>
      <c r="F9" s="58">
        <v>2026</v>
      </c>
      <c r="G9" s="58">
        <v>3</v>
      </c>
      <c r="H9" s="58" t="s">
        <v>61</v>
      </c>
      <c r="I9" s="159" t="s">
        <v>62</v>
      </c>
      <c r="J9" s="159" t="s">
        <v>360</v>
      </c>
      <c r="K9" s="58" t="s">
        <v>34</v>
      </c>
      <c r="L9" s="2" t="s">
        <v>390</v>
      </c>
      <c r="M9" s="2"/>
      <c r="N9" s="2">
        <f t="shared" si="1"/>
        <v>3</v>
      </c>
      <c r="O9" s="2" t="s">
        <v>63</v>
      </c>
      <c r="P9" s="2"/>
      <c r="Q9" s="2"/>
    </row>
    <row r="10" spans="1:17">
      <c r="A10" s="58"/>
      <c r="B10" s="158">
        <v>46062</v>
      </c>
      <c r="C10" s="58" t="str">
        <f t="shared" si="2"/>
        <v>Monday</v>
      </c>
      <c r="D10" s="58"/>
      <c r="E10" s="58" t="str">
        <f t="shared" si="0"/>
        <v>February</v>
      </c>
      <c r="F10" s="58">
        <v>2026</v>
      </c>
      <c r="G10" s="58"/>
      <c r="H10" s="58" t="s">
        <v>61</v>
      </c>
      <c r="I10" s="159" t="s">
        <v>62</v>
      </c>
      <c r="J10" s="159" t="s">
        <v>360</v>
      </c>
      <c r="K10" s="58" t="s">
        <v>34</v>
      </c>
      <c r="L10" s="160" t="s">
        <v>391</v>
      </c>
      <c r="M10" s="2"/>
      <c r="N10" s="2">
        <f t="shared" si="1"/>
        <v>0</v>
      </c>
      <c r="O10" s="2"/>
      <c r="P10" s="2"/>
      <c r="Q10" s="2"/>
    </row>
    <row r="11" spans="1:17">
      <c r="A11" s="58">
        <v>7</v>
      </c>
      <c r="B11" s="158">
        <v>46063</v>
      </c>
      <c r="C11" s="58" t="str">
        <f t="shared" si="2"/>
        <v>Tuesday</v>
      </c>
      <c r="D11" s="58" t="s">
        <v>377</v>
      </c>
      <c r="E11" s="58" t="str">
        <f t="shared" si="0"/>
        <v>February</v>
      </c>
      <c r="F11" s="58">
        <v>2026</v>
      </c>
      <c r="G11" s="58">
        <v>3</v>
      </c>
      <c r="H11" s="58" t="s">
        <v>61</v>
      </c>
      <c r="I11" s="159" t="s">
        <v>62</v>
      </c>
      <c r="J11" s="159" t="s">
        <v>360</v>
      </c>
      <c r="K11" s="58" t="s">
        <v>34</v>
      </c>
      <c r="L11" s="2" t="s">
        <v>393</v>
      </c>
      <c r="M11" s="2"/>
      <c r="N11" s="2">
        <f t="shared" si="1"/>
        <v>3</v>
      </c>
      <c r="O11" s="2" t="s">
        <v>63</v>
      </c>
      <c r="P11" s="2"/>
      <c r="Q11" s="2"/>
    </row>
    <row r="12" spans="1:17">
      <c r="A12" s="58">
        <v>8</v>
      </c>
      <c r="B12" s="158">
        <v>46064</v>
      </c>
      <c r="C12" s="58" t="str">
        <f t="shared" si="2"/>
        <v>Wednesday</v>
      </c>
      <c r="D12" s="58" t="s">
        <v>377</v>
      </c>
      <c r="E12" s="58" t="str">
        <f t="shared" si="0"/>
        <v>February</v>
      </c>
      <c r="F12" s="58">
        <v>2026</v>
      </c>
      <c r="G12" s="58">
        <v>3</v>
      </c>
      <c r="H12" s="58" t="s">
        <v>61</v>
      </c>
      <c r="I12" s="159" t="s">
        <v>62</v>
      </c>
      <c r="J12" s="159" t="s">
        <v>360</v>
      </c>
      <c r="K12" s="58" t="s">
        <v>34</v>
      </c>
      <c r="L12" s="2" t="s">
        <v>394</v>
      </c>
      <c r="M12" s="2"/>
      <c r="N12" s="2">
        <f t="shared" si="1"/>
        <v>3</v>
      </c>
      <c r="O12" s="2" t="s">
        <v>63</v>
      </c>
      <c r="P12" s="2"/>
      <c r="Q12" s="2"/>
    </row>
    <row r="13" spans="1:17">
      <c r="A13" s="58">
        <v>9</v>
      </c>
      <c r="B13" s="158">
        <v>46065</v>
      </c>
      <c r="C13" s="58" t="str">
        <f t="shared" si="2"/>
        <v>Thursday</v>
      </c>
      <c r="D13" s="58" t="s">
        <v>377</v>
      </c>
      <c r="E13" s="58" t="str">
        <f t="shared" si="0"/>
        <v>February</v>
      </c>
      <c r="F13" s="58">
        <v>2026</v>
      </c>
      <c r="G13" s="58">
        <v>3</v>
      </c>
      <c r="H13" s="58" t="s">
        <v>61</v>
      </c>
      <c r="I13" s="159" t="s">
        <v>62</v>
      </c>
      <c r="J13" s="159" t="s">
        <v>360</v>
      </c>
      <c r="K13" s="58" t="s">
        <v>34</v>
      </c>
      <c r="L13" s="2" t="s">
        <v>397</v>
      </c>
      <c r="M13" s="2"/>
      <c r="N13" s="2">
        <f t="shared" si="1"/>
        <v>3</v>
      </c>
      <c r="O13" s="2" t="s">
        <v>63</v>
      </c>
      <c r="P13" s="2"/>
      <c r="Q13" s="2"/>
    </row>
    <row r="14" spans="1:17">
      <c r="A14" s="58">
        <v>10</v>
      </c>
      <c r="B14" s="158">
        <v>46066</v>
      </c>
      <c r="C14" s="58" t="str">
        <f t="shared" si="2"/>
        <v>Friday</v>
      </c>
      <c r="D14" s="58" t="s">
        <v>377</v>
      </c>
      <c r="E14" s="58" t="str">
        <f t="shared" si="0"/>
        <v>February</v>
      </c>
      <c r="F14" s="58">
        <v>2026</v>
      </c>
      <c r="G14" s="58">
        <v>3</v>
      </c>
      <c r="H14" s="58" t="s">
        <v>61</v>
      </c>
      <c r="I14" s="159" t="s">
        <v>62</v>
      </c>
      <c r="J14" s="159" t="s">
        <v>360</v>
      </c>
      <c r="K14" s="58" t="s">
        <v>34</v>
      </c>
      <c r="L14" s="2" t="s">
        <v>405</v>
      </c>
      <c r="M14" s="2"/>
      <c r="N14" s="2">
        <f t="shared" si="1"/>
        <v>3</v>
      </c>
      <c r="O14" s="2" t="s">
        <v>63</v>
      </c>
      <c r="P14" s="2"/>
      <c r="Q14" s="2"/>
    </row>
    <row r="15" spans="1:17">
      <c r="A15" s="58">
        <v>11</v>
      </c>
      <c r="B15" s="158">
        <v>46069</v>
      </c>
      <c r="C15" s="58" t="str">
        <f t="shared" si="2"/>
        <v>Monday</v>
      </c>
      <c r="D15" s="58" t="s">
        <v>377</v>
      </c>
      <c r="E15" s="58" t="str">
        <f t="shared" si="0"/>
        <v>February</v>
      </c>
      <c r="F15" s="58">
        <v>2026</v>
      </c>
      <c r="G15" s="58">
        <v>3</v>
      </c>
      <c r="H15" s="58" t="s">
        <v>61</v>
      </c>
      <c r="I15" s="159" t="s">
        <v>62</v>
      </c>
      <c r="J15" s="159" t="s">
        <v>360</v>
      </c>
      <c r="K15" s="58" t="s">
        <v>34</v>
      </c>
      <c r="L15" s="2" t="s">
        <v>407</v>
      </c>
      <c r="M15" s="2"/>
      <c r="N15" s="2">
        <f t="shared" si="1"/>
        <v>3</v>
      </c>
      <c r="O15" s="2" t="s">
        <v>63</v>
      </c>
      <c r="P15" s="2"/>
      <c r="Q15" s="2"/>
    </row>
    <row r="16" spans="1:17">
      <c r="A16" s="58"/>
      <c r="B16" s="158">
        <v>46070</v>
      </c>
      <c r="C16" s="58" t="str">
        <f t="shared" si="2"/>
        <v>Tuesday</v>
      </c>
      <c r="D16" s="58"/>
      <c r="E16" s="58" t="str">
        <f t="shared" si="0"/>
        <v>February</v>
      </c>
      <c r="F16" s="58">
        <v>2026</v>
      </c>
      <c r="G16" s="58"/>
      <c r="H16" s="58" t="s">
        <v>61</v>
      </c>
      <c r="I16" s="159" t="s">
        <v>62</v>
      </c>
      <c r="J16" s="159" t="s">
        <v>360</v>
      </c>
      <c r="K16" s="58" t="s">
        <v>34</v>
      </c>
      <c r="L16" s="160" t="s">
        <v>391</v>
      </c>
      <c r="M16" s="2"/>
      <c r="N16" s="2">
        <f t="shared" si="1"/>
        <v>0</v>
      </c>
      <c r="O16" s="2"/>
      <c r="P16" s="2"/>
      <c r="Q16" s="2"/>
    </row>
    <row r="17" spans="1:17">
      <c r="A17" s="58">
        <v>12</v>
      </c>
      <c r="B17" s="158">
        <v>46071</v>
      </c>
      <c r="C17" s="58" t="str">
        <f t="shared" si="2"/>
        <v>Wednesday</v>
      </c>
      <c r="D17" s="58" t="s">
        <v>377</v>
      </c>
      <c r="E17" s="58" t="str">
        <f t="shared" si="0"/>
        <v>February</v>
      </c>
      <c r="F17" s="58">
        <v>2026</v>
      </c>
      <c r="G17" s="58">
        <v>3</v>
      </c>
      <c r="H17" s="58" t="s">
        <v>61</v>
      </c>
      <c r="I17" s="159" t="s">
        <v>62</v>
      </c>
      <c r="J17" s="159" t="s">
        <v>360</v>
      </c>
      <c r="K17" s="58" t="s">
        <v>34</v>
      </c>
      <c r="L17" s="2" t="s">
        <v>410</v>
      </c>
      <c r="M17" s="2"/>
      <c r="N17" s="2">
        <f t="shared" si="1"/>
        <v>3</v>
      </c>
      <c r="O17" s="2" t="s">
        <v>63</v>
      </c>
      <c r="P17" s="2"/>
      <c r="Q17" s="2"/>
    </row>
    <row r="18" spans="1:17">
      <c r="A18" s="58">
        <v>13</v>
      </c>
      <c r="B18" s="158">
        <v>46072</v>
      </c>
      <c r="C18" s="58" t="str">
        <f t="shared" si="2"/>
        <v>Thursday</v>
      </c>
      <c r="D18" s="58" t="s">
        <v>377</v>
      </c>
      <c r="E18" s="58" t="str">
        <f t="shared" si="0"/>
        <v>February</v>
      </c>
      <c r="F18" s="58">
        <v>2026</v>
      </c>
      <c r="G18" s="58">
        <v>3</v>
      </c>
      <c r="H18" s="58" t="s">
        <v>61</v>
      </c>
      <c r="I18" s="159" t="s">
        <v>62</v>
      </c>
      <c r="J18" s="159" t="s">
        <v>360</v>
      </c>
      <c r="K18" s="58" t="s">
        <v>34</v>
      </c>
      <c r="L18" s="2" t="s">
        <v>411</v>
      </c>
      <c r="M18" s="2"/>
      <c r="N18" s="2">
        <f t="shared" si="1"/>
        <v>3</v>
      </c>
      <c r="O18" s="2" t="s">
        <v>63</v>
      </c>
      <c r="P18" s="2"/>
      <c r="Q18" s="2"/>
    </row>
    <row r="19" spans="1:17">
      <c r="A19" s="58">
        <v>14</v>
      </c>
      <c r="B19" s="158">
        <v>46073</v>
      </c>
      <c r="C19" s="58" t="str">
        <f t="shared" si="2"/>
        <v>Friday</v>
      </c>
      <c r="D19" s="58" t="s">
        <v>377</v>
      </c>
      <c r="E19" s="58" t="str">
        <f t="shared" si="0"/>
        <v>February</v>
      </c>
      <c r="F19" s="58">
        <v>2026</v>
      </c>
      <c r="G19" s="58">
        <v>3</v>
      </c>
      <c r="H19" s="58" t="s">
        <v>61</v>
      </c>
      <c r="I19" s="159" t="s">
        <v>62</v>
      </c>
      <c r="J19" s="159" t="s">
        <v>360</v>
      </c>
      <c r="K19" s="58" t="s">
        <v>34</v>
      </c>
      <c r="L19" s="2" t="s">
        <v>415</v>
      </c>
      <c r="M19" s="2"/>
      <c r="N19" s="2">
        <f t="shared" si="1"/>
        <v>3</v>
      </c>
      <c r="O19" s="2" t="s">
        <v>63</v>
      </c>
      <c r="P19" s="2"/>
      <c r="Q19" s="2"/>
    </row>
    <row r="20" spans="1:17">
      <c r="A20" s="58"/>
      <c r="B20" s="158">
        <v>46076</v>
      </c>
      <c r="C20" s="58" t="str">
        <f t="shared" si="2"/>
        <v>Monday</v>
      </c>
      <c r="D20" s="58" t="s">
        <v>377</v>
      </c>
      <c r="E20" s="58" t="str">
        <f t="shared" si="0"/>
        <v>February</v>
      </c>
      <c r="F20" s="58">
        <v>2026</v>
      </c>
      <c r="G20" s="58">
        <v>3</v>
      </c>
      <c r="H20" s="58" t="s">
        <v>61</v>
      </c>
      <c r="I20" s="159" t="s">
        <v>62</v>
      </c>
      <c r="J20" s="159" t="s">
        <v>360</v>
      </c>
      <c r="K20" s="58" t="s">
        <v>34</v>
      </c>
      <c r="L20" s="161" t="s">
        <v>417</v>
      </c>
      <c r="M20" s="2"/>
      <c r="N20" s="2">
        <f t="shared" si="1"/>
        <v>3</v>
      </c>
      <c r="O20" s="2" t="s">
        <v>63</v>
      </c>
      <c r="P20" s="2"/>
      <c r="Q20" s="2"/>
    </row>
    <row r="21" spans="1:17">
      <c r="A21" s="58">
        <v>15</v>
      </c>
      <c r="B21" s="158">
        <v>46077</v>
      </c>
      <c r="C21" s="58" t="str">
        <f t="shared" si="2"/>
        <v>Tuesday</v>
      </c>
      <c r="D21" s="58" t="s">
        <v>377</v>
      </c>
      <c r="E21" s="58" t="str">
        <f t="shared" si="0"/>
        <v>February</v>
      </c>
      <c r="F21" s="58">
        <v>2026</v>
      </c>
      <c r="G21" s="58">
        <v>3</v>
      </c>
      <c r="H21" s="58" t="s">
        <v>61</v>
      </c>
      <c r="I21" s="159" t="s">
        <v>62</v>
      </c>
      <c r="J21" s="159" t="s">
        <v>360</v>
      </c>
      <c r="K21" s="58" t="s">
        <v>34</v>
      </c>
      <c r="L21" s="2" t="s">
        <v>419</v>
      </c>
      <c r="M21" s="2"/>
      <c r="N21" s="2">
        <f t="shared" si="1"/>
        <v>3</v>
      </c>
      <c r="O21" s="2" t="s">
        <v>63</v>
      </c>
      <c r="P21" s="2"/>
      <c r="Q21" s="2"/>
    </row>
    <row r="22" spans="1:17">
      <c r="A22" s="58">
        <v>16</v>
      </c>
      <c r="B22" s="158">
        <v>46078</v>
      </c>
      <c r="C22" s="58" t="str">
        <f t="shared" si="2"/>
        <v>Wednesday</v>
      </c>
      <c r="D22" s="58" t="s">
        <v>377</v>
      </c>
      <c r="E22" s="58" t="str">
        <f t="shared" si="0"/>
        <v>February</v>
      </c>
      <c r="F22" s="58">
        <v>2026</v>
      </c>
      <c r="G22" s="58">
        <v>3</v>
      </c>
      <c r="H22" s="58" t="s">
        <v>61</v>
      </c>
      <c r="I22" s="159" t="s">
        <v>62</v>
      </c>
      <c r="J22" s="159" t="s">
        <v>360</v>
      </c>
      <c r="K22" s="58" t="s">
        <v>34</v>
      </c>
      <c r="L22" s="2" t="s">
        <v>422</v>
      </c>
      <c r="M22" s="2"/>
      <c r="N22" s="2">
        <f t="shared" si="1"/>
        <v>3</v>
      </c>
      <c r="O22" s="2" t="s">
        <v>63</v>
      </c>
      <c r="P22" s="2"/>
      <c r="Q22" s="2"/>
    </row>
    <row r="23" spans="1:17">
      <c r="A23" s="58">
        <v>17</v>
      </c>
      <c r="B23" s="158">
        <v>46079</v>
      </c>
      <c r="C23" s="58" t="str">
        <f t="shared" si="2"/>
        <v>Thursday</v>
      </c>
      <c r="D23" s="58" t="s">
        <v>377</v>
      </c>
      <c r="E23" s="58" t="str">
        <f t="shared" si="0"/>
        <v>February</v>
      </c>
      <c r="F23" s="58">
        <v>2026</v>
      </c>
      <c r="G23" s="58">
        <v>3</v>
      </c>
      <c r="H23" s="58" t="s">
        <v>61</v>
      </c>
      <c r="I23" s="159" t="s">
        <v>62</v>
      </c>
      <c r="J23" s="159" t="s">
        <v>360</v>
      </c>
      <c r="K23" s="58" t="s">
        <v>34</v>
      </c>
      <c r="L23" s="2" t="s">
        <v>424</v>
      </c>
      <c r="M23" s="2"/>
      <c r="N23" s="2">
        <f t="shared" si="1"/>
        <v>3</v>
      </c>
      <c r="O23" s="2" t="s">
        <v>63</v>
      </c>
      <c r="P23" s="2"/>
      <c r="Q23" s="2"/>
    </row>
    <row r="24" spans="1:17">
      <c r="A24" s="58">
        <v>18</v>
      </c>
      <c r="B24" s="158">
        <v>46080</v>
      </c>
      <c r="C24" s="58" t="str">
        <f t="shared" si="2"/>
        <v>Friday</v>
      </c>
      <c r="D24" s="58" t="s">
        <v>377</v>
      </c>
      <c r="E24" s="58" t="str">
        <f t="shared" si="0"/>
        <v>February</v>
      </c>
      <c r="F24" s="58">
        <v>2026</v>
      </c>
      <c r="G24" s="58">
        <v>3</v>
      </c>
      <c r="H24" s="58" t="s">
        <v>61</v>
      </c>
      <c r="I24" s="159" t="s">
        <v>62</v>
      </c>
      <c r="J24" s="159" t="s">
        <v>360</v>
      </c>
      <c r="K24" s="58" t="s">
        <v>34</v>
      </c>
      <c r="L24" s="2" t="s">
        <v>428</v>
      </c>
      <c r="M24" s="2"/>
      <c r="N24" s="2">
        <f t="shared" si="1"/>
        <v>3</v>
      </c>
      <c r="O24" s="2" t="s">
        <v>63</v>
      </c>
      <c r="P24" s="2"/>
      <c r="Q24" s="2"/>
    </row>
    <row r="25" spans="1:17">
      <c r="A25" s="58">
        <v>19</v>
      </c>
      <c r="B25" s="158">
        <v>46083</v>
      </c>
      <c r="C25" s="58" t="str">
        <f t="shared" si="2"/>
        <v>Monday</v>
      </c>
      <c r="D25" s="58" t="s">
        <v>377</v>
      </c>
      <c r="E25" s="58" t="str">
        <f t="shared" si="0"/>
        <v>March</v>
      </c>
      <c r="F25" s="58">
        <v>2026</v>
      </c>
      <c r="G25" s="58">
        <v>3</v>
      </c>
      <c r="H25" s="58" t="s">
        <v>61</v>
      </c>
      <c r="I25" s="159" t="s">
        <v>62</v>
      </c>
      <c r="J25" s="159" t="s">
        <v>360</v>
      </c>
      <c r="K25" s="58" t="s">
        <v>34</v>
      </c>
      <c r="L25" s="2" t="s">
        <v>429</v>
      </c>
      <c r="M25" s="2"/>
      <c r="N25" s="2">
        <f t="shared" si="1"/>
        <v>3</v>
      </c>
      <c r="O25" s="2" t="s">
        <v>63</v>
      </c>
      <c r="P25" s="2"/>
      <c r="Q25" s="2"/>
    </row>
    <row r="26" spans="1:17">
      <c r="A26" s="58">
        <v>20</v>
      </c>
      <c r="B26" s="158">
        <v>46086</v>
      </c>
      <c r="C26" s="58" t="str">
        <f t="shared" si="2"/>
        <v>Thursday</v>
      </c>
      <c r="D26" s="58" t="s">
        <v>377</v>
      </c>
      <c r="E26" s="58" t="str">
        <f t="shared" si="0"/>
        <v>March</v>
      </c>
      <c r="F26" s="58">
        <v>2026</v>
      </c>
      <c r="G26" s="58">
        <v>3</v>
      </c>
      <c r="H26" s="58" t="s">
        <v>61</v>
      </c>
      <c r="I26" s="159" t="s">
        <v>62</v>
      </c>
      <c r="J26" s="159" t="s">
        <v>360</v>
      </c>
      <c r="K26" s="58" t="s">
        <v>34</v>
      </c>
      <c r="L26" s="2" t="s">
        <v>436</v>
      </c>
      <c r="M26" s="2"/>
      <c r="N26" s="2">
        <f t="shared" si="1"/>
        <v>3</v>
      </c>
      <c r="O26" s="2" t="s">
        <v>63</v>
      </c>
      <c r="P26" s="2"/>
      <c r="Q26" s="2"/>
    </row>
    <row r="27" spans="1:17">
      <c r="A27" s="58">
        <v>21</v>
      </c>
      <c r="B27" s="158">
        <v>46087</v>
      </c>
      <c r="C27" s="58" t="str">
        <f t="shared" si="2"/>
        <v>Friday</v>
      </c>
      <c r="D27" s="58" t="s">
        <v>377</v>
      </c>
      <c r="E27" s="58" t="str">
        <f t="shared" si="0"/>
        <v>March</v>
      </c>
      <c r="F27" s="58">
        <v>2026</v>
      </c>
      <c r="G27" s="58">
        <v>3</v>
      </c>
      <c r="H27" s="58" t="s">
        <v>61</v>
      </c>
      <c r="I27" s="159" t="s">
        <v>62</v>
      </c>
      <c r="J27" s="159" t="s">
        <v>360</v>
      </c>
      <c r="K27" s="58" t="s">
        <v>34</v>
      </c>
      <c r="L27" s="2" t="s">
        <v>443</v>
      </c>
      <c r="M27" s="2"/>
      <c r="N27" s="2">
        <f t="shared" si="1"/>
        <v>3</v>
      </c>
      <c r="O27" s="2" t="s">
        <v>63</v>
      </c>
      <c r="P27" s="2"/>
      <c r="Q27" s="2"/>
    </row>
    <row r="28" spans="1:17">
      <c r="A28" s="58">
        <v>22</v>
      </c>
      <c r="B28" s="158">
        <v>46090</v>
      </c>
      <c r="C28" s="58" t="str">
        <f t="shared" si="2"/>
        <v>Monday</v>
      </c>
      <c r="D28" s="58" t="s">
        <v>377</v>
      </c>
      <c r="E28" s="58" t="str">
        <f t="shared" si="0"/>
        <v>March</v>
      </c>
      <c r="F28" s="58">
        <v>2026</v>
      </c>
      <c r="G28" s="58">
        <v>3</v>
      </c>
      <c r="H28" s="58" t="s">
        <v>61</v>
      </c>
      <c r="I28" s="159" t="s">
        <v>62</v>
      </c>
      <c r="J28" s="159" t="s">
        <v>360</v>
      </c>
      <c r="K28" s="58" t="s">
        <v>34</v>
      </c>
      <c r="L28" s="2" t="s">
        <v>450</v>
      </c>
      <c r="M28" s="2"/>
      <c r="N28" s="2">
        <f t="shared" si="1"/>
        <v>3</v>
      </c>
      <c r="O28" s="2" t="s">
        <v>63</v>
      </c>
      <c r="P28" s="2"/>
      <c r="Q28" s="2"/>
    </row>
    <row r="29" spans="1:17">
      <c r="A29" s="58">
        <v>23</v>
      </c>
      <c r="B29" s="158">
        <v>46091</v>
      </c>
      <c r="C29" s="58" t="str">
        <f t="shared" si="2"/>
        <v>Tuesday</v>
      </c>
      <c r="D29" s="58" t="s">
        <v>377</v>
      </c>
      <c r="E29" s="58" t="str">
        <f t="shared" si="0"/>
        <v>March</v>
      </c>
      <c r="F29" s="58">
        <v>2026</v>
      </c>
      <c r="G29" s="58">
        <v>3</v>
      </c>
      <c r="H29" s="58" t="s">
        <v>61</v>
      </c>
      <c r="I29" s="159" t="s">
        <v>62</v>
      </c>
      <c r="J29" s="159" t="s">
        <v>360</v>
      </c>
      <c r="K29" s="58" t="s">
        <v>34</v>
      </c>
      <c r="L29" s="2" t="s">
        <v>459</v>
      </c>
      <c r="M29" s="2"/>
      <c r="N29" s="2">
        <f t="shared" si="1"/>
        <v>3</v>
      </c>
      <c r="O29" s="2" t="s">
        <v>63</v>
      </c>
      <c r="P29" s="2"/>
      <c r="Q29" s="2"/>
    </row>
    <row r="30" spans="1:17">
      <c r="A30" s="58">
        <v>24</v>
      </c>
      <c r="B30" s="158">
        <v>46092</v>
      </c>
      <c r="C30" s="58" t="str">
        <f t="shared" si="2"/>
        <v>Wednesday</v>
      </c>
      <c r="D30" s="58" t="s">
        <v>377</v>
      </c>
      <c r="E30" s="58" t="str">
        <f t="shared" si="0"/>
        <v>March</v>
      </c>
      <c r="F30" s="58">
        <v>2026</v>
      </c>
      <c r="G30" s="58">
        <v>3</v>
      </c>
      <c r="H30" s="58" t="s">
        <v>61</v>
      </c>
      <c r="I30" s="159" t="s">
        <v>62</v>
      </c>
      <c r="J30" s="159" t="s">
        <v>360</v>
      </c>
      <c r="K30" s="58" t="s">
        <v>34</v>
      </c>
      <c r="L30" s="2" t="s">
        <v>466</v>
      </c>
      <c r="M30" s="2"/>
      <c r="N30" s="2">
        <f t="shared" si="1"/>
        <v>3</v>
      </c>
      <c r="O30" s="2" t="s">
        <v>63</v>
      </c>
      <c r="P30" s="2"/>
      <c r="Q30" s="2"/>
    </row>
    <row r="31" spans="1:17">
      <c r="A31" s="58">
        <v>25</v>
      </c>
      <c r="B31" s="158">
        <v>46093</v>
      </c>
      <c r="C31" s="58" t="str">
        <f t="shared" si="2"/>
        <v>Thursday</v>
      </c>
      <c r="D31" s="58" t="s">
        <v>377</v>
      </c>
      <c r="E31" s="58" t="str">
        <f t="shared" si="0"/>
        <v>March</v>
      </c>
      <c r="F31" s="58">
        <v>2026</v>
      </c>
      <c r="G31" s="58">
        <v>3</v>
      </c>
      <c r="H31" s="58" t="s">
        <v>61</v>
      </c>
      <c r="I31" s="159" t="s">
        <v>62</v>
      </c>
      <c r="J31" s="159" t="s">
        <v>360</v>
      </c>
      <c r="K31" s="58" t="s">
        <v>34</v>
      </c>
      <c r="L31" s="2" t="s">
        <v>469</v>
      </c>
      <c r="M31" s="2"/>
      <c r="N31" s="2">
        <f t="shared" si="1"/>
        <v>3</v>
      </c>
      <c r="O31" s="2" t="s">
        <v>63</v>
      </c>
      <c r="P31" s="2"/>
      <c r="Q31" s="2"/>
    </row>
    <row r="32" spans="1:17">
      <c r="A32" s="58"/>
      <c r="B32" s="158">
        <v>46094</v>
      </c>
      <c r="C32" s="58" t="str">
        <f t="shared" si="2"/>
        <v>Friday</v>
      </c>
      <c r="D32" s="58" t="s">
        <v>475</v>
      </c>
      <c r="E32" s="58" t="str">
        <f t="shared" si="0"/>
        <v>March</v>
      </c>
      <c r="F32" s="58">
        <v>2026</v>
      </c>
      <c r="G32" s="58">
        <v>4.5</v>
      </c>
      <c r="H32" s="58" t="s">
        <v>61</v>
      </c>
      <c r="I32" s="159" t="s">
        <v>62</v>
      </c>
      <c r="J32" s="159" t="s">
        <v>360</v>
      </c>
      <c r="K32" s="58" t="s">
        <v>34</v>
      </c>
      <c r="L32" s="161" t="s">
        <v>476</v>
      </c>
      <c r="M32" s="2"/>
      <c r="N32" s="2">
        <f t="shared" si="1"/>
        <v>4.5</v>
      </c>
      <c r="O32" s="2" t="s">
        <v>63</v>
      </c>
      <c r="P32" s="2"/>
      <c r="Q32" s="2"/>
    </row>
    <row r="33" spans="1:17">
      <c r="A33" s="58"/>
      <c r="B33" s="158">
        <v>46097</v>
      </c>
      <c r="C33" s="58" t="str">
        <f t="shared" si="2"/>
        <v>Monday</v>
      </c>
      <c r="D33" s="58" t="s">
        <v>475</v>
      </c>
      <c r="E33" s="58" t="str">
        <f t="shared" si="0"/>
        <v>March</v>
      </c>
      <c r="F33" s="58">
        <v>2026</v>
      </c>
      <c r="G33" s="58">
        <v>4.5</v>
      </c>
      <c r="H33" s="58" t="s">
        <v>61</v>
      </c>
      <c r="I33" s="159" t="s">
        <v>62</v>
      </c>
      <c r="J33" s="159" t="s">
        <v>360</v>
      </c>
      <c r="K33" s="58" t="s">
        <v>34</v>
      </c>
      <c r="L33" s="161" t="s">
        <v>487</v>
      </c>
      <c r="M33" s="2"/>
      <c r="N33" s="2">
        <f t="shared" si="1"/>
        <v>4.5</v>
      </c>
      <c r="O33" s="2" t="s">
        <v>63</v>
      </c>
      <c r="P33" s="2"/>
      <c r="Q33" s="2"/>
    </row>
    <row r="34" spans="1:17">
      <c r="A34" s="58"/>
      <c r="B34" s="158">
        <v>46098</v>
      </c>
      <c r="C34" s="58" t="str">
        <f t="shared" si="2"/>
        <v>Tuesday</v>
      </c>
      <c r="D34" s="58" t="s">
        <v>475</v>
      </c>
      <c r="E34" s="58" t="str">
        <f t="shared" si="0"/>
        <v>March</v>
      </c>
      <c r="F34" s="58">
        <v>2026</v>
      </c>
      <c r="G34" s="58">
        <v>4.5</v>
      </c>
      <c r="H34" s="58" t="s">
        <v>61</v>
      </c>
      <c r="I34" s="159" t="s">
        <v>62</v>
      </c>
      <c r="J34" s="159" t="s">
        <v>360</v>
      </c>
      <c r="K34" s="58" t="s">
        <v>34</v>
      </c>
      <c r="L34" s="161" t="s">
        <v>487</v>
      </c>
      <c r="M34" s="2"/>
      <c r="N34" s="2">
        <f t="shared" si="1"/>
        <v>4.5</v>
      </c>
      <c r="O34" s="2" t="s">
        <v>63</v>
      </c>
      <c r="P34" s="2"/>
      <c r="Q34" s="2"/>
    </row>
    <row r="35" spans="1:17">
      <c r="A35" s="58">
        <v>26</v>
      </c>
      <c r="B35" s="158">
        <v>46099</v>
      </c>
      <c r="C35" s="58" t="str">
        <f t="shared" si="2"/>
        <v>Wednesday</v>
      </c>
      <c r="D35" s="58" t="s">
        <v>377</v>
      </c>
      <c r="E35" s="58" t="str">
        <f t="shared" si="0"/>
        <v>March</v>
      </c>
      <c r="F35" s="58">
        <v>2026</v>
      </c>
      <c r="G35" s="58">
        <v>3</v>
      </c>
      <c r="H35" s="58" t="s">
        <v>61</v>
      </c>
      <c r="I35" s="159" t="s">
        <v>62</v>
      </c>
      <c r="J35" s="159" t="s">
        <v>360</v>
      </c>
      <c r="K35" s="58" t="s">
        <v>34</v>
      </c>
      <c r="L35" s="2" t="s">
        <v>502</v>
      </c>
      <c r="M35" s="2"/>
      <c r="N35" s="2">
        <f t="shared" si="1"/>
        <v>3</v>
      </c>
      <c r="O35" s="2" t="s">
        <v>63</v>
      </c>
      <c r="P35" s="2"/>
      <c r="Q35" s="2"/>
    </row>
    <row r="36" spans="1:17">
      <c r="A36" s="58">
        <v>27</v>
      </c>
      <c r="B36" s="158">
        <v>46100</v>
      </c>
      <c r="C36" s="58" t="str">
        <f t="shared" si="2"/>
        <v>Thursday</v>
      </c>
      <c r="D36" s="58" t="s">
        <v>377</v>
      </c>
      <c r="E36" s="58" t="str">
        <f t="shared" si="0"/>
        <v>March</v>
      </c>
      <c r="F36" s="58">
        <v>2026</v>
      </c>
      <c r="G36" s="58">
        <v>3</v>
      </c>
      <c r="H36" s="58" t="s">
        <v>61</v>
      </c>
      <c r="I36" s="159" t="s">
        <v>62</v>
      </c>
      <c r="J36" s="159" t="s">
        <v>360</v>
      </c>
      <c r="K36" s="58" t="s">
        <v>34</v>
      </c>
      <c r="L36" s="2" t="s">
        <v>506</v>
      </c>
      <c r="M36" s="2"/>
      <c r="N36" s="2">
        <f t="shared" si="1"/>
        <v>3</v>
      </c>
      <c r="O36" s="2" t="s">
        <v>63</v>
      </c>
      <c r="P36" s="2"/>
      <c r="Q36" s="2"/>
    </row>
    <row r="37" spans="1:17">
      <c r="A37" s="58">
        <v>28</v>
      </c>
      <c r="B37" s="158">
        <v>46101</v>
      </c>
      <c r="C37" s="58" t="str">
        <f t="shared" si="2"/>
        <v>Friday</v>
      </c>
      <c r="D37" s="58" t="s">
        <v>377</v>
      </c>
      <c r="E37" s="58" t="str">
        <f t="shared" si="0"/>
        <v>March</v>
      </c>
      <c r="F37" s="58">
        <v>2026</v>
      </c>
      <c r="G37" s="58">
        <v>3</v>
      </c>
      <c r="H37" s="58" t="s">
        <v>61</v>
      </c>
      <c r="I37" s="159" t="s">
        <v>62</v>
      </c>
      <c r="J37" s="159" t="s">
        <v>360</v>
      </c>
      <c r="K37" s="58" t="s">
        <v>34</v>
      </c>
      <c r="L37" s="2" t="s">
        <v>507</v>
      </c>
      <c r="M37" s="2"/>
      <c r="N37" s="2">
        <f t="shared" si="1"/>
        <v>3</v>
      </c>
      <c r="O37" s="2" t="s">
        <v>63</v>
      </c>
      <c r="P37" s="2"/>
      <c r="Q37" s="2"/>
    </row>
    <row r="38" spans="1:17">
      <c r="A38" s="58">
        <v>29</v>
      </c>
      <c r="B38" s="158">
        <v>46104</v>
      </c>
      <c r="C38" s="58" t="str">
        <f t="shared" si="2"/>
        <v>Monday</v>
      </c>
      <c r="D38" s="58" t="s">
        <v>377</v>
      </c>
      <c r="E38" s="58" t="str">
        <f t="shared" si="0"/>
        <v>March</v>
      </c>
      <c r="F38" s="58">
        <v>2026</v>
      </c>
      <c r="G38" s="58">
        <v>3</v>
      </c>
      <c r="H38" s="58" t="s">
        <v>61</v>
      </c>
      <c r="I38" s="159" t="s">
        <v>62</v>
      </c>
      <c r="J38" s="159" t="s">
        <v>360</v>
      </c>
      <c r="K38" s="58" t="s">
        <v>34</v>
      </c>
      <c r="L38" s="2" t="s">
        <v>513</v>
      </c>
      <c r="M38" s="2"/>
      <c r="N38" s="2">
        <f t="shared" si="1"/>
        <v>3</v>
      </c>
      <c r="O38" s="2" t="s">
        <v>63</v>
      </c>
      <c r="P38" s="2"/>
      <c r="Q38" s="2"/>
    </row>
    <row r="39" spans="1:17">
      <c r="A39" s="58">
        <v>30</v>
      </c>
      <c r="B39" s="158">
        <v>46105</v>
      </c>
      <c r="C39" s="58" t="str">
        <f t="shared" si="2"/>
        <v>Tuesday</v>
      </c>
      <c r="D39" s="58" t="s">
        <v>377</v>
      </c>
      <c r="E39" s="58" t="str">
        <f t="shared" si="0"/>
        <v>March</v>
      </c>
      <c r="F39" s="58">
        <v>2026</v>
      </c>
      <c r="G39" s="58">
        <v>3</v>
      </c>
      <c r="H39" s="58" t="s">
        <v>61</v>
      </c>
      <c r="I39" s="159" t="s">
        <v>62</v>
      </c>
      <c r="J39" s="159" t="s">
        <v>360</v>
      </c>
      <c r="K39" s="58" t="s">
        <v>34</v>
      </c>
      <c r="L39" s="2" t="s">
        <v>519</v>
      </c>
      <c r="M39" s="2"/>
      <c r="N39" s="2">
        <f t="shared" si="1"/>
        <v>3</v>
      </c>
      <c r="O39" s="2" t="s">
        <v>63</v>
      </c>
      <c r="P39" s="2"/>
      <c r="Q39" s="2"/>
    </row>
    <row r="40" spans="1:17">
      <c r="A40" s="58">
        <v>31</v>
      </c>
      <c r="B40" s="158">
        <v>46106</v>
      </c>
      <c r="C40" s="58" t="str">
        <f t="shared" si="2"/>
        <v>Wednesday</v>
      </c>
      <c r="D40" s="58" t="s">
        <v>377</v>
      </c>
      <c r="E40" s="58" t="str">
        <f t="shared" si="0"/>
        <v>March</v>
      </c>
      <c r="F40" s="58">
        <v>2026</v>
      </c>
      <c r="G40" s="58">
        <v>3</v>
      </c>
      <c r="H40" s="58" t="s">
        <v>61</v>
      </c>
      <c r="I40" s="159" t="s">
        <v>62</v>
      </c>
      <c r="J40" s="159" t="s">
        <v>360</v>
      </c>
      <c r="K40" s="58" t="s">
        <v>34</v>
      </c>
      <c r="L40" s="2" t="s">
        <v>529</v>
      </c>
      <c r="M40" s="2"/>
      <c r="N40" s="2">
        <f t="shared" si="1"/>
        <v>3</v>
      </c>
      <c r="O40" s="2" t="s">
        <v>63</v>
      </c>
      <c r="P40" s="2"/>
      <c r="Q40" s="2"/>
    </row>
    <row r="41" spans="1:17">
      <c r="A41" s="58"/>
      <c r="B41" s="158">
        <v>46118</v>
      </c>
      <c r="C41" s="58" t="str">
        <f t="shared" si="2"/>
        <v>Monday</v>
      </c>
      <c r="D41" s="58" t="s">
        <v>568</v>
      </c>
      <c r="E41" s="58" t="str">
        <f t="shared" si="0"/>
        <v>April</v>
      </c>
      <c r="F41" s="58">
        <v>2026</v>
      </c>
      <c r="G41" s="58">
        <v>3</v>
      </c>
      <c r="H41" s="58" t="s">
        <v>61</v>
      </c>
      <c r="I41" s="159" t="s">
        <v>62</v>
      </c>
      <c r="J41" s="159" t="s">
        <v>360</v>
      </c>
      <c r="K41" s="58" t="s">
        <v>34</v>
      </c>
      <c r="L41" s="161" t="s">
        <v>569</v>
      </c>
      <c r="M41" s="2"/>
      <c r="N41" s="2">
        <f t="shared" si="1"/>
        <v>3</v>
      </c>
      <c r="O41" s="2" t="s">
        <v>169</v>
      </c>
      <c r="P41" s="2"/>
      <c r="Q41" s="2"/>
    </row>
    <row r="42" spans="1:17">
      <c r="A42" s="58"/>
      <c r="B42" s="158">
        <v>46119</v>
      </c>
      <c r="C42" s="58" t="str">
        <f t="shared" si="2"/>
        <v>Tuesday</v>
      </c>
      <c r="D42" s="58" t="s">
        <v>568</v>
      </c>
      <c r="E42" s="58" t="str">
        <f t="shared" si="0"/>
        <v>April</v>
      </c>
      <c r="F42" s="58">
        <v>2026</v>
      </c>
      <c r="G42" s="58">
        <v>3</v>
      </c>
      <c r="H42" s="58" t="s">
        <v>61</v>
      </c>
      <c r="I42" s="159" t="s">
        <v>62</v>
      </c>
      <c r="J42" s="159" t="s">
        <v>360</v>
      </c>
      <c r="K42" s="58" t="s">
        <v>34</v>
      </c>
      <c r="L42" s="161" t="s">
        <v>569</v>
      </c>
      <c r="M42" s="2"/>
      <c r="N42" s="2">
        <f t="shared" si="1"/>
        <v>3</v>
      </c>
      <c r="O42" s="2" t="s">
        <v>169</v>
      </c>
      <c r="P42" s="2"/>
      <c r="Q42" s="2"/>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32D2E-8F36-4D4E-B434-252C728C8FBA}">
  <dimension ref="A1:Q43"/>
  <sheetViews>
    <sheetView topLeftCell="A28" workbookViewId="0">
      <selection activeCell="G6" sqref="G6"/>
    </sheetView>
  </sheetViews>
  <sheetFormatPr defaultRowHeight="15"/>
  <cols>
    <col min="1" max="1" width="8.85546875" bestFit="1" customWidth="1"/>
    <col min="2" max="2" width="20.85546875" bestFit="1" customWidth="1"/>
    <col min="3" max="3" width="13.140625" bestFit="1" customWidth="1"/>
    <col min="4" max="4" width="25.7109375" customWidth="1"/>
    <col min="5" max="5" width="12" bestFit="1" customWidth="1"/>
    <col min="6" max="6" width="8.140625" bestFit="1" customWidth="1"/>
    <col min="7" max="7" width="18.42578125" bestFit="1" customWidth="1"/>
    <col min="8" max="8" width="11.42578125" bestFit="1" customWidth="1"/>
    <col min="9" max="9" width="18.5703125" bestFit="1" customWidth="1"/>
    <col min="10" max="10" width="26.28515625" bestFit="1" customWidth="1"/>
    <col min="11" max="11" width="16" customWidth="1"/>
    <col min="12" max="12" width="113.140625" bestFit="1" customWidth="1"/>
    <col min="13" max="13" width="19.85546875" bestFit="1" customWidth="1"/>
    <col min="14" max="14" width="24.28515625" bestFit="1" customWidth="1"/>
    <col min="15" max="15" width="23.42578125" customWidth="1"/>
    <col min="16" max="17" width="13" bestFit="1" customWidth="1"/>
  </cols>
  <sheetData>
    <row r="1" spans="1:17" ht="17.25">
      <c r="A1" s="47" t="s">
        <v>274</v>
      </c>
      <c r="B1" s="46" t="s">
        <v>275</v>
      </c>
      <c r="C1" s="47" t="s">
        <v>276</v>
      </c>
      <c r="D1" s="47" t="s">
        <v>277</v>
      </c>
      <c r="E1" s="47" t="s">
        <v>0</v>
      </c>
      <c r="F1" s="47" t="s">
        <v>278</v>
      </c>
      <c r="G1" s="47" t="s">
        <v>279</v>
      </c>
      <c r="H1" s="47" t="s">
        <v>1</v>
      </c>
      <c r="I1" s="47" t="s">
        <v>280</v>
      </c>
      <c r="J1" s="47" t="s">
        <v>281</v>
      </c>
      <c r="K1" s="47" t="s">
        <v>3</v>
      </c>
      <c r="L1" s="48" t="s">
        <v>282</v>
      </c>
      <c r="M1" s="105" t="s">
        <v>1023</v>
      </c>
      <c r="N1" s="47" t="s">
        <v>283</v>
      </c>
      <c r="O1" s="47" t="s">
        <v>285</v>
      </c>
      <c r="P1" s="47" t="s">
        <v>286</v>
      </c>
      <c r="Q1" s="47" t="s">
        <v>287</v>
      </c>
    </row>
    <row r="2" spans="1:17" hidden="1">
      <c r="A2" s="58">
        <v>1</v>
      </c>
      <c r="B2" s="158">
        <v>46041</v>
      </c>
      <c r="C2" s="58" t="str">
        <f>TEXT(B2,"dddd")</f>
        <v>Monday</v>
      </c>
      <c r="D2" s="58" t="s">
        <v>358</v>
      </c>
      <c r="E2" s="58" t="str">
        <f>TEXT(B2,"mmmm")</f>
        <v>January</v>
      </c>
      <c r="F2" s="58">
        <v>2026</v>
      </c>
      <c r="G2" s="58">
        <v>1</v>
      </c>
      <c r="H2" s="58" t="s">
        <v>61</v>
      </c>
      <c r="I2" s="159" t="s">
        <v>62</v>
      </c>
      <c r="J2" s="159" t="s">
        <v>360</v>
      </c>
      <c r="K2" s="58" t="s">
        <v>35</v>
      </c>
      <c r="L2" s="151" t="s">
        <v>361</v>
      </c>
      <c r="M2" s="2"/>
      <c r="N2" s="2">
        <f t="shared" ref="N2:N43" si="0">M2+G2</f>
        <v>1</v>
      </c>
      <c r="O2" s="2" t="s">
        <v>65</v>
      </c>
      <c r="P2" s="2"/>
      <c r="Q2" s="2"/>
    </row>
    <row r="3" spans="1:17" hidden="1">
      <c r="A3" s="58"/>
      <c r="B3" s="158">
        <v>46050</v>
      </c>
      <c r="C3" s="58" t="str">
        <f t="shared" ref="C3:C43" si="1">TEXT(B3,"dddd")</f>
        <v>Wednesday</v>
      </c>
      <c r="D3" s="58" t="s">
        <v>370</v>
      </c>
      <c r="E3" s="58" t="str">
        <f t="shared" ref="E3:E43" si="2">TEXT(B3,"mmmm")</f>
        <v>January</v>
      </c>
      <c r="F3" s="58">
        <v>2026</v>
      </c>
      <c r="G3" s="58">
        <v>3</v>
      </c>
      <c r="H3" s="58" t="s">
        <v>61</v>
      </c>
      <c r="I3" s="159" t="s">
        <v>62</v>
      </c>
      <c r="J3" s="159" t="s">
        <v>360</v>
      </c>
      <c r="K3" s="58" t="s">
        <v>35</v>
      </c>
      <c r="L3" s="151" t="s">
        <v>369</v>
      </c>
      <c r="M3" s="2"/>
      <c r="N3" s="2">
        <f t="shared" si="0"/>
        <v>3</v>
      </c>
      <c r="O3" s="10" t="s">
        <v>66</v>
      </c>
      <c r="P3" s="2"/>
      <c r="Q3" s="2"/>
    </row>
    <row r="4" spans="1:17" hidden="1">
      <c r="A4" s="58"/>
      <c r="B4" s="158">
        <v>46050</v>
      </c>
      <c r="C4" s="58" t="str">
        <f t="shared" si="1"/>
        <v>Wednesday</v>
      </c>
      <c r="D4" s="58" t="s">
        <v>371</v>
      </c>
      <c r="E4" s="58" t="str">
        <f t="shared" si="2"/>
        <v>January</v>
      </c>
      <c r="F4" s="58">
        <v>2026</v>
      </c>
      <c r="G4" s="58">
        <v>2</v>
      </c>
      <c r="H4" s="58" t="s">
        <v>61</v>
      </c>
      <c r="I4" s="159" t="s">
        <v>62</v>
      </c>
      <c r="J4" s="159" t="s">
        <v>360</v>
      </c>
      <c r="K4" s="58" t="s">
        <v>35</v>
      </c>
      <c r="L4" s="151" t="s">
        <v>369</v>
      </c>
      <c r="M4" s="2"/>
      <c r="N4" s="2">
        <f t="shared" si="0"/>
        <v>2</v>
      </c>
      <c r="O4" s="10" t="s">
        <v>66</v>
      </c>
      <c r="P4" s="2"/>
      <c r="Q4" s="2"/>
    </row>
    <row r="5" spans="1:17" hidden="1">
      <c r="A5" s="58"/>
      <c r="B5" s="158">
        <v>46051</v>
      </c>
      <c r="C5" s="58" t="str">
        <f t="shared" ref="C5" si="3">TEXT(B5,"dddd")</f>
        <v>Thursday</v>
      </c>
      <c r="D5" s="58" t="s">
        <v>371</v>
      </c>
      <c r="E5" s="58" t="str">
        <f t="shared" ref="E5" si="4">TEXT(B5,"mmmm")</f>
        <v>January</v>
      </c>
      <c r="F5" s="58">
        <v>2026</v>
      </c>
      <c r="G5" s="58">
        <v>2</v>
      </c>
      <c r="H5" s="58" t="s">
        <v>61</v>
      </c>
      <c r="I5" s="159" t="s">
        <v>62</v>
      </c>
      <c r="J5" s="159" t="s">
        <v>360</v>
      </c>
      <c r="K5" s="58" t="s">
        <v>35</v>
      </c>
      <c r="L5" s="151" t="s">
        <v>369</v>
      </c>
      <c r="M5" s="2"/>
      <c r="N5" s="2">
        <f t="shared" ref="N5" si="5">M5+G5</f>
        <v>2</v>
      </c>
      <c r="O5" s="10" t="s">
        <v>66</v>
      </c>
      <c r="P5" s="2"/>
      <c r="Q5" s="2"/>
    </row>
    <row r="6" spans="1:17">
      <c r="A6" s="58">
        <v>2</v>
      </c>
      <c r="B6" s="158">
        <v>46055</v>
      </c>
      <c r="C6" s="58" t="str">
        <f t="shared" si="1"/>
        <v>Monday</v>
      </c>
      <c r="D6" s="58" t="s">
        <v>377</v>
      </c>
      <c r="E6" s="58" t="str">
        <f t="shared" si="2"/>
        <v>February</v>
      </c>
      <c r="F6" s="58">
        <v>2026</v>
      </c>
      <c r="G6" s="58">
        <v>3</v>
      </c>
      <c r="H6" s="58" t="s">
        <v>61</v>
      </c>
      <c r="I6" s="159" t="s">
        <v>62</v>
      </c>
      <c r="J6" s="159" t="s">
        <v>360</v>
      </c>
      <c r="K6" s="58" t="s">
        <v>35</v>
      </c>
      <c r="L6" s="2" t="s">
        <v>378</v>
      </c>
      <c r="M6" s="2"/>
      <c r="N6" s="2">
        <f t="shared" si="0"/>
        <v>3</v>
      </c>
      <c r="O6" s="2" t="s">
        <v>87</v>
      </c>
      <c r="P6" s="2"/>
      <c r="Q6" s="2"/>
    </row>
    <row r="7" spans="1:17">
      <c r="A7" s="58">
        <v>3</v>
      </c>
      <c r="B7" s="158">
        <v>46056</v>
      </c>
      <c r="C7" s="58" t="str">
        <f t="shared" si="1"/>
        <v>Tuesday</v>
      </c>
      <c r="D7" s="58" t="s">
        <v>377</v>
      </c>
      <c r="E7" s="58" t="str">
        <f t="shared" si="2"/>
        <v>February</v>
      </c>
      <c r="F7" s="58">
        <v>2026</v>
      </c>
      <c r="G7" s="58">
        <v>3</v>
      </c>
      <c r="H7" s="58" t="s">
        <v>61</v>
      </c>
      <c r="I7" s="159" t="s">
        <v>62</v>
      </c>
      <c r="J7" s="159" t="s">
        <v>360</v>
      </c>
      <c r="K7" s="58" t="s">
        <v>35</v>
      </c>
      <c r="L7" s="2" t="s">
        <v>383</v>
      </c>
      <c r="M7" s="2"/>
      <c r="N7" s="2">
        <f t="shared" si="0"/>
        <v>3</v>
      </c>
      <c r="O7" s="2" t="s">
        <v>87</v>
      </c>
      <c r="P7" s="2"/>
      <c r="Q7" s="2"/>
    </row>
    <row r="8" spans="1:17">
      <c r="A8" s="58">
        <v>4</v>
      </c>
      <c r="B8" s="158">
        <v>46057</v>
      </c>
      <c r="C8" s="58" t="str">
        <f t="shared" si="1"/>
        <v>Wednesday</v>
      </c>
      <c r="D8" s="58" t="s">
        <v>377</v>
      </c>
      <c r="E8" s="58" t="str">
        <f t="shared" si="2"/>
        <v>February</v>
      </c>
      <c r="F8" s="58">
        <v>2026</v>
      </c>
      <c r="G8" s="58">
        <v>3</v>
      </c>
      <c r="H8" s="58" t="s">
        <v>61</v>
      </c>
      <c r="I8" s="159" t="s">
        <v>62</v>
      </c>
      <c r="J8" s="159" t="s">
        <v>360</v>
      </c>
      <c r="K8" s="58" t="s">
        <v>35</v>
      </c>
      <c r="L8" s="2" t="s">
        <v>384</v>
      </c>
      <c r="M8" s="2"/>
      <c r="N8" s="2">
        <f t="shared" si="0"/>
        <v>3</v>
      </c>
      <c r="O8" s="2" t="s">
        <v>87</v>
      </c>
      <c r="P8" s="2"/>
      <c r="Q8" s="2"/>
    </row>
    <row r="9" spans="1:17">
      <c r="A9" s="58">
        <v>5</v>
      </c>
      <c r="B9" s="158">
        <v>46058</v>
      </c>
      <c r="C9" s="58" t="str">
        <f t="shared" si="1"/>
        <v>Thursday</v>
      </c>
      <c r="D9" s="58" t="s">
        <v>377</v>
      </c>
      <c r="E9" s="58" t="str">
        <f t="shared" si="2"/>
        <v>February</v>
      </c>
      <c r="F9" s="58">
        <v>2026</v>
      </c>
      <c r="G9" s="58">
        <v>3</v>
      </c>
      <c r="H9" s="58" t="s">
        <v>61</v>
      </c>
      <c r="I9" s="159" t="s">
        <v>62</v>
      </c>
      <c r="J9" s="159" t="s">
        <v>360</v>
      </c>
      <c r="K9" s="58" t="s">
        <v>35</v>
      </c>
      <c r="L9" s="2" t="s">
        <v>387</v>
      </c>
      <c r="M9" s="2"/>
      <c r="N9" s="2">
        <f t="shared" si="0"/>
        <v>3</v>
      </c>
      <c r="O9" s="2" t="s">
        <v>87</v>
      </c>
      <c r="P9" s="2"/>
      <c r="Q9" s="2"/>
    </row>
    <row r="10" spans="1:17">
      <c r="A10" s="58">
        <v>6</v>
      </c>
      <c r="B10" s="158">
        <v>46059</v>
      </c>
      <c r="C10" s="58" t="str">
        <f t="shared" si="1"/>
        <v>Friday</v>
      </c>
      <c r="D10" s="58" t="s">
        <v>377</v>
      </c>
      <c r="E10" s="58" t="str">
        <f t="shared" si="2"/>
        <v>February</v>
      </c>
      <c r="F10" s="58">
        <v>2026</v>
      </c>
      <c r="G10" s="58">
        <v>3</v>
      </c>
      <c r="H10" s="58" t="s">
        <v>61</v>
      </c>
      <c r="I10" s="159" t="s">
        <v>62</v>
      </c>
      <c r="J10" s="159" t="s">
        <v>360</v>
      </c>
      <c r="K10" s="58" t="s">
        <v>35</v>
      </c>
      <c r="L10" s="2" t="s">
        <v>390</v>
      </c>
      <c r="M10" s="2"/>
      <c r="N10" s="2">
        <f t="shared" si="0"/>
        <v>3</v>
      </c>
      <c r="O10" s="2" t="s">
        <v>87</v>
      </c>
      <c r="P10" s="2"/>
      <c r="Q10" s="2"/>
    </row>
    <row r="11" spans="1:17">
      <c r="A11" s="58"/>
      <c r="B11" s="158">
        <v>46062</v>
      </c>
      <c r="C11" s="58" t="str">
        <f t="shared" si="1"/>
        <v>Monday</v>
      </c>
      <c r="D11" s="58"/>
      <c r="E11" s="58" t="str">
        <f t="shared" si="2"/>
        <v>February</v>
      </c>
      <c r="F11" s="58">
        <v>2026</v>
      </c>
      <c r="G11" s="58"/>
      <c r="H11" s="58" t="s">
        <v>61</v>
      </c>
      <c r="I11" s="159" t="s">
        <v>62</v>
      </c>
      <c r="J11" s="159" t="s">
        <v>360</v>
      </c>
      <c r="K11" s="58" t="s">
        <v>35</v>
      </c>
      <c r="L11" s="150" t="s">
        <v>391</v>
      </c>
      <c r="M11" s="2"/>
      <c r="N11" s="2">
        <f t="shared" si="0"/>
        <v>0</v>
      </c>
      <c r="O11" s="2"/>
      <c r="P11" s="2"/>
      <c r="Q11" s="2"/>
    </row>
    <row r="12" spans="1:17">
      <c r="A12" s="58">
        <v>7</v>
      </c>
      <c r="B12" s="158">
        <v>46063</v>
      </c>
      <c r="C12" s="58" t="str">
        <f t="shared" si="1"/>
        <v>Tuesday</v>
      </c>
      <c r="D12" s="58" t="s">
        <v>377</v>
      </c>
      <c r="E12" s="58" t="str">
        <f t="shared" si="2"/>
        <v>February</v>
      </c>
      <c r="F12" s="58">
        <v>2026</v>
      </c>
      <c r="G12" s="58">
        <v>3</v>
      </c>
      <c r="H12" s="58" t="s">
        <v>61</v>
      </c>
      <c r="I12" s="159" t="s">
        <v>62</v>
      </c>
      <c r="J12" s="159" t="s">
        <v>360</v>
      </c>
      <c r="K12" s="58" t="s">
        <v>35</v>
      </c>
      <c r="L12" s="2" t="s">
        <v>393</v>
      </c>
      <c r="M12" s="2"/>
      <c r="N12" s="2">
        <f t="shared" si="0"/>
        <v>3</v>
      </c>
      <c r="O12" s="2" t="s">
        <v>87</v>
      </c>
      <c r="P12" s="2"/>
      <c r="Q12" s="2"/>
    </row>
    <row r="13" spans="1:17">
      <c r="A13" s="58">
        <v>8</v>
      </c>
      <c r="B13" s="158">
        <v>46064</v>
      </c>
      <c r="C13" s="58" t="str">
        <f t="shared" si="1"/>
        <v>Wednesday</v>
      </c>
      <c r="D13" s="58" t="s">
        <v>377</v>
      </c>
      <c r="E13" s="58" t="str">
        <f t="shared" si="2"/>
        <v>February</v>
      </c>
      <c r="F13" s="58">
        <v>2026</v>
      </c>
      <c r="G13" s="58">
        <v>3</v>
      </c>
      <c r="H13" s="58" t="s">
        <v>61</v>
      </c>
      <c r="I13" s="159" t="s">
        <v>62</v>
      </c>
      <c r="J13" s="159" t="s">
        <v>360</v>
      </c>
      <c r="K13" s="58" t="s">
        <v>35</v>
      </c>
      <c r="L13" s="2" t="s">
        <v>394</v>
      </c>
      <c r="M13" s="2"/>
      <c r="N13" s="2">
        <f t="shared" si="0"/>
        <v>3</v>
      </c>
      <c r="O13" s="2" t="s">
        <v>87</v>
      </c>
      <c r="P13" s="2"/>
      <c r="Q13" s="2"/>
    </row>
    <row r="14" spans="1:17">
      <c r="A14" s="58">
        <v>9</v>
      </c>
      <c r="B14" s="158">
        <v>46065</v>
      </c>
      <c r="C14" s="58" t="str">
        <f t="shared" si="1"/>
        <v>Thursday</v>
      </c>
      <c r="D14" s="58" t="s">
        <v>377</v>
      </c>
      <c r="E14" s="58" t="str">
        <f t="shared" si="2"/>
        <v>February</v>
      </c>
      <c r="F14" s="58">
        <v>2026</v>
      </c>
      <c r="G14" s="58">
        <v>3</v>
      </c>
      <c r="H14" s="58" t="s">
        <v>61</v>
      </c>
      <c r="I14" s="159" t="s">
        <v>62</v>
      </c>
      <c r="J14" s="159" t="s">
        <v>360</v>
      </c>
      <c r="K14" s="58" t="s">
        <v>35</v>
      </c>
      <c r="L14" s="2" t="s">
        <v>397</v>
      </c>
      <c r="M14" s="2"/>
      <c r="N14" s="2">
        <f t="shared" si="0"/>
        <v>3</v>
      </c>
      <c r="O14" s="2" t="s">
        <v>87</v>
      </c>
      <c r="P14" s="2"/>
      <c r="Q14" s="2"/>
    </row>
    <row r="15" spans="1:17">
      <c r="A15" s="58">
        <v>10</v>
      </c>
      <c r="B15" s="158">
        <v>46066</v>
      </c>
      <c r="C15" s="58" t="str">
        <f t="shared" si="1"/>
        <v>Friday</v>
      </c>
      <c r="D15" s="58" t="s">
        <v>377</v>
      </c>
      <c r="E15" s="58" t="str">
        <f t="shared" si="2"/>
        <v>February</v>
      </c>
      <c r="F15" s="58">
        <v>2026</v>
      </c>
      <c r="G15" s="58">
        <v>3</v>
      </c>
      <c r="H15" s="58" t="s">
        <v>61</v>
      </c>
      <c r="I15" s="159" t="s">
        <v>62</v>
      </c>
      <c r="J15" s="159" t="s">
        <v>360</v>
      </c>
      <c r="K15" s="58" t="s">
        <v>35</v>
      </c>
      <c r="L15" s="2" t="s">
        <v>405</v>
      </c>
      <c r="M15" s="2"/>
      <c r="N15" s="2">
        <f t="shared" si="0"/>
        <v>3</v>
      </c>
      <c r="O15" s="2" t="s">
        <v>87</v>
      </c>
      <c r="P15" s="2"/>
      <c r="Q15" s="2"/>
    </row>
    <row r="16" spans="1:17">
      <c r="A16" s="58">
        <v>11</v>
      </c>
      <c r="B16" s="158">
        <v>46069</v>
      </c>
      <c r="C16" s="58" t="str">
        <f t="shared" si="1"/>
        <v>Monday</v>
      </c>
      <c r="D16" s="58" t="s">
        <v>377</v>
      </c>
      <c r="E16" s="58" t="str">
        <f t="shared" si="2"/>
        <v>February</v>
      </c>
      <c r="F16" s="58">
        <v>2026</v>
      </c>
      <c r="G16" s="58">
        <v>3</v>
      </c>
      <c r="H16" s="58" t="s">
        <v>61</v>
      </c>
      <c r="I16" s="159" t="s">
        <v>62</v>
      </c>
      <c r="J16" s="159" t="s">
        <v>360</v>
      </c>
      <c r="K16" s="58" t="s">
        <v>35</v>
      </c>
      <c r="L16" s="2" t="s">
        <v>407</v>
      </c>
      <c r="M16" s="2"/>
      <c r="N16" s="2">
        <f t="shared" si="0"/>
        <v>3</v>
      </c>
      <c r="O16" s="2" t="s">
        <v>87</v>
      </c>
      <c r="P16" s="2"/>
      <c r="Q16" s="2"/>
    </row>
    <row r="17" spans="1:17">
      <c r="A17" s="58"/>
      <c r="B17" s="158">
        <v>46070</v>
      </c>
      <c r="C17" s="58" t="str">
        <f t="shared" si="1"/>
        <v>Tuesday</v>
      </c>
      <c r="D17" s="58"/>
      <c r="E17" s="58" t="str">
        <f t="shared" si="2"/>
        <v>February</v>
      </c>
      <c r="F17" s="58">
        <v>2026</v>
      </c>
      <c r="G17" s="58"/>
      <c r="H17" s="58" t="s">
        <v>61</v>
      </c>
      <c r="I17" s="159" t="s">
        <v>62</v>
      </c>
      <c r="J17" s="159" t="s">
        <v>360</v>
      </c>
      <c r="K17" s="58" t="s">
        <v>35</v>
      </c>
      <c r="L17" s="150" t="s">
        <v>391</v>
      </c>
      <c r="M17" s="2"/>
      <c r="N17" s="2">
        <f t="shared" si="0"/>
        <v>0</v>
      </c>
      <c r="O17" s="2"/>
      <c r="P17" s="2"/>
      <c r="Q17" s="2"/>
    </row>
    <row r="18" spans="1:17">
      <c r="A18" s="58">
        <v>12</v>
      </c>
      <c r="B18" s="158">
        <v>46071</v>
      </c>
      <c r="C18" s="58" t="str">
        <f t="shared" si="1"/>
        <v>Wednesday</v>
      </c>
      <c r="D18" s="58" t="s">
        <v>377</v>
      </c>
      <c r="E18" s="58" t="str">
        <f t="shared" si="2"/>
        <v>February</v>
      </c>
      <c r="F18" s="58">
        <v>2026</v>
      </c>
      <c r="G18" s="58">
        <v>3</v>
      </c>
      <c r="H18" s="58" t="s">
        <v>61</v>
      </c>
      <c r="I18" s="159" t="s">
        <v>62</v>
      </c>
      <c r="J18" s="159" t="s">
        <v>360</v>
      </c>
      <c r="K18" s="58" t="s">
        <v>35</v>
      </c>
      <c r="L18" s="2" t="s">
        <v>410</v>
      </c>
      <c r="M18" s="2"/>
      <c r="N18" s="2">
        <f t="shared" si="0"/>
        <v>3</v>
      </c>
      <c r="O18" s="2" t="s">
        <v>87</v>
      </c>
      <c r="P18" s="2"/>
      <c r="Q18" s="2"/>
    </row>
    <row r="19" spans="1:17">
      <c r="A19" s="58">
        <v>13</v>
      </c>
      <c r="B19" s="158">
        <v>46072</v>
      </c>
      <c r="C19" s="58" t="str">
        <f t="shared" si="1"/>
        <v>Thursday</v>
      </c>
      <c r="D19" s="58" t="s">
        <v>377</v>
      </c>
      <c r="E19" s="58" t="str">
        <f t="shared" si="2"/>
        <v>February</v>
      </c>
      <c r="F19" s="58">
        <v>2026</v>
      </c>
      <c r="G19" s="58">
        <v>3</v>
      </c>
      <c r="H19" s="58" t="s">
        <v>61</v>
      </c>
      <c r="I19" s="159" t="s">
        <v>62</v>
      </c>
      <c r="J19" s="159" t="s">
        <v>360</v>
      </c>
      <c r="K19" s="58" t="s">
        <v>35</v>
      </c>
      <c r="L19" s="2" t="s">
        <v>411</v>
      </c>
      <c r="M19" s="2"/>
      <c r="N19" s="2">
        <f t="shared" si="0"/>
        <v>3</v>
      </c>
      <c r="O19" s="2" t="s">
        <v>85</v>
      </c>
      <c r="P19" s="2"/>
      <c r="Q19" s="2"/>
    </row>
    <row r="20" spans="1:17">
      <c r="A20" s="58">
        <v>14</v>
      </c>
      <c r="B20" s="158">
        <v>46073</v>
      </c>
      <c r="C20" s="58" t="str">
        <f t="shared" si="1"/>
        <v>Friday</v>
      </c>
      <c r="D20" s="58" t="s">
        <v>377</v>
      </c>
      <c r="E20" s="58" t="str">
        <f t="shared" si="2"/>
        <v>February</v>
      </c>
      <c r="F20" s="58">
        <v>2026</v>
      </c>
      <c r="G20" s="58">
        <v>3</v>
      </c>
      <c r="H20" s="58" t="s">
        <v>61</v>
      </c>
      <c r="I20" s="159" t="s">
        <v>62</v>
      </c>
      <c r="J20" s="159" t="s">
        <v>360</v>
      </c>
      <c r="K20" s="58" t="s">
        <v>35</v>
      </c>
      <c r="L20" s="2" t="s">
        <v>415</v>
      </c>
      <c r="M20" s="2"/>
      <c r="N20" s="2">
        <f t="shared" si="0"/>
        <v>3</v>
      </c>
      <c r="O20" s="2" t="s">
        <v>85</v>
      </c>
      <c r="P20" s="2"/>
      <c r="Q20" s="2"/>
    </row>
    <row r="21" spans="1:17">
      <c r="A21" s="58"/>
      <c r="B21" s="158">
        <v>46076</v>
      </c>
      <c r="C21" s="58" t="str">
        <f t="shared" si="1"/>
        <v>Monday</v>
      </c>
      <c r="D21" s="58" t="s">
        <v>377</v>
      </c>
      <c r="E21" s="58" t="str">
        <f t="shared" si="2"/>
        <v>February</v>
      </c>
      <c r="F21" s="58">
        <v>2026</v>
      </c>
      <c r="G21" s="58">
        <v>3</v>
      </c>
      <c r="H21" s="58" t="s">
        <v>61</v>
      </c>
      <c r="I21" s="159" t="s">
        <v>62</v>
      </c>
      <c r="J21" s="159" t="s">
        <v>360</v>
      </c>
      <c r="K21" s="58" t="s">
        <v>35</v>
      </c>
      <c r="L21" s="162" t="s">
        <v>417</v>
      </c>
      <c r="M21" s="2"/>
      <c r="N21" s="2">
        <f t="shared" si="0"/>
        <v>3</v>
      </c>
      <c r="O21" s="2" t="s">
        <v>87</v>
      </c>
      <c r="P21" s="2"/>
      <c r="Q21" s="2"/>
    </row>
    <row r="22" spans="1:17">
      <c r="A22" s="58">
        <v>15</v>
      </c>
      <c r="B22" s="158">
        <v>46077</v>
      </c>
      <c r="C22" s="58" t="str">
        <f t="shared" si="1"/>
        <v>Tuesday</v>
      </c>
      <c r="D22" s="58" t="s">
        <v>377</v>
      </c>
      <c r="E22" s="58" t="str">
        <f t="shared" si="2"/>
        <v>February</v>
      </c>
      <c r="F22" s="58">
        <v>2026</v>
      </c>
      <c r="G22" s="58">
        <v>3</v>
      </c>
      <c r="H22" s="58" t="s">
        <v>61</v>
      </c>
      <c r="I22" s="159" t="s">
        <v>62</v>
      </c>
      <c r="J22" s="159" t="s">
        <v>360</v>
      </c>
      <c r="K22" s="58" t="s">
        <v>35</v>
      </c>
      <c r="L22" s="2" t="s">
        <v>419</v>
      </c>
      <c r="M22" s="2"/>
      <c r="N22" s="2">
        <f t="shared" si="0"/>
        <v>3</v>
      </c>
      <c r="O22" s="2" t="s">
        <v>87</v>
      </c>
      <c r="P22" s="2"/>
      <c r="Q22" s="2"/>
    </row>
    <row r="23" spans="1:17">
      <c r="A23" s="58">
        <v>16</v>
      </c>
      <c r="B23" s="158">
        <v>46078</v>
      </c>
      <c r="C23" s="58" t="str">
        <f t="shared" si="1"/>
        <v>Wednesday</v>
      </c>
      <c r="D23" s="58" t="s">
        <v>377</v>
      </c>
      <c r="E23" s="58" t="str">
        <f t="shared" si="2"/>
        <v>February</v>
      </c>
      <c r="F23" s="58">
        <v>2026</v>
      </c>
      <c r="G23" s="58">
        <v>3</v>
      </c>
      <c r="H23" s="58" t="s">
        <v>61</v>
      </c>
      <c r="I23" s="159" t="s">
        <v>62</v>
      </c>
      <c r="J23" s="159" t="s">
        <v>360</v>
      </c>
      <c r="K23" s="58" t="s">
        <v>35</v>
      </c>
      <c r="L23" s="2" t="s">
        <v>422</v>
      </c>
      <c r="M23" s="2"/>
      <c r="N23" s="2">
        <f t="shared" si="0"/>
        <v>3</v>
      </c>
      <c r="O23" s="2" t="s">
        <v>87</v>
      </c>
      <c r="P23" s="2"/>
      <c r="Q23" s="2"/>
    </row>
    <row r="24" spans="1:17">
      <c r="A24" s="58">
        <v>17</v>
      </c>
      <c r="B24" s="158">
        <v>46079</v>
      </c>
      <c r="C24" s="58" t="str">
        <f t="shared" si="1"/>
        <v>Thursday</v>
      </c>
      <c r="D24" s="58" t="s">
        <v>377</v>
      </c>
      <c r="E24" s="58" t="str">
        <f t="shared" si="2"/>
        <v>February</v>
      </c>
      <c r="F24" s="58">
        <v>2026</v>
      </c>
      <c r="G24" s="58">
        <v>3</v>
      </c>
      <c r="H24" s="58" t="s">
        <v>61</v>
      </c>
      <c r="I24" s="159" t="s">
        <v>62</v>
      </c>
      <c r="J24" s="159" t="s">
        <v>360</v>
      </c>
      <c r="K24" s="58" t="s">
        <v>35</v>
      </c>
      <c r="L24" s="2" t="s">
        <v>424</v>
      </c>
      <c r="M24" s="2"/>
      <c r="N24" s="2">
        <f t="shared" si="0"/>
        <v>3</v>
      </c>
      <c r="O24" s="2" t="s">
        <v>87</v>
      </c>
      <c r="P24" s="2"/>
      <c r="Q24" s="2"/>
    </row>
    <row r="25" spans="1:17">
      <c r="A25" s="58">
        <v>18</v>
      </c>
      <c r="B25" s="158">
        <v>46083</v>
      </c>
      <c r="C25" s="58" t="str">
        <f t="shared" si="1"/>
        <v>Monday</v>
      </c>
      <c r="D25" s="58" t="s">
        <v>377</v>
      </c>
      <c r="E25" s="58" t="str">
        <f t="shared" si="2"/>
        <v>March</v>
      </c>
      <c r="F25" s="58">
        <v>2026</v>
      </c>
      <c r="G25" s="58">
        <v>3</v>
      </c>
      <c r="H25" s="58" t="s">
        <v>61</v>
      </c>
      <c r="I25" s="159" t="s">
        <v>62</v>
      </c>
      <c r="J25" s="159" t="s">
        <v>360</v>
      </c>
      <c r="K25" s="58" t="s">
        <v>35</v>
      </c>
      <c r="L25" s="2" t="s">
        <v>428</v>
      </c>
      <c r="M25" s="2"/>
      <c r="N25" s="2">
        <f t="shared" si="0"/>
        <v>3</v>
      </c>
      <c r="O25" s="2" t="s">
        <v>87</v>
      </c>
      <c r="P25" s="2"/>
      <c r="Q25" s="2"/>
    </row>
    <row r="26" spans="1:17">
      <c r="A26" s="58">
        <v>19</v>
      </c>
      <c r="B26" s="158">
        <v>46086</v>
      </c>
      <c r="C26" s="58" t="str">
        <f t="shared" si="1"/>
        <v>Thursday</v>
      </c>
      <c r="D26" s="58" t="s">
        <v>377</v>
      </c>
      <c r="E26" s="58" t="str">
        <f t="shared" si="2"/>
        <v>March</v>
      </c>
      <c r="F26" s="58">
        <v>2026</v>
      </c>
      <c r="G26" s="58">
        <v>3</v>
      </c>
      <c r="H26" s="58" t="s">
        <v>61</v>
      </c>
      <c r="I26" s="159" t="s">
        <v>62</v>
      </c>
      <c r="J26" s="159" t="s">
        <v>360</v>
      </c>
      <c r="K26" s="58" t="s">
        <v>35</v>
      </c>
      <c r="L26" s="2" t="s">
        <v>429</v>
      </c>
      <c r="M26" s="2"/>
      <c r="N26" s="2">
        <f t="shared" si="0"/>
        <v>3</v>
      </c>
      <c r="O26" s="2" t="s">
        <v>87</v>
      </c>
      <c r="P26" s="2"/>
      <c r="Q26" s="2"/>
    </row>
    <row r="27" spans="1:17">
      <c r="A27" s="58">
        <v>20</v>
      </c>
      <c r="B27" s="158">
        <v>46087</v>
      </c>
      <c r="C27" s="58" t="str">
        <f t="shared" si="1"/>
        <v>Friday</v>
      </c>
      <c r="D27" s="58" t="s">
        <v>377</v>
      </c>
      <c r="E27" s="58" t="str">
        <f t="shared" si="2"/>
        <v>March</v>
      </c>
      <c r="F27" s="58">
        <v>2026</v>
      </c>
      <c r="G27" s="58">
        <v>3</v>
      </c>
      <c r="H27" s="58" t="s">
        <v>61</v>
      </c>
      <c r="I27" s="159" t="s">
        <v>62</v>
      </c>
      <c r="J27" s="159" t="s">
        <v>360</v>
      </c>
      <c r="K27" s="58" t="s">
        <v>35</v>
      </c>
      <c r="L27" s="2" t="s">
        <v>436</v>
      </c>
      <c r="M27" s="2"/>
      <c r="N27" s="2">
        <f t="shared" si="0"/>
        <v>3</v>
      </c>
      <c r="O27" s="2" t="s">
        <v>87</v>
      </c>
      <c r="P27" s="2"/>
      <c r="Q27" s="2"/>
    </row>
    <row r="28" spans="1:17">
      <c r="A28" s="58">
        <v>21</v>
      </c>
      <c r="B28" s="158">
        <v>46090</v>
      </c>
      <c r="C28" s="58" t="str">
        <f t="shared" si="1"/>
        <v>Monday</v>
      </c>
      <c r="D28" s="58" t="s">
        <v>377</v>
      </c>
      <c r="E28" s="58" t="str">
        <f t="shared" si="2"/>
        <v>March</v>
      </c>
      <c r="F28" s="58">
        <v>2026</v>
      </c>
      <c r="G28" s="58">
        <v>3</v>
      </c>
      <c r="H28" s="58" t="s">
        <v>61</v>
      </c>
      <c r="I28" s="159" t="s">
        <v>62</v>
      </c>
      <c r="J28" s="159" t="s">
        <v>360</v>
      </c>
      <c r="K28" s="58" t="s">
        <v>35</v>
      </c>
      <c r="L28" s="2" t="s">
        <v>443</v>
      </c>
      <c r="M28" s="2"/>
      <c r="N28" s="2">
        <f t="shared" si="0"/>
        <v>3</v>
      </c>
      <c r="O28" s="2" t="s">
        <v>87</v>
      </c>
      <c r="P28" s="2"/>
      <c r="Q28" s="2"/>
    </row>
    <row r="29" spans="1:17">
      <c r="A29" s="58">
        <v>22</v>
      </c>
      <c r="B29" s="158">
        <v>46091</v>
      </c>
      <c r="C29" s="58" t="str">
        <f t="shared" si="1"/>
        <v>Tuesday</v>
      </c>
      <c r="D29" s="58" t="s">
        <v>377</v>
      </c>
      <c r="E29" s="58" t="str">
        <f t="shared" si="2"/>
        <v>March</v>
      </c>
      <c r="F29" s="58">
        <v>2026</v>
      </c>
      <c r="G29" s="58">
        <v>3</v>
      </c>
      <c r="H29" s="58" t="s">
        <v>61</v>
      </c>
      <c r="I29" s="159" t="s">
        <v>62</v>
      </c>
      <c r="J29" s="159" t="s">
        <v>360</v>
      </c>
      <c r="K29" s="58" t="s">
        <v>35</v>
      </c>
      <c r="L29" s="2" t="s">
        <v>450</v>
      </c>
      <c r="M29" s="2"/>
      <c r="N29" s="2">
        <f t="shared" si="0"/>
        <v>3</v>
      </c>
      <c r="O29" s="2" t="s">
        <v>87</v>
      </c>
      <c r="P29" s="2"/>
      <c r="Q29" s="2"/>
    </row>
    <row r="30" spans="1:17">
      <c r="A30" s="58">
        <v>23</v>
      </c>
      <c r="B30" s="158">
        <v>46092</v>
      </c>
      <c r="C30" s="58" t="str">
        <f t="shared" si="1"/>
        <v>Wednesday</v>
      </c>
      <c r="D30" s="58" t="s">
        <v>377</v>
      </c>
      <c r="E30" s="58" t="str">
        <f t="shared" si="2"/>
        <v>March</v>
      </c>
      <c r="F30" s="58">
        <v>2026</v>
      </c>
      <c r="G30" s="58">
        <v>3</v>
      </c>
      <c r="H30" s="58" t="s">
        <v>61</v>
      </c>
      <c r="I30" s="159" t="s">
        <v>62</v>
      </c>
      <c r="J30" s="159" t="s">
        <v>360</v>
      </c>
      <c r="K30" s="58" t="s">
        <v>35</v>
      </c>
      <c r="L30" s="2" t="s">
        <v>459</v>
      </c>
      <c r="M30" s="2"/>
      <c r="N30" s="2">
        <f t="shared" si="0"/>
        <v>3</v>
      </c>
      <c r="O30" s="2" t="s">
        <v>112</v>
      </c>
      <c r="P30" s="2"/>
      <c r="Q30" s="2"/>
    </row>
    <row r="31" spans="1:17">
      <c r="A31" s="58">
        <v>24</v>
      </c>
      <c r="B31" s="158">
        <v>46093</v>
      </c>
      <c r="C31" s="58" t="str">
        <f t="shared" si="1"/>
        <v>Thursday</v>
      </c>
      <c r="D31" s="58" t="s">
        <v>377</v>
      </c>
      <c r="E31" s="58" t="str">
        <f t="shared" si="2"/>
        <v>March</v>
      </c>
      <c r="F31" s="58">
        <v>2026</v>
      </c>
      <c r="G31" s="58">
        <v>3</v>
      </c>
      <c r="H31" s="58" t="s">
        <v>61</v>
      </c>
      <c r="I31" s="159" t="s">
        <v>62</v>
      </c>
      <c r="J31" s="159" t="s">
        <v>360</v>
      </c>
      <c r="K31" s="58" t="s">
        <v>35</v>
      </c>
      <c r="L31" s="2" t="s">
        <v>466</v>
      </c>
      <c r="M31" s="2"/>
      <c r="N31" s="2">
        <f t="shared" si="0"/>
        <v>3</v>
      </c>
      <c r="O31" s="2" t="s">
        <v>112</v>
      </c>
      <c r="P31" s="2"/>
      <c r="Q31" s="2"/>
    </row>
    <row r="32" spans="1:17">
      <c r="A32" s="58">
        <v>25</v>
      </c>
      <c r="B32" s="158">
        <v>46094</v>
      </c>
      <c r="C32" s="58" t="str">
        <f t="shared" si="1"/>
        <v>Friday</v>
      </c>
      <c r="D32" s="58" t="s">
        <v>377</v>
      </c>
      <c r="E32" s="58" t="str">
        <f t="shared" si="2"/>
        <v>March</v>
      </c>
      <c r="F32" s="58">
        <v>2026</v>
      </c>
      <c r="G32" s="58">
        <v>3</v>
      </c>
      <c r="H32" s="58" t="s">
        <v>61</v>
      </c>
      <c r="I32" s="159" t="s">
        <v>62</v>
      </c>
      <c r="J32" s="159" t="s">
        <v>360</v>
      </c>
      <c r="K32" s="58" t="s">
        <v>35</v>
      </c>
      <c r="L32" s="2" t="s">
        <v>469</v>
      </c>
      <c r="M32" s="2"/>
      <c r="N32" s="2">
        <f t="shared" si="0"/>
        <v>3</v>
      </c>
      <c r="O32" s="2" t="s">
        <v>112</v>
      </c>
      <c r="P32" s="2"/>
      <c r="Q32" s="2"/>
    </row>
    <row r="33" spans="1:17">
      <c r="A33" s="58"/>
      <c r="B33" s="158">
        <v>46097</v>
      </c>
      <c r="C33" s="58" t="str">
        <f t="shared" si="1"/>
        <v>Monday</v>
      </c>
      <c r="D33" s="58" t="s">
        <v>488</v>
      </c>
      <c r="E33" s="58" t="str">
        <f t="shared" si="2"/>
        <v>March</v>
      </c>
      <c r="F33" s="58">
        <v>2026</v>
      </c>
      <c r="G33" s="58">
        <v>4</v>
      </c>
      <c r="H33" s="58" t="s">
        <v>61</v>
      </c>
      <c r="I33" s="159" t="s">
        <v>62</v>
      </c>
      <c r="J33" s="159" t="s">
        <v>360</v>
      </c>
      <c r="K33" s="58" t="s">
        <v>35</v>
      </c>
      <c r="L33" s="162" t="s">
        <v>476</v>
      </c>
      <c r="M33" s="2"/>
      <c r="N33" s="2">
        <f t="shared" si="0"/>
        <v>4</v>
      </c>
      <c r="O33" s="2" t="s">
        <v>87</v>
      </c>
      <c r="P33" s="2"/>
      <c r="Q33" s="2"/>
    </row>
    <row r="34" spans="1:17">
      <c r="A34" s="58"/>
      <c r="B34" s="158">
        <v>46098</v>
      </c>
      <c r="C34" s="58" t="str">
        <f t="shared" si="1"/>
        <v>Tuesday</v>
      </c>
      <c r="D34" s="58" t="s">
        <v>488</v>
      </c>
      <c r="E34" s="58" t="str">
        <f t="shared" si="2"/>
        <v>March</v>
      </c>
      <c r="F34" s="58">
        <v>2026</v>
      </c>
      <c r="G34" s="58">
        <v>4</v>
      </c>
      <c r="H34" s="58" t="s">
        <v>61</v>
      </c>
      <c r="I34" s="159" t="s">
        <v>62</v>
      </c>
      <c r="J34" s="159" t="s">
        <v>360</v>
      </c>
      <c r="K34" s="58" t="s">
        <v>35</v>
      </c>
      <c r="L34" s="162" t="s">
        <v>487</v>
      </c>
      <c r="M34" s="2"/>
      <c r="N34" s="2">
        <f t="shared" si="0"/>
        <v>4</v>
      </c>
      <c r="O34" s="2" t="s">
        <v>87</v>
      </c>
      <c r="P34" s="2"/>
      <c r="Q34" s="2"/>
    </row>
    <row r="35" spans="1:17">
      <c r="A35" s="58"/>
      <c r="B35" s="158">
        <v>46099</v>
      </c>
      <c r="C35" s="58" t="str">
        <f t="shared" si="1"/>
        <v>Wednesday</v>
      </c>
      <c r="D35" s="58" t="s">
        <v>503</v>
      </c>
      <c r="E35" s="58" t="str">
        <f t="shared" si="2"/>
        <v>March</v>
      </c>
      <c r="F35" s="58">
        <v>2026</v>
      </c>
      <c r="G35" s="58">
        <v>5</v>
      </c>
      <c r="H35" s="58" t="s">
        <v>61</v>
      </c>
      <c r="I35" s="159" t="s">
        <v>62</v>
      </c>
      <c r="J35" s="159" t="s">
        <v>360</v>
      </c>
      <c r="K35" s="58" t="s">
        <v>35</v>
      </c>
      <c r="L35" s="162" t="s">
        <v>487</v>
      </c>
      <c r="M35" s="2"/>
      <c r="N35" s="2">
        <f t="shared" si="0"/>
        <v>5</v>
      </c>
      <c r="O35" s="2" t="s">
        <v>87</v>
      </c>
      <c r="P35" s="2"/>
      <c r="Q35" s="2"/>
    </row>
    <row r="36" spans="1:17">
      <c r="A36" s="58">
        <v>26</v>
      </c>
      <c r="B36" s="158">
        <v>46100</v>
      </c>
      <c r="C36" s="58" t="str">
        <f t="shared" si="1"/>
        <v>Thursday</v>
      </c>
      <c r="D36" s="58" t="s">
        <v>377</v>
      </c>
      <c r="E36" s="58" t="str">
        <f t="shared" si="2"/>
        <v>March</v>
      </c>
      <c r="F36" s="58">
        <v>2026</v>
      </c>
      <c r="G36" s="58">
        <v>3</v>
      </c>
      <c r="H36" s="58" t="s">
        <v>61</v>
      </c>
      <c r="I36" s="159" t="s">
        <v>62</v>
      </c>
      <c r="J36" s="159" t="s">
        <v>360</v>
      </c>
      <c r="K36" s="58" t="s">
        <v>35</v>
      </c>
      <c r="L36" s="2" t="s">
        <v>502</v>
      </c>
      <c r="M36" s="2"/>
      <c r="N36" s="2">
        <f t="shared" si="0"/>
        <v>3</v>
      </c>
      <c r="O36" s="2" t="s">
        <v>87</v>
      </c>
      <c r="P36" s="2"/>
      <c r="Q36" s="2"/>
    </row>
    <row r="37" spans="1:17">
      <c r="A37" s="58">
        <v>27</v>
      </c>
      <c r="B37" s="158">
        <v>46101</v>
      </c>
      <c r="C37" s="58" t="str">
        <f t="shared" si="1"/>
        <v>Friday</v>
      </c>
      <c r="D37" s="58" t="s">
        <v>377</v>
      </c>
      <c r="E37" s="58" t="str">
        <f t="shared" si="2"/>
        <v>March</v>
      </c>
      <c r="F37" s="58">
        <v>2026</v>
      </c>
      <c r="G37" s="58">
        <v>3</v>
      </c>
      <c r="H37" s="58" t="s">
        <v>61</v>
      </c>
      <c r="I37" s="159" t="s">
        <v>62</v>
      </c>
      <c r="J37" s="159" t="s">
        <v>360</v>
      </c>
      <c r="K37" s="58" t="s">
        <v>35</v>
      </c>
      <c r="L37" s="2" t="s">
        <v>506</v>
      </c>
      <c r="M37" s="2"/>
      <c r="N37" s="2">
        <f t="shared" si="0"/>
        <v>3</v>
      </c>
      <c r="O37" s="2" t="s">
        <v>87</v>
      </c>
      <c r="P37" s="2"/>
      <c r="Q37" s="2"/>
    </row>
    <row r="38" spans="1:17">
      <c r="A38" s="58">
        <v>28</v>
      </c>
      <c r="B38" s="158">
        <v>46104</v>
      </c>
      <c r="C38" s="58" t="str">
        <f t="shared" si="1"/>
        <v>Monday</v>
      </c>
      <c r="D38" s="58" t="s">
        <v>377</v>
      </c>
      <c r="E38" s="58" t="str">
        <f t="shared" si="2"/>
        <v>March</v>
      </c>
      <c r="F38" s="58">
        <v>2026</v>
      </c>
      <c r="G38" s="58">
        <v>3</v>
      </c>
      <c r="H38" s="58" t="s">
        <v>61</v>
      </c>
      <c r="I38" s="159" t="s">
        <v>62</v>
      </c>
      <c r="J38" s="159" t="s">
        <v>360</v>
      </c>
      <c r="K38" s="58" t="s">
        <v>35</v>
      </c>
      <c r="L38" s="2" t="s">
        <v>507</v>
      </c>
      <c r="M38" s="2"/>
      <c r="N38" s="2">
        <f t="shared" si="0"/>
        <v>3</v>
      </c>
      <c r="O38" s="2" t="s">
        <v>87</v>
      </c>
      <c r="P38" s="2"/>
      <c r="Q38" s="2"/>
    </row>
    <row r="39" spans="1:17">
      <c r="A39" s="58">
        <v>29</v>
      </c>
      <c r="B39" s="158">
        <v>46105</v>
      </c>
      <c r="C39" s="58" t="str">
        <f t="shared" si="1"/>
        <v>Tuesday</v>
      </c>
      <c r="D39" s="58" t="s">
        <v>377</v>
      </c>
      <c r="E39" s="58" t="str">
        <f t="shared" si="2"/>
        <v>March</v>
      </c>
      <c r="F39" s="58">
        <v>2026</v>
      </c>
      <c r="G39" s="58">
        <v>3</v>
      </c>
      <c r="H39" s="58" t="s">
        <v>61</v>
      </c>
      <c r="I39" s="159" t="s">
        <v>62</v>
      </c>
      <c r="J39" s="159" t="s">
        <v>360</v>
      </c>
      <c r="K39" s="58" t="s">
        <v>35</v>
      </c>
      <c r="L39" s="2" t="s">
        <v>513</v>
      </c>
      <c r="M39" s="2"/>
      <c r="N39" s="2">
        <f t="shared" si="0"/>
        <v>3</v>
      </c>
      <c r="O39" s="2" t="s">
        <v>87</v>
      </c>
      <c r="P39" s="2"/>
      <c r="Q39" s="2"/>
    </row>
    <row r="40" spans="1:17">
      <c r="A40" s="58">
        <v>30</v>
      </c>
      <c r="B40" s="158">
        <v>46106</v>
      </c>
      <c r="C40" s="58" t="str">
        <f t="shared" si="1"/>
        <v>Wednesday</v>
      </c>
      <c r="D40" s="58" t="s">
        <v>377</v>
      </c>
      <c r="E40" s="58" t="str">
        <f t="shared" si="2"/>
        <v>March</v>
      </c>
      <c r="F40" s="58">
        <v>2026</v>
      </c>
      <c r="G40" s="58">
        <v>3</v>
      </c>
      <c r="H40" s="58" t="s">
        <v>61</v>
      </c>
      <c r="I40" s="159" t="s">
        <v>62</v>
      </c>
      <c r="J40" s="159" t="s">
        <v>360</v>
      </c>
      <c r="K40" s="58" t="s">
        <v>35</v>
      </c>
      <c r="L40" s="2" t="s">
        <v>519</v>
      </c>
      <c r="M40" s="2"/>
      <c r="N40" s="2">
        <f t="shared" si="0"/>
        <v>3</v>
      </c>
      <c r="O40" s="2" t="s">
        <v>87</v>
      </c>
      <c r="P40" s="2"/>
      <c r="Q40" s="2"/>
    </row>
    <row r="41" spans="1:17">
      <c r="A41" s="58">
        <v>31</v>
      </c>
      <c r="B41" s="158">
        <v>46107</v>
      </c>
      <c r="C41" s="58" t="str">
        <f t="shared" si="1"/>
        <v>Thursday</v>
      </c>
      <c r="D41" s="58" t="s">
        <v>377</v>
      </c>
      <c r="E41" s="58" t="str">
        <f t="shared" si="2"/>
        <v>March</v>
      </c>
      <c r="F41" s="58">
        <v>2026</v>
      </c>
      <c r="G41" s="58">
        <v>3</v>
      </c>
      <c r="H41" s="58" t="s">
        <v>61</v>
      </c>
      <c r="I41" s="159" t="s">
        <v>62</v>
      </c>
      <c r="J41" s="159" t="s">
        <v>360</v>
      </c>
      <c r="K41" s="58" t="s">
        <v>35</v>
      </c>
      <c r="L41" s="2" t="s">
        <v>529</v>
      </c>
      <c r="M41" s="2"/>
      <c r="N41" s="2">
        <f t="shared" si="0"/>
        <v>3</v>
      </c>
      <c r="O41" s="2" t="s">
        <v>87</v>
      </c>
      <c r="P41" s="2"/>
      <c r="Q41" s="2"/>
    </row>
    <row r="42" spans="1:17">
      <c r="A42" s="58"/>
      <c r="B42" s="158">
        <v>46118</v>
      </c>
      <c r="C42" s="58" t="str">
        <f t="shared" si="1"/>
        <v>Monday</v>
      </c>
      <c r="D42" s="58" t="s">
        <v>568</v>
      </c>
      <c r="E42" s="58" t="str">
        <f t="shared" si="2"/>
        <v>April</v>
      </c>
      <c r="F42" s="58">
        <v>2026</v>
      </c>
      <c r="G42" s="58">
        <v>3</v>
      </c>
      <c r="H42" s="58" t="s">
        <v>61</v>
      </c>
      <c r="I42" s="159" t="s">
        <v>62</v>
      </c>
      <c r="J42" s="159" t="s">
        <v>360</v>
      </c>
      <c r="K42" s="58" t="s">
        <v>35</v>
      </c>
      <c r="L42" s="162" t="s">
        <v>569</v>
      </c>
      <c r="M42" s="2"/>
      <c r="N42" s="2">
        <f t="shared" si="0"/>
        <v>3</v>
      </c>
      <c r="O42" s="2" t="s">
        <v>169</v>
      </c>
      <c r="P42" s="2"/>
      <c r="Q42" s="2"/>
    </row>
    <row r="43" spans="1:17">
      <c r="A43" s="58"/>
      <c r="B43" s="158">
        <v>46119</v>
      </c>
      <c r="C43" s="58" t="str">
        <f t="shared" si="1"/>
        <v>Tuesday</v>
      </c>
      <c r="D43" s="58" t="s">
        <v>568</v>
      </c>
      <c r="E43" s="58" t="str">
        <f t="shared" si="2"/>
        <v>April</v>
      </c>
      <c r="F43" s="58">
        <v>2026</v>
      </c>
      <c r="G43" s="58">
        <v>3</v>
      </c>
      <c r="H43" s="58" t="s">
        <v>61</v>
      </c>
      <c r="I43" s="159" t="s">
        <v>62</v>
      </c>
      <c r="J43" s="159" t="s">
        <v>360</v>
      </c>
      <c r="K43" s="58" t="s">
        <v>35</v>
      </c>
      <c r="L43" s="162" t="s">
        <v>569</v>
      </c>
      <c r="M43" s="2"/>
      <c r="N43" s="2">
        <f t="shared" si="0"/>
        <v>3</v>
      </c>
      <c r="O43" s="2" t="s">
        <v>169</v>
      </c>
      <c r="P43" s="2"/>
      <c r="Q43" s="2"/>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41959-58B2-4C97-9E14-E8F308181551}">
  <dimension ref="A1:Q44"/>
  <sheetViews>
    <sheetView topLeftCell="A26" workbookViewId="0">
      <selection activeCell="A41" sqref="A41:XFD42"/>
    </sheetView>
  </sheetViews>
  <sheetFormatPr defaultRowHeight="15"/>
  <cols>
    <col min="1" max="1" width="8.85546875" bestFit="1" customWidth="1"/>
    <col min="2" max="2" width="20.5703125" customWidth="1"/>
    <col min="3" max="3" width="25.85546875" customWidth="1"/>
    <col min="4" max="4" width="26.42578125" customWidth="1"/>
    <col min="5" max="5" width="15.42578125" customWidth="1"/>
    <col min="6" max="6" width="8.28515625" customWidth="1"/>
    <col min="7" max="7" width="18.42578125" bestFit="1" customWidth="1"/>
    <col min="8" max="8" width="15.28515625" customWidth="1"/>
    <col min="9" max="9" width="18.5703125" bestFit="1" customWidth="1"/>
    <col min="10" max="10" width="26.28515625" bestFit="1" customWidth="1"/>
    <col min="11" max="11" width="15.85546875" customWidth="1"/>
    <col min="12" max="12" width="74.5703125" customWidth="1"/>
    <col min="13" max="13" width="19.85546875" bestFit="1" customWidth="1"/>
    <col min="14" max="14" width="24.28515625" bestFit="1" customWidth="1"/>
    <col min="15" max="15" width="24.85546875" customWidth="1"/>
    <col min="16" max="17" width="13" bestFit="1" customWidth="1"/>
  </cols>
  <sheetData>
    <row r="1" spans="1:17" ht="17.25">
      <c r="A1" s="132" t="s">
        <v>274</v>
      </c>
      <c r="B1" s="133" t="s">
        <v>275</v>
      </c>
      <c r="C1" s="61" t="s">
        <v>276</v>
      </c>
      <c r="D1" s="134" t="s">
        <v>277</v>
      </c>
      <c r="E1" s="132" t="s">
        <v>0</v>
      </c>
      <c r="F1" s="132" t="s">
        <v>278</v>
      </c>
      <c r="G1" s="132" t="s">
        <v>279</v>
      </c>
      <c r="H1" s="132" t="s">
        <v>1</v>
      </c>
      <c r="I1" s="132" t="s">
        <v>280</v>
      </c>
      <c r="J1" s="132" t="s">
        <v>281</v>
      </c>
      <c r="K1" s="132" t="s">
        <v>3</v>
      </c>
      <c r="L1" s="132" t="s">
        <v>282</v>
      </c>
      <c r="M1" s="105" t="s">
        <v>1023</v>
      </c>
      <c r="N1" s="132" t="s">
        <v>283</v>
      </c>
      <c r="O1" s="132" t="s">
        <v>285</v>
      </c>
      <c r="P1" s="132" t="s">
        <v>286</v>
      </c>
      <c r="Q1" s="132" t="s">
        <v>287</v>
      </c>
    </row>
    <row r="2" spans="1:17">
      <c r="A2" s="58">
        <v>1</v>
      </c>
      <c r="B2" s="158">
        <v>46077</v>
      </c>
      <c r="C2" s="58" t="str">
        <f>TEXT(B2,"dddd")</f>
        <v>Tuesday</v>
      </c>
      <c r="D2" s="58" t="s">
        <v>420</v>
      </c>
      <c r="E2" s="58" t="str">
        <f>TEXT(B2,"mmmm")</f>
        <v>February</v>
      </c>
      <c r="F2" s="58">
        <v>2026</v>
      </c>
      <c r="G2" s="58">
        <v>1</v>
      </c>
      <c r="H2" s="58" t="s">
        <v>61</v>
      </c>
      <c r="I2" s="159" t="s">
        <v>62</v>
      </c>
      <c r="J2" s="159" t="s">
        <v>360</v>
      </c>
      <c r="K2" s="58" t="s">
        <v>37</v>
      </c>
      <c r="L2" s="151" t="s">
        <v>361</v>
      </c>
      <c r="M2" s="2"/>
      <c r="N2" s="2">
        <v>1</v>
      </c>
      <c r="O2" s="2" t="s">
        <v>65</v>
      </c>
      <c r="P2" s="2"/>
      <c r="Q2" s="2"/>
    </row>
    <row r="3" spans="1:17">
      <c r="A3" s="58">
        <v>2</v>
      </c>
      <c r="B3" s="158">
        <v>46090</v>
      </c>
      <c r="C3" s="58" t="str">
        <f t="shared" ref="C3:C41" si="0">TEXT(B3,"dddd")</f>
        <v>Monday</v>
      </c>
      <c r="D3" s="58" t="s">
        <v>451</v>
      </c>
      <c r="E3" s="58" t="str">
        <f t="shared" ref="E3:E41" si="1">TEXT(B3,"mmmm")</f>
        <v>March</v>
      </c>
      <c r="F3" s="58">
        <v>2026</v>
      </c>
      <c r="G3" s="58">
        <v>3</v>
      </c>
      <c r="H3" s="58" t="s">
        <v>61</v>
      </c>
      <c r="I3" s="159" t="s">
        <v>62</v>
      </c>
      <c r="J3" s="159" t="s">
        <v>360</v>
      </c>
      <c r="K3" s="58" t="s">
        <v>37</v>
      </c>
      <c r="L3" s="2" t="s">
        <v>378</v>
      </c>
      <c r="M3" s="2"/>
      <c r="N3" s="2">
        <v>3</v>
      </c>
      <c r="O3" s="2" t="s">
        <v>63</v>
      </c>
      <c r="P3" s="2"/>
      <c r="Q3" s="2"/>
    </row>
    <row r="4" spans="1:17">
      <c r="A4" s="58">
        <v>3</v>
      </c>
      <c r="B4" s="158">
        <v>46091</v>
      </c>
      <c r="C4" s="58" t="str">
        <f t="shared" si="0"/>
        <v>Tuesday</v>
      </c>
      <c r="D4" s="58" t="s">
        <v>451</v>
      </c>
      <c r="E4" s="58" t="str">
        <f t="shared" si="1"/>
        <v>March</v>
      </c>
      <c r="F4" s="58">
        <v>2026</v>
      </c>
      <c r="G4" s="58">
        <v>3</v>
      </c>
      <c r="H4" s="58" t="s">
        <v>61</v>
      </c>
      <c r="I4" s="159" t="s">
        <v>62</v>
      </c>
      <c r="J4" s="159" t="s">
        <v>360</v>
      </c>
      <c r="K4" s="58" t="s">
        <v>37</v>
      </c>
      <c r="L4" s="2" t="s">
        <v>383</v>
      </c>
      <c r="M4" s="2"/>
      <c r="N4" s="2">
        <v>3</v>
      </c>
      <c r="O4" s="2" t="s">
        <v>63</v>
      </c>
      <c r="P4" s="2"/>
      <c r="Q4" s="2"/>
    </row>
    <row r="5" spans="1:17">
      <c r="A5" s="58">
        <v>4</v>
      </c>
      <c r="B5" s="158">
        <v>46092</v>
      </c>
      <c r="C5" s="58" t="str">
        <f t="shared" si="0"/>
        <v>Wednesday</v>
      </c>
      <c r="D5" s="58" t="s">
        <v>451</v>
      </c>
      <c r="E5" s="58" t="str">
        <f t="shared" si="1"/>
        <v>March</v>
      </c>
      <c r="F5" s="58">
        <v>2026</v>
      </c>
      <c r="G5" s="58">
        <v>3</v>
      </c>
      <c r="H5" s="58" t="s">
        <v>61</v>
      </c>
      <c r="I5" s="159" t="s">
        <v>62</v>
      </c>
      <c r="J5" s="159" t="s">
        <v>360</v>
      </c>
      <c r="K5" s="58" t="s">
        <v>37</v>
      </c>
      <c r="L5" s="2" t="s">
        <v>384</v>
      </c>
      <c r="M5" s="2"/>
      <c r="N5" s="2">
        <v>3</v>
      </c>
      <c r="O5" s="2" t="s">
        <v>63</v>
      </c>
      <c r="P5" s="2"/>
      <c r="Q5" s="2"/>
    </row>
    <row r="6" spans="1:17">
      <c r="A6" s="58">
        <v>5</v>
      </c>
      <c r="B6" s="158">
        <v>46093</v>
      </c>
      <c r="C6" s="58" t="str">
        <f t="shared" si="0"/>
        <v>Thursday</v>
      </c>
      <c r="D6" s="58" t="s">
        <v>451</v>
      </c>
      <c r="E6" s="58" t="str">
        <f t="shared" si="1"/>
        <v>March</v>
      </c>
      <c r="F6" s="58">
        <v>2026</v>
      </c>
      <c r="G6" s="58">
        <v>3</v>
      </c>
      <c r="H6" s="58" t="s">
        <v>61</v>
      </c>
      <c r="I6" s="159" t="s">
        <v>62</v>
      </c>
      <c r="J6" s="159" t="s">
        <v>360</v>
      </c>
      <c r="K6" s="58" t="s">
        <v>37</v>
      </c>
      <c r="L6" s="2" t="s">
        <v>387</v>
      </c>
      <c r="M6" s="2"/>
      <c r="N6" s="2">
        <v>3</v>
      </c>
      <c r="O6" s="2" t="s">
        <v>63</v>
      </c>
      <c r="P6" s="2"/>
      <c r="Q6" s="2"/>
    </row>
    <row r="7" spans="1:17">
      <c r="A7" s="58">
        <v>6</v>
      </c>
      <c r="B7" s="158">
        <v>46094</v>
      </c>
      <c r="C7" s="58" t="str">
        <f t="shared" si="0"/>
        <v>Friday</v>
      </c>
      <c r="D7" s="58" t="s">
        <v>451</v>
      </c>
      <c r="E7" s="58" t="str">
        <f t="shared" si="1"/>
        <v>March</v>
      </c>
      <c r="F7" s="58">
        <v>2026</v>
      </c>
      <c r="G7" s="58">
        <v>3</v>
      </c>
      <c r="H7" s="58" t="s">
        <v>61</v>
      </c>
      <c r="I7" s="159" t="s">
        <v>62</v>
      </c>
      <c r="J7" s="159" t="s">
        <v>360</v>
      </c>
      <c r="K7" s="58" t="s">
        <v>37</v>
      </c>
      <c r="L7" s="2" t="s">
        <v>390</v>
      </c>
      <c r="M7" s="2"/>
      <c r="N7" s="2">
        <v>3</v>
      </c>
      <c r="O7" s="2" t="s">
        <v>63</v>
      </c>
      <c r="P7" s="2"/>
      <c r="Q7" s="2"/>
    </row>
    <row r="8" spans="1:17">
      <c r="A8" s="58"/>
      <c r="B8" s="158">
        <v>46097</v>
      </c>
      <c r="C8" s="58" t="str">
        <f t="shared" si="0"/>
        <v>Monday</v>
      </c>
      <c r="D8" s="58" t="s">
        <v>451</v>
      </c>
      <c r="E8" s="58" t="str">
        <f t="shared" si="1"/>
        <v>March</v>
      </c>
      <c r="F8" s="58">
        <v>2026</v>
      </c>
      <c r="G8" s="58">
        <v>3</v>
      </c>
      <c r="H8" s="58" t="s">
        <v>61</v>
      </c>
      <c r="I8" s="159" t="s">
        <v>62</v>
      </c>
      <c r="J8" s="159" t="s">
        <v>360</v>
      </c>
      <c r="K8" s="58" t="s">
        <v>37</v>
      </c>
      <c r="L8" s="2" t="s">
        <v>489</v>
      </c>
      <c r="M8" s="2"/>
      <c r="N8" s="2">
        <v>3</v>
      </c>
      <c r="O8" s="2" t="s">
        <v>63</v>
      </c>
      <c r="P8" s="2"/>
      <c r="Q8" s="2"/>
    </row>
    <row r="9" spans="1:17">
      <c r="A9" s="58">
        <v>7</v>
      </c>
      <c r="B9" s="158">
        <v>46098</v>
      </c>
      <c r="C9" s="58" t="str">
        <f t="shared" si="0"/>
        <v>Tuesday</v>
      </c>
      <c r="D9" s="58" t="s">
        <v>451</v>
      </c>
      <c r="E9" s="58" t="str">
        <f t="shared" si="1"/>
        <v>March</v>
      </c>
      <c r="F9" s="58">
        <v>2026</v>
      </c>
      <c r="G9" s="58">
        <v>3</v>
      </c>
      <c r="H9" s="58" t="s">
        <v>61</v>
      </c>
      <c r="I9" s="159" t="s">
        <v>62</v>
      </c>
      <c r="J9" s="159" t="s">
        <v>360</v>
      </c>
      <c r="K9" s="58" t="s">
        <v>37</v>
      </c>
      <c r="L9" s="2" t="s">
        <v>393</v>
      </c>
      <c r="M9" s="2"/>
      <c r="N9" s="2">
        <v>3</v>
      </c>
      <c r="O9" s="2" t="s">
        <v>112</v>
      </c>
      <c r="P9" s="2"/>
      <c r="Q9" s="2"/>
    </row>
    <row r="10" spans="1:17">
      <c r="A10" s="58">
        <v>8</v>
      </c>
      <c r="B10" s="158">
        <v>46099</v>
      </c>
      <c r="C10" s="58" t="str">
        <f t="shared" si="0"/>
        <v>Wednesday</v>
      </c>
      <c r="D10" s="58" t="s">
        <v>451</v>
      </c>
      <c r="E10" s="58" t="str">
        <f t="shared" si="1"/>
        <v>March</v>
      </c>
      <c r="F10" s="58">
        <v>2026</v>
      </c>
      <c r="G10" s="58">
        <v>3</v>
      </c>
      <c r="H10" s="58" t="s">
        <v>61</v>
      </c>
      <c r="I10" s="159" t="s">
        <v>62</v>
      </c>
      <c r="J10" s="159" t="s">
        <v>360</v>
      </c>
      <c r="K10" s="58" t="s">
        <v>37</v>
      </c>
      <c r="L10" s="2" t="s">
        <v>394</v>
      </c>
      <c r="M10" s="2"/>
      <c r="N10" s="2">
        <v>3</v>
      </c>
      <c r="O10" s="2" t="s">
        <v>112</v>
      </c>
      <c r="P10" s="2"/>
      <c r="Q10" s="2"/>
    </row>
    <row r="11" spans="1:17">
      <c r="A11" s="58">
        <v>9</v>
      </c>
      <c r="B11" s="158">
        <v>46100</v>
      </c>
      <c r="C11" s="58" t="str">
        <f t="shared" si="0"/>
        <v>Thursday</v>
      </c>
      <c r="D11" s="58" t="s">
        <v>451</v>
      </c>
      <c r="E11" s="58" t="str">
        <f t="shared" si="1"/>
        <v>March</v>
      </c>
      <c r="F11" s="58">
        <v>2026</v>
      </c>
      <c r="G11" s="58">
        <v>3</v>
      </c>
      <c r="H11" s="58" t="s">
        <v>61</v>
      </c>
      <c r="I11" s="159" t="s">
        <v>62</v>
      </c>
      <c r="J11" s="159" t="s">
        <v>360</v>
      </c>
      <c r="K11" s="58" t="s">
        <v>37</v>
      </c>
      <c r="L11" s="2" t="s">
        <v>397</v>
      </c>
      <c r="M11" s="2"/>
      <c r="N11" s="2">
        <v>3</v>
      </c>
      <c r="O11" s="2" t="s">
        <v>112</v>
      </c>
      <c r="P11" s="2"/>
      <c r="Q11" s="2"/>
    </row>
    <row r="12" spans="1:17">
      <c r="A12" s="58">
        <v>10</v>
      </c>
      <c r="B12" s="158">
        <v>46101</v>
      </c>
      <c r="C12" s="58" t="str">
        <f t="shared" si="0"/>
        <v>Friday</v>
      </c>
      <c r="D12" s="58" t="s">
        <v>451</v>
      </c>
      <c r="E12" s="58" t="str">
        <f t="shared" si="1"/>
        <v>March</v>
      </c>
      <c r="F12" s="58">
        <v>2026</v>
      </c>
      <c r="G12" s="58">
        <v>3</v>
      </c>
      <c r="H12" s="58" t="s">
        <v>61</v>
      </c>
      <c r="I12" s="159" t="s">
        <v>62</v>
      </c>
      <c r="J12" s="159" t="s">
        <v>360</v>
      </c>
      <c r="K12" s="58" t="s">
        <v>37</v>
      </c>
      <c r="L12" s="2" t="s">
        <v>405</v>
      </c>
      <c r="M12" s="2"/>
      <c r="N12" s="2">
        <v>3</v>
      </c>
      <c r="O12" s="2" t="s">
        <v>112</v>
      </c>
      <c r="P12" s="2"/>
      <c r="Q12" s="2"/>
    </row>
    <row r="13" spans="1:17">
      <c r="A13" s="58">
        <v>11</v>
      </c>
      <c r="B13" s="158">
        <v>46104</v>
      </c>
      <c r="C13" s="58" t="str">
        <f t="shared" si="0"/>
        <v>Monday</v>
      </c>
      <c r="D13" s="58" t="s">
        <v>451</v>
      </c>
      <c r="E13" s="58" t="str">
        <f t="shared" si="1"/>
        <v>March</v>
      </c>
      <c r="F13" s="58">
        <v>2026</v>
      </c>
      <c r="G13" s="58">
        <v>3</v>
      </c>
      <c r="H13" s="58" t="s">
        <v>61</v>
      </c>
      <c r="I13" s="159" t="s">
        <v>62</v>
      </c>
      <c r="J13" s="159" t="s">
        <v>360</v>
      </c>
      <c r="K13" s="58" t="s">
        <v>37</v>
      </c>
      <c r="L13" s="2" t="s">
        <v>407</v>
      </c>
      <c r="M13" s="2"/>
      <c r="N13" s="2">
        <v>3</v>
      </c>
      <c r="O13" s="2" t="s">
        <v>112</v>
      </c>
      <c r="P13" s="2"/>
      <c r="Q13" s="2"/>
    </row>
    <row r="14" spans="1:17">
      <c r="A14" s="58">
        <v>12</v>
      </c>
      <c r="B14" s="158">
        <v>46105</v>
      </c>
      <c r="C14" s="58" t="str">
        <f t="shared" si="0"/>
        <v>Tuesday</v>
      </c>
      <c r="D14" s="58" t="s">
        <v>451</v>
      </c>
      <c r="E14" s="58" t="str">
        <f t="shared" si="1"/>
        <v>March</v>
      </c>
      <c r="F14" s="58">
        <v>2026</v>
      </c>
      <c r="G14" s="58">
        <v>3</v>
      </c>
      <c r="H14" s="58" t="s">
        <v>61</v>
      </c>
      <c r="I14" s="159" t="s">
        <v>62</v>
      </c>
      <c r="J14" s="159" t="s">
        <v>360</v>
      </c>
      <c r="K14" s="58" t="s">
        <v>37</v>
      </c>
      <c r="L14" s="2" t="s">
        <v>410</v>
      </c>
      <c r="M14" s="2"/>
      <c r="N14" s="2">
        <v>3</v>
      </c>
      <c r="O14" s="2" t="s">
        <v>112</v>
      </c>
      <c r="P14" s="2"/>
      <c r="Q14" s="2"/>
    </row>
    <row r="15" spans="1:17">
      <c r="A15" s="58"/>
      <c r="B15" s="158">
        <v>46106</v>
      </c>
      <c r="C15" s="58" t="str">
        <f>TEXT(B15,"dddd")</f>
        <v>Wednesday</v>
      </c>
      <c r="D15" s="58" t="s">
        <v>451</v>
      </c>
      <c r="E15" s="58" t="str">
        <f>TEXT(B15,"mmmm")</f>
        <v>March</v>
      </c>
      <c r="F15" s="58">
        <v>2026</v>
      </c>
      <c r="G15" s="58">
        <v>3</v>
      </c>
      <c r="H15" s="58" t="s">
        <v>61</v>
      </c>
      <c r="I15" s="159" t="s">
        <v>62</v>
      </c>
      <c r="J15" s="159" t="s">
        <v>360</v>
      </c>
      <c r="K15" s="58" t="s">
        <v>37</v>
      </c>
      <c r="L15" s="2" t="s">
        <v>530</v>
      </c>
      <c r="M15" s="2"/>
      <c r="N15" s="2"/>
      <c r="O15" s="2" t="s">
        <v>112</v>
      </c>
      <c r="P15" s="2"/>
      <c r="Q15" s="2"/>
    </row>
    <row r="16" spans="1:17">
      <c r="A16" s="58"/>
      <c r="B16" s="158">
        <v>46107</v>
      </c>
      <c r="C16" s="58" t="str">
        <f>TEXT(B16,"dddd")</f>
        <v>Thursday</v>
      </c>
      <c r="D16" s="58" t="s">
        <v>451</v>
      </c>
      <c r="E16" s="58" t="str">
        <f>TEXT(B16,"mmmm")</f>
        <v>March</v>
      </c>
      <c r="F16" s="58">
        <v>2026</v>
      </c>
      <c r="G16" s="58">
        <v>3</v>
      </c>
      <c r="H16" s="58" t="s">
        <v>61</v>
      </c>
      <c r="I16" s="159" t="s">
        <v>62</v>
      </c>
      <c r="J16" s="159" t="s">
        <v>360</v>
      </c>
      <c r="K16" s="58" t="s">
        <v>37</v>
      </c>
      <c r="L16" s="2" t="s">
        <v>533</v>
      </c>
      <c r="M16" s="2"/>
      <c r="N16" s="2"/>
      <c r="O16" s="2" t="s">
        <v>112</v>
      </c>
      <c r="P16" s="2"/>
      <c r="Q16" s="2"/>
    </row>
    <row r="17" spans="1:17">
      <c r="A17" s="58"/>
      <c r="B17" s="158">
        <v>46108</v>
      </c>
      <c r="C17" s="58" t="str">
        <f>TEXT(B17,"dddd")</f>
        <v>Friday</v>
      </c>
      <c r="D17" s="58" t="s">
        <v>451</v>
      </c>
      <c r="E17" s="58" t="str">
        <f>TEXT(B17,"mmmm")</f>
        <v>March</v>
      </c>
      <c r="F17" s="58">
        <v>2026</v>
      </c>
      <c r="G17" s="58">
        <v>3</v>
      </c>
      <c r="H17" s="58" t="s">
        <v>61</v>
      </c>
      <c r="I17" s="159" t="s">
        <v>62</v>
      </c>
      <c r="J17" s="159" t="s">
        <v>360</v>
      </c>
      <c r="K17" s="58" t="s">
        <v>37</v>
      </c>
      <c r="L17" s="2" t="s">
        <v>538</v>
      </c>
      <c r="M17" s="2"/>
      <c r="N17" s="2"/>
      <c r="O17" s="2" t="s">
        <v>112</v>
      </c>
      <c r="P17" s="2"/>
      <c r="Q17" s="2"/>
    </row>
    <row r="18" spans="1:17" ht="30.75">
      <c r="A18" s="58">
        <v>13</v>
      </c>
      <c r="B18" s="158">
        <v>46111</v>
      </c>
      <c r="C18" s="58" t="str">
        <f t="shared" si="0"/>
        <v>Monday</v>
      </c>
      <c r="D18" s="58" t="s">
        <v>451</v>
      </c>
      <c r="E18" s="58" t="str">
        <f t="shared" si="1"/>
        <v>March</v>
      </c>
      <c r="F18" s="58">
        <v>2026</v>
      </c>
      <c r="G18" s="58">
        <v>3</v>
      </c>
      <c r="H18" s="58" t="s">
        <v>61</v>
      </c>
      <c r="I18" s="159" t="s">
        <v>62</v>
      </c>
      <c r="J18" s="159" t="s">
        <v>360</v>
      </c>
      <c r="K18" s="58" t="s">
        <v>37</v>
      </c>
      <c r="L18" s="142" t="s">
        <v>411</v>
      </c>
      <c r="M18" s="2"/>
      <c r="N18" s="2">
        <v>3</v>
      </c>
      <c r="O18" s="41" t="s">
        <v>29</v>
      </c>
      <c r="P18" s="2"/>
      <c r="Q18" s="2"/>
    </row>
    <row r="19" spans="1:17" ht="17.25">
      <c r="A19" s="58">
        <v>14</v>
      </c>
      <c r="B19" s="158">
        <v>46112</v>
      </c>
      <c r="C19" s="58" t="str">
        <f t="shared" si="0"/>
        <v>Tuesday</v>
      </c>
      <c r="D19" s="58" t="s">
        <v>451</v>
      </c>
      <c r="E19" s="58" t="str">
        <f t="shared" si="1"/>
        <v>March</v>
      </c>
      <c r="F19" s="58">
        <v>2026</v>
      </c>
      <c r="G19" s="58">
        <v>3</v>
      </c>
      <c r="H19" s="58" t="s">
        <v>61</v>
      </c>
      <c r="I19" s="159" t="s">
        <v>62</v>
      </c>
      <c r="J19" s="159" t="s">
        <v>360</v>
      </c>
      <c r="K19" s="58" t="s">
        <v>37</v>
      </c>
      <c r="L19" s="142" t="s">
        <v>415</v>
      </c>
      <c r="M19" s="2"/>
      <c r="N19" s="2">
        <v>3</v>
      </c>
      <c r="O19" s="41" t="s">
        <v>112</v>
      </c>
      <c r="P19" s="40"/>
      <c r="Q19" s="2"/>
    </row>
    <row r="20" spans="1:17">
      <c r="A20" s="58">
        <v>15</v>
      </c>
      <c r="B20" s="158">
        <v>46113</v>
      </c>
      <c r="C20" s="58" t="str">
        <f t="shared" si="0"/>
        <v>Wednesday</v>
      </c>
      <c r="D20" s="58" t="s">
        <v>451</v>
      </c>
      <c r="E20" s="58" t="str">
        <f t="shared" si="1"/>
        <v>April</v>
      </c>
      <c r="F20" s="58">
        <v>2026</v>
      </c>
      <c r="G20" s="58">
        <v>3</v>
      </c>
      <c r="H20" s="58" t="s">
        <v>61</v>
      </c>
      <c r="I20" s="159" t="s">
        <v>62</v>
      </c>
      <c r="J20" s="159" t="s">
        <v>360</v>
      </c>
      <c r="K20" s="58" t="s">
        <v>37</v>
      </c>
      <c r="L20" s="142" t="s">
        <v>419</v>
      </c>
      <c r="M20" s="2"/>
      <c r="N20" s="2">
        <v>3</v>
      </c>
      <c r="O20" s="41" t="s">
        <v>112</v>
      </c>
      <c r="P20" s="2"/>
      <c r="Q20" s="2"/>
    </row>
    <row r="21" spans="1:17">
      <c r="A21" s="58">
        <v>16</v>
      </c>
      <c r="B21" s="158">
        <v>46114</v>
      </c>
      <c r="C21" s="58" t="str">
        <f t="shared" si="0"/>
        <v>Thursday</v>
      </c>
      <c r="D21" s="58" t="s">
        <v>451</v>
      </c>
      <c r="E21" s="58" t="str">
        <f t="shared" si="1"/>
        <v>April</v>
      </c>
      <c r="F21" s="58">
        <v>2026</v>
      </c>
      <c r="G21" s="58">
        <v>3</v>
      </c>
      <c r="H21" s="58" t="s">
        <v>61</v>
      </c>
      <c r="I21" s="159" t="s">
        <v>62</v>
      </c>
      <c r="J21" s="159" t="s">
        <v>360</v>
      </c>
      <c r="K21" s="58" t="s">
        <v>37</v>
      </c>
      <c r="L21" s="142" t="s">
        <v>422</v>
      </c>
      <c r="M21" s="2"/>
      <c r="N21" s="2">
        <v>3</v>
      </c>
      <c r="O21" s="41" t="s">
        <v>112</v>
      </c>
      <c r="P21" s="2"/>
      <c r="Q21" s="2"/>
    </row>
    <row r="22" spans="1:17">
      <c r="A22" s="58">
        <v>17</v>
      </c>
      <c r="B22" s="158">
        <v>46118</v>
      </c>
      <c r="C22" s="58" t="str">
        <f t="shared" si="0"/>
        <v>Monday</v>
      </c>
      <c r="D22" s="58" t="s">
        <v>451</v>
      </c>
      <c r="E22" s="58" t="str">
        <f t="shared" si="1"/>
        <v>April</v>
      </c>
      <c r="F22" s="58">
        <v>2026</v>
      </c>
      <c r="G22" s="58">
        <v>3</v>
      </c>
      <c r="H22" s="58" t="s">
        <v>61</v>
      </c>
      <c r="I22" s="159" t="s">
        <v>62</v>
      </c>
      <c r="J22" s="159" t="s">
        <v>360</v>
      </c>
      <c r="K22" s="58" t="s">
        <v>37</v>
      </c>
      <c r="L22" s="142" t="s">
        <v>424</v>
      </c>
      <c r="M22" s="2"/>
      <c r="N22" s="2">
        <v>3</v>
      </c>
      <c r="O22" s="41" t="s">
        <v>112</v>
      </c>
      <c r="P22" s="2"/>
      <c r="Q22" s="2"/>
    </row>
    <row r="23" spans="1:17">
      <c r="A23" s="58">
        <v>18</v>
      </c>
      <c r="B23" s="158">
        <v>46119</v>
      </c>
      <c r="C23" s="58" t="str">
        <f t="shared" si="0"/>
        <v>Tuesday</v>
      </c>
      <c r="D23" s="58" t="s">
        <v>451</v>
      </c>
      <c r="E23" s="58" t="str">
        <f t="shared" si="1"/>
        <v>April</v>
      </c>
      <c r="F23" s="58">
        <v>2026</v>
      </c>
      <c r="G23" s="58">
        <v>3</v>
      </c>
      <c r="H23" s="58" t="s">
        <v>61</v>
      </c>
      <c r="I23" s="159" t="s">
        <v>62</v>
      </c>
      <c r="J23" s="159" t="s">
        <v>360</v>
      </c>
      <c r="K23" s="58" t="s">
        <v>37</v>
      </c>
      <c r="L23" s="142" t="s">
        <v>428</v>
      </c>
      <c r="M23" s="2"/>
      <c r="N23" s="2">
        <v>3</v>
      </c>
      <c r="O23" s="41" t="s">
        <v>112</v>
      </c>
      <c r="P23" s="2"/>
      <c r="Q23" s="2"/>
    </row>
    <row r="24" spans="1:17">
      <c r="A24" s="58">
        <v>19</v>
      </c>
      <c r="B24" s="158">
        <v>46120</v>
      </c>
      <c r="C24" s="58" t="str">
        <f t="shared" si="0"/>
        <v>Wednesday</v>
      </c>
      <c r="D24" s="58" t="s">
        <v>451</v>
      </c>
      <c r="E24" s="58" t="str">
        <f t="shared" si="1"/>
        <v>April</v>
      </c>
      <c r="F24" s="58">
        <v>2026</v>
      </c>
      <c r="G24" s="58">
        <v>3</v>
      </c>
      <c r="H24" s="58" t="s">
        <v>61</v>
      </c>
      <c r="I24" s="159" t="s">
        <v>62</v>
      </c>
      <c r="J24" s="159" t="s">
        <v>360</v>
      </c>
      <c r="K24" s="58" t="s">
        <v>37</v>
      </c>
      <c r="L24" s="142" t="s">
        <v>429</v>
      </c>
      <c r="M24" s="2"/>
      <c r="N24" s="2">
        <v>3</v>
      </c>
      <c r="O24" s="41" t="s">
        <v>112</v>
      </c>
      <c r="P24" s="2"/>
      <c r="Q24" s="2"/>
    </row>
    <row r="25" spans="1:17">
      <c r="A25" s="58"/>
      <c r="B25" s="158">
        <v>46121</v>
      </c>
      <c r="C25" s="58" t="str">
        <f t="shared" si="0"/>
        <v>Thursday</v>
      </c>
      <c r="D25" s="58" t="s">
        <v>451</v>
      </c>
      <c r="E25" s="58" t="str">
        <f t="shared" si="1"/>
        <v>April</v>
      </c>
      <c r="F25" s="58">
        <v>2026</v>
      </c>
      <c r="G25" s="58">
        <v>3</v>
      </c>
      <c r="H25" s="58" t="s">
        <v>61</v>
      </c>
      <c r="I25" s="159" t="s">
        <v>62</v>
      </c>
      <c r="J25" s="159" t="s">
        <v>360</v>
      </c>
      <c r="K25" s="58" t="s">
        <v>37</v>
      </c>
      <c r="L25" s="156" t="s">
        <v>417</v>
      </c>
      <c r="M25" s="2"/>
      <c r="N25" s="2">
        <v>3</v>
      </c>
      <c r="O25" s="41" t="s">
        <v>112</v>
      </c>
      <c r="P25" s="2"/>
      <c r="Q25" s="2"/>
    </row>
    <row r="26" spans="1:17">
      <c r="A26" s="58">
        <v>20</v>
      </c>
      <c r="B26" s="158">
        <v>46122</v>
      </c>
      <c r="C26" s="58" t="str">
        <f t="shared" si="0"/>
        <v>Friday</v>
      </c>
      <c r="D26" s="58" t="s">
        <v>451</v>
      </c>
      <c r="E26" s="58" t="str">
        <f t="shared" si="1"/>
        <v>April</v>
      </c>
      <c r="F26" s="58">
        <v>2026</v>
      </c>
      <c r="G26" s="58">
        <v>3</v>
      </c>
      <c r="H26" s="58" t="s">
        <v>61</v>
      </c>
      <c r="I26" s="159" t="s">
        <v>62</v>
      </c>
      <c r="J26" s="159" t="s">
        <v>360</v>
      </c>
      <c r="K26" s="58" t="s">
        <v>37</v>
      </c>
      <c r="L26" s="142" t="s">
        <v>436</v>
      </c>
      <c r="M26" s="2"/>
      <c r="N26" s="2">
        <v>3</v>
      </c>
      <c r="O26" s="41" t="s">
        <v>112</v>
      </c>
      <c r="P26" s="2"/>
      <c r="Q26" s="2"/>
    </row>
    <row r="27" spans="1:17">
      <c r="A27" s="58">
        <v>21</v>
      </c>
      <c r="B27" s="158">
        <v>46125</v>
      </c>
      <c r="C27" s="58" t="str">
        <f t="shared" si="0"/>
        <v>Monday</v>
      </c>
      <c r="D27" s="58" t="s">
        <v>451</v>
      </c>
      <c r="E27" s="58" t="str">
        <f t="shared" si="1"/>
        <v>April</v>
      </c>
      <c r="F27" s="58">
        <v>2026</v>
      </c>
      <c r="G27" s="58">
        <v>3</v>
      </c>
      <c r="H27" s="58" t="s">
        <v>61</v>
      </c>
      <c r="I27" s="159" t="s">
        <v>62</v>
      </c>
      <c r="J27" s="159" t="s">
        <v>360</v>
      </c>
      <c r="K27" s="58" t="s">
        <v>37</v>
      </c>
      <c r="L27" s="142" t="s">
        <v>443</v>
      </c>
      <c r="M27" s="2"/>
      <c r="N27" s="2">
        <v>3</v>
      </c>
      <c r="O27" s="41" t="s">
        <v>112</v>
      </c>
      <c r="P27" s="2"/>
      <c r="Q27" s="2"/>
    </row>
    <row r="28" spans="1:17" ht="30.75">
      <c r="A28" s="58">
        <v>22</v>
      </c>
      <c r="B28" s="158">
        <v>46126</v>
      </c>
      <c r="C28" s="58" t="str">
        <f t="shared" si="0"/>
        <v>Tuesday</v>
      </c>
      <c r="D28" s="58" t="s">
        <v>451</v>
      </c>
      <c r="E28" s="58" t="str">
        <f t="shared" si="1"/>
        <v>April</v>
      </c>
      <c r="F28" s="58">
        <v>2026</v>
      </c>
      <c r="G28" s="58">
        <v>3</v>
      </c>
      <c r="H28" s="58" t="s">
        <v>61</v>
      </c>
      <c r="I28" s="159" t="s">
        <v>62</v>
      </c>
      <c r="J28" s="159" t="s">
        <v>360</v>
      </c>
      <c r="K28" s="58" t="s">
        <v>37</v>
      </c>
      <c r="L28" s="142" t="s">
        <v>450</v>
      </c>
      <c r="M28" s="2"/>
      <c r="N28" s="2">
        <v>3</v>
      </c>
      <c r="O28" s="41" t="s">
        <v>112</v>
      </c>
      <c r="P28" s="2"/>
      <c r="Q28" s="2"/>
    </row>
    <row r="29" spans="1:17">
      <c r="A29" s="58">
        <v>23</v>
      </c>
      <c r="B29" s="158">
        <v>46127</v>
      </c>
      <c r="C29" s="58" t="str">
        <f t="shared" si="0"/>
        <v>Wednesday</v>
      </c>
      <c r="D29" s="58" t="s">
        <v>451</v>
      </c>
      <c r="E29" s="58" t="str">
        <f t="shared" si="1"/>
        <v>April</v>
      </c>
      <c r="F29" s="58">
        <v>2026</v>
      </c>
      <c r="G29" s="58">
        <v>3</v>
      </c>
      <c r="H29" s="58" t="s">
        <v>61</v>
      </c>
      <c r="I29" s="159" t="s">
        <v>62</v>
      </c>
      <c r="J29" s="159" t="s">
        <v>360</v>
      </c>
      <c r="K29" s="58" t="s">
        <v>37</v>
      </c>
      <c r="L29" s="142" t="s">
        <v>459</v>
      </c>
      <c r="M29" s="2"/>
      <c r="N29" s="2">
        <v>3</v>
      </c>
      <c r="O29" s="41" t="s">
        <v>112</v>
      </c>
      <c r="P29" s="2"/>
      <c r="Q29" s="2"/>
    </row>
    <row r="30" spans="1:17">
      <c r="A30" s="58">
        <v>24</v>
      </c>
      <c r="B30" s="158">
        <v>46128</v>
      </c>
      <c r="C30" s="58" t="str">
        <f t="shared" si="0"/>
        <v>Thursday</v>
      </c>
      <c r="D30" s="58" t="s">
        <v>451</v>
      </c>
      <c r="E30" s="58" t="str">
        <f t="shared" si="1"/>
        <v>April</v>
      </c>
      <c r="F30" s="58">
        <v>2026</v>
      </c>
      <c r="G30" s="58">
        <v>3</v>
      </c>
      <c r="H30" s="58" t="s">
        <v>61</v>
      </c>
      <c r="I30" s="159" t="s">
        <v>62</v>
      </c>
      <c r="J30" s="159" t="s">
        <v>360</v>
      </c>
      <c r="K30" s="58" t="s">
        <v>37</v>
      </c>
      <c r="L30" s="142" t="s">
        <v>466</v>
      </c>
      <c r="M30" s="2"/>
      <c r="N30" s="2">
        <v>3</v>
      </c>
      <c r="O30" s="41" t="s">
        <v>112</v>
      </c>
      <c r="P30" s="2"/>
      <c r="Q30" s="2"/>
    </row>
    <row r="31" spans="1:17">
      <c r="A31" s="58">
        <v>25</v>
      </c>
      <c r="B31" s="158">
        <v>46129</v>
      </c>
      <c r="C31" s="58" t="str">
        <f t="shared" si="0"/>
        <v>Friday</v>
      </c>
      <c r="D31" s="58" t="s">
        <v>451</v>
      </c>
      <c r="E31" s="58" t="str">
        <f t="shared" si="1"/>
        <v>April</v>
      </c>
      <c r="F31" s="58">
        <v>2026</v>
      </c>
      <c r="G31" s="58">
        <v>3</v>
      </c>
      <c r="H31" s="58" t="s">
        <v>61</v>
      </c>
      <c r="I31" s="159" t="s">
        <v>62</v>
      </c>
      <c r="J31" s="159" t="s">
        <v>360</v>
      </c>
      <c r="K31" s="58" t="s">
        <v>37</v>
      </c>
      <c r="L31" s="142" t="s">
        <v>469</v>
      </c>
      <c r="M31" s="2"/>
      <c r="N31" s="2">
        <v>3</v>
      </c>
      <c r="O31" s="41" t="s">
        <v>112</v>
      </c>
      <c r="P31" s="2"/>
      <c r="Q31" s="2"/>
    </row>
    <row r="32" spans="1:17">
      <c r="A32" s="58"/>
      <c r="B32" s="158">
        <v>46132</v>
      </c>
      <c r="C32" s="58" t="str">
        <f>TEXT(B32,"dddd")</f>
        <v>Monday</v>
      </c>
      <c r="D32" s="58" t="s">
        <v>451</v>
      </c>
      <c r="E32" s="58" t="str">
        <f>TEXT(B32,"mmmm")</f>
        <v>April</v>
      </c>
      <c r="F32" s="58">
        <v>2026</v>
      </c>
      <c r="G32" s="58"/>
      <c r="H32" s="58" t="s">
        <v>61</v>
      </c>
      <c r="I32" s="159" t="s">
        <v>62</v>
      </c>
      <c r="J32" s="159" t="s">
        <v>360</v>
      </c>
      <c r="K32" s="58" t="s">
        <v>37</v>
      </c>
      <c r="L32" s="144" t="s">
        <v>391</v>
      </c>
      <c r="M32" s="2"/>
      <c r="N32" s="2">
        <v>3</v>
      </c>
      <c r="O32" s="41"/>
      <c r="P32" s="2"/>
      <c r="Q32" s="2"/>
    </row>
    <row r="33" spans="1:17">
      <c r="A33" s="58"/>
      <c r="B33" s="158">
        <v>46133</v>
      </c>
      <c r="C33" s="58" t="str">
        <f t="shared" si="0"/>
        <v>Tuesday</v>
      </c>
      <c r="D33" s="58" t="s">
        <v>451</v>
      </c>
      <c r="E33" s="58" t="str">
        <f t="shared" si="1"/>
        <v>April</v>
      </c>
      <c r="F33" s="58">
        <v>2026</v>
      </c>
      <c r="G33" s="58">
        <v>3</v>
      </c>
      <c r="H33" s="58" t="s">
        <v>61</v>
      </c>
      <c r="I33" s="159" t="s">
        <v>62</v>
      </c>
      <c r="J33" s="159" t="s">
        <v>360</v>
      </c>
      <c r="K33" s="58" t="s">
        <v>37</v>
      </c>
      <c r="L33" s="156" t="s">
        <v>487</v>
      </c>
      <c r="M33" s="2"/>
      <c r="N33" s="2"/>
      <c r="O33" s="41" t="s">
        <v>112</v>
      </c>
      <c r="P33" s="2"/>
      <c r="Q33" s="2"/>
    </row>
    <row r="34" spans="1:17">
      <c r="A34" s="58"/>
      <c r="B34" s="158">
        <v>46134</v>
      </c>
      <c r="C34" s="58" t="str">
        <f t="shared" si="0"/>
        <v>Wednesday</v>
      </c>
      <c r="D34" s="58"/>
      <c r="E34" s="58" t="str">
        <f t="shared" si="1"/>
        <v>April</v>
      </c>
      <c r="F34" s="58">
        <v>2026</v>
      </c>
      <c r="G34" s="58">
        <v>3</v>
      </c>
      <c r="H34" s="58" t="s">
        <v>61</v>
      </c>
      <c r="I34" s="159" t="s">
        <v>62</v>
      </c>
      <c r="J34" s="159" t="s">
        <v>360</v>
      </c>
      <c r="K34" s="58" t="s">
        <v>37</v>
      </c>
      <c r="L34" s="156" t="s">
        <v>630</v>
      </c>
      <c r="M34" s="2"/>
      <c r="N34" s="2">
        <v>3</v>
      </c>
      <c r="O34" s="41" t="s">
        <v>112</v>
      </c>
      <c r="P34" s="2"/>
      <c r="Q34" s="2"/>
    </row>
    <row r="35" spans="1:17">
      <c r="A35" s="58"/>
      <c r="B35" s="158">
        <v>46135</v>
      </c>
      <c r="C35" s="58" t="str">
        <f>TEXT(B35,"dddd")</f>
        <v>Thursday</v>
      </c>
      <c r="D35" s="58" t="s">
        <v>451</v>
      </c>
      <c r="E35" s="58" t="str">
        <f>TEXT(B35,"mmmm")</f>
        <v>April</v>
      </c>
      <c r="F35" s="58">
        <v>2026</v>
      </c>
      <c r="G35" s="58">
        <v>3</v>
      </c>
      <c r="H35" s="58" t="s">
        <v>61</v>
      </c>
      <c r="I35" s="159" t="s">
        <v>62</v>
      </c>
      <c r="J35" s="159" t="s">
        <v>360</v>
      </c>
      <c r="K35" s="58" t="s">
        <v>37</v>
      </c>
      <c r="L35" s="156" t="s">
        <v>476</v>
      </c>
      <c r="M35" s="2"/>
      <c r="N35" s="2">
        <v>3</v>
      </c>
      <c r="O35" s="41" t="s">
        <v>112</v>
      </c>
      <c r="P35" s="2"/>
      <c r="Q35" s="2"/>
    </row>
    <row r="36" spans="1:17">
      <c r="A36" s="58"/>
      <c r="B36" s="158">
        <v>46136</v>
      </c>
      <c r="C36" s="58" t="str">
        <f>TEXT(B36,"dddd")</f>
        <v>Friday</v>
      </c>
      <c r="D36" s="58" t="s">
        <v>451</v>
      </c>
      <c r="E36" s="58" t="str">
        <f>TEXT(B36,"mmmm")</f>
        <v>April</v>
      </c>
      <c r="F36" s="58">
        <v>2026</v>
      </c>
      <c r="G36" s="58">
        <v>3</v>
      </c>
      <c r="H36" s="58" t="s">
        <v>61</v>
      </c>
      <c r="I36" s="159" t="s">
        <v>62</v>
      </c>
      <c r="J36" s="159" t="s">
        <v>360</v>
      </c>
      <c r="K36" s="58" t="s">
        <v>37</v>
      </c>
      <c r="L36" s="156" t="s">
        <v>476</v>
      </c>
      <c r="M36" s="2"/>
      <c r="N36" s="2">
        <v>3</v>
      </c>
      <c r="O36" s="41" t="s">
        <v>112</v>
      </c>
      <c r="P36" s="2"/>
      <c r="Q36" s="2"/>
    </row>
    <row r="37" spans="1:17" ht="30.75">
      <c r="A37" s="58">
        <v>26</v>
      </c>
      <c r="B37" s="158">
        <v>46139</v>
      </c>
      <c r="C37" s="58" t="str">
        <f t="shared" si="0"/>
        <v>Monday</v>
      </c>
      <c r="D37" s="58" t="s">
        <v>451</v>
      </c>
      <c r="E37" s="58" t="str">
        <f t="shared" si="1"/>
        <v>April</v>
      </c>
      <c r="F37" s="58">
        <v>2026</v>
      </c>
      <c r="G37" s="58">
        <v>3</v>
      </c>
      <c r="H37" s="58" t="s">
        <v>61</v>
      </c>
      <c r="I37" s="159" t="s">
        <v>62</v>
      </c>
      <c r="J37" s="159" t="s">
        <v>360</v>
      </c>
      <c r="K37" s="58" t="s">
        <v>37</v>
      </c>
      <c r="L37" s="142" t="s">
        <v>502</v>
      </c>
      <c r="M37" s="2"/>
      <c r="N37" s="2">
        <v>3</v>
      </c>
      <c r="O37" s="41" t="s">
        <v>112</v>
      </c>
      <c r="P37" s="2"/>
      <c r="Q37" s="2"/>
    </row>
    <row r="38" spans="1:17">
      <c r="A38" s="58">
        <v>27</v>
      </c>
      <c r="B38" s="158">
        <v>46140</v>
      </c>
      <c r="C38" s="58" t="str">
        <f t="shared" si="0"/>
        <v>Tuesday</v>
      </c>
      <c r="D38" s="58" t="s">
        <v>451</v>
      </c>
      <c r="E38" s="58" t="str">
        <f t="shared" si="1"/>
        <v>April</v>
      </c>
      <c r="F38" s="58">
        <v>2026</v>
      </c>
      <c r="G38" s="58">
        <v>3</v>
      </c>
      <c r="H38" s="58" t="s">
        <v>61</v>
      </c>
      <c r="I38" s="159" t="s">
        <v>62</v>
      </c>
      <c r="J38" s="159" t="s">
        <v>360</v>
      </c>
      <c r="K38" s="58" t="s">
        <v>37</v>
      </c>
      <c r="L38" s="142" t="s">
        <v>506</v>
      </c>
      <c r="M38" s="2"/>
      <c r="N38" s="2">
        <v>3</v>
      </c>
      <c r="O38" s="41" t="s">
        <v>112</v>
      </c>
      <c r="P38" s="2"/>
      <c r="Q38" s="2"/>
    </row>
    <row r="39" spans="1:17">
      <c r="A39" s="58">
        <v>28</v>
      </c>
      <c r="B39" s="158">
        <v>46141</v>
      </c>
      <c r="C39" s="58" t="str">
        <f t="shared" si="0"/>
        <v>Wednesday</v>
      </c>
      <c r="D39" s="58" t="s">
        <v>451</v>
      </c>
      <c r="E39" s="58" t="str">
        <f t="shared" si="1"/>
        <v>April</v>
      </c>
      <c r="F39" s="58">
        <v>2026</v>
      </c>
      <c r="G39" s="58">
        <v>3</v>
      </c>
      <c r="H39" s="58" t="s">
        <v>61</v>
      </c>
      <c r="I39" s="159" t="s">
        <v>62</v>
      </c>
      <c r="J39" s="159" t="s">
        <v>360</v>
      </c>
      <c r="K39" s="58" t="s">
        <v>37</v>
      </c>
      <c r="L39" s="142" t="s">
        <v>507</v>
      </c>
      <c r="M39" s="2"/>
      <c r="N39" s="2">
        <v>3</v>
      </c>
      <c r="O39" s="41" t="s">
        <v>112</v>
      </c>
      <c r="P39" s="2"/>
      <c r="Q39" s="2"/>
    </row>
    <row r="40" spans="1:17">
      <c r="A40" s="58">
        <v>29</v>
      </c>
      <c r="B40" s="158">
        <v>46142</v>
      </c>
      <c r="C40" s="58" t="str">
        <f t="shared" si="0"/>
        <v>Thursday</v>
      </c>
      <c r="D40" s="58" t="s">
        <v>451</v>
      </c>
      <c r="E40" s="58" t="str">
        <f t="shared" si="1"/>
        <v>April</v>
      </c>
      <c r="F40" s="58">
        <v>2026</v>
      </c>
      <c r="G40" s="58">
        <v>3</v>
      </c>
      <c r="H40" s="58" t="s">
        <v>61</v>
      </c>
      <c r="I40" s="159" t="s">
        <v>62</v>
      </c>
      <c r="J40" s="159" t="s">
        <v>360</v>
      </c>
      <c r="K40" s="58" t="s">
        <v>37</v>
      </c>
      <c r="L40" s="142" t="s">
        <v>513</v>
      </c>
      <c r="M40" s="2"/>
      <c r="N40" s="2"/>
      <c r="O40" s="41" t="s">
        <v>112</v>
      </c>
      <c r="P40" s="2"/>
      <c r="Q40" s="2"/>
    </row>
    <row r="41" spans="1:17">
      <c r="A41" s="58">
        <v>30</v>
      </c>
      <c r="B41" s="158">
        <v>46146</v>
      </c>
      <c r="C41" s="58" t="str">
        <f t="shared" si="0"/>
        <v>Monday</v>
      </c>
      <c r="D41" s="58"/>
      <c r="E41" s="58" t="str">
        <f t="shared" si="1"/>
        <v>May</v>
      </c>
      <c r="F41" s="58">
        <v>2026</v>
      </c>
      <c r="G41" s="58">
        <v>3</v>
      </c>
      <c r="H41" s="58" t="s">
        <v>61</v>
      </c>
      <c r="I41" s="159" t="s">
        <v>62</v>
      </c>
      <c r="J41" s="159" t="s">
        <v>360</v>
      </c>
      <c r="K41" s="58" t="s">
        <v>37</v>
      </c>
      <c r="L41" s="142" t="s">
        <v>519</v>
      </c>
      <c r="M41" s="2"/>
      <c r="N41" s="2">
        <v>3</v>
      </c>
      <c r="O41" s="41" t="s">
        <v>112</v>
      </c>
      <c r="P41" s="2"/>
      <c r="Q41" s="2"/>
    </row>
    <row r="42" spans="1:17">
      <c r="A42" s="58">
        <v>31</v>
      </c>
      <c r="B42" s="158">
        <v>46147</v>
      </c>
      <c r="C42" s="58" t="str">
        <f t="shared" ref="C42" si="2">TEXT(B42,"dddd")</f>
        <v>Tuesday</v>
      </c>
      <c r="D42" s="58" t="s">
        <v>568</v>
      </c>
      <c r="E42" s="58" t="str">
        <f t="shared" ref="E42" si="3">TEXT(B42,"mmmm")</f>
        <v>May</v>
      </c>
      <c r="F42" s="58"/>
      <c r="G42" s="58">
        <v>3</v>
      </c>
      <c r="H42" s="58"/>
      <c r="I42" s="159"/>
      <c r="J42" s="159"/>
      <c r="K42" s="58"/>
      <c r="L42" s="142" t="s">
        <v>529</v>
      </c>
      <c r="M42" s="2"/>
      <c r="N42" s="2"/>
      <c r="O42" s="41" t="s">
        <v>112</v>
      </c>
      <c r="P42" s="2"/>
      <c r="Q42" s="2"/>
    </row>
    <row r="43" spans="1:17">
      <c r="A43" s="58"/>
      <c r="B43" s="158">
        <v>46156</v>
      </c>
      <c r="C43" s="58" t="str">
        <f t="shared" ref="C43:C44" si="4">TEXT(B43,"dddd")</f>
        <v>Thursday</v>
      </c>
      <c r="D43" s="58"/>
      <c r="E43" s="58" t="str">
        <f t="shared" ref="E43:E44" si="5">TEXT(B43,"mmmm")</f>
        <v>May</v>
      </c>
      <c r="F43" s="58"/>
      <c r="G43" s="58">
        <v>3</v>
      </c>
      <c r="H43" s="58"/>
      <c r="I43" s="159"/>
      <c r="J43" s="159"/>
      <c r="K43" s="58"/>
      <c r="L43" s="156" t="s">
        <v>569</v>
      </c>
      <c r="M43" s="2"/>
      <c r="N43" s="2"/>
      <c r="O43" s="41" t="s">
        <v>169</v>
      </c>
      <c r="P43" s="2"/>
      <c r="Q43" s="2"/>
    </row>
    <row r="44" spans="1:17">
      <c r="A44" s="58"/>
      <c r="B44" s="158">
        <v>46157</v>
      </c>
      <c r="C44" s="58" t="str">
        <f t="shared" si="4"/>
        <v>Friday</v>
      </c>
      <c r="D44" s="58"/>
      <c r="E44" s="58" t="str">
        <f t="shared" si="5"/>
        <v>May</v>
      </c>
      <c r="F44" s="58"/>
      <c r="G44" s="58">
        <v>3</v>
      </c>
      <c r="H44" s="58"/>
      <c r="I44" s="159"/>
      <c r="J44" s="159"/>
      <c r="K44" s="58"/>
      <c r="L44" s="156" t="s">
        <v>569</v>
      </c>
      <c r="M44" s="2"/>
      <c r="N44" s="2"/>
      <c r="O44" s="41" t="s">
        <v>169</v>
      </c>
      <c r="P44" s="2"/>
      <c r="Q44" s="2"/>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0CE33-53A1-45AC-B3E0-9E22DDCC5FCE}">
  <dimension ref="A1:Q42"/>
  <sheetViews>
    <sheetView topLeftCell="B33" workbookViewId="0">
      <selection activeCell="L39" sqref="L39"/>
    </sheetView>
  </sheetViews>
  <sheetFormatPr defaultRowHeight="15"/>
  <cols>
    <col min="1" max="1" width="8.85546875" bestFit="1" customWidth="1"/>
    <col min="2" max="2" width="20.5703125" customWidth="1"/>
    <col min="3" max="3" width="25.85546875" customWidth="1"/>
    <col min="4" max="4" width="26.42578125" customWidth="1"/>
    <col min="5" max="5" width="15.42578125" customWidth="1"/>
    <col min="6" max="6" width="8.28515625" customWidth="1"/>
    <col min="7" max="7" width="18.42578125" bestFit="1" customWidth="1"/>
    <col min="8" max="8" width="15.28515625" customWidth="1"/>
    <col min="9" max="9" width="18.5703125" bestFit="1" customWidth="1"/>
    <col min="10" max="10" width="26.28515625" bestFit="1" customWidth="1"/>
    <col min="11" max="11" width="15.85546875" customWidth="1"/>
    <col min="12" max="12" width="74.5703125" customWidth="1"/>
    <col min="13" max="13" width="19.85546875" bestFit="1" customWidth="1"/>
    <col min="14" max="14" width="24.28515625" bestFit="1" customWidth="1"/>
    <col min="15" max="15" width="24.85546875" customWidth="1"/>
    <col min="16" max="17" width="13" bestFit="1" customWidth="1"/>
  </cols>
  <sheetData>
    <row r="1" spans="1:17" ht="17.25">
      <c r="A1" s="132" t="s">
        <v>274</v>
      </c>
      <c r="B1" s="133" t="s">
        <v>275</v>
      </c>
      <c r="C1" s="61" t="s">
        <v>276</v>
      </c>
      <c r="D1" s="134" t="s">
        <v>277</v>
      </c>
      <c r="E1" s="132" t="s">
        <v>0</v>
      </c>
      <c r="F1" s="132" t="s">
        <v>278</v>
      </c>
      <c r="G1" s="132" t="s">
        <v>279</v>
      </c>
      <c r="H1" s="132" t="s">
        <v>1</v>
      </c>
      <c r="I1" s="132" t="s">
        <v>280</v>
      </c>
      <c r="J1" s="132" t="s">
        <v>281</v>
      </c>
      <c r="K1" s="132" t="s">
        <v>3</v>
      </c>
      <c r="L1" s="132" t="s">
        <v>282</v>
      </c>
      <c r="M1" s="105" t="s">
        <v>1023</v>
      </c>
      <c r="N1" s="132" t="s">
        <v>283</v>
      </c>
      <c r="O1" s="132" t="s">
        <v>285</v>
      </c>
      <c r="P1" s="132" t="s">
        <v>286</v>
      </c>
      <c r="Q1" s="132" t="s">
        <v>287</v>
      </c>
    </row>
    <row r="2" spans="1:17">
      <c r="A2" s="58">
        <v>1</v>
      </c>
      <c r="B2" s="158">
        <v>46077</v>
      </c>
      <c r="C2" s="58" t="str">
        <f>TEXT(B2,"dddd")</f>
        <v>Tuesday</v>
      </c>
      <c r="D2" s="139" t="s">
        <v>420</v>
      </c>
      <c r="E2" s="58" t="str">
        <f>TEXT(B2,"mmmm")</f>
        <v>February</v>
      </c>
      <c r="F2" s="58">
        <v>2026</v>
      </c>
      <c r="G2" s="58">
        <v>1</v>
      </c>
      <c r="H2" s="58" t="s">
        <v>61</v>
      </c>
      <c r="I2" s="163" t="s">
        <v>62</v>
      </c>
      <c r="J2" s="163" t="s">
        <v>360</v>
      </c>
      <c r="K2" s="58" t="s">
        <v>38</v>
      </c>
      <c r="L2" s="164" t="s">
        <v>361</v>
      </c>
      <c r="M2" s="58"/>
      <c r="N2" s="2">
        <v>1</v>
      </c>
      <c r="O2" s="2" t="s">
        <v>65</v>
      </c>
      <c r="P2" s="2"/>
      <c r="Q2" s="2"/>
    </row>
    <row r="3" spans="1:17">
      <c r="A3" s="58">
        <v>2</v>
      </c>
      <c r="B3" s="158">
        <v>46090</v>
      </c>
      <c r="C3" s="58" t="str">
        <f t="shared" ref="C3:C42" si="0">TEXT(B3,"dddd")</f>
        <v>Monday</v>
      </c>
      <c r="D3" s="139" t="s">
        <v>452</v>
      </c>
      <c r="E3" s="58" t="str">
        <f t="shared" ref="E3:E42" si="1">TEXT(B3,"mmmm")</f>
        <v>March</v>
      </c>
      <c r="F3" s="58">
        <v>2026</v>
      </c>
      <c r="G3" s="58">
        <v>3</v>
      </c>
      <c r="H3" s="58" t="s">
        <v>61</v>
      </c>
      <c r="I3" s="163" t="s">
        <v>62</v>
      </c>
      <c r="J3" s="163" t="s">
        <v>360</v>
      </c>
      <c r="K3" s="58" t="s">
        <v>38</v>
      </c>
      <c r="L3" s="142" t="s">
        <v>378</v>
      </c>
      <c r="M3" s="2"/>
      <c r="N3" s="2">
        <v>3</v>
      </c>
      <c r="O3" s="2" t="s">
        <v>112</v>
      </c>
      <c r="P3" s="2"/>
      <c r="Q3" s="2"/>
    </row>
    <row r="4" spans="1:17">
      <c r="A4" s="58">
        <v>3</v>
      </c>
      <c r="B4" s="158">
        <v>46091</v>
      </c>
      <c r="C4" s="58" t="str">
        <f t="shared" si="0"/>
        <v>Tuesday</v>
      </c>
      <c r="D4" s="139" t="s">
        <v>452</v>
      </c>
      <c r="E4" s="58" t="str">
        <f t="shared" si="1"/>
        <v>March</v>
      </c>
      <c r="F4" s="58">
        <v>2026</v>
      </c>
      <c r="G4" s="58">
        <v>3</v>
      </c>
      <c r="H4" s="58" t="s">
        <v>61</v>
      </c>
      <c r="I4" s="163" t="s">
        <v>62</v>
      </c>
      <c r="J4" s="163" t="s">
        <v>360</v>
      </c>
      <c r="K4" s="58" t="s">
        <v>38</v>
      </c>
      <c r="L4" s="142" t="s">
        <v>383</v>
      </c>
      <c r="M4" s="2"/>
      <c r="N4" s="2">
        <v>3</v>
      </c>
      <c r="O4" s="2" t="s">
        <v>112</v>
      </c>
      <c r="P4" s="2"/>
      <c r="Q4" s="2"/>
    </row>
    <row r="5" spans="1:17">
      <c r="A5" s="58">
        <v>4</v>
      </c>
      <c r="B5" s="158">
        <v>46092</v>
      </c>
      <c r="C5" s="58" t="str">
        <f t="shared" si="0"/>
        <v>Wednesday</v>
      </c>
      <c r="D5" s="139" t="s">
        <v>452</v>
      </c>
      <c r="E5" s="58" t="str">
        <f t="shared" si="1"/>
        <v>March</v>
      </c>
      <c r="F5" s="58">
        <v>2026</v>
      </c>
      <c r="G5" s="58">
        <v>3</v>
      </c>
      <c r="H5" s="58" t="s">
        <v>61</v>
      </c>
      <c r="I5" s="163" t="s">
        <v>62</v>
      </c>
      <c r="J5" s="163" t="s">
        <v>360</v>
      </c>
      <c r="K5" s="58" t="s">
        <v>38</v>
      </c>
      <c r="L5" s="142" t="s">
        <v>384</v>
      </c>
      <c r="M5" s="2"/>
      <c r="N5" s="2">
        <v>3</v>
      </c>
      <c r="O5" s="2" t="s">
        <v>112</v>
      </c>
      <c r="P5" s="2"/>
      <c r="Q5" s="2"/>
    </row>
    <row r="6" spans="1:17">
      <c r="A6" s="58">
        <v>5</v>
      </c>
      <c r="B6" s="158">
        <v>46093</v>
      </c>
      <c r="C6" s="58" t="str">
        <f t="shared" si="0"/>
        <v>Thursday</v>
      </c>
      <c r="D6" s="139" t="s">
        <v>452</v>
      </c>
      <c r="E6" s="58" t="str">
        <f t="shared" si="1"/>
        <v>March</v>
      </c>
      <c r="F6" s="58">
        <v>2026</v>
      </c>
      <c r="G6" s="58">
        <v>3</v>
      </c>
      <c r="H6" s="58" t="s">
        <v>61</v>
      </c>
      <c r="I6" s="163" t="s">
        <v>62</v>
      </c>
      <c r="J6" s="163" t="s">
        <v>360</v>
      </c>
      <c r="K6" s="58" t="s">
        <v>38</v>
      </c>
      <c r="L6" s="142" t="s">
        <v>387</v>
      </c>
      <c r="M6" s="2"/>
      <c r="N6" s="2">
        <v>3</v>
      </c>
      <c r="O6" s="2" t="s">
        <v>112</v>
      </c>
      <c r="P6" s="2"/>
      <c r="Q6" s="2"/>
    </row>
    <row r="7" spans="1:17">
      <c r="A7" s="58">
        <v>6</v>
      </c>
      <c r="B7" s="158">
        <v>46094</v>
      </c>
      <c r="C7" s="58" t="str">
        <f t="shared" si="0"/>
        <v>Friday</v>
      </c>
      <c r="D7" s="139" t="s">
        <v>452</v>
      </c>
      <c r="E7" s="58" t="str">
        <f t="shared" si="1"/>
        <v>March</v>
      </c>
      <c r="F7" s="58">
        <v>2026</v>
      </c>
      <c r="G7" s="58">
        <v>3</v>
      </c>
      <c r="H7" s="58" t="s">
        <v>61</v>
      </c>
      <c r="I7" s="163" t="s">
        <v>62</v>
      </c>
      <c r="J7" s="163" t="s">
        <v>360</v>
      </c>
      <c r="K7" s="58" t="s">
        <v>38</v>
      </c>
      <c r="L7" s="142" t="s">
        <v>390</v>
      </c>
      <c r="M7" s="2"/>
      <c r="N7" s="2">
        <v>3</v>
      </c>
      <c r="O7" s="2" t="s">
        <v>112</v>
      </c>
      <c r="P7" s="2"/>
      <c r="Q7" s="2"/>
    </row>
    <row r="8" spans="1:17">
      <c r="A8" s="58"/>
      <c r="B8" s="158">
        <v>46097</v>
      </c>
      <c r="C8" s="58" t="str">
        <f t="shared" si="0"/>
        <v>Monday</v>
      </c>
      <c r="D8" s="139"/>
      <c r="E8" s="58" t="str">
        <f t="shared" si="1"/>
        <v>March</v>
      </c>
      <c r="F8" s="58">
        <v>2026</v>
      </c>
      <c r="G8" s="58"/>
      <c r="H8" s="58" t="s">
        <v>61</v>
      </c>
      <c r="I8" s="163" t="s">
        <v>62</v>
      </c>
      <c r="J8" s="163" t="s">
        <v>360</v>
      </c>
      <c r="K8" s="58" t="s">
        <v>38</v>
      </c>
      <c r="L8" s="154" t="s">
        <v>391</v>
      </c>
      <c r="M8" s="2"/>
      <c r="N8" s="2"/>
      <c r="O8" s="2"/>
      <c r="P8" s="2"/>
      <c r="Q8" s="2"/>
    </row>
    <row r="9" spans="1:17">
      <c r="A9" s="58">
        <v>7</v>
      </c>
      <c r="B9" s="158">
        <v>46098</v>
      </c>
      <c r="C9" s="58" t="str">
        <f t="shared" si="0"/>
        <v>Tuesday</v>
      </c>
      <c r="D9" s="139" t="s">
        <v>452</v>
      </c>
      <c r="E9" s="58" t="str">
        <f t="shared" si="1"/>
        <v>March</v>
      </c>
      <c r="F9" s="58">
        <v>2026</v>
      </c>
      <c r="G9" s="58">
        <v>3</v>
      </c>
      <c r="H9" s="58" t="s">
        <v>61</v>
      </c>
      <c r="I9" s="163" t="s">
        <v>62</v>
      </c>
      <c r="J9" s="163" t="s">
        <v>360</v>
      </c>
      <c r="K9" s="58" t="s">
        <v>38</v>
      </c>
      <c r="L9" s="142" t="s">
        <v>393</v>
      </c>
      <c r="M9" s="2"/>
      <c r="N9" s="2">
        <v>3</v>
      </c>
      <c r="O9" s="2" t="s">
        <v>87</v>
      </c>
      <c r="P9" s="2"/>
      <c r="Q9" s="2"/>
    </row>
    <row r="10" spans="1:17">
      <c r="A10" s="58">
        <v>8</v>
      </c>
      <c r="B10" s="158">
        <v>46099</v>
      </c>
      <c r="C10" s="58" t="str">
        <f t="shared" si="0"/>
        <v>Wednesday</v>
      </c>
      <c r="D10" s="139" t="s">
        <v>452</v>
      </c>
      <c r="E10" s="58" t="str">
        <f t="shared" si="1"/>
        <v>March</v>
      </c>
      <c r="F10" s="58">
        <v>2026</v>
      </c>
      <c r="G10" s="58">
        <v>3</v>
      </c>
      <c r="H10" s="58" t="s">
        <v>61</v>
      </c>
      <c r="I10" s="163" t="s">
        <v>62</v>
      </c>
      <c r="J10" s="163" t="s">
        <v>360</v>
      </c>
      <c r="K10" s="58" t="s">
        <v>38</v>
      </c>
      <c r="L10" s="142" t="s">
        <v>394</v>
      </c>
      <c r="M10" s="2"/>
      <c r="N10" s="2">
        <v>3</v>
      </c>
      <c r="O10" s="2" t="s">
        <v>87</v>
      </c>
      <c r="P10" s="2"/>
      <c r="Q10" s="2"/>
    </row>
    <row r="11" spans="1:17">
      <c r="A11" s="58">
        <v>9</v>
      </c>
      <c r="B11" s="158">
        <v>46100</v>
      </c>
      <c r="C11" s="58" t="str">
        <f t="shared" si="0"/>
        <v>Thursday</v>
      </c>
      <c r="D11" s="139" t="s">
        <v>452</v>
      </c>
      <c r="E11" s="58" t="str">
        <f t="shared" si="1"/>
        <v>March</v>
      </c>
      <c r="F11" s="58">
        <v>2026</v>
      </c>
      <c r="G11" s="58">
        <v>3</v>
      </c>
      <c r="H11" s="58" t="s">
        <v>61</v>
      </c>
      <c r="I11" s="163" t="s">
        <v>62</v>
      </c>
      <c r="J11" s="163" t="s">
        <v>360</v>
      </c>
      <c r="K11" s="58" t="s">
        <v>38</v>
      </c>
      <c r="L11" s="142" t="s">
        <v>397</v>
      </c>
      <c r="M11" s="2"/>
      <c r="N11" s="2">
        <v>3</v>
      </c>
      <c r="O11" s="2" t="s">
        <v>87</v>
      </c>
      <c r="P11" s="2"/>
      <c r="Q11" s="2"/>
    </row>
    <row r="12" spans="1:17" ht="30.75">
      <c r="A12" s="58">
        <v>10</v>
      </c>
      <c r="B12" s="158">
        <v>46105</v>
      </c>
      <c r="C12" s="58" t="str">
        <f t="shared" si="0"/>
        <v>Tuesday</v>
      </c>
      <c r="D12" s="139" t="s">
        <v>452</v>
      </c>
      <c r="E12" s="58" t="str">
        <f t="shared" si="1"/>
        <v>March</v>
      </c>
      <c r="F12" s="58">
        <v>2026</v>
      </c>
      <c r="G12" s="58">
        <v>3</v>
      </c>
      <c r="H12" s="58" t="s">
        <v>61</v>
      </c>
      <c r="I12" s="163" t="s">
        <v>62</v>
      </c>
      <c r="J12" s="163" t="s">
        <v>360</v>
      </c>
      <c r="K12" s="58" t="s">
        <v>38</v>
      </c>
      <c r="L12" s="142" t="s">
        <v>411</v>
      </c>
      <c r="M12" s="2"/>
      <c r="N12" s="2">
        <v>3</v>
      </c>
      <c r="O12" s="2" t="s">
        <v>85</v>
      </c>
      <c r="P12" s="2"/>
      <c r="Q12" s="2"/>
    </row>
    <row r="13" spans="1:17">
      <c r="A13" s="58">
        <v>11</v>
      </c>
      <c r="B13" s="158">
        <v>46106</v>
      </c>
      <c r="C13" s="58" t="str">
        <f t="shared" si="0"/>
        <v>Wednesday</v>
      </c>
      <c r="D13" s="139" t="s">
        <v>452</v>
      </c>
      <c r="E13" s="58" t="str">
        <f t="shared" si="1"/>
        <v>March</v>
      </c>
      <c r="F13" s="58">
        <v>2026</v>
      </c>
      <c r="G13" s="58">
        <v>3</v>
      </c>
      <c r="H13" s="58" t="s">
        <v>61</v>
      </c>
      <c r="I13" s="163" t="s">
        <v>62</v>
      </c>
      <c r="J13" s="163" t="s">
        <v>360</v>
      </c>
      <c r="K13" s="58" t="s">
        <v>38</v>
      </c>
      <c r="L13" s="142" t="s">
        <v>415</v>
      </c>
      <c r="M13" s="2"/>
      <c r="N13" s="2">
        <v>3</v>
      </c>
      <c r="O13" s="2" t="s">
        <v>85</v>
      </c>
      <c r="P13" s="2"/>
      <c r="Q13" s="2"/>
    </row>
    <row r="14" spans="1:17">
      <c r="A14" s="58">
        <v>12</v>
      </c>
      <c r="B14" s="158">
        <v>46107</v>
      </c>
      <c r="C14" s="58" t="str">
        <f t="shared" si="0"/>
        <v>Thursday</v>
      </c>
      <c r="D14" s="139" t="s">
        <v>452</v>
      </c>
      <c r="E14" s="58" t="str">
        <f t="shared" si="1"/>
        <v>March</v>
      </c>
      <c r="F14" s="58">
        <v>2026</v>
      </c>
      <c r="G14" s="58">
        <v>3</v>
      </c>
      <c r="H14" s="58" t="s">
        <v>61</v>
      </c>
      <c r="I14" s="163" t="s">
        <v>62</v>
      </c>
      <c r="J14" s="163" t="s">
        <v>360</v>
      </c>
      <c r="K14" s="58" t="s">
        <v>38</v>
      </c>
      <c r="L14" s="142" t="s">
        <v>405</v>
      </c>
      <c r="M14" s="2"/>
      <c r="N14" s="2">
        <v>3</v>
      </c>
      <c r="O14" s="2" t="s">
        <v>127</v>
      </c>
      <c r="P14" s="2"/>
      <c r="Q14" s="2"/>
    </row>
    <row r="15" spans="1:17">
      <c r="A15" s="58"/>
      <c r="B15" s="158">
        <v>46108</v>
      </c>
      <c r="C15" s="58" t="str">
        <f t="shared" si="0"/>
        <v>Friday</v>
      </c>
      <c r="D15" s="139" t="s">
        <v>452</v>
      </c>
      <c r="E15" s="58" t="str">
        <f t="shared" si="1"/>
        <v>March</v>
      </c>
      <c r="F15" s="58">
        <v>2026</v>
      </c>
      <c r="G15" s="58"/>
      <c r="H15" s="58" t="s">
        <v>61</v>
      </c>
      <c r="I15" s="163" t="s">
        <v>62</v>
      </c>
      <c r="J15" s="163" t="s">
        <v>360</v>
      </c>
      <c r="K15" s="58" t="s">
        <v>38</v>
      </c>
      <c r="L15" s="144" t="s">
        <v>391</v>
      </c>
      <c r="M15" s="2"/>
      <c r="N15" s="2">
        <v>3</v>
      </c>
      <c r="O15" s="2"/>
      <c r="P15" s="2"/>
      <c r="Q15" s="2"/>
    </row>
    <row r="16" spans="1:17">
      <c r="A16" s="58">
        <v>13</v>
      </c>
      <c r="B16" s="158">
        <v>46111</v>
      </c>
      <c r="C16" s="58" t="str">
        <f t="shared" si="0"/>
        <v>Monday</v>
      </c>
      <c r="D16" s="139" t="s">
        <v>452</v>
      </c>
      <c r="E16" s="58" t="str">
        <f t="shared" si="1"/>
        <v>March</v>
      </c>
      <c r="F16" s="58">
        <v>2026</v>
      </c>
      <c r="G16" s="58">
        <v>3</v>
      </c>
      <c r="H16" s="58" t="s">
        <v>61</v>
      </c>
      <c r="I16" s="163" t="s">
        <v>62</v>
      </c>
      <c r="J16" s="163" t="s">
        <v>360</v>
      </c>
      <c r="K16" s="58" t="s">
        <v>38</v>
      </c>
      <c r="L16" s="142" t="s">
        <v>407</v>
      </c>
      <c r="M16" s="2"/>
      <c r="N16" s="2">
        <v>3</v>
      </c>
      <c r="O16" s="2" t="s">
        <v>127</v>
      </c>
      <c r="P16" s="2"/>
      <c r="Q16" s="2"/>
    </row>
    <row r="17" spans="1:17">
      <c r="A17" s="58">
        <v>14</v>
      </c>
      <c r="B17" s="158">
        <v>46112</v>
      </c>
      <c r="C17" s="58" t="str">
        <f t="shared" si="0"/>
        <v>Tuesday</v>
      </c>
      <c r="D17" s="139"/>
      <c r="E17" s="58" t="str">
        <f t="shared" si="1"/>
        <v>March</v>
      </c>
      <c r="F17" s="58">
        <v>2026</v>
      </c>
      <c r="G17" s="58">
        <v>3</v>
      </c>
      <c r="H17" s="58" t="s">
        <v>61</v>
      </c>
      <c r="I17" s="163" t="s">
        <v>62</v>
      </c>
      <c r="J17" s="163" t="s">
        <v>360</v>
      </c>
      <c r="K17" s="58" t="s">
        <v>38</v>
      </c>
      <c r="L17" s="142" t="s">
        <v>410</v>
      </c>
      <c r="M17" s="2"/>
      <c r="N17" s="2"/>
      <c r="O17" s="2" t="s">
        <v>127</v>
      </c>
      <c r="P17" s="2"/>
      <c r="Q17" s="2"/>
    </row>
    <row r="18" spans="1:17">
      <c r="A18" s="58">
        <v>15</v>
      </c>
      <c r="B18" s="158">
        <v>46113</v>
      </c>
      <c r="C18" s="58" t="str">
        <f t="shared" si="0"/>
        <v>Wednesday</v>
      </c>
      <c r="D18" s="139" t="s">
        <v>452</v>
      </c>
      <c r="E18" s="58" t="str">
        <f t="shared" si="1"/>
        <v>April</v>
      </c>
      <c r="F18" s="58">
        <v>2026</v>
      </c>
      <c r="G18" s="58">
        <v>3</v>
      </c>
      <c r="H18" s="58" t="s">
        <v>61</v>
      </c>
      <c r="I18" s="163" t="s">
        <v>62</v>
      </c>
      <c r="J18" s="163" t="s">
        <v>360</v>
      </c>
      <c r="K18" s="58" t="s">
        <v>38</v>
      </c>
      <c r="L18" s="142" t="s">
        <v>419</v>
      </c>
      <c r="M18" s="2"/>
      <c r="N18" s="2">
        <v>3</v>
      </c>
      <c r="O18" s="2" t="s">
        <v>127</v>
      </c>
      <c r="P18" s="2"/>
      <c r="Q18" s="2"/>
    </row>
    <row r="19" spans="1:17">
      <c r="A19" s="58">
        <v>16</v>
      </c>
      <c r="B19" s="158">
        <v>46114</v>
      </c>
      <c r="C19" s="58" t="str">
        <f t="shared" si="0"/>
        <v>Thursday</v>
      </c>
      <c r="D19" s="139" t="s">
        <v>452</v>
      </c>
      <c r="E19" s="58" t="str">
        <f t="shared" si="1"/>
        <v>April</v>
      </c>
      <c r="F19" s="58">
        <v>2026</v>
      </c>
      <c r="G19" s="58">
        <v>3</v>
      </c>
      <c r="H19" s="58" t="s">
        <v>61</v>
      </c>
      <c r="I19" s="163" t="s">
        <v>62</v>
      </c>
      <c r="J19" s="163" t="s">
        <v>360</v>
      </c>
      <c r="K19" s="58" t="s">
        <v>38</v>
      </c>
      <c r="L19" s="142" t="s">
        <v>422</v>
      </c>
      <c r="M19" s="2"/>
      <c r="N19" s="2">
        <v>3</v>
      </c>
      <c r="O19" s="2" t="s">
        <v>127</v>
      </c>
      <c r="P19" s="2"/>
      <c r="Q19" s="2"/>
    </row>
    <row r="20" spans="1:17">
      <c r="A20" s="58">
        <v>17</v>
      </c>
      <c r="B20" s="158">
        <v>46118</v>
      </c>
      <c r="C20" s="58" t="str">
        <f t="shared" si="0"/>
        <v>Monday</v>
      </c>
      <c r="D20" s="139" t="s">
        <v>452</v>
      </c>
      <c r="E20" s="58" t="str">
        <f t="shared" si="1"/>
        <v>April</v>
      </c>
      <c r="F20" s="58">
        <v>2026</v>
      </c>
      <c r="G20" s="58">
        <v>3</v>
      </c>
      <c r="H20" s="58" t="s">
        <v>61</v>
      </c>
      <c r="I20" s="163" t="s">
        <v>62</v>
      </c>
      <c r="J20" s="163" t="s">
        <v>360</v>
      </c>
      <c r="K20" s="58" t="s">
        <v>38</v>
      </c>
      <c r="L20" s="142" t="s">
        <v>424</v>
      </c>
      <c r="M20" s="2"/>
      <c r="N20" s="2">
        <v>3</v>
      </c>
      <c r="O20" s="2" t="s">
        <v>127</v>
      </c>
      <c r="P20" s="2"/>
      <c r="Q20" s="2"/>
    </row>
    <row r="21" spans="1:17">
      <c r="A21" s="58"/>
      <c r="B21" s="158">
        <v>46119</v>
      </c>
      <c r="C21" s="58" t="str">
        <f t="shared" si="0"/>
        <v>Tuesday</v>
      </c>
      <c r="D21" s="139" t="s">
        <v>452</v>
      </c>
      <c r="E21" s="58" t="str">
        <f t="shared" si="1"/>
        <v>April</v>
      </c>
      <c r="F21" s="58">
        <v>2026</v>
      </c>
      <c r="G21" s="58">
        <v>3</v>
      </c>
      <c r="H21" s="58" t="s">
        <v>61</v>
      </c>
      <c r="I21" s="163" t="s">
        <v>62</v>
      </c>
      <c r="J21" s="163" t="s">
        <v>360</v>
      </c>
      <c r="K21" s="58" t="s">
        <v>38</v>
      </c>
      <c r="L21" s="156" t="s">
        <v>417</v>
      </c>
      <c r="M21" s="2"/>
      <c r="N21" s="2">
        <v>3</v>
      </c>
      <c r="O21" s="2" t="s">
        <v>127</v>
      </c>
      <c r="P21" s="2"/>
      <c r="Q21" s="2"/>
    </row>
    <row r="22" spans="1:17">
      <c r="A22" s="58">
        <v>18</v>
      </c>
      <c r="B22" s="158">
        <v>46120</v>
      </c>
      <c r="C22" s="58" t="str">
        <f t="shared" si="0"/>
        <v>Wednesday</v>
      </c>
      <c r="D22" s="139" t="s">
        <v>452</v>
      </c>
      <c r="E22" s="58" t="str">
        <f t="shared" si="1"/>
        <v>April</v>
      </c>
      <c r="F22" s="58">
        <v>2026</v>
      </c>
      <c r="G22" s="58">
        <v>3</v>
      </c>
      <c r="H22" s="58" t="s">
        <v>61</v>
      </c>
      <c r="I22" s="163" t="s">
        <v>62</v>
      </c>
      <c r="J22" s="163" t="s">
        <v>360</v>
      </c>
      <c r="K22" s="58" t="s">
        <v>38</v>
      </c>
      <c r="L22" s="142" t="s">
        <v>428</v>
      </c>
      <c r="M22" s="2"/>
      <c r="N22" s="2">
        <v>3</v>
      </c>
      <c r="O22" s="2" t="s">
        <v>127</v>
      </c>
      <c r="P22" s="2"/>
      <c r="Q22" s="2"/>
    </row>
    <row r="23" spans="1:17">
      <c r="A23" s="58">
        <v>19</v>
      </c>
      <c r="B23" s="158">
        <v>46121</v>
      </c>
      <c r="C23" s="58" t="str">
        <f t="shared" si="0"/>
        <v>Thursday</v>
      </c>
      <c r="D23" s="139" t="s">
        <v>452</v>
      </c>
      <c r="E23" s="58" t="str">
        <f t="shared" si="1"/>
        <v>April</v>
      </c>
      <c r="F23" s="58">
        <v>2026</v>
      </c>
      <c r="G23" s="58">
        <v>3</v>
      </c>
      <c r="H23" s="58" t="s">
        <v>61</v>
      </c>
      <c r="I23" s="163" t="s">
        <v>62</v>
      </c>
      <c r="J23" s="163" t="s">
        <v>360</v>
      </c>
      <c r="K23" s="58" t="s">
        <v>38</v>
      </c>
      <c r="L23" s="142" t="s">
        <v>429</v>
      </c>
      <c r="M23" s="2"/>
      <c r="N23" s="2">
        <v>3</v>
      </c>
      <c r="O23" s="2" t="s">
        <v>127</v>
      </c>
      <c r="P23" s="2"/>
      <c r="Q23" s="2"/>
    </row>
    <row r="24" spans="1:17">
      <c r="A24" s="58">
        <v>20</v>
      </c>
      <c r="B24" s="158">
        <v>46122</v>
      </c>
      <c r="C24" s="58" t="str">
        <f t="shared" si="0"/>
        <v>Friday</v>
      </c>
      <c r="D24" s="139" t="s">
        <v>452</v>
      </c>
      <c r="E24" s="58" t="str">
        <f t="shared" si="1"/>
        <v>April</v>
      </c>
      <c r="F24" s="58">
        <v>2026</v>
      </c>
      <c r="G24" s="58">
        <v>3</v>
      </c>
      <c r="H24" s="58" t="s">
        <v>61</v>
      </c>
      <c r="I24" s="163" t="s">
        <v>62</v>
      </c>
      <c r="J24" s="163" t="s">
        <v>360</v>
      </c>
      <c r="K24" s="58" t="s">
        <v>38</v>
      </c>
      <c r="L24" s="142" t="s">
        <v>436</v>
      </c>
      <c r="M24" s="2"/>
      <c r="N24" s="2">
        <v>3</v>
      </c>
      <c r="O24" s="2" t="s">
        <v>127</v>
      </c>
      <c r="P24" s="2"/>
      <c r="Q24" s="2"/>
    </row>
    <row r="25" spans="1:17">
      <c r="A25" s="58">
        <v>21</v>
      </c>
      <c r="B25" s="158">
        <v>46125</v>
      </c>
      <c r="C25" s="58" t="str">
        <f t="shared" si="0"/>
        <v>Monday</v>
      </c>
      <c r="D25" s="139" t="s">
        <v>452</v>
      </c>
      <c r="E25" s="58" t="str">
        <f t="shared" si="1"/>
        <v>April</v>
      </c>
      <c r="F25" s="58">
        <v>2026</v>
      </c>
      <c r="G25" s="58">
        <v>3</v>
      </c>
      <c r="H25" s="58" t="s">
        <v>61</v>
      </c>
      <c r="I25" s="163" t="s">
        <v>62</v>
      </c>
      <c r="J25" s="163" t="s">
        <v>360</v>
      </c>
      <c r="K25" s="58" t="s">
        <v>38</v>
      </c>
      <c r="L25" s="142" t="s">
        <v>443</v>
      </c>
      <c r="M25" s="2"/>
      <c r="N25" s="2">
        <v>3</v>
      </c>
      <c r="O25" s="2" t="s">
        <v>127</v>
      </c>
      <c r="P25" s="2"/>
      <c r="Q25" s="2"/>
    </row>
    <row r="26" spans="1:17" ht="30.75">
      <c r="A26" s="58">
        <v>22</v>
      </c>
      <c r="B26" s="158">
        <v>46126</v>
      </c>
      <c r="C26" s="58" t="str">
        <f t="shared" si="0"/>
        <v>Tuesday</v>
      </c>
      <c r="D26" s="139" t="s">
        <v>452</v>
      </c>
      <c r="E26" s="58" t="str">
        <f t="shared" si="1"/>
        <v>April</v>
      </c>
      <c r="F26" s="58">
        <v>2026</v>
      </c>
      <c r="G26" s="58">
        <v>3</v>
      </c>
      <c r="H26" s="58" t="s">
        <v>61</v>
      </c>
      <c r="I26" s="163" t="s">
        <v>62</v>
      </c>
      <c r="J26" s="163" t="s">
        <v>360</v>
      </c>
      <c r="K26" s="58" t="s">
        <v>38</v>
      </c>
      <c r="L26" s="142" t="s">
        <v>450</v>
      </c>
      <c r="M26" s="2"/>
      <c r="N26" s="2">
        <v>3</v>
      </c>
      <c r="O26" s="2" t="s">
        <v>127</v>
      </c>
      <c r="P26" s="2"/>
      <c r="Q26" s="2"/>
    </row>
    <row r="27" spans="1:17">
      <c r="A27" s="58">
        <v>23</v>
      </c>
      <c r="B27" s="158">
        <v>46127</v>
      </c>
      <c r="C27" s="58" t="str">
        <f t="shared" si="0"/>
        <v>Wednesday</v>
      </c>
      <c r="D27" s="139" t="s">
        <v>452</v>
      </c>
      <c r="E27" s="58" t="str">
        <f t="shared" si="1"/>
        <v>April</v>
      </c>
      <c r="F27" s="58">
        <v>2026</v>
      </c>
      <c r="G27" s="58">
        <v>3</v>
      </c>
      <c r="H27" s="58" t="s">
        <v>61</v>
      </c>
      <c r="I27" s="163" t="s">
        <v>62</v>
      </c>
      <c r="J27" s="163" t="s">
        <v>360</v>
      </c>
      <c r="K27" s="58" t="s">
        <v>38</v>
      </c>
      <c r="L27" s="142" t="s">
        <v>459</v>
      </c>
      <c r="M27" s="2"/>
      <c r="N27" s="2">
        <v>3</v>
      </c>
      <c r="O27" s="2" t="s">
        <v>127</v>
      </c>
      <c r="P27" s="2"/>
      <c r="Q27" s="2"/>
    </row>
    <row r="28" spans="1:17">
      <c r="A28" s="58">
        <v>24</v>
      </c>
      <c r="B28" s="158">
        <v>46128</v>
      </c>
      <c r="C28" s="58" t="str">
        <f t="shared" si="0"/>
        <v>Thursday</v>
      </c>
      <c r="D28" s="139" t="s">
        <v>452</v>
      </c>
      <c r="E28" s="58" t="str">
        <f t="shared" si="1"/>
        <v>April</v>
      </c>
      <c r="F28" s="58">
        <v>2026</v>
      </c>
      <c r="G28" s="58">
        <v>3</v>
      </c>
      <c r="H28" s="58" t="s">
        <v>61</v>
      </c>
      <c r="I28" s="163" t="s">
        <v>62</v>
      </c>
      <c r="J28" s="163" t="s">
        <v>360</v>
      </c>
      <c r="K28" s="58" t="s">
        <v>38</v>
      </c>
      <c r="L28" s="142" t="s">
        <v>466</v>
      </c>
      <c r="M28" s="2"/>
      <c r="N28" s="2">
        <v>3</v>
      </c>
      <c r="O28" s="2" t="s">
        <v>127</v>
      </c>
      <c r="P28" s="2"/>
      <c r="Q28" s="2"/>
    </row>
    <row r="29" spans="1:17">
      <c r="A29" s="58">
        <v>25</v>
      </c>
      <c r="B29" s="158">
        <v>46129</v>
      </c>
      <c r="C29" s="58" t="str">
        <f t="shared" si="0"/>
        <v>Friday</v>
      </c>
      <c r="D29" s="139" t="s">
        <v>452</v>
      </c>
      <c r="E29" s="58" t="str">
        <f t="shared" si="1"/>
        <v>April</v>
      </c>
      <c r="F29" s="58">
        <v>2026</v>
      </c>
      <c r="G29" s="58">
        <v>3</v>
      </c>
      <c r="H29" s="58" t="s">
        <v>61</v>
      </c>
      <c r="I29" s="163" t="s">
        <v>62</v>
      </c>
      <c r="J29" s="163" t="s">
        <v>360</v>
      </c>
      <c r="K29" s="58" t="s">
        <v>38</v>
      </c>
      <c r="L29" s="142" t="s">
        <v>469</v>
      </c>
      <c r="M29" s="2"/>
      <c r="N29" s="2">
        <v>3</v>
      </c>
      <c r="O29" s="2" t="s">
        <v>127</v>
      </c>
      <c r="P29" s="2"/>
      <c r="Q29" s="2"/>
    </row>
    <row r="30" spans="1:17">
      <c r="A30" s="58"/>
      <c r="B30" s="158">
        <v>46132</v>
      </c>
      <c r="C30" s="58" t="str">
        <f t="shared" si="0"/>
        <v>Monday</v>
      </c>
      <c r="D30" s="139" t="s">
        <v>452</v>
      </c>
      <c r="E30" s="58" t="str">
        <f t="shared" si="1"/>
        <v>April</v>
      </c>
      <c r="F30" s="58">
        <v>2026</v>
      </c>
      <c r="G30" s="58">
        <v>3</v>
      </c>
      <c r="H30" s="58" t="s">
        <v>61</v>
      </c>
      <c r="I30" s="163" t="s">
        <v>62</v>
      </c>
      <c r="J30" s="163" t="s">
        <v>360</v>
      </c>
      <c r="K30" s="58" t="s">
        <v>38</v>
      </c>
      <c r="L30" s="156" t="s">
        <v>476</v>
      </c>
      <c r="M30" s="2"/>
      <c r="N30" s="2">
        <v>3</v>
      </c>
      <c r="O30" s="2" t="s">
        <v>127</v>
      </c>
      <c r="P30" s="2"/>
      <c r="Q30" s="2"/>
    </row>
    <row r="31" spans="1:17">
      <c r="A31" s="58"/>
      <c r="B31" s="158">
        <v>46133</v>
      </c>
      <c r="C31" s="58" t="str">
        <f t="shared" si="0"/>
        <v>Tuesday</v>
      </c>
      <c r="D31" s="139" t="s">
        <v>452</v>
      </c>
      <c r="E31" s="58" t="str">
        <f t="shared" si="1"/>
        <v>April</v>
      </c>
      <c r="F31" s="58">
        <v>2026</v>
      </c>
      <c r="G31" s="58">
        <v>3</v>
      </c>
      <c r="H31" s="58" t="s">
        <v>61</v>
      </c>
      <c r="I31" s="163" t="s">
        <v>62</v>
      </c>
      <c r="J31" s="163" t="s">
        <v>360</v>
      </c>
      <c r="K31" s="58" t="s">
        <v>38</v>
      </c>
      <c r="L31" s="156" t="s">
        <v>487</v>
      </c>
      <c r="M31" s="2"/>
      <c r="N31" s="2">
        <v>3</v>
      </c>
      <c r="O31" s="2" t="s">
        <v>127</v>
      </c>
      <c r="P31" s="2"/>
      <c r="Q31" s="2"/>
    </row>
    <row r="32" spans="1:17">
      <c r="A32" s="58"/>
      <c r="B32" s="158">
        <v>46134</v>
      </c>
      <c r="C32" s="58" t="str">
        <f t="shared" si="0"/>
        <v>Wednesday</v>
      </c>
      <c r="D32" s="139"/>
      <c r="E32" s="58" t="str">
        <f t="shared" si="1"/>
        <v>April</v>
      </c>
      <c r="F32" s="58">
        <v>2026</v>
      </c>
      <c r="G32" s="58">
        <v>3</v>
      </c>
      <c r="H32" s="58" t="s">
        <v>61</v>
      </c>
      <c r="I32" s="163" t="s">
        <v>62</v>
      </c>
      <c r="J32" s="163" t="s">
        <v>360</v>
      </c>
      <c r="K32" s="58" t="s">
        <v>38</v>
      </c>
      <c r="L32" s="156" t="s">
        <v>630</v>
      </c>
      <c r="M32" s="2"/>
      <c r="N32" s="2"/>
      <c r="O32" s="2" t="s">
        <v>127</v>
      </c>
      <c r="P32" s="2"/>
      <c r="Q32" s="2"/>
    </row>
    <row r="33" spans="1:17" ht="30.75">
      <c r="A33" s="58">
        <v>26</v>
      </c>
      <c r="B33" s="158">
        <v>46135</v>
      </c>
      <c r="C33" s="58" t="str">
        <f t="shared" si="0"/>
        <v>Thursday</v>
      </c>
      <c r="D33" s="139" t="s">
        <v>452</v>
      </c>
      <c r="E33" s="58" t="str">
        <f t="shared" si="1"/>
        <v>April</v>
      </c>
      <c r="F33" s="58">
        <v>2026</v>
      </c>
      <c r="G33" s="58">
        <v>3</v>
      </c>
      <c r="H33" s="58" t="s">
        <v>61</v>
      </c>
      <c r="I33" s="163" t="s">
        <v>62</v>
      </c>
      <c r="J33" s="163" t="s">
        <v>360</v>
      </c>
      <c r="K33" s="58" t="s">
        <v>38</v>
      </c>
      <c r="L33" s="142" t="s">
        <v>502</v>
      </c>
      <c r="M33" s="2"/>
      <c r="N33" s="2">
        <v>3</v>
      </c>
      <c r="O33" s="2" t="s">
        <v>127</v>
      </c>
      <c r="P33" s="2"/>
      <c r="Q33" s="2"/>
    </row>
    <row r="34" spans="1:17">
      <c r="A34" s="58">
        <v>27</v>
      </c>
      <c r="B34" s="158">
        <v>46136</v>
      </c>
      <c r="C34" s="58" t="str">
        <f t="shared" si="0"/>
        <v>Friday</v>
      </c>
      <c r="D34" s="139" t="s">
        <v>452</v>
      </c>
      <c r="E34" s="58" t="str">
        <f t="shared" si="1"/>
        <v>April</v>
      </c>
      <c r="F34" s="58">
        <v>2026</v>
      </c>
      <c r="G34" s="58">
        <v>3</v>
      </c>
      <c r="H34" s="58" t="s">
        <v>61</v>
      </c>
      <c r="I34" s="163" t="s">
        <v>62</v>
      </c>
      <c r="J34" s="163" t="s">
        <v>360</v>
      </c>
      <c r="K34" s="58" t="s">
        <v>38</v>
      </c>
      <c r="L34" s="142" t="s">
        <v>506</v>
      </c>
      <c r="M34" s="2"/>
      <c r="N34" s="2">
        <v>3</v>
      </c>
      <c r="O34" s="2" t="s">
        <v>127</v>
      </c>
      <c r="P34" s="2"/>
      <c r="Q34" s="2"/>
    </row>
    <row r="35" spans="1:17">
      <c r="A35" s="58">
        <v>28</v>
      </c>
      <c r="B35" s="158">
        <v>46139</v>
      </c>
      <c r="C35" s="58" t="str">
        <f t="shared" si="0"/>
        <v>Monday</v>
      </c>
      <c r="D35" s="139" t="s">
        <v>452</v>
      </c>
      <c r="E35" s="58" t="str">
        <f t="shared" si="1"/>
        <v>April</v>
      </c>
      <c r="F35" s="58">
        <v>2026</v>
      </c>
      <c r="G35" s="58">
        <v>3</v>
      </c>
      <c r="H35" s="58" t="s">
        <v>61</v>
      </c>
      <c r="I35" s="163" t="s">
        <v>62</v>
      </c>
      <c r="J35" s="163" t="s">
        <v>360</v>
      </c>
      <c r="K35" s="58" t="s">
        <v>38</v>
      </c>
      <c r="L35" s="142" t="s">
        <v>507</v>
      </c>
      <c r="M35" s="2"/>
      <c r="N35" s="2">
        <v>3</v>
      </c>
      <c r="O35" s="2" t="s">
        <v>127</v>
      </c>
      <c r="P35" s="2"/>
      <c r="Q35" s="2"/>
    </row>
    <row r="36" spans="1:17">
      <c r="A36" s="58">
        <v>29</v>
      </c>
      <c r="B36" s="158">
        <v>46140</v>
      </c>
      <c r="C36" s="58" t="str">
        <f t="shared" si="0"/>
        <v>Tuesday</v>
      </c>
      <c r="D36" s="139" t="s">
        <v>452</v>
      </c>
      <c r="E36" s="58" t="str">
        <f t="shared" si="1"/>
        <v>April</v>
      </c>
      <c r="F36" s="58">
        <v>2026</v>
      </c>
      <c r="G36" s="58">
        <v>3</v>
      </c>
      <c r="H36" s="58" t="s">
        <v>61</v>
      </c>
      <c r="I36" s="163" t="s">
        <v>62</v>
      </c>
      <c r="J36" s="163" t="s">
        <v>360</v>
      </c>
      <c r="K36" s="58" t="s">
        <v>38</v>
      </c>
      <c r="L36" s="142" t="s">
        <v>513</v>
      </c>
      <c r="M36" s="2"/>
      <c r="N36" s="2">
        <v>3</v>
      </c>
      <c r="O36" s="2" t="s">
        <v>127</v>
      </c>
      <c r="P36" s="2"/>
      <c r="Q36" s="2"/>
    </row>
    <row r="37" spans="1:17">
      <c r="A37" s="58">
        <v>30</v>
      </c>
      <c r="B37" s="158">
        <v>46141</v>
      </c>
      <c r="C37" s="58" t="str">
        <f t="shared" si="0"/>
        <v>Wednesday</v>
      </c>
      <c r="D37" s="139" t="s">
        <v>452</v>
      </c>
      <c r="E37" s="58" t="str">
        <f t="shared" si="1"/>
        <v>April</v>
      </c>
      <c r="F37" s="58">
        <v>2026</v>
      </c>
      <c r="G37" s="58">
        <v>3</v>
      </c>
      <c r="H37" s="58" t="s">
        <v>61</v>
      </c>
      <c r="I37" s="163" t="s">
        <v>62</v>
      </c>
      <c r="J37" s="163" t="s">
        <v>360</v>
      </c>
      <c r="K37" s="58" t="s">
        <v>38</v>
      </c>
      <c r="L37" s="142" t="s">
        <v>519</v>
      </c>
      <c r="M37" s="2"/>
      <c r="N37" s="2">
        <v>3</v>
      </c>
      <c r="O37" s="2" t="s">
        <v>127</v>
      </c>
      <c r="P37" s="2"/>
      <c r="Q37" s="2"/>
    </row>
    <row r="38" spans="1:17">
      <c r="A38" s="58">
        <v>31</v>
      </c>
      <c r="B38" s="158">
        <v>46142</v>
      </c>
      <c r="C38" s="58" t="str">
        <f t="shared" si="0"/>
        <v>Thursday</v>
      </c>
      <c r="D38" s="139" t="s">
        <v>452</v>
      </c>
      <c r="E38" s="58" t="str">
        <f t="shared" si="1"/>
        <v>April</v>
      </c>
      <c r="F38" s="58">
        <v>2026</v>
      </c>
      <c r="G38" s="58">
        <v>3</v>
      </c>
      <c r="H38" s="58" t="s">
        <v>61</v>
      </c>
      <c r="I38" s="163" t="s">
        <v>62</v>
      </c>
      <c r="J38" s="163" t="s">
        <v>360</v>
      </c>
      <c r="K38" s="58" t="s">
        <v>38</v>
      </c>
      <c r="L38" s="142" t="s">
        <v>529</v>
      </c>
      <c r="M38" s="2"/>
      <c r="N38" s="2">
        <v>3</v>
      </c>
      <c r="O38" s="2" t="s">
        <v>127</v>
      </c>
      <c r="P38" s="2"/>
      <c r="Q38" s="2"/>
    </row>
    <row r="39" spans="1:17">
      <c r="A39" s="58"/>
      <c r="B39" s="158">
        <v>46146</v>
      </c>
      <c r="C39" s="58" t="str">
        <f>TEXT(B39,"dddd")</f>
        <v>Monday</v>
      </c>
      <c r="D39" s="139" t="s">
        <v>452</v>
      </c>
      <c r="E39" s="58" t="str">
        <f>TEXT(B39,"mmmm")</f>
        <v>May</v>
      </c>
      <c r="F39" s="58">
        <v>2026</v>
      </c>
      <c r="G39" s="58">
        <v>3</v>
      </c>
      <c r="H39" s="58" t="s">
        <v>61</v>
      </c>
      <c r="I39" s="163" t="s">
        <v>62</v>
      </c>
      <c r="J39" s="163" t="s">
        <v>360</v>
      </c>
      <c r="K39" s="58" t="s">
        <v>38</v>
      </c>
      <c r="L39" s="142" t="s">
        <v>660</v>
      </c>
      <c r="M39" s="2"/>
      <c r="N39" s="2"/>
      <c r="O39" s="2" t="s">
        <v>127</v>
      </c>
      <c r="P39" s="2"/>
      <c r="Q39" s="2"/>
    </row>
    <row r="40" spans="1:17">
      <c r="A40" s="58"/>
      <c r="B40" s="158">
        <v>46153</v>
      </c>
      <c r="C40" s="58" t="str">
        <f t="shared" si="0"/>
        <v>Monday</v>
      </c>
      <c r="D40" s="139"/>
      <c r="E40" s="58" t="str">
        <f t="shared" si="1"/>
        <v>May</v>
      </c>
      <c r="F40" s="58">
        <v>2026</v>
      </c>
      <c r="G40" s="58">
        <v>3</v>
      </c>
      <c r="H40" s="58" t="s">
        <v>61</v>
      </c>
      <c r="I40" s="163" t="s">
        <v>62</v>
      </c>
      <c r="J40" s="163" t="s">
        <v>360</v>
      </c>
      <c r="K40" s="58" t="s">
        <v>38</v>
      </c>
      <c r="L40" s="156" t="s">
        <v>569</v>
      </c>
      <c r="M40" s="2"/>
      <c r="N40" s="2"/>
      <c r="O40" s="2" t="s">
        <v>169</v>
      </c>
      <c r="P40" s="2"/>
      <c r="Q40" s="2"/>
    </row>
    <row r="41" spans="1:17">
      <c r="A41" s="58"/>
      <c r="B41" s="158">
        <v>46154</v>
      </c>
      <c r="C41" s="58" t="str">
        <f t="shared" si="0"/>
        <v>Tuesday</v>
      </c>
      <c r="D41" s="139" t="s">
        <v>568</v>
      </c>
      <c r="E41" s="58" t="str">
        <f t="shared" si="1"/>
        <v>May</v>
      </c>
      <c r="F41" s="58">
        <v>2026</v>
      </c>
      <c r="G41" s="58">
        <v>3</v>
      </c>
      <c r="H41" s="58" t="s">
        <v>61</v>
      </c>
      <c r="I41" s="163" t="s">
        <v>62</v>
      </c>
      <c r="J41" s="163" t="s">
        <v>360</v>
      </c>
      <c r="K41" s="58" t="s">
        <v>38</v>
      </c>
      <c r="L41" s="156" t="s">
        <v>569</v>
      </c>
      <c r="M41" s="2"/>
      <c r="N41" s="2">
        <v>3</v>
      </c>
      <c r="O41" s="2" t="s">
        <v>169</v>
      </c>
      <c r="P41" s="2"/>
      <c r="Q41" s="2"/>
    </row>
    <row r="42" spans="1:17">
      <c r="A42" s="58"/>
      <c r="B42" s="158">
        <v>46154</v>
      </c>
      <c r="C42" s="58" t="str">
        <f t="shared" si="0"/>
        <v>Tuesday</v>
      </c>
      <c r="D42" s="139" t="s">
        <v>568</v>
      </c>
      <c r="E42" s="58" t="str">
        <f t="shared" si="1"/>
        <v>May</v>
      </c>
      <c r="F42" s="58">
        <v>2026</v>
      </c>
      <c r="G42" s="58">
        <v>3</v>
      </c>
      <c r="H42" s="58" t="s">
        <v>61</v>
      </c>
      <c r="I42" s="163" t="s">
        <v>62</v>
      </c>
      <c r="J42" s="163" t="s">
        <v>360</v>
      </c>
      <c r="K42" s="58" t="s">
        <v>38</v>
      </c>
      <c r="L42" s="156" t="s">
        <v>569</v>
      </c>
      <c r="M42" s="2"/>
      <c r="N42" s="2">
        <v>3</v>
      </c>
      <c r="O42" s="2" t="s">
        <v>169</v>
      </c>
      <c r="P42" s="2"/>
      <c r="Q42" s="2"/>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T63"/>
  <sheetViews>
    <sheetView topLeftCell="A16" workbookViewId="0">
      <selection activeCell="A24" sqref="A24:XFD24"/>
    </sheetView>
  </sheetViews>
  <sheetFormatPr defaultRowHeight="15"/>
  <cols>
    <col min="1" max="1" width="3.7109375" bestFit="1" customWidth="1"/>
    <col min="2" max="2" width="18.7109375" bestFit="1" customWidth="1"/>
    <col min="3" max="3" width="12.42578125" bestFit="1" customWidth="1"/>
    <col min="4" max="4" width="25" customWidth="1"/>
    <col min="5" max="5" width="16.140625" customWidth="1"/>
    <col min="6" max="6" width="6.28515625" bestFit="1" customWidth="1"/>
    <col min="7" max="7" width="9.140625" customWidth="1"/>
    <col min="8" max="8" width="7" bestFit="1" customWidth="1"/>
    <col min="9" max="9" width="21.28515625" customWidth="1"/>
    <col min="11" max="11" width="13" customWidth="1"/>
    <col min="12" max="12" width="83.5703125" bestFit="1" customWidth="1"/>
    <col min="13" max="13" width="13.85546875" bestFit="1" customWidth="1"/>
    <col min="14" max="14" width="9.7109375" customWidth="1"/>
    <col min="15" max="15" width="16.28515625" bestFit="1" customWidth="1"/>
  </cols>
  <sheetData>
    <row r="1" spans="1:17" ht="15.6" customHeight="1">
      <c r="A1" s="49" t="s">
        <v>274</v>
      </c>
      <c r="B1" s="50" t="s">
        <v>275</v>
      </c>
      <c r="C1" s="49" t="s">
        <v>276</v>
      </c>
      <c r="D1" s="49" t="s">
        <v>277</v>
      </c>
      <c r="E1" s="49" t="s">
        <v>0</v>
      </c>
      <c r="F1" s="49" t="s">
        <v>278</v>
      </c>
      <c r="G1" s="49" t="s">
        <v>279</v>
      </c>
      <c r="H1" s="49" t="s">
        <v>1</v>
      </c>
      <c r="I1" s="49" t="s">
        <v>280</v>
      </c>
      <c r="J1" s="51" t="s">
        <v>281</v>
      </c>
      <c r="K1" s="49" t="s">
        <v>3</v>
      </c>
      <c r="L1" s="49" t="s">
        <v>282</v>
      </c>
      <c r="M1" s="49" t="s">
        <v>1023</v>
      </c>
      <c r="N1" s="49" t="s">
        <v>283</v>
      </c>
      <c r="O1" s="49" t="s">
        <v>285</v>
      </c>
      <c r="P1" s="49" t="s">
        <v>286</v>
      </c>
      <c r="Q1" s="49" t="s">
        <v>287</v>
      </c>
    </row>
    <row r="2" spans="1:17" ht="15.6" customHeight="1">
      <c r="A2" s="6">
        <v>1</v>
      </c>
      <c r="B2" s="8">
        <v>45775</v>
      </c>
      <c r="C2" s="6" t="str">
        <f>TEXT(B2,"dddd")</f>
        <v>Monday</v>
      </c>
      <c r="D2" s="7" t="s">
        <v>310</v>
      </c>
      <c r="E2" s="6" t="str">
        <f>TEXT(B2,"mmmm")</f>
        <v>April</v>
      </c>
      <c r="F2" s="6">
        <v>2025</v>
      </c>
      <c r="G2" s="6">
        <v>2</v>
      </c>
      <c r="H2" s="6" t="s">
        <v>16</v>
      </c>
      <c r="I2" s="7" t="s">
        <v>17</v>
      </c>
      <c r="J2" s="6" t="s">
        <v>311</v>
      </c>
      <c r="K2" s="7" t="s">
        <v>18</v>
      </c>
      <c r="L2" s="7" t="s">
        <v>312</v>
      </c>
      <c r="M2" s="37"/>
      <c r="N2" s="6">
        <v>2</v>
      </c>
      <c r="O2" s="7" t="s">
        <v>19</v>
      </c>
      <c r="P2" s="6"/>
      <c r="Q2" s="6"/>
    </row>
    <row r="3" spans="1:17" ht="15.6" customHeight="1">
      <c r="A3" s="6">
        <v>2</v>
      </c>
      <c r="B3" s="8">
        <v>45775</v>
      </c>
      <c r="C3" s="6" t="str">
        <f t="shared" ref="C3:C31" si="0">TEXT(B3,"dddd")</f>
        <v>Monday</v>
      </c>
      <c r="D3" s="7" t="s">
        <v>313</v>
      </c>
      <c r="E3" s="6" t="str">
        <f t="shared" ref="E3:E31" si="1">TEXT(B3,"mmmm")</f>
        <v>April</v>
      </c>
      <c r="F3" s="6">
        <v>2025</v>
      </c>
      <c r="G3" s="6">
        <v>2</v>
      </c>
      <c r="H3" s="7" t="s">
        <v>16</v>
      </c>
      <c r="I3" s="7" t="s">
        <v>21</v>
      </c>
      <c r="J3" s="6" t="s">
        <v>311</v>
      </c>
      <c r="K3" s="7" t="s">
        <v>18</v>
      </c>
      <c r="L3" s="7" t="s">
        <v>314</v>
      </c>
      <c r="M3" s="6"/>
      <c r="N3" s="6">
        <v>2</v>
      </c>
      <c r="O3" s="7" t="s">
        <v>22</v>
      </c>
      <c r="P3" s="6"/>
      <c r="Q3" s="6"/>
    </row>
    <row r="4" spans="1:17" ht="15.6" customHeight="1">
      <c r="A4" s="6">
        <v>3</v>
      </c>
      <c r="B4" s="8">
        <v>45776</v>
      </c>
      <c r="C4" s="6" t="str">
        <f t="shared" si="0"/>
        <v>Tuesday</v>
      </c>
      <c r="D4" s="7" t="s">
        <v>310</v>
      </c>
      <c r="E4" s="6" t="str">
        <f t="shared" si="1"/>
        <v>April</v>
      </c>
      <c r="F4" s="6">
        <v>2025</v>
      </c>
      <c r="G4" s="6">
        <v>2</v>
      </c>
      <c r="H4" s="7" t="s">
        <v>16</v>
      </c>
      <c r="I4" s="7" t="s">
        <v>17</v>
      </c>
      <c r="J4" s="6" t="s">
        <v>311</v>
      </c>
      <c r="K4" s="7" t="s">
        <v>18</v>
      </c>
      <c r="L4" s="7" t="s">
        <v>315</v>
      </c>
      <c r="M4" s="6"/>
      <c r="N4" s="6">
        <v>2</v>
      </c>
      <c r="O4" s="7" t="s">
        <v>19</v>
      </c>
      <c r="P4" s="6"/>
      <c r="Q4" s="6"/>
    </row>
    <row r="5" spans="1:17" ht="15.6" customHeight="1">
      <c r="A5" s="6">
        <v>4</v>
      </c>
      <c r="B5" s="8">
        <v>45776</v>
      </c>
      <c r="C5" s="6" t="str">
        <f t="shared" si="0"/>
        <v>Tuesday</v>
      </c>
      <c r="D5" s="7" t="s">
        <v>313</v>
      </c>
      <c r="E5" s="6" t="str">
        <f t="shared" si="1"/>
        <v>April</v>
      </c>
      <c r="F5" s="6">
        <v>2025</v>
      </c>
      <c r="G5" s="6">
        <v>2</v>
      </c>
      <c r="H5" s="7" t="s">
        <v>16</v>
      </c>
      <c r="I5" s="7" t="s">
        <v>21</v>
      </c>
      <c r="J5" s="6" t="s">
        <v>311</v>
      </c>
      <c r="K5" s="7" t="s">
        <v>18</v>
      </c>
      <c r="L5" s="7" t="s">
        <v>316</v>
      </c>
      <c r="M5" s="6"/>
      <c r="N5" s="6">
        <v>2</v>
      </c>
      <c r="O5" s="7" t="s">
        <v>22</v>
      </c>
      <c r="P5" s="6"/>
      <c r="Q5" s="6"/>
    </row>
    <row r="6" spans="1:17" ht="15.6" customHeight="1">
      <c r="A6" s="6">
        <v>5</v>
      </c>
      <c r="B6" s="8">
        <v>45796</v>
      </c>
      <c r="C6" s="6" t="str">
        <f t="shared" si="0"/>
        <v>Monday</v>
      </c>
      <c r="D6" s="7" t="s">
        <v>310</v>
      </c>
      <c r="E6" s="6" t="str">
        <f t="shared" si="1"/>
        <v>May</v>
      </c>
      <c r="F6" s="6">
        <v>2025</v>
      </c>
      <c r="G6" s="6">
        <v>2</v>
      </c>
      <c r="H6" s="7" t="s">
        <v>16</v>
      </c>
      <c r="I6" s="7" t="s">
        <v>17</v>
      </c>
      <c r="J6" s="6" t="s">
        <v>311</v>
      </c>
      <c r="K6" s="7" t="s">
        <v>27</v>
      </c>
      <c r="L6" s="7" t="s">
        <v>312</v>
      </c>
      <c r="M6" s="6"/>
      <c r="N6" s="6">
        <v>2</v>
      </c>
      <c r="O6" s="7" t="s">
        <v>19</v>
      </c>
      <c r="P6" s="6"/>
      <c r="Q6" s="6"/>
    </row>
    <row r="7" spans="1:17" ht="15.6" customHeight="1">
      <c r="A7" s="6">
        <v>6</v>
      </c>
      <c r="B7" s="8">
        <v>45796</v>
      </c>
      <c r="C7" s="6" t="str">
        <f t="shared" si="0"/>
        <v>Monday</v>
      </c>
      <c r="D7" s="7" t="s">
        <v>313</v>
      </c>
      <c r="E7" s="6" t="str">
        <f t="shared" si="1"/>
        <v>May</v>
      </c>
      <c r="F7" s="6">
        <v>2025</v>
      </c>
      <c r="G7" s="6">
        <v>2</v>
      </c>
      <c r="H7" s="7" t="s">
        <v>16</v>
      </c>
      <c r="I7" s="7" t="s">
        <v>17</v>
      </c>
      <c r="J7" s="6" t="s">
        <v>311</v>
      </c>
      <c r="K7" s="7" t="s">
        <v>27</v>
      </c>
      <c r="L7" s="7" t="s">
        <v>328</v>
      </c>
      <c r="M7" s="6"/>
      <c r="N7" s="6">
        <v>2</v>
      </c>
      <c r="O7" s="7" t="s">
        <v>29</v>
      </c>
      <c r="P7" s="6"/>
      <c r="Q7" s="6"/>
    </row>
    <row r="8" spans="1:17" ht="15.6" customHeight="1">
      <c r="A8" s="6">
        <v>7</v>
      </c>
      <c r="B8" s="8">
        <v>45797</v>
      </c>
      <c r="C8" s="6" t="str">
        <f t="shared" si="0"/>
        <v>Tuesday</v>
      </c>
      <c r="D8" s="7" t="s">
        <v>310</v>
      </c>
      <c r="E8" s="6" t="str">
        <f t="shared" si="1"/>
        <v>May</v>
      </c>
      <c r="F8" s="6">
        <v>2025</v>
      </c>
      <c r="G8" s="6">
        <v>2</v>
      </c>
      <c r="H8" s="7" t="s">
        <v>16</v>
      </c>
      <c r="I8" s="7" t="s">
        <v>17</v>
      </c>
      <c r="J8" s="6" t="s">
        <v>311</v>
      </c>
      <c r="K8" s="7" t="s">
        <v>27</v>
      </c>
      <c r="L8" s="7" t="s">
        <v>315</v>
      </c>
      <c r="M8" s="6"/>
      <c r="N8" s="6">
        <v>2</v>
      </c>
      <c r="O8" s="7" t="s">
        <v>19</v>
      </c>
      <c r="P8" s="6"/>
      <c r="Q8" s="6"/>
    </row>
    <row r="9" spans="1:17" ht="15.6" customHeight="1">
      <c r="A9" s="6">
        <v>8</v>
      </c>
      <c r="B9" s="8">
        <v>45797</v>
      </c>
      <c r="C9" s="6" t="str">
        <f t="shared" si="0"/>
        <v>Tuesday</v>
      </c>
      <c r="D9" s="7" t="s">
        <v>313</v>
      </c>
      <c r="E9" s="6" t="str">
        <f t="shared" si="1"/>
        <v>May</v>
      </c>
      <c r="F9" s="6">
        <v>2025</v>
      </c>
      <c r="G9" s="6">
        <v>2</v>
      </c>
      <c r="H9" s="7" t="s">
        <v>16</v>
      </c>
      <c r="I9" s="7" t="s">
        <v>17</v>
      </c>
      <c r="J9" s="6" t="s">
        <v>311</v>
      </c>
      <c r="K9" s="7" t="s">
        <v>27</v>
      </c>
      <c r="L9" s="7" t="s">
        <v>316</v>
      </c>
      <c r="M9" s="6"/>
      <c r="N9" s="6">
        <v>2</v>
      </c>
      <c r="O9" s="7" t="s">
        <v>29</v>
      </c>
      <c r="P9" s="6"/>
      <c r="Q9" s="6"/>
    </row>
    <row r="10" spans="1:17" ht="15.6" customHeight="1">
      <c r="A10" s="6">
        <v>9</v>
      </c>
      <c r="B10" s="8">
        <v>45804</v>
      </c>
      <c r="C10" s="6" t="str">
        <f t="shared" si="0"/>
        <v>Tuesday</v>
      </c>
      <c r="D10" s="7" t="s">
        <v>331</v>
      </c>
      <c r="E10" s="6" t="str">
        <f t="shared" si="1"/>
        <v>May</v>
      </c>
      <c r="F10" s="6">
        <v>2025</v>
      </c>
      <c r="G10" s="6">
        <v>4</v>
      </c>
      <c r="H10" s="7" t="s">
        <v>16</v>
      </c>
      <c r="I10" s="7" t="s">
        <v>17</v>
      </c>
      <c r="J10" s="6" t="s">
        <v>311</v>
      </c>
      <c r="K10" s="7" t="s">
        <v>30</v>
      </c>
      <c r="L10" s="7" t="s">
        <v>332</v>
      </c>
      <c r="M10" s="6"/>
      <c r="N10" s="6">
        <v>4</v>
      </c>
      <c r="O10" s="7" t="s">
        <v>29</v>
      </c>
      <c r="P10" s="6"/>
      <c r="Q10" s="6"/>
    </row>
    <row r="11" spans="1:17" ht="15.6" customHeight="1">
      <c r="A11" s="6">
        <v>10</v>
      </c>
      <c r="B11" s="8">
        <v>45805</v>
      </c>
      <c r="C11" s="6" t="str">
        <f t="shared" si="0"/>
        <v>Wednesday</v>
      </c>
      <c r="D11" s="7" t="s">
        <v>331</v>
      </c>
      <c r="E11" s="6" t="str">
        <f t="shared" si="1"/>
        <v>May</v>
      </c>
      <c r="F11" s="6">
        <v>2025</v>
      </c>
      <c r="G11" s="6">
        <v>4</v>
      </c>
      <c r="H11" s="7" t="s">
        <v>16</v>
      </c>
      <c r="I11" s="7" t="s">
        <v>17</v>
      </c>
      <c r="J11" s="6" t="s">
        <v>311</v>
      </c>
      <c r="K11" s="7" t="s">
        <v>30</v>
      </c>
      <c r="L11" s="7" t="s">
        <v>334</v>
      </c>
      <c r="M11" s="6"/>
      <c r="N11" s="6">
        <v>4</v>
      </c>
      <c r="O11" s="7" t="s">
        <v>19</v>
      </c>
      <c r="P11" s="6"/>
      <c r="Q11" s="6"/>
    </row>
    <row r="12" spans="1:17" ht="15.6" customHeight="1">
      <c r="A12" s="6">
        <v>11</v>
      </c>
      <c r="B12" s="8">
        <v>45820</v>
      </c>
      <c r="C12" s="6" t="str">
        <f t="shared" si="0"/>
        <v>Thursday</v>
      </c>
      <c r="D12" s="7" t="s">
        <v>336</v>
      </c>
      <c r="E12" s="6" t="str">
        <f t="shared" si="1"/>
        <v>June</v>
      </c>
      <c r="F12" s="6">
        <v>2025</v>
      </c>
      <c r="G12" s="6">
        <v>4</v>
      </c>
      <c r="H12" s="7" t="s">
        <v>16</v>
      </c>
      <c r="I12" s="7" t="s">
        <v>17</v>
      </c>
      <c r="J12" s="6" t="s">
        <v>311</v>
      </c>
      <c r="K12" s="7" t="s">
        <v>31</v>
      </c>
      <c r="L12" s="7" t="s">
        <v>334</v>
      </c>
      <c r="M12" s="6"/>
      <c r="N12" s="6">
        <v>4</v>
      </c>
      <c r="O12" s="7" t="s">
        <v>19</v>
      </c>
      <c r="P12" s="6"/>
      <c r="Q12" s="6"/>
    </row>
    <row r="13" spans="1:17" ht="15.6" customHeight="1">
      <c r="A13" s="6">
        <v>12</v>
      </c>
      <c r="B13" s="8">
        <v>45821</v>
      </c>
      <c r="C13" s="6" t="str">
        <f t="shared" si="0"/>
        <v>Friday</v>
      </c>
      <c r="D13" s="7" t="s">
        <v>336</v>
      </c>
      <c r="E13" s="6" t="str">
        <f t="shared" si="1"/>
        <v>June</v>
      </c>
      <c r="F13" s="6">
        <v>2025</v>
      </c>
      <c r="G13" s="6">
        <v>4</v>
      </c>
      <c r="H13" s="7" t="s">
        <v>16</v>
      </c>
      <c r="I13" s="7" t="s">
        <v>17</v>
      </c>
      <c r="J13" s="6" t="s">
        <v>311</v>
      </c>
      <c r="K13" s="7" t="s">
        <v>31</v>
      </c>
      <c r="L13" s="7" t="s">
        <v>332</v>
      </c>
      <c r="M13" s="6"/>
      <c r="N13" s="6">
        <v>4</v>
      </c>
      <c r="O13" s="7" t="s">
        <v>29</v>
      </c>
      <c r="P13" s="6"/>
      <c r="Q13" s="6"/>
    </row>
    <row r="14" spans="1:17" ht="15.6" customHeight="1">
      <c r="A14" s="6">
        <v>13</v>
      </c>
      <c r="B14" s="8">
        <v>45828</v>
      </c>
      <c r="C14" s="6" t="str">
        <f t="shared" si="0"/>
        <v>Friday</v>
      </c>
      <c r="D14" s="7" t="s">
        <v>310</v>
      </c>
      <c r="E14" s="6" t="str">
        <f t="shared" si="1"/>
        <v>June</v>
      </c>
      <c r="F14" s="6">
        <v>2025</v>
      </c>
      <c r="G14" s="6">
        <v>2</v>
      </c>
      <c r="H14" s="7" t="s">
        <v>16</v>
      </c>
      <c r="I14" s="7" t="s">
        <v>17</v>
      </c>
      <c r="J14" s="6" t="s">
        <v>311</v>
      </c>
      <c r="K14" s="7" t="s">
        <v>32</v>
      </c>
      <c r="L14" s="7" t="s">
        <v>312</v>
      </c>
      <c r="M14" s="6"/>
      <c r="N14" s="6">
        <v>2</v>
      </c>
      <c r="O14" s="7" t="s">
        <v>19</v>
      </c>
      <c r="P14" s="6"/>
      <c r="Q14" s="6"/>
    </row>
    <row r="15" spans="1:17" ht="15.6" customHeight="1">
      <c r="A15" s="6">
        <v>14</v>
      </c>
      <c r="B15" s="8">
        <v>45828</v>
      </c>
      <c r="C15" s="6" t="str">
        <f t="shared" si="0"/>
        <v>Friday</v>
      </c>
      <c r="D15" s="7" t="s">
        <v>313</v>
      </c>
      <c r="E15" s="6" t="str">
        <f t="shared" si="1"/>
        <v>June</v>
      </c>
      <c r="F15" s="6">
        <v>2025</v>
      </c>
      <c r="G15" s="6">
        <v>2</v>
      </c>
      <c r="H15" s="7" t="s">
        <v>16</v>
      </c>
      <c r="I15" s="7" t="s">
        <v>17</v>
      </c>
      <c r="J15" s="6" t="s">
        <v>311</v>
      </c>
      <c r="K15" s="7" t="s">
        <v>32</v>
      </c>
      <c r="L15" s="7" t="s">
        <v>328</v>
      </c>
      <c r="M15" s="6"/>
      <c r="N15" s="6">
        <v>2</v>
      </c>
      <c r="O15" s="7" t="s">
        <v>29</v>
      </c>
      <c r="P15" s="6"/>
      <c r="Q15" s="6"/>
    </row>
    <row r="16" spans="1:17" ht="15.6" customHeight="1">
      <c r="A16" s="6">
        <v>15</v>
      </c>
      <c r="B16" s="8">
        <v>45831</v>
      </c>
      <c r="C16" s="6" t="str">
        <f t="shared" si="0"/>
        <v>Monday</v>
      </c>
      <c r="D16" s="7" t="s">
        <v>310</v>
      </c>
      <c r="E16" s="6" t="str">
        <f t="shared" si="1"/>
        <v>June</v>
      </c>
      <c r="F16" s="6">
        <v>2025</v>
      </c>
      <c r="G16" s="6">
        <v>2</v>
      </c>
      <c r="H16" s="7" t="s">
        <v>16</v>
      </c>
      <c r="I16" s="7" t="s">
        <v>17</v>
      </c>
      <c r="J16" s="6" t="s">
        <v>311</v>
      </c>
      <c r="K16" s="7" t="s">
        <v>32</v>
      </c>
      <c r="L16" s="7" t="s">
        <v>315</v>
      </c>
      <c r="M16" s="6"/>
      <c r="N16" s="6">
        <v>2</v>
      </c>
      <c r="O16" s="7" t="s">
        <v>19</v>
      </c>
      <c r="P16" s="6"/>
      <c r="Q16" s="6"/>
    </row>
    <row r="17" spans="1:72" ht="15.6" customHeight="1">
      <c r="A17" s="6">
        <v>16</v>
      </c>
      <c r="B17" s="8">
        <v>45831</v>
      </c>
      <c r="C17" s="6" t="str">
        <f t="shared" si="0"/>
        <v>Monday</v>
      </c>
      <c r="D17" s="7" t="s">
        <v>313</v>
      </c>
      <c r="E17" s="6" t="str">
        <f t="shared" si="1"/>
        <v>June</v>
      </c>
      <c r="F17" s="6">
        <v>2025</v>
      </c>
      <c r="G17" s="6">
        <v>2</v>
      </c>
      <c r="H17" s="7" t="s">
        <v>16</v>
      </c>
      <c r="I17" s="7" t="s">
        <v>17</v>
      </c>
      <c r="J17" s="6" t="s">
        <v>311</v>
      </c>
      <c r="K17" s="7" t="s">
        <v>32</v>
      </c>
      <c r="L17" s="7" t="s">
        <v>316</v>
      </c>
      <c r="M17" s="6"/>
      <c r="N17" s="6">
        <v>2</v>
      </c>
      <c r="O17" s="7" t="s">
        <v>29</v>
      </c>
      <c r="P17" s="6"/>
      <c r="Q17" s="6"/>
    </row>
    <row r="18" spans="1:72" ht="15.6" customHeight="1">
      <c r="A18" s="6">
        <v>17</v>
      </c>
      <c r="B18" s="8">
        <v>45853</v>
      </c>
      <c r="C18" s="6" t="str">
        <f t="shared" si="0"/>
        <v>Tuesday</v>
      </c>
      <c r="D18" s="7" t="s">
        <v>331</v>
      </c>
      <c r="E18" s="6" t="str">
        <f t="shared" si="1"/>
        <v>July</v>
      </c>
      <c r="F18" s="6">
        <v>2025</v>
      </c>
      <c r="G18" s="6">
        <v>4</v>
      </c>
      <c r="H18" s="7" t="s">
        <v>16</v>
      </c>
      <c r="I18" s="7" t="s">
        <v>17</v>
      </c>
      <c r="J18" s="6" t="s">
        <v>311</v>
      </c>
      <c r="K18" s="7" t="s">
        <v>34</v>
      </c>
      <c r="L18" s="7" t="s">
        <v>334</v>
      </c>
      <c r="M18" s="6"/>
      <c r="N18" s="6">
        <v>4</v>
      </c>
      <c r="O18" s="7" t="s">
        <v>19</v>
      </c>
      <c r="P18" s="6"/>
      <c r="Q18" s="6"/>
    </row>
    <row r="19" spans="1:72" ht="17.25" customHeight="1">
      <c r="A19" s="6"/>
      <c r="B19" s="15">
        <v>45854</v>
      </c>
      <c r="C19" s="6" t="str">
        <f t="shared" si="0"/>
        <v>Wednesday</v>
      </c>
      <c r="D19" s="7" t="s">
        <v>331</v>
      </c>
      <c r="E19" s="6" t="str">
        <f t="shared" si="1"/>
        <v>July</v>
      </c>
      <c r="F19" s="6">
        <v>2025</v>
      </c>
      <c r="G19" s="6">
        <v>4</v>
      </c>
      <c r="H19" s="7" t="s">
        <v>16</v>
      </c>
      <c r="I19" s="7" t="s">
        <v>17</v>
      </c>
      <c r="J19" s="6" t="s">
        <v>311</v>
      </c>
      <c r="K19" s="7" t="s">
        <v>34</v>
      </c>
      <c r="L19" s="7" t="s">
        <v>339</v>
      </c>
      <c r="M19" s="6"/>
      <c r="N19" s="6">
        <v>4</v>
      </c>
      <c r="O19" s="7" t="s">
        <v>29</v>
      </c>
      <c r="P19" s="6"/>
      <c r="Q19" s="6"/>
    </row>
    <row r="20" spans="1:72" s="52" customFormat="1" ht="15.6" customHeight="1">
      <c r="A20" s="6"/>
      <c r="B20" s="15">
        <v>45860</v>
      </c>
      <c r="C20" s="6" t="str">
        <f t="shared" si="0"/>
        <v>Tuesday</v>
      </c>
      <c r="D20" s="7" t="s">
        <v>310</v>
      </c>
      <c r="E20" s="6" t="str">
        <f t="shared" si="1"/>
        <v>July</v>
      </c>
      <c r="F20" s="6">
        <v>2025</v>
      </c>
      <c r="G20" s="6">
        <v>2</v>
      </c>
      <c r="H20" s="7" t="s">
        <v>16</v>
      </c>
      <c r="I20" s="7" t="s">
        <v>17</v>
      </c>
      <c r="J20" s="6" t="s">
        <v>311</v>
      </c>
      <c r="K20" s="7" t="s">
        <v>35</v>
      </c>
      <c r="L20" s="7" t="s">
        <v>340</v>
      </c>
      <c r="M20" s="6"/>
      <c r="N20" s="6">
        <v>2</v>
      </c>
      <c r="O20" s="7" t="s">
        <v>19</v>
      </c>
      <c r="P20" s="6"/>
      <c r="Q20" s="6"/>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s="52" customFormat="1" ht="15.6" customHeight="1">
      <c r="A21" s="6"/>
      <c r="B21" s="15">
        <v>45860</v>
      </c>
      <c r="C21" s="6" t="str">
        <f t="shared" si="0"/>
        <v>Tuesday</v>
      </c>
      <c r="D21" s="7" t="s">
        <v>313</v>
      </c>
      <c r="E21" s="6" t="str">
        <f t="shared" si="1"/>
        <v>July</v>
      </c>
      <c r="F21" s="6">
        <v>2025</v>
      </c>
      <c r="G21" s="6">
        <v>2</v>
      </c>
      <c r="H21" s="7" t="s">
        <v>16</v>
      </c>
      <c r="I21" s="7" t="s">
        <v>17</v>
      </c>
      <c r="J21" s="6" t="s">
        <v>311</v>
      </c>
      <c r="K21" s="7" t="s">
        <v>35</v>
      </c>
      <c r="L21" s="7" t="s">
        <v>328</v>
      </c>
      <c r="M21" s="6"/>
      <c r="N21" s="6">
        <v>2</v>
      </c>
      <c r="O21" s="7" t="s">
        <v>29</v>
      </c>
      <c r="P21" s="6"/>
      <c r="Q21" s="6"/>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s="52" customFormat="1" ht="15.6" customHeight="1">
      <c r="A22" s="6"/>
      <c r="B22" s="15">
        <v>45861</v>
      </c>
      <c r="C22" s="6" t="str">
        <f t="shared" si="0"/>
        <v>Wednesday</v>
      </c>
      <c r="D22" s="7" t="s">
        <v>310</v>
      </c>
      <c r="E22" s="6" t="str">
        <f t="shared" si="1"/>
        <v>July</v>
      </c>
      <c r="F22" s="6">
        <v>2025</v>
      </c>
      <c r="G22" s="6">
        <v>2</v>
      </c>
      <c r="H22" s="7" t="s">
        <v>16</v>
      </c>
      <c r="I22" s="7" t="s">
        <v>17</v>
      </c>
      <c r="J22" s="6" t="s">
        <v>311</v>
      </c>
      <c r="K22" s="7" t="s">
        <v>35</v>
      </c>
      <c r="L22" s="7" t="s">
        <v>315</v>
      </c>
      <c r="M22" s="6"/>
      <c r="N22" s="6">
        <v>2</v>
      </c>
      <c r="O22" s="7" t="s">
        <v>19</v>
      </c>
      <c r="P22" s="6"/>
      <c r="Q22" s="6"/>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s="52" customFormat="1" ht="15.6" customHeight="1">
      <c r="A23" s="6"/>
      <c r="B23" s="15">
        <v>45861</v>
      </c>
      <c r="C23" s="6" t="str">
        <f t="shared" si="0"/>
        <v>Wednesday</v>
      </c>
      <c r="D23" s="7" t="s">
        <v>313</v>
      </c>
      <c r="E23" s="6" t="str">
        <f t="shared" si="1"/>
        <v>July</v>
      </c>
      <c r="F23" s="6">
        <v>2025</v>
      </c>
      <c r="G23" s="6">
        <v>2</v>
      </c>
      <c r="H23" s="7" t="s">
        <v>16</v>
      </c>
      <c r="I23" s="7" t="s">
        <v>17</v>
      </c>
      <c r="J23" s="6" t="s">
        <v>311</v>
      </c>
      <c r="K23" s="7" t="s">
        <v>35</v>
      </c>
      <c r="L23" s="7" t="s">
        <v>341</v>
      </c>
      <c r="M23" s="6"/>
      <c r="N23" s="6">
        <v>2</v>
      </c>
      <c r="O23" s="7" t="s">
        <v>29</v>
      </c>
      <c r="P23" s="6"/>
      <c r="Q23" s="6"/>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s="52" customFormat="1" ht="15.6" customHeight="1">
      <c r="A24" s="6">
        <v>18</v>
      </c>
      <c r="B24" s="8">
        <v>45875</v>
      </c>
      <c r="C24" s="35" t="str">
        <f>TEXT(B24,"dddd")</f>
        <v>Wednesday</v>
      </c>
      <c r="D24" s="7" t="s">
        <v>313</v>
      </c>
      <c r="E24" s="35" t="str">
        <f>TEXT(B24,"mmmm")</f>
        <v>August</v>
      </c>
      <c r="F24" s="6">
        <v>2025</v>
      </c>
      <c r="G24" s="6">
        <v>2</v>
      </c>
      <c r="H24" s="7" t="s">
        <v>16</v>
      </c>
      <c r="I24" s="7" t="s">
        <v>17</v>
      </c>
      <c r="J24" s="6" t="s">
        <v>311</v>
      </c>
      <c r="K24" s="7" t="s">
        <v>37</v>
      </c>
      <c r="L24" s="16" t="s">
        <v>343</v>
      </c>
      <c r="M24" s="35"/>
      <c r="N24" s="35">
        <v>2</v>
      </c>
      <c r="O24" s="7" t="s">
        <v>19</v>
      </c>
      <c r="P24" s="35"/>
      <c r="Q24" s="35"/>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1:72" s="52" customFormat="1" ht="15.6" customHeight="1">
      <c r="A25" s="6"/>
      <c r="B25" s="15">
        <v>45876</v>
      </c>
      <c r="C25" s="35" t="str">
        <f>TEXT(B25,"dddd")</f>
        <v>Thursday</v>
      </c>
      <c r="D25" s="7" t="s">
        <v>313</v>
      </c>
      <c r="E25" s="35" t="str">
        <f>TEXT(B25,"mmmm")</f>
        <v>August</v>
      </c>
      <c r="F25" s="6">
        <v>2025</v>
      </c>
      <c r="G25" s="6">
        <v>2</v>
      </c>
      <c r="H25" s="7" t="s">
        <v>16</v>
      </c>
      <c r="I25" s="7" t="s">
        <v>17</v>
      </c>
      <c r="J25" s="6" t="s">
        <v>311</v>
      </c>
      <c r="K25" s="12" t="s">
        <v>39</v>
      </c>
      <c r="L25" s="7" t="s">
        <v>315</v>
      </c>
      <c r="M25" s="35"/>
      <c r="N25" s="35">
        <v>4</v>
      </c>
      <c r="O25" s="7" t="s">
        <v>29</v>
      </c>
      <c r="P25" s="35"/>
      <c r="Q25" s="35"/>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ht="15.6" customHeight="1">
      <c r="A26" s="6"/>
      <c r="B26" s="15">
        <v>45887</v>
      </c>
      <c r="C26" s="6" t="str">
        <f t="shared" si="0"/>
        <v>Monday</v>
      </c>
      <c r="D26" s="7" t="s">
        <v>336</v>
      </c>
      <c r="E26" s="6" t="str">
        <f t="shared" si="1"/>
        <v>August</v>
      </c>
      <c r="F26" s="6">
        <v>2025</v>
      </c>
      <c r="G26" s="6">
        <v>4</v>
      </c>
      <c r="H26" s="7" t="s">
        <v>16</v>
      </c>
      <c r="I26" s="7" t="s">
        <v>17</v>
      </c>
      <c r="J26" s="6" t="s">
        <v>311</v>
      </c>
      <c r="K26" s="7" t="s">
        <v>38</v>
      </c>
      <c r="L26" s="7" t="s">
        <v>339</v>
      </c>
      <c r="M26" s="6"/>
      <c r="N26" s="6">
        <v>4</v>
      </c>
      <c r="O26" s="7" t="s">
        <v>29</v>
      </c>
      <c r="P26" s="6"/>
      <c r="Q26" s="6"/>
    </row>
    <row r="27" spans="1:72" ht="15.6" customHeight="1">
      <c r="A27" s="6">
        <v>19</v>
      </c>
      <c r="B27" s="8">
        <v>45888</v>
      </c>
      <c r="C27" s="6" t="str">
        <f t="shared" si="0"/>
        <v>Tuesday</v>
      </c>
      <c r="D27" s="7" t="s">
        <v>336</v>
      </c>
      <c r="E27" s="6" t="str">
        <f t="shared" si="1"/>
        <v>August</v>
      </c>
      <c r="F27" s="6">
        <v>2025</v>
      </c>
      <c r="G27" s="6">
        <v>4</v>
      </c>
      <c r="H27" s="7" t="s">
        <v>16</v>
      </c>
      <c r="I27" s="7" t="s">
        <v>17</v>
      </c>
      <c r="J27" s="6" t="s">
        <v>311</v>
      </c>
      <c r="K27" s="7" t="s">
        <v>38</v>
      </c>
      <c r="L27" s="7" t="s">
        <v>334</v>
      </c>
      <c r="M27" s="6"/>
      <c r="N27" s="6">
        <v>4</v>
      </c>
      <c r="O27" s="7" t="s">
        <v>19</v>
      </c>
      <c r="P27" s="6"/>
      <c r="Q27" s="6"/>
    </row>
    <row r="28" spans="1:72" ht="15.6" customHeight="1">
      <c r="A28" s="6">
        <v>20</v>
      </c>
      <c r="B28" s="8">
        <v>45894</v>
      </c>
      <c r="C28" s="6" t="str">
        <f t="shared" si="0"/>
        <v>Monday</v>
      </c>
      <c r="D28" s="7" t="s">
        <v>310</v>
      </c>
      <c r="E28" s="6" t="str">
        <f t="shared" si="1"/>
        <v>August</v>
      </c>
      <c r="F28" s="6">
        <v>2025</v>
      </c>
      <c r="G28" s="6">
        <v>2</v>
      </c>
      <c r="H28" s="7" t="s">
        <v>16</v>
      </c>
      <c r="I28" s="7" t="s">
        <v>17</v>
      </c>
      <c r="J28" s="6" t="s">
        <v>311</v>
      </c>
      <c r="K28" s="7" t="s">
        <v>39</v>
      </c>
      <c r="L28" s="7" t="s">
        <v>340</v>
      </c>
      <c r="M28" s="6"/>
      <c r="N28" s="6">
        <v>2</v>
      </c>
      <c r="O28" s="7" t="s">
        <v>19</v>
      </c>
      <c r="P28" s="6"/>
      <c r="Q28" s="6"/>
    </row>
    <row r="29" spans="1:72" ht="15.6" customHeight="1">
      <c r="A29" s="6">
        <v>21</v>
      </c>
      <c r="B29" s="8">
        <v>45894</v>
      </c>
      <c r="C29" s="6" t="str">
        <f t="shared" si="0"/>
        <v>Monday</v>
      </c>
      <c r="D29" s="7" t="s">
        <v>313</v>
      </c>
      <c r="E29" s="6" t="str">
        <f t="shared" si="1"/>
        <v>August</v>
      </c>
      <c r="F29" s="6">
        <v>2025</v>
      </c>
      <c r="G29" s="6">
        <v>2</v>
      </c>
      <c r="H29" s="7" t="s">
        <v>16</v>
      </c>
      <c r="I29" s="7" t="s">
        <v>17</v>
      </c>
      <c r="J29" s="6" t="s">
        <v>311</v>
      </c>
      <c r="K29" s="7" t="s">
        <v>39</v>
      </c>
      <c r="L29" s="7" t="s">
        <v>328</v>
      </c>
      <c r="M29" s="6"/>
      <c r="N29" s="6">
        <v>2</v>
      </c>
      <c r="O29" s="7" t="s">
        <v>29</v>
      </c>
      <c r="P29" s="6"/>
      <c r="Q29" s="6"/>
    </row>
    <row r="30" spans="1:72" ht="15.75" customHeight="1">
      <c r="A30" s="6">
        <v>22</v>
      </c>
      <c r="B30" s="8">
        <v>45895</v>
      </c>
      <c r="C30" s="6" t="str">
        <f t="shared" si="0"/>
        <v>Tuesday</v>
      </c>
      <c r="D30" s="7" t="s">
        <v>310</v>
      </c>
      <c r="E30" s="6" t="str">
        <f t="shared" si="1"/>
        <v>August</v>
      </c>
      <c r="F30" s="6">
        <v>2025</v>
      </c>
      <c r="G30" s="6">
        <v>2</v>
      </c>
      <c r="H30" s="7" t="s">
        <v>16</v>
      </c>
      <c r="I30" s="7" t="s">
        <v>17</v>
      </c>
      <c r="J30" s="6" t="s">
        <v>311</v>
      </c>
      <c r="K30" s="7" t="s">
        <v>39</v>
      </c>
      <c r="L30" s="7" t="s">
        <v>315</v>
      </c>
      <c r="M30" s="6"/>
      <c r="N30" s="6">
        <v>2</v>
      </c>
      <c r="O30" s="7" t="s">
        <v>19</v>
      </c>
      <c r="P30" s="6"/>
      <c r="Q30" s="6"/>
    </row>
    <row r="31" spans="1:72" ht="15.6" customHeight="1">
      <c r="A31" s="6">
        <v>23</v>
      </c>
      <c r="B31" s="8">
        <v>45895</v>
      </c>
      <c r="C31" s="6" t="str">
        <f t="shared" si="0"/>
        <v>Tuesday</v>
      </c>
      <c r="D31" s="7" t="s">
        <v>313</v>
      </c>
      <c r="E31" s="6" t="str">
        <f t="shared" si="1"/>
        <v>August</v>
      </c>
      <c r="F31" s="6">
        <v>2025</v>
      </c>
      <c r="G31" s="6">
        <v>2</v>
      </c>
      <c r="H31" s="7" t="s">
        <v>16</v>
      </c>
      <c r="I31" s="7" t="s">
        <v>17</v>
      </c>
      <c r="J31" s="6" t="s">
        <v>311</v>
      </c>
      <c r="K31" s="7" t="s">
        <v>39</v>
      </c>
      <c r="L31" s="7" t="s">
        <v>341</v>
      </c>
      <c r="M31" s="6"/>
      <c r="N31" s="6">
        <v>2</v>
      </c>
      <c r="O31" s="7" t="s">
        <v>29</v>
      </c>
      <c r="P31" s="6"/>
      <c r="Q31" s="6"/>
    </row>
    <row r="32" spans="1:72">
      <c r="A32" s="35">
        <v>24</v>
      </c>
      <c r="B32" s="9">
        <v>45903</v>
      </c>
      <c r="C32" s="35" t="str">
        <f t="shared" ref="C32" si="2">TEXT(B32,"dddd")</f>
        <v>Wednesday</v>
      </c>
      <c r="D32" s="12" t="s">
        <v>344</v>
      </c>
      <c r="E32" s="35" t="str">
        <f t="shared" ref="E32" si="3">TEXT(B32,"mmmm")</f>
        <v>September</v>
      </c>
      <c r="F32" s="35">
        <v>2025</v>
      </c>
      <c r="G32" s="35">
        <v>2</v>
      </c>
      <c r="H32" s="12" t="s">
        <v>16</v>
      </c>
      <c r="I32" s="12" t="s">
        <v>17</v>
      </c>
      <c r="J32" s="6" t="s">
        <v>311</v>
      </c>
      <c r="K32" s="7" t="s">
        <v>37</v>
      </c>
      <c r="L32" s="16" t="s">
        <v>314</v>
      </c>
      <c r="M32" s="35"/>
      <c r="N32" s="35">
        <v>2</v>
      </c>
      <c r="O32" s="12" t="s">
        <v>29</v>
      </c>
      <c r="P32" s="35"/>
      <c r="Q32" s="35"/>
    </row>
    <row r="33" spans="1:17">
      <c r="A33" s="35">
        <v>25</v>
      </c>
      <c r="B33" s="9">
        <v>45904</v>
      </c>
      <c r="C33" s="35" t="str">
        <f t="shared" ref="C33:C34" si="4">TEXT(B33,"dddd")</f>
        <v>Thursday</v>
      </c>
      <c r="D33" s="12" t="s">
        <v>344</v>
      </c>
      <c r="E33" s="35" t="str">
        <f t="shared" ref="E33:E34" si="5">TEXT(B33,"mmmm")</f>
        <v>September</v>
      </c>
      <c r="F33" s="35">
        <v>2025</v>
      </c>
      <c r="G33" s="35">
        <v>2</v>
      </c>
      <c r="H33" s="12" t="s">
        <v>16</v>
      </c>
      <c r="I33" s="12" t="s">
        <v>17</v>
      </c>
      <c r="J33" s="6" t="s">
        <v>311</v>
      </c>
      <c r="K33" s="12" t="s">
        <v>37</v>
      </c>
      <c r="L33" s="17" t="s">
        <v>346</v>
      </c>
      <c r="M33" s="35"/>
      <c r="N33" s="35">
        <v>2</v>
      </c>
      <c r="O33" s="12" t="s">
        <v>29</v>
      </c>
      <c r="P33" s="35"/>
      <c r="Q33" s="35"/>
    </row>
    <row r="34" spans="1:17">
      <c r="A34" s="6">
        <v>26</v>
      </c>
      <c r="B34" s="9">
        <v>45909</v>
      </c>
      <c r="C34" s="35" t="str">
        <f t="shared" si="4"/>
        <v>Tuesday</v>
      </c>
      <c r="D34" s="12" t="s">
        <v>344</v>
      </c>
      <c r="E34" s="35" t="str">
        <f t="shared" si="5"/>
        <v>September</v>
      </c>
      <c r="F34" s="35">
        <v>2025</v>
      </c>
      <c r="G34" s="35">
        <v>2</v>
      </c>
      <c r="H34" s="12" t="s">
        <v>16</v>
      </c>
      <c r="I34" s="12" t="s">
        <v>17</v>
      </c>
      <c r="J34" s="6" t="s">
        <v>311</v>
      </c>
      <c r="K34" s="12" t="s">
        <v>43</v>
      </c>
      <c r="L34" s="14" t="s">
        <v>314</v>
      </c>
      <c r="M34" s="35"/>
      <c r="N34" s="35">
        <v>2</v>
      </c>
      <c r="O34" s="12" t="s">
        <v>29</v>
      </c>
      <c r="P34" s="35"/>
      <c r="Q34" s="35"/>
    </row>
    <row r="35" spans="1:17">
      <c r="A35" s="35">
        <v>27</v>
      </c>
      <c r="B35" s="9">
        <v>45910</v>
      </c>
      <c r="C35" s="35" t="str">
        <f t="shared" ref="C35" si="6">TEXT(B35,"dddd")</f>
        <v>Wednesday</v>
      </c>
      <c r="D35" s="12" t="s">
        <v>344</v>
      </c>
      <c r="E35" s="35" t="str">
        <f t="shared" ref="E35" si="7">TEXT(B35,"mmmm")</f>
        <v>September</v>
      </c>
      <c r="F35" s="35">
        <v>2025</v>
      </c>
      <c r="G35" s="35">
        <v>2</v>
      </c>
      <c r="H35" s="12" t="s">
        <v>16</v>
      </c>
      <c r="I35" s="12" t="s">
        <v>17</v>
      </c>
      <c r="J35" s="6" t="s">
        <v>311</v>
      </c>
      <c r="K35" s="12" t="s">
        <v>43</v>
      </c>
      <c r="L35" s="12" t="s">
        <v>346</v>
      </c>
      <c r="M35" s="35"/>
      <c r="N35" s="35">
        <v>2</v>
      </c>
      <c r="O35" s="12" t="s">
        <v>29</v>
      </c>
      <c r="P35" s="35"/>
      <c r="Q35" s="35"/>
    </row>
    <row r="36" spans="1:17">
      <c r="A36" s="35">
        <v>28</v>
      </c>
      <c r="B36" s="9">
        <v>45911</v>
      </c>
      <c r="C36" s="35" t="str">
        <f t="shared" ref="C36:C39" si="8">TEXT(B36,"dddd")</f>
        <v>Thursday</v>
      </c>
      <c r="D36" s="12" t="s">
        <v>344</v>
      </c>
      <c r="E36" s="35" t="str">
        <f t="shared" ref="E36:E39" si="9">TEXT(B36,"mmmm")</f>
        <v>September</v>
      </c>
      <c r="F36" s="35">
        <v>2025</v>
      </c>
      <c r="G36" s="35">
        <f t="shared" ref="G36:G39" si="10">IF(MOD((TIMEVALUE(TRIM(MID(D36,FIND("-",D36)+1,LEN(D36)))) - TIMEVALUE(LEFT(D36,FIND("-",D36)-2))) * 24,1)=0,
INT((TIMEVALUE(TRIM(MID(D36,FIND("-",D36)+1,LEN(D36)))) - TIMEVALUE(LEFT(D36,FIND("-",D36)-2))) * 24),
(TIMEVALUE(TRIM(MID(D36,FIND("-",D36)+1,LEN(D36)))) - TIMEVALUE(LEFT(D36,FIND("-",D36)-2))) * 24)</f>
        <v>2.0000000000000009</v>
      </c>
      <c r="H36" s="12" t="s">
        <v>16</v>
      </c>
      <c r="I36" s="12" t="s">
        <v>17</v>
      </c>
      <c r="J36" s="6" t="s">
        <v>311</v>
      </c>
      <c r="K36" s="12" t="s">
        <v>43</v>
      </c>
      <c r="L36" s="7" t="s">
        <v>340</v>
      </c>
      <c r="M36" s="35"/>
      <c r="N36" s="35">
        <v>2.0000000000000009</v>
      </c>
      <c r="O36" s="12" t="s">
        <v>29</v>
      </c>
      <c r="P36" s="35"/>
      <c r="Q36" s="35"/>
    </row>
    <row r="37" spans="1:17">
      <c r="A37" s="35">
        <v>29</v>
      </c>
      <c r="B37" s="36">
        <v>45919</v>
      </c>
      <c r="C37" s="35" t="str">
        <f t="shared" si="8"/>
        <v>Friday</v>
      </c>
      <c r="D37" s="12" t="s">
        <v>347</v>
      </c>
      <c r="E37" s="35" t="str">
        <f t="shared" si="9"/>
        <v>September</v>
      </c>
      <c r="F37" s="35">
        <v>2025</v>
      </c>
      <c r="G37" s="35">
        <f t="shared" si="10"/>
        <v>2.0000000000000009</v>
      </c>
      <c r="H37" s="12" t="s">
        <v>16</v>
      </c>
      <c r="I37" s="12" t="s">
        <v>17</v>
      </c>
      <c r="J37" s="6" t="s">
        <v>311</v>
      </c>
      <c r="K37" s="12" t="s">
        <v>43</v>
      </c>
      <c r="L37" s="7" t="s">
        <v>315</v>
      </c>
      <c r="M37" s="35"/>
      <c r="N37" s="35">
        <v>2.0000000000000009</v>
      </c>
      <c r="O37" s="35"/>
      <c r="P37" s="35"/>
      <c r="Q37" s="35"/>
    </row>
    <row r="38" spans="1:17">
      <c r="A38" s="6">
        <v>30</v>
      </c>
      <c r="B38" s="9">
        <v>45922</v>
      </c>
      <c r="C38" s="35" t="str">
        <f t="shared" si="8"/>
        <v>Monday</v>
      </c>
      <c r="D38" s="12" t="s">
        <v>344</v>
      </c>
      <c r="E38" s="35" t="str">
        <f t="shared" si="9"/>
        <v>September</v>
      </c>
      <c r="F38" s="35">
        <v>2025</v>
      </c>
      <c r="G38" s="35">
        <f t="shared" si="10"/>
        <v>2.0000000000000009</v>
      </c>
      <c r="H38" s="12" t="s">
        <v>16</v>
      </c>
      <c r="I38" s="12" t="s">
        <v>17</v>
      </c>
      <c r="J38" s="6" t="s">
        <v>311</v>
      </c>
      <c r="K38" s="35" t="s">
        <v>45</v>
      </c>
      <c r="L38" s="7" t="s">
        <v>340</v>
      </c>
      <c r="M38" s="35"/>
      <c r="N38" s="35">
        <v>2.0000000000000009</v>
      </c>
      <c r="O38" s="7" t="s">
        <v>19</v>
      </c>
      <c r="P38" s="35"/>
      <c r="Q38" s="35"/>
    </row>
    <row r="39" spans="1:17">
      <c r="A39" s="35">
        <v>31</v>
      </c>
      <c r="B39" s="9">
        <v>45924</v>
      </c>
      <c r="C39" s="35" t="str">
        <f t="shared" si="8"/>
        <v>Wednesday</v>
      </c>
      <c r="D39" s="12" t="s">
        <v>344</v>
      </c>
      <c r="E39" s="35" t="str">
        <f t="shared" si="9"/>
        <v>September</v>
      </c>
      <c r="F39" s="35">
        <v>2025</v>
      </c>
      <c r="G39" s="35">
        <f t="shared" si="10"/>
        <v>2.0000000000000009</v>
      </c>
      <c r="H39" s="12" t="s">
        <v>16</v>
      </c>
      <c r="I39" s="12" t="s">
        <v>17</v>
      </c>
      <c r="J39" s="6" t="s">
        <v>311</v>
      </c>
      <c r="K39" s="35" t="s">
        <v>45</v>
      </c>
      <c r="L39" s="7" t="s">
        <v>315</v>
      </c>
      <c r="M39" s="35"/>
      <c r="N39" s="35">
        <v>2.0000000000000009</v>
      </c>
      <c r="O39" s="7" t="s">
        <v>19</v>
      </c>
      <c r="P39" s="35"/>
      <c r="Q39" s="35"/>
    </row>
    <row r="40" spans="1:17">
      <c r="A40" s="6">
        <v>32</v>
      </c>
      <c r="B40" s="9">
        <v>45925</v>
      </c>
      <c r="C40" s="35" t="str">
        <f t="shared" ref="C40:C41" si="11">TEXT(B40,"dddd")</f>
        <v>Thursday</v>
      </c>
      <c r="D40" s="12" t="s">
        <v>348</v>
      </c>
      <c r="E40" s="35" t="str">
        <f t="shared" ref="E40:E41" si="12">TEXT(B40,"mmmm")</f>
        <v>September</v>
      </c>
      <c r="F40" s="35">
        <v>2025</v>
      </c>
      <c r="G40" s="35">
        <f t="shared" ref="G40:G41" si="13">IF(MOD((TIMEVALUE(TRIM(MID(D40,FIND("-",D40)+1,LEN(D40)))) - TIMEVALUE(LEFT(D40,FIND("-",D40)-2))) * 24,1)=0,
INT((TIMEVALUE(TRIM(MID(D40,FIND("-",D40)+1,LEN(D40)))) - TIMEVALUE(LEFT(D40,FIND("-",D40)-2))) * 24),
(TIMEVALUE(TRIM(MID(D40,FIND("-",D40)+1,LEN(D40)))) - TIMEVALUE(LEFT(D40,FIND("-",D40)-2))) * 24)</f>
        <v>1.9999999999999982</v>
      </c>
      <c r="H40" s="12" t="s">
        <v>16</v>
      </c>
      <c r="I40" s="12" t="s">
        <v>17</v>
      </c>
      <c r="J40" s="6" t="s">
        <v>311</v>
      </c>
      <c r="K40" s="35" t="s">
        <v>45</v>
      </c>
      <c r="L40" s="14" t="s">
        <v>314</v>
      </c>
      <c r="M40" s="35"/>
      <c r="N40" s="35">
        <v>1.9999999999999982</v>
      </c>
      <c r="O40" s="12" t="s">
        <v>29</v>
      </c>
      <c r="P40" s="35"/>
      <c r="Q40" s="35"/>
    </row>
    <row r="41" spans="1:17">
      <c r="A41" s="35">
        <v>33</v>
      </c>
      <c r="B41" s="9">
        <v>45926</v>
      </c>
      <c r="C41" s="35" t="str">
        <f t="shared" si="11"/>
        <v>Friday</v>
      </c>
      <c r="D41" s="12" t="s">
        <v>348</v>
      </c>
      <c r="E41" s="35" t="str">
        <f t="shared" si="12"/>
        <v>September</v>
      </c>
      <c r="F41" s="35">
        <v>2025</v>
      </c>
      <c r="G41" s="35">
        <f t="shared" si="13"/>
        <v>1.9999999999999982</v>
      </c>
      <c r="H41" s="12" t="s">
        <v>16</v>
      </c>
      <c r="I41" s="12" t="s">
        <v>17</v>
      </c>
      <c r="J41" s="6" t="s">
        <v>311</v>
      </c>
      <c r="K41" s="35" t="s">
        <v>45</v>
      </c>
      <c r="L41" s="12" t="s">
        <v>346</v>
      </c>
      <c r="M41" s="35"/>
      <c r="N41" s="35">
        <v>1.9999999999999982</v>
      </c>
      <c r="O41" s="12" t="s">
        <v>29</v>
      </c>
      <c r="P41" s="35"/>
      <c r="Q41" s="35"/>
    </row>
    <row r="42" spans="1:17">
      <c r="A42" s="13">
        <v>34</v>
      </c>
      <c r="B42" s="9">
        <v>45943</v>
      </c>
      <c r="C42" s="13" t="str">
        <f t="shared" ref="C42" si="14">TEXT(B42,"dddd")</f>
        <v>Monday</v>
      </c>
      <c r="D42" s="12" t="s">
        <v>349</v>
      </c>
      <c r="E42" s="13" t="str">
        <f t="shared" ref="E42" si="15">TEXT(B42,"mmmm")</f>
        <v>October</v>
      </c>
      <c r="F42" s="13">
        <v>2025</v>
      </c>
      <c r="G42" s="13">
        <f t="shared" ref="G42" si="16">IF(MOD((TIMEVALUE(TRIM(MID(D42,FIND("-",D42)+1,LEN(D42)))) - TIMEVALUE(LEFT(D42,FIND("-",D42)-2))) * 24,1)=0,
INT((TIMEVALUE(TRIM(MID(D42,FIND("-",D42)+1,LEN(D42)))) - TIMEVALUE(LEFT(D42,FIND("-",D42)-2))) * 24),
(TIMEVALUE(TRIM(MID(D42,FIND("-",D42)+1,LEN(D42)))) - TIMEVALUE(LEFT(D42,FIND("-",D42)-2))) * 24)</f>
        <v>2.0000000000000009</v>
      </c>
      <c r="H42" s="41" t="s">
        <v>16</v>
      </c>
      <c r="I42" s="41" t="s">
        <v>17</v>
      </c>
      <c r="J42" s="6" t="s">
        <v>311</v>
      </c>
      <c r="K42" s="35" t="s">
        <v>48</v>
      </c>
      <c r="L42" s="12" t="s">
        <v>314</v>
      </c>
      <c r="M42" s="13"/>
      <c r="N42" s="13">
        <v>2.0000000000000009</v>
      </c>
      <c r="O42" s="12" t="s">
        <v>29</v>
      </c>
      <c r="P42" s="13"/>
      <c r="Q42" s="13"/>
    </row>
    <row r="43" spans="1:17">
      <c r="A43" s="6">
        <v>35</v>
      </c>
      <c r="B43" s="9">
        <v>45944</v>
      </c>
      <c r="C43" s="35" t="str">
        <f t="shared" ref="C43:C49" si="17">TEXT(B43,"dddd")</f>
        <v>Tuesday</v>
      </c>
      <c r="D43" s="12" t="s">
        <v>349</v>
      </c>
      <c r="E43" s="35" t="str">
        <f t="shared" ref="E43:E49" si="18">TEXT(B43,"mmmm")</f>
        <v>October</v>
      </c>
      <c r="F43" s="13">
        <v>2025</v>
      </c>
      <c r="G43" s="35">
        <f t="shared" ref="G43:G49" si="19">IF(MOD((TIMEVALUE(TRIM(MID(D43,FIND("-",D43)+1,LEN(D43)))) - TIMEVALUE(LEFT(D43,FIND("-",D43)-2))) * 24,1)=0,
INT((TIMEVALUE(TRIM(MID(D43,FIND("-",D43)+1,LEN(D43)))) - TIMEVALUE(LEFT(D43,FIND("-",D43)-2))) * 24),
(TIMEVALUE(TRIM(MID(D43,FIND("-",D43)+1,LEN(D43)))) - TIMEVALUE(LEFT(D43,FIND("-",D43)-2))) * 24)</f>
        <v>2.0000000000000009</v>
      </c>
      <c r="H43" s="41" t="s">
        <v>16</v>
      </c>
      <c r="I43" s="41" t="s">
        <v>17</v>
      </c>
      <c r="J43" s="6" t="s">
        <v>311</v>
      </c>
      <c r="K43" s="35" t="s">
        <v>48</v>
      </c>
      <c r="L43" s="12" t="s">
        <v>351</v>
      </c>
      <c r="M43" s="35"/>
      <c r="N43" s="35">
        <v>2.0000000000000009</v>
      </c>
      <c r="O43" s="12" t="s">
        <v>29</v>
      </c>
      <c r="P43" s="35"/>
      <c r="Q43" s="35"/>
    </row>
    <row r="44" spans="1:17">
      <c r="A44" s="35">
        <v>36</v>
      </c>
      <c r="B44" s="9">
        <v>45953</v>
      </c>
      <c r="C44" s="35" t="str">
        <f t="shared" si="17"/>
        <v>Thursday</v>
      </c>
      <c r="D44" s="12" t="s">
        <v>349</v>
      </c>
      <c r="E44" s="35" t="str">
        <f t="shared" si="18"/>
        <v>October</v>
      </c>
      <c r="F44" s="13">
        <v>2025</v>
      </c>
      <c r="G44" s="35">
        <f t="shared" si="19"/>
        <v>2.0000000000000009</v>
      </c>
      <c r="H44" s="41" t="s">
        <v>16</v>
      </c>
      <c r="I44" s="41" t="s">
        <v>17</v>
      </c>
      <c r="J44" s="6" t="s">
        <v>311</v>
      </c>
      <c r="K44" s="35" t="s">
        <v>48</v>
      </c>
      <c r="L44" s="12" t="s">
        <v>352</v>
      </c>
      <c r="M44" s="35"/>
      <c r="N44" s="35">
        <v>2.0000000000000009</v>
      </c>
      <c r="O44" s="12" t="s">
        <v>29</v>
      </c>
      <c r="P44" s="35"/>
      <c r="Q44" s="35"/>
    </row>
    <row r="45" spans="1:17">
      <c r="A45" s="13">
        <v>37</v>
      </c>
      <c r="B45" s="9">
        <v>45954</v>
      </c>
      <c r="C45" s="35" t="str">
        <f t="shared" si="17"/>
        <v>Friday</v>
      </c>
      <c r="D45" s="12" t="s">
        <v>349</v>
      </c>
      <c r="E45" s="35" t="str">
        <f t="shared" si="18"/>
        <v>October</v>
      </c>
      <c r="F45" s="13">
        <v>2025</v>
      </c>
      <c r="G45" s="35">
        <f t="shared" si="19"/>
        <v>2.0000000000000009</v>
      </c>
      <c r="H45" s="41" t="s">
        <v>16</v>
      </c>
      <c r="I45" s="41" t="s">
        <v>17</v>
      </c>
      <c r="J45" s="6" t="s">
        <v>311</v>
      </c>
      <c r="K45" s="35" t="s">
        <v>48</v>
      </c>
      <c r="L45" s="12" t="s">
        <v>312</v>
      </c>
      <c r="M45" s="35"/>
      <c r="N45" s="35">
        <v>2.0000000000000009</v>
      </c>
      <c r="O45" s="12" t="s">
        <v>29</v>
      </c>
      <c r="P45" s="35"/>
      <c r="Q45" s="35"/>
    </row>
    <row r="46" spans="1:17">
      <c r="A46" s="6">
        <v>38</v>
      </c>
      <c r="B46" s="9">
        <v>45957</v>
      </c>
      <c r="C46" s="35" t="str">
        <f t="shared" si="17"/>
        <v>Monday</v>
      </c>
      <c r="D46" s="12" t="s">
        <v>353</v>
      </c>
      <c r="E46" s="35" t="str">
        <f t="shared" si="18"/>
        <v>October</v>
      </c>
      <c r="F46" s="13">
        <v>2025</v>
      </c>
      <c r="G46" s="35">
        <f t="shared" si="19"/>
        <v>2.0000000000000009</v>
      </c>
      <c r="H46" s="41" t="s">
        <v>16</v>
      </c>
      <c r="I46" s="41" t="s">
        <v>17</v>
      </c>
      <c r="J46" s="6" t="s">
        <v>311</v>
      </c>
      <c r="K46" s="35" t="s">
        <v>50</v>
      </c>
      <c r="L46" s="12" t="s">
        <v>352</v>
      </c>
      <c r="M46" s="35"/>
      <c r="N46" s="35">
        <v>2.0000000000000009</v>
      </c>
      <c r="O46" s="12" t="s">
        <v>29</v>
      </c>
      <c r="P46" s="35"/>
      <c r="Q46" s="35"/>
    </row>
    <row r="47" spans="1:17" s="1" customFormat="1">
      <c r="A47" s="35"/>
      <c r="B47" s="36">
        <v>45958</v>
      </c>
      <c r="C47" s="35" t="str">
        <f t="shared" si="17"/>
        <v>Tuesday</v>
      </c>
      <c r="D47" s="12" t="s">
        <v>353</v>
      </c>
      <c r="E47" s="35" t="str">
        <f t="shared" si="18"/>
        <v>October</v>
      </c>
      <c r="F47" s="13">
        <v>2025</v>
      </c>
      <c r="G47" s="35">
        <f t="shared" si="19"/>
        <v>2.0000000000000009</v>
      </c>
      <c r="H47" s="41" t="s">
        <v>16</v>
      </c>
      <c r="I47" s="41" t="s">
        <v>17</v>
      </c>
      <c r="J47" s="6" t="s">
        <v>311</v>
      </c>
      <c r="K47" s="35" t="s">
        <v>50</v>
      </c>
      <c r="L47" s="12" t="s">
        <v>312</v>
      </c>
      <c r="M47" s="35"/>
      <c r="N47" s="35">
        <v>2.0000000000000009</v>
      </c>
      <c r="O47" s="12" t="s">
        <v>29</v>
      </c>
      <c r="P47" s="35"/>
      <c r="Q47" s="35"/>
    </row>
    <row r="48" spans="1:17" s="1" customFormat="1">
      <c r="A48" s="13"/>
      <c r="B48" s="36">
        <v>45959</v>
      </c>
      <c r="C48" s="35" t="str">
        <f t="shared" si="17"/>
        <v>Wednesday</v>
      </c>
      <c r="D48" s="12" t="s">
        <v>353</v>
      </c>
      <c r="E48" s="35" t="str">
        <f t="shared" si="18"/>
        <v>October</v>
      </c>
      <c r="F48" s="13">
        <v>2025</v>
      </c>
      <c r="G48" s="35">
        <f t="shared" si="19"/>
        <v>2.0000000000000009</v>
      </c>
      <c r="H48" s="41" t="s">
        <v>16</v>
      </c>
      <c r="I48" s="41" t="s">
        <v>17</v>
      </c>
      <c r="J48" s="6" t="s">
        <v>311</v>
      </c>
      <c r="K48" s="35" t="s">
        <v>50</v>
      </c>
      <c r="L48" s="12" t="s">
        <v>314</v>
      </c>
      <c r="M48" s="35"/>
      <c r="N48" s="35">
        <v>2.0000000000000009</v>
      </c>
      <c r="O48" s="12" t="s">
        <v>29</v>
      </c>
      <c r="P48" s="35"/>
      <c r="Q48" s="35"/>
    </row>
    <row r="49" spans="1:17">
      <c r="A49" s="6">
        <v>39</v>
      </c>
      <c r="B49" s="9">
        <v>45960</v>
      </c>
      <c r="C49" s="35" t="str">
        <f t="shared" si="17"/>
        <v>Thursday</v>
      </c>
      <c r="D49" s="12" t="s">
        <v>353</v>
      </c>
      <c r="E49" s="35" t="str">
        <f t="shared" si="18"/>
        <v>October</v>
      </c>
      <c r="F49" s="13">
        <v>2025</v>
      </c>
      <c r="G49" s="35">
        <f t="shared" si="19"/>
        <v>2.0000000000000009</v>
      </c>
      <c r="H49" s="41" t="s">
        <v>16</v>
      </c>
      <c r="I49" s="41" t="s">
        <v>17</v>
      </c>
      <c r="J49" s="6" t="s">
        <v>311</v>
      </c>
      <c r="K49" s="35" t="s">
        <v>50</v>
      </c>
      <c r="L49" s="12" t="s">
        <v>351</v>
      </c>
      <c r="M49" s="35"/>
      <c r="N49" s="35">
        <v>2.0000000000000009</v>
      </c>
      <c r="O49" s="12" t="s">
        <v>29</v>
      </c>
      <c r="P49" s="35"/>
      <c r="Q49" s="35"/>
    </row>
    <row r="50" spans="1:17">
      <c r="A50" s="35">
        <v>40</v>
      </c>
      <c r="B50" s="9">
        <v>45985</v>
      </c>
      <c r="C50" s="35" t="str">
        <f t="shared" ref="C50:C52" si="20">TEXT(B50,"dddd")</f>
        <v>Monday</v>
      </c>
      <c r="D50" s="12" t="s">
        <v>354</v>
      </c>
      <c r="E50" s="35" t="str">
        <f t="shared" ref="E50:E52" si="21">TEXT(B50,"mmmm")</f>
        <v>November</v>
      </c>
      <c r="F50" s="35">
        <v>2025</v>
      </c>
      <c r="G50" s="35">
        <f t="shared" ref="G50:G52" si="22">IF(MOD((TIMEVALUE(TRIM(MID(D50,FIND("-",D50)+1,LEN(D50)))) - TIMEVALUE(LEFT(D50,FIND("-",D50)-2))) * 24,1)=0,
INT((TIMEVALUE(TRIM(MID(D50,FIND("-",D50)+1,LEN(D50)))) - TIMEVALUE(LEFT(D50,FIND("-",D50)-2))) * 24),
(TIMEVALUE(TRIM(MID(D50,FIND("-",D50)+1,LEN(D50)))) - TIMEVALUE(LEFT(D50,FIND("-",D50)-2))) * 24)</f>
        <v>2.0000000000000009</v>
      </c>
      <c r="H50" s="12" t="s">
        <v>16</v>
      </c>
      <c r="I50" s="12" t="s">
        <v>17</v>
      </c>
      <c r="J50" s="6" t="s">
        <v>311</v>
      </c>
      <c r="K50" s="35" t="s">
        <v>50</v>
      </c>
      <c r="L50" s="12" t="s">
        <v>312</v>
      </c>
      <c r="M50" s="35"/>
      <c r="N50" s="35">
        <v>2.0000000000000009</v>
      </c>
      <c r="O50" s="12" t="s">
        <v>29</v>
      </c>
      <c r="P50" s="35"/>
      <c r="Q50" s="35"/>
    </row>
    <row r="51" spans="1:17">
      <c r="A51" s="35">
        <v>41</v>
      </c>
      <c r="B51" s="9">
        <v>45988</v>
      </c>
      <c r="C51" s="35" t="str">
        <f t="shared" si="20"/>
        <v>Thursday</v>
      </c>
      <c r="D51" s="12" t="s">
        <v>354</v>
      </c>
      <c r="E51" s="35" t="str">
        <f t="shared" si="21"/>
        <v>November</v>
      </c>
      <c r="F51" s="35">
        <v>2025</v>
      </c>
      <c r="G51" s="35">
        <f t="shared" si="22"/>
        <v>2.0000000000000009</v>
      </c>
      <c r="H51" s="12" t="s">
        <v>16</v>
      </c>
      <c r="I51" s="12" t="s">
        <v>17</v>
      </c>
      <c r="J51" s="6" t="s">
        <v>311</v>
      </c>
      <c r="K51" s="35" t="s">
        <v>43</v>
      </c>
      <c r="L51" s="7" t="s">
        <v>315</v>
      </c>
      <c r="M51" s="35"/>
      <c r="N51" s="35">
        <v>2.0000000000000009</v>
      </c>
      <c r="O51" s="12" t="s">
        <v>29</v>
      </c>
      <c r="P51" s="35"/>
      <c r="Q51" s="35"/>
    </row>
    <row r="52" spans="1:17">
      <c r="A52" s="13">
        <v>42</v>
      </c>
      <c r="B52" s="11">
        <v>45989</v>
      </c>
      <c r="C52" s="13" t="str">
        <f t="shared" si="20"/>
        <v>Friday</v>
      </c>
      <c r="D52" s="12" t="s">
        <v>354</v>
      </c>
      <c r="E52" s="13" t="str">
        <f t="shared" si="21"/>
        <v>November</v>
      </c>
      <c r="F52" s="13">
        <v>2025</v>
      </c>
      <c r="G52" s="13">
        <f t="shared" si="22"/>
        <v>2.0000000000000009</v>
      </c>
      <c r="H52" s="41" t="s">
        <v>16</v>
      </c>
      <c r="I52" s="41" t="s">
        <v>17</v>
      </c>
      <c r="J52" s="6" t="s">
        <v>311</v>
      </c>
      <c r="K52" s="13" t="s">
        <v>50</v>
      </c>
      <c r="L52" s="12" t="s">
        <v>314</v>
      </c>
      <c r="M52" s="13"/>
      <c r="N52" s="13">
        <v>2.0000000000000009</v>
      </c>
      <c r="O52" s="41" t="s">
        <v>29</v>
      </c>
      <c r="P52" s="13"/>
      <c r="Q52" s="13"/>
    </row>
    <row r="53" spans="1:17">
      <c r="A53" s="6">
        <v>43</v>
      </c>
      <c r="B53" s="9">
        <v>46000</v>
      </c>
      <c r="C53" s="35" t="str">
        <f t="shared" ref="C53:C58" si="23">TEXT(B53,"dddd")</f>
        <v>Tuesday</v>
      </c>
      <c r="D53" s="35" t="s">
        <v>356</v>
      </c>
      <c r="E53" s="35" t="str">
        <f t="shared" ref="E53:E58" si="24">TEXT(B53,"mmmm")</f>
        <v>December</v>
      </c>
      <c r="F53" s="13">
        <v>2025</v>
      </c>
      <c r="G53" s="35">
        <f t="shared" ref="G53:G58" si="25">IF(MOD((TIMEVALUE(TRIM(MID(D53,FIND("-",D53)+1,LEN(D53)))) - TIMEVALUE(LEFT(D53,FIND("-",D53)-2))) * 24,1)=0,
INT((TIMEVALUE(TRIM(MID(D53,FIND("-",D53)+1,LEN(D53)))) - TIMEVALUE(LEFT(D53,FIND("-",D53)-2))) * 24),
(TIMEVALUE(TRIM(MID(D53,FIND("-",D53)+1,LEN(D53)))) - TIMEVALUE(LEFT(D53,FIND("-",D53)-2))) * 24)</f>
        <v>2.0000000000000009</v>
      </c>
      <c r="H53" s="41" t="s">
        <v>16</v>
      </c>
      <c r="I53" s="41" t="s">
        <v>17</v>
      </c>
      <c r="J53" s="6" t="s">
        <v>311</v>
      </c>
      <c r="K53" s="35" t="s">
        <v>53</v>
      </c>
      <c r="L53" s="7" t="s">
        <v>340</v>
      </c>
      <c r="M53" s="35"/>
      <c r="N53" s="35">
        <v>2.0000000000000009</v>
      </c>
      <c r="O53" s="41" t="s">
        <v>29</v>
      </c>
      <c r="P53" s="35"/>
      <c r="Q53" s="35"/>
    </row>
    <row r="54" spans="1:17">
      <c r="A54" s="35">
        <v>44</v>
      </c>
      <c r="B54" s="9">
        <v>46001</v>
      </c>
      <c r="C54" s="35" t="str">
        <f t="shared" si="23"/>
        <v>Wednesday</v>
      </c>
      <c r="D54" s="35" t="s">
        <v>356</v>
      </c>
      <c r="E54" s="35" t="str">
        <f t="shared" si="24"/>
        <v>December</v>
      </c>
      <c r="F54" s="13">
        <v>2025</v>
      </c>
      <c r="G54" s="35">
        <f t="shared" si="25"/>
        <v>2.0000000000000009</v>
      </c>
      <c r="H54" s="41" t="s">
        <v>16</v>
      </c>
      <c r="I54" s="41" t="s">
        <v>17</v>
      </c>
      <c r="J54" s="6" t="s">
        <v>311</v>
      </c>
      <c r="K54" s="35" t="s">
        <v>53</v>
      </c>
      <c r="L54" s="7" t="s">
        <v>315</v>
      </c>
      <c r="M54" s="35"/>
      <c r="N54" s="35">
        <v>2.0000000000000009</v>
      </c>
      <c r="O54" s="41" t="s">
        <v>29</v>
      </c>
      <c r="P54" s="35"/>
      <c r="Q54" s="35"/>
    </row>
    <row r="55" spans="1:17">
      <c r="A55" s="35">
        <v>45</v>
      </c>
      <c r="B55" s="9">
        <v>46002</v>
      </c>
      <c r="C55" s="35" t="str">
        <f t="shared" si="23"/>
        <v>Thursday</v>
      </c>
      <c r="D55" s="35" t="s">
        <v>356</v>
      </c>
      <c r="E55" s="35" t="str">
        <f t="shared" si="24"/>
        <v>December</v>
      </c>
      <c r="F55" s="13">
        <v>2025</v>
      </c>
      <c r="G55" s="35">
        <f t="shared" si="25"/>
        <v>2.0000000000000009</v>
      </c>
      <c r="H55" s="41" t="s">
        <v>16</v>
      </c>
      <c r="I55" s="41" t="s">
        <v>17</v>
      </c>
      <c r="J55" s="6" t="s">
        <v>311</v>
      </c>
      <c r="K55" s="35" t="s">
        <v>53</v>
      </c>
      <c r="L55" s="12" t="s">
        <v>314</v>
      </c>
      <c r="M55" s="35"/>
      <c r="N55" s="35">
        <v>2.0000000000000009</v>
      </c>
      <c r="O55" s="41" t="s">
        <v>29</v>
      </c>
      <c r="P55" s="35"/>
      <c r="Q55" s="35"/>
    </row>
    <row r="56" spans="1:17">
      <c r="A56" s="13">
        <v>46</v>
      </c>
      <c r="B56" s="9">
        <v>46003</v>
      </c>
      <c r="C56" s="35" t="str">
        <f t="shared" si="23"/>
        <v>Friday</v>
      </c>
      <c r="D56" s="35" t="s">
        <v>356</v>
      </c>
      <c r="E56" s="35" t="str">
        <f t="shared" si="24"/>
        <v>December</v>
      </c>
      <c r="F56" s="13">
        <v>2025</v>
      </c>
      <c r="G56" s="35">
        <f t="shared" si="25"/>
        <v>2.0000000000000009</v>
      </c>
      <c r="H56" s="41" t="s">
        <v>16</v>
      </c>
      <c r="I56" s="41" t="s">
        <v>17</v>
      </c>
      <c r="J56" s="6" t="s">
        <v>311</v>
      </c>
      <c r="K56" s="35" t="s">
        <v>53</v>
      </c>
      <c r="L56" s="12" t="s">
        <v>351</v>
      </c>
      <c r="M56" s="35"/>
      <c r="N56" s="35">
        <v>2.0000000000000009</v>
      </c>
      <c r="O56" s="41" t="s">
        <v>29</v>
      </c>
      <c r="P56" s="35"/>
      <c r="Q56" s="35"/>
    </row>
    <row r="57" spans="1:17">
      <c r="A57" s="6"/>
      <c r="B57" s="36">
        <v>46006</v>
      </c>
      <c r="C57" s="35" t="str">
        <f t="shared" si="23"/>
        <v>Monday</v>
      </c>
      <c r="D57" s="12" t="s">
        <v>347</v>
      </c>
      <c r="E57" s="35" t="str">
        <f t="shared" si="24"/>
        <v>December</v>
      </c>
      <c r="F57" s="13">
        <v>2025</v>
      </c>
      <c r="G57" s="35">
        <f t="shared" si="25"/>
        <v>2.0000000000000009</v>
      </c>
      <c r="H57" s="41" t="s">
        <v>16</v>
      </c>
      <c r="I57" s="41" t="s">
        <v>17</v>
      </c>
      <c r="J57" s="6" t="s">
        <v>311</v>
      </c>
      <c r="K57" s="35" t="s">
        <v>55</v>
      </c>
      <c r="L57" s="7" t="s">
        <v>340</v>
      </c>
      <c r="M57" s="35"/>
      <c r="N57" s="35">
        <v>2.0000000000000009</v>
      </c>
      <c r="O57" s="41" t="s">
        <v>29</v>
      </c>
      <c r="P57" s="35"/>
      <c r="Q57" s="35"/>
    </row>
    <row r="58" spans="1:17">
      <c r="A58" s="35"/>
      <c r="B58" s="36">
        <v>46007</v>
      </c>
      <c r="C58" s="13" t="str">
        <f t="shared" si="23"/>
        <v>Tuesday</v>
      </c>
      <c r="D58" s="12" t="s">
        <v>347</v>
      </c>
      <c r="E58" s="13" t="str">
        <f t="shared" si="24"/>
        <v>December</v>
      </c>
      <c r="F58" s="13">
        <v>2025</v>
      </c>
      <c r="G58" s="13">
        <f t="shared" si="25"/>
        <v>2.0000000000000009</v>
      </c>
      <c r="H58" s="41" t="s">
        <v>16</v>
      </c>
      <c r="I58" s="41" t="s">
        <v>17</v>
      </c>
      <c r="J58" s="6" t="s">
        <v>311</v>
      </c>
      <c r="K58" s="35" t="s">
        <v>55</v>
      </c>
      <c r="L58" s="7" t="s">
        <v>315</v>
      </c>
      <c r="M58" s="13"/>
      <c r="N58" s="13">
        <v>2.0000000000000009</v>
      </c>
      <c r="O58" s="41" t="s">
        <v>29</v>
      </c>
      <c r="P58" s="13"/>
      <c r="Q58" s="13"/>
    </row>
    <row r="59" spans="1:17">
      <c r="A59" s="6"/>
      <c r="B59" s="36">
        <v>46008</v>
      </c>
      <c r="C59" s="35" t="str">
        <f t="shared" ref="C59:C60" si="26">TEXT(B59,"dddd")</f>
        <v>Wednesday</v>
      </c>
      <c r="D59" s="12" t="s">
        <v>347</v>
      </c>
      <c r="E59" s="35" t="str">
        <f t="shared" ref="E59:E60" si="27">TEXT(B59,"mmmm")</f>
        <v>December</v>
      </c>
      <c r="F59" s="13">
        <v>2025</v>
      </c>
      <c r="G59" s="35">
        <f t="shared" ref="G59:G60" si="28">IF(MOD((TIMEVALUE(TRIM(MID(D59,FIND("-",D59)+1,LEN(D59)))) - TIMEVALUE(LEFT(D59,FIND("-",D59)-2))) * 24,1)=0,
INT((TIMEVALUE(TRIM(MID(D59,FIND("-",D59)+1,LEN(D59)))) - TIMEVALUE(LEFT(D59,FIND("-",D59)-2))) * 24),
(TIMEVALUE(TRIM(MID(D59,FIND("-",D59)+1,LEN(D59)))) - TIMEVALUE(LEFT(D59,FIND("-",D59)-2))) * 24)</f>
        <v>2.0000000000000009</v>
      </c>
      <c r="H59" s="41" t="s">
        <v>16</v>
      </c>
      <c r="I59" s="41" t="s">
        <v>17</v>
      </c>
      <c r="J59" s="6" t="s">
        <v>311</v>
      </c>
      <c r="K59" s="35" t="s">
        <v>55</v>
      </c>
      <c r="L59" s="12" t="s">
        <v>314</v>
      </c>
      <c r="M59" s="35"/>
      <c r="N59" s="35">
        <v>2.0000000000000009</v>
      </c>
      <c r="O59" s="41" t="s">
        <v>29</v>
      </c>
      <c r="P59" s="35"/>
      <c r="Q59" s="35"/>
    </row>
    <row r="60" spans="1:17">
      <c r="A60" s="35">
        <v>47</v>
      </c>
      <c r="B60" s="11">
        <v>46009</v>
      </c>
      <c r="C60" s="13" t="str">
        <f t="shared" si="26"/>
        <v>Thursday</v>
      </c>
      <c r="D60" s="12" t="s">
        <v>347</v>
      </c>
      <c r="E60" s="13" t="str">
        <f t="shared" si="27"/>
        <v>December</v>
      </c>
      <c r="F60" s="13">
        <v>2025</v>
      </c>
      <c r="G60" s="13">
        <f t="shared" si="28"/>
        <v>2.0000000000000009</v>
      </c>
      <c r="H60" s="41" t="s">
        <v>16</v>
      </c>
      <c r="I60" s="41" t="s">
        <v>17</v>
      </c>
      <c r="J60" s="6" t="s">
        <v>311</v>
      </c>
      <c r="K60" s="35" t="s">
        <v>55</v>
      </c>
      <c r="L60" s="12" t="s">
        <v>351</v>
      </c>
      <c r="M60" s="13"/>
      <c r="N60" s="13">
        <v>2.0000000000000009</v>
      </c>
      <c r="O60" s="41" t="s">
        <v>29</v>
      </c>
      <c r="P60" s="13"/>
      <c r="Q60" s="13"/>
    </row>
    <row r="61" spans="1:17">
      <c r="A61" s="35"/>
      <c r="B61" s="107">
        <v>46041</v>
      </c>
      <c r="C61" s="35" t="str">
        <f t="shared" ref="C61:C63" si="29">TEXT(B61,"dddd")</f>
        <v>Monday</v>
      </c>
      <c r="D61" s="12" t="s">
        <v>347</v>
      </c>
      <c r="E61" s="35" t="str">
        <f t="shared" ref="E61:E63" si="30">TEXT(B61,"mmmm")</f>
        <v>January</v>
      </c>
      <c r="F61" s="35">
        <v>2026</v>
      </c>
      <c r="G61" s="35">
        <f t="shared" ref="G61:G63" si="31">IF(MOD((TIMEVALUE(TRIM(MID(D61,FIND("-",D61)+1,LEN(D61)))) - TIMEVALUE(LEFT(D61,FIND("-",D61)-2))) * 24,1)=0,
INT((TIMEVALUE(TRIM(MID(D61,FIND("-",D61)+1,LEN(D61)))) - TIMEVALUE(LEFT(D61,FIND("-",D61)-2))) * 24),
(TIMEVALUE(TRIM(MID(D61,FIND("-",D61)+1,LEN(D61)))) - TIMEVALUE(LEFT(D61,FIND("-",D61)-2))) * 24)</f>
        <v>2.0000000000000009</v>
      </c>
      <c r="H61" s="41" t="s">
        <v>16</v>
      </c>
      <c r="I61" s="41" t="s">
        <v>17</v>
      </c>
      <c r="J61" s="6" t="s">
        <v>311</v>
      </c>
      <c r="K61" s="35" t="s">
        <v>55</v>
      </c>
      <c r="L61" s="12" t="s">
        <v>340</v>
      </c>
      <c r="M61" s="35"/>
      <c r="N61" s="35">
        <v>2.0000000000000009</v>
      </c>
      <c r="O61" s="41" t="s">
        <v>29</v>
      </c>
      <c r="P61" s="35"/>
      <c r="Q61" s="35"/>
    </row>
    <row r="62" spans="1:17">
      <c r="A62" s="35"/>
      <c r="B62" s="107">
        <v>46044</v>
      </c>
      <c r="C62" s="35" t="str">
        <f t="shared" si="29"/>
        <v>Thursday</v>
      </c>
      <c r="D62" s="12" t="s">
        <v>347</v>
      </c>
      <c r="E62" s="35" t="str">
        <f t="shared" si="30"/>
        <v>January</v>
      </c>
      <c r="F62" s="35">
        <v>2026</v>
      </c>
      <c r="G62" s="35">
        <f t="shared" si="31"/>
        <v>2.0000000000000009</v>
      </c>
      <c r="H62" s="41" t="s">
        <v>16</v>
      </c>
      <c r="I62" s="41" t="s">
        <v>17</v>
      </c>
      <c r="J62" s="6" t="s">
        <v>311</v>
      </c>
      <c r="K62" s="35" t="s">
        <v>55</v>
      </c>
      <c r="L62" s="12" t="s">
        <v>315</v>
      </c>
      <c r="M62" s="35"/>
      <c r="N62" s="35">
        <v>2.0000000000000009</v>
      </c>
      <c r="O62" s="41" t="s">
        <v>29</v>
      </c>
      <c r="P62" s="35"/>
      <c r="Q62" s="35"/>
    </row>
    <row r="63" spans="1:17">
      <c r="A63" s="13"/>
      <c r="B63" s="107">
        <v>46045</v>
      </c>
      <c r="C63" s="13" t="str">
        <f t="shared" si="29"/>
        <v>Friday</v>
      </c>
      <c r="D63" s="12" t="s">
        <v>347</v>
      </c>
      <c r="E63" s="13" t="str">
        <f t="shared" si="30"/>
        <v>January</v>
      </c>
      <c r="F63" s="35">
        <v>2026</v>
      </c>
      <c r="G63" s="13">
        <f t="shared" si="31"/>
        <v>2.0000000000000009</v>
      </c>
      <c r="H63" s="41" t="s">
        <v>16</v>
      </c>
      <c r="I63" s="41" t="s">
        <v>17</v>
      </c>
      <c r="J63" s="6" t="s">
        <v>311</v>
      </c>
      <c r="K63" s="35" t="s">
        <v>55</v>
      </c>
      <c r="L63" s="41" t="s">
        <v>314</v>
      </c>
      <c r="M63" s="13"/>
      <c r="N63" s="13">
        <v>2.0000000000000009</v>
      </c>
      <c r="O63" s="41" t="s">
        <v>29</v>
      </c>
      <c r="P63" s="13"/>
      <c r="Q63" s="13"/>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0CC15-A628-4B94-B28A-DF5017268914}">
  <dimension ref="A1:K81"/>
  <sheetViews>
    <sheetView topLeftCell="A57" workbookViewId="0">
      <selection activeCell="G69" sqref="G69"/>
    </sheetView>
  </sheetViews>
  <sheetFormatPr defaultRowHeight="15" customHeight="1"/>
  <cols>
    <col min="1" max="1" width="7" customWidth="1"/>
    <col min="2" max="2" width="7.7109375" customWidth="1"/>
    <col min="3" max="3" width="50.85546875" customWidth="1"/>
    <col min="4" max="4" width="52.28515625" customWidth="1"/>
    <col min="5" max="5" width="14.42578125" customWidth="1"/>
    <col min="6" max="6" width="11" bestFit="1" customWidth="1"/>
    <col min="7" max="7" width="25" customWidth="1"/>
    <col min="8" max="8" width="11.85546875" style="42" customWidth="1"/>
    <col min="9" max="9" width="11.42578125" customWidth="1"/>
    <col min="10" max="10" width="10.28515625" bestFit="1" customWidth="1"/>
  </cols>
  <sheetData>
    <row r="1" spans="1:8">
      <c r="A1" s="18" t="s">
        <v>1066</v>
      </c>
      <c r="B1" s="18" t="s">
        <v>0</v>
      </c>
      <c r="C1" s="18" t="s">
        <v>1067</v>
      </c>
      <c r="D1" s="19" t="s">
        <v>1068</v>
      </c>
      <c r="E1" s="19" t="s">
        <v>1069</v>
      </c>
      <c r="F1" s="18" t="s">
        <v>1070</v>
      </c>
      <c r="G1" s="18" t="s">
        <v>1071</v>
      </c>
      <c r="H1" s="18" t="s">
        <v>1072</v>
      </c>
    </row>
    <row r="2" spans="1:8">
      <c r="A2" s="20">
        <v>1</v>
      </c>
      <c r="B2" s="62" t="s">
        <v>1073</v>
      </c>
      <c r="C2" s="21" t="s">
        <v>1074</v>
      </c>
      <c r="D2" s="63" t="s">
        <v>1075</v>
      </c>
      <c r="E2" s="24" t="s">
        <v>1076</v>
      </c>
      <c r="F2" s="22">
        <v>138555</v>
      </c>
      <c r="G2" s="22" t="s">
        <v>1077</v>
      </c>
      <c r="H2" s="24">
        <v>977003</v>
      </c>
    </row>
    <row r="3" spans="1:8">
      <c r="A3" s="20">
        <v>2</v>
      </c>
      <c r="B3" s="62" t="s">
        <v>1073</v>
      </c>
      <c r="C3" s="21" t="s">
        <v>1078</v>
      </c>
      <c r="D3" s="21" t="s">
        <v>1079</v>
      </c>
      <c r="E3" s="24" t="s">
        <v>1076</v>
      </c>
      <c r="F3" s="64">
        <v>137320</v>
      </c>
      <c r="G3" s="22" t="s">
        <v>1080</v>
      </c>
      <c r="H3" s="24">
        <v>977003</v>
      </c>
    </row>
    <row r="4" spans="1:8">
      <c r="A4" s="20">
        <v>3</v>
      </c>
      <c r="B4" s="62" t="s">
        <v>1073</v>
      </c>
      <c r="C4" s="21" t="s">
        <v>1078</v>
      </c>
      <c r="D4" s="21" t="s">
        <v>1081</v>
      </c>
      <c r="E4" s="24" t="s">
        <v>1076</v>
      </c>
      <c r="F4" s="64">
        <v>137320</v>
      </c>
      <c r="G4" s="22" t="s">
        <v>1082</v>
      </c>
      <c r="H4" s="24">
        <v>977003</v>
      </c>
    </row>
    <row r="5" spans="1:8">
      <c r="A5" s="20">
        <v>4</v>
      </c>
      <c r="B5" s="62" t="s">
        <v>1073</v>
      </c>
      <c r="C5" s="21" t="s">
        <v>1083</v>
      </c>
      <c r="D5" s="21" t="s">
        <v>1084</v>
      </c>
      <c r="E5" s="24" t="s">
        <v>1076</v>
      </c>
      <c r="F5" s="23">
        <v>135553</v>
      </c>
      <c r="G5" s="22" t="s">
        <v>1085</v>
      </c>
      <c r="H5" s="24">
        <v>977003</v>
      </c>
    </row>
    <row r="6" spans="1:8">
      <c r="A6" s="20">
        <v>5</v>
      </c>
      <c r="B6" s="65" t="s">
        <v>1073</v>
      </c>
      <c r="C6" s="26" t="s">
        <v>1086</v>
      </c>
      <c r="D6" s="26" t="s">
        <v>1087</v>
      </c>
      <c r="E6" s="24" t="s">
        <v>1076</v>
      </c>
      <c r="F6" s="25">
        <v>138587</v>
      </c>
      <c r="G6" s="22" t="s">
        <v>1088</v>
      </c>
      <c r="H6" s="24">
        <v>977003</v>
      </c>
    </row>
    <row r="7" spans="1:8">
      <c r="A7" s="20">
        <v>6</v>
      </c>
      <c r="B7" s="65" t="s">
        <v>1073</v>
      </c>
      <c r="C7" s="26" t="s">
        <v>1086</v>
      </c>
      <c r="D7" s="26" t="s">
        <v>1089</v>
      </c>
      <c r="E7" s="24" t="s">
        <v>1076</v>
      </c>
      <c r="F7" s="25">
        <v>138587</v>
      </c>
      <c r="G7" s="22" t="s">
        <v>1090</v>
      </c>
      <c r="H7" s="24">
        <v>977003</v>
      </c>
    </row>
    <row r="8" spans="1:8">
      <c r="A8" s="20">
        <v>7</v>
      </c>
      <c r="B8" s="62" t="s">
        <v>1073</v>
      </c>
      <c r="C8" s="21" t="s">
        <v>1083</v>
      </c>
      <c r="D8" s="26" t="s">
        <v>1091</v>
      </c>
      <c r="E8" s="27" t="s">
        <v>1076</v>
      </c>
      <c r="F8" s="23">
        <v>135553</v>
      </c>
      <c r="G8" s="22" t="s">
        <v>1092</v>
      </c>
      <c r="H8" s="22">
        <v>977003</v>
      </c>
    </row>
    <row r="9" spans="1:8">
      <c r="A9" s="20">
        <v>8</v>
      </c>
      <c r="B9" s="66" t="s">
        <v>1073</v>
      </c>
      <c r="C9" s="67" t="s">
        <v>1093</v>
      </c>
      <c r="D9" s="67" t="s">
        <v>1094</v>
      </c>
      <c r="E9" s="68" t="s">
        <v>1076</v>
      </c>
      <c r="F9" s="69">
        <v>138272</v>
      </c>
      <c r="G9" s="69" t="s">
        <v>1095</v>
      </c>
      <c r="H9" s="69">
        <v>977003</v>
      </c>
    </row>
    <row r="10" spans="1:8">
      <c r="A10" s="20">
        <v>9</v>
      </c>
      <c r="B10" s="65" t="s">
        <v>1073</v>
      </c>
      <c r="C10" s="26" t="s">
        <v>1096</v>
      </c>
      <c r="D10" s="21" t="s">
        <v>1097</v>
      </c>
      <c r="E10" s="27" t="s">
        <v>1076</v>
      </c>
      <c r="F10" s="25">
        <v>138505</v>
      </c>
      <c r="G10" s="22" t="s">
        <v>1098</v>
      </c>
      <c r="H10" s="28">
        <v>977003</v>
      </c>
    </row>
    <row r="11" spans="1:8">
      <c r="A11" s="20">
        <v>10</v>
      </c>
      <c r="B11" s="62" t="s">
        <v>1099</v>
      </c>
      <c r="C11" s="21" t="s">
        <v>1093</v>
      </c>
      <c r="D11" s="21" t="s">
        <v>1094</v>
      </c>
      <c r="E11" s="27" t="s">
        <v>1076</v>
      </c>
      <c r="F11" s="23">
        <v>138605</v>
      </c>
      <c r="G11" s="22" t="s">
        <v>1100</v>
      </c>
      <c r="H11" s="22">
        <v>977003</v>
      </c>
    </row>
    <row r="12" spans="1:8">
      <c r="A12" s="20">
        <v>11</v>
      </c>
      <c r="B12" s="62" t="s">
        <v>1099</v>
      </c>
      <c r="C12" s="21" t="s">
        <v>1101</v>
      </c>
      <c r="D12" s="29" t="s">
        <v>1102</v>
      </c>
      <c r="E12" s="22" t="s">
        <v>1076</v>
      </c>
      <c r="F12" s="23">
        <v>137349</v>
      </c>
      <c r="G12" s="22" t="s">
        <v>1103</v>
      </c>
      <c r="H12" s="24">
        <v>977003</v>
      </c>
    </row>
    <row r="13" spans="1:8">
      <c r="A13" s="20">
        <v>12</v>
      </c>
      <c r="B13" s="62" t="s">
        <v>1104</v>
      </c>
      <c r="C13" s="30" t="s">
        <v>1105</v>
      </c>
      <c r="D13" s="21" t="s">
        <v>1106</v>
      </c>
      <c r="E13" s="22" t="s">
        <v>1076</v>
      </c>
      <c r="F13" s="23">
        <v>138619</v>
      </c>
      <c r="G13" s="22" t="s">
        <v>1107</v>
      </c>
      <c r="H13" s="24">
        <v>977003</v>
      </c>
    </row>
    <row r="14" spans="1:8">
      <c r="A14" s="20">
        <v>13</v>
      </c>
      <c r="B14" s="62" t="s">
        <v>1104</v>
      </c>
      <c r="C14" s="30" t="s">
        <v>1105</v>
      </c>
      <c r="D14" s="21" t="s">
        <v>1108</v>
      </c>
      <c r="E14" s="22" t="s">
        <v>1076</v>
      </c>
      <c r="F14" s="23">
        <v>138619</v>
      </c>
      <c r="G14" s="22" t="s">
        <v>1109</v>
      </c>
      <c r="H14" s="24">
        <v>977003</v>
      </c>
    </row>
    <row r="15" spans="1:8">
      <c r="A15" s="20">
        <v>14</v>
      </c>
      <c r="B15" s="62" t="s">
        <v>1104</v>
      </c>
      <c r="C15" s="21" t="s">
        <v>1110</v>
      </c>
      <c r="D15" s="31" t="s">
        <v>1111</v>
      </c>
      <c r="E15" s="22" t="s">
        <v>1076</v>
      </c>
      <c r="F15" s="23">
        <v>137532</v>
      </c>
      <c r="G15" s="22" t="s">
        <v>1112</v>
      </c>
      <c r="H15" s="24">
        <v>977003</v>
      </c>
    </row>
    <row r="16" spans="1:8">
      <c r="A16" s="20">
        <v>15</v>
      </c>
      <c r="B16" s="62" t="s">
        <v>1104</v>
      </c>
      <c r="C16" s="21" t="s">
        <v>1093</v>
      </c>
      <c r="D16" s="21" t="s">
        <v>1113</v>
      </c>
      <c r="E16" s="22" t="s">
        <v>1076</v>
      </c>
      <c r="F16" s="23">
        <v>138272</v>
      </c>
      <c r="G16" s="22" t="s">
        <v>1114</v>
      </c>
      <c r="H16" s="24">
        <v>977003</v>
      </c>
    </row>
    <row r="17" spans="1:8">
      <c r="A17" s="20">
        <v>16</v>
      </c>
      <c r="B17" s="62" t="s">
        <v>1104</v>
      </c>
      <c r="C17" s="21" t="s">
        <v>1115</v>
      </c>
      <c r="D17" s="21" t="s">
        <v>1116</v>
      </c>
      <c r="E17" s="27" t="s">
        <v>1076</v>
      </c>
      <c r="F17" s="23">
        <v>138733</v>
      </c>
      <c r="G17" s="22" t="s">
        <v>1117</v>
      </c>
      <c r="H17" s="22">
        <v>977003</v>
      </c>
    </row>
    <row r="18" spans="1:8">
      <c r="A18" s="20">
        <v>17</v>
      </c>
      <c r="B18" s="62" t="s">
        <v>1104</v>
      </c>
      <c r="C18" s="21" t="s">
        <v>1093</v>
      </c>
      <c r="D18" s="21" t="s">
        <v>1118</v>
      </c>
      <c r="E18" s="27" t="s">
        <v>1076</v>
      </c>
      <c r="F18" s="23">
        <v>138605</v>
      </c>
      <c r="G18" s="22" t="s">
        <v>1119</v>
      </c>
      <c r="H18" s="22">
        <v>977003</v>
      </c>
    </row>
    <row r="19" spans="1:8">
      <c r="A19" s="20">
        <v>18</v>
      </c>
      <c r="B19" s="62" t="s">
        <v>1104</v>
      </c>
      <c r="C19" s="21" t="s">
        <v>1101</v>
      </c>
      <c r="D19" s="21" t="s">
        <v>1120</v>
      </c>
      <c r="E19" s="27" t="s">
        <v>1076</v>
      </c>
      <c r="F19" s="23">
        <v>137349</v>
      </c>
      <c r="G19" s="22" t="s">
        <v>1121</v>
      </c>
      <c r="H19" s="24">
        <v>977003</v>
      </c>
    </row>
    <row r="20" spans="1:8">
      <c r="A20" s="20">
        <v>19</v>
      </c>
      <c r="B20" s="62" t="s">
        <v>1104</v>
      </c>
      <c r="C20" s="30" t="s">
        <v>1122</v>
      </c>
      <c r="D20" s="21" t="s">
        <v>1123</v>
      </c>
      <c r="E20" s="27" t="s">
        <v>1076</v>
      </c>
      <c r="F20" s="22">
        <v>135765</v>
      </c>
      <c r="G20" s="32" t="s">
        <v>1124</v>
      </c>
      <c r="H20" s="22">
        <v>977003</v>
      </c>
    </row>
    <row r="21" spans="1:8">
      <c r="A21" s="20">
        <v>20</v>
      </c>
      <c r="B21" s="62" t="s">
        <v>1104</v>
      </c>
      <c r="C21" s="30" t="s">
        <v>1122</v>
      </c>
      <c r="D21" s="21" t="s">
        <v>1125</v>
      </c>
      <c r="E21" s="27" t="s">
        <v>1076</v>
      </c>
      <c r="F21" s="22">
        <v>135765</v>
      </c>
      <c r="G21" s="32" t="s">
        <v>1126</v>
      </c>
      <c r="H21" s="22">
        <v>977003</v>
      </c>
    </row>
    <row r="22" spans="1:8">
      <c r="A22" s="20">
        <v>21</v>
      </c>
      <c r="B22" s="62" t="s">
        <v>1104</v>
      </c>
      <c r="C22" s="30" t="s">
        <v>1127</v>
      </c>
      <c r="D22" s="21" t="s">
        <v>1128</v>
      </c>
      <c r="E22" s="27" t="s">
        <v>1076</v>
      </c>
      <c r="F22" s="23">
        <v>137611</v>
      </c>
      <c r="G22" s="22" t="s">
        <v>1129</v>
      </c>
      <c r="H22" s="22">
        <v>977003</v>
      </c>
    </row>
    <row r="23" spans="1:8">
      <c r="A23" s="20">
        <v>22</v>
      </c>
      <c r="B23" s="65" t="s">
        <v>291</v>
      </c>
      <c r="C23" s="26" t="s">
        <v>1093</v>
      </c>
      <c r="D23" s="26" t="s">
        <v>1130</v>
      </c>
      <c r="E23" s="28" t="s">
        <v>1076</v>
      </c>
      <c r="F23" s="25">
        <v>138605</v>
      </c>
      <c r="G23" s="25" t="s">
        <v>1131</v>
      </c>
      <c r="H23" s="25">
        <v>977003</v>
      </c>
    </row>
    <row r="24" spans="1:8">
      <c r="A24" s="20">
        <v>23</v>
      </c>
      <c r="B24" s="65" t="s">
        <v>291</v>
      </c>
      <c r="C24" s="26" t="s">
        <v>1132</v>
      </c>
      <c r="D24" s="26" t="s">
        <v>1133</v>
      </c>
      <c r="E24" s="25" t="s">
        <v>1076</v>
      </c>
      <c r="F24" s="25">
        <v>135107</v>
      </c>
      <c r="G24" s="25" t="s">
        <v>1134</v>
      </c>
      <c r="H24" s="28">
        <v>977003</v>
      </c>
    </row>
    <row r="25" spans="1:8">
      <c r="A25" s="20">
        <v>24</v>
      </c>
      <c r="B25" s="62" t="s">
        <v>318</v>
      </c>
      <c r="C25" s="21" t="s">
        <v>1135</v>
      </c>
      <c r="D25" s="21" t="s">
        <v>1136</v>
      </c>
      <c r="E25" s="22" t="s">
        <v>1076</v>
      </c>
      <c r="F25" s="23">
        <v>137345</v>
      </c>
      <c r="G25" s="22" t="s">
        <v>1137</v>
      </c>
      <c r="H25" s="22">
        <v>1750100007</v>
      </c>
    </row>
    <row r="26" spans="1:8">
      <c r="A26" s="20">
        <v>25</v>
      </c>
      <c r="B26" s="65" t="s">
        <v>337</v>
      </c>
      <c r="C26" s="26" t="s">
        <v>1096</v>
      </c>
      <c r="D26" s="26" t="s">
        <v>1138</v>
      </c>
      <c r="E26" s="25" t="s">
        <v>1076</v>
      </c>
      <c r="F26" s="25">
        <v>138505</v>
      </c>
      <c r="G26" s="25" t="s">
        <v>1139</v>
      </c>
      <c r="H26" s="25">
        <v>1750100007</v>
      </c>
    </row>
    <row r="27" spans="1:8">
      <c r="A27" s="20">
        <v>26</v>
      </c>
      <c r="B27" s="65" t="s">
        <v>337</v>
      </c>
      <c r="C27" s="21" t="s">
        <v>1140</v>
      </c>
      <c r="D27" s="33" t="s">
        <v>1141</v>
      </c>
      <c r="E27" s="25" t="s">
        <v>1076</v>
      </c>
      <c r="F27" s="23">
        <v>138908</v>
      </c>
      <c r="G27" s="25" t="s">
        <v>1142</v>
      </c>
      <c r="H27" s="25">
        <v>1750100007</v>
      </c>
    </row>
    <row r="28" spans="1:8">
      <c r="A28" s="20">
        <v>27</v>
      </c>
      <c r="B28" s="65" t="s">
        <v>337</v>
      </c>
      <c r="C28" s="26" t="s">
        <v>1143</v>
      </c>
      <c r="D28" s="26" t="s">
        <v>1144</v>
      </c>
      <c r="E28" s="25" t="s">
        <v>1076</v>
      </c>
      <c r="F28" s="25">
        <v>138605</v>
      </c>
      <c r="G28" s="25" t="s">
        <v>1145</v>
      </c>
      <c r="H28" s="25">
        <v>1750100007</v>
      </c>
    </row>
    <row r="29" spans="1:8">
      <c r="A29" s="20">
        <v>28</v>
      </c>
      <c r="B29" s="65" t="s">
        <v>337</v>
      </c>
      <c r="C29" s="34" t="s">
        <v>1146</v>
      </c>
      <c r="D29" s="26" t="s">
        <v>1147</v>
      </c>
      <c r="E29" s="27" t="s">
        <v>1076</v>
      </c>
      <c r="F29" s="27">
        <v>138917</v>
      </c>
      <c r="G29" s="25" t="s">
        <v>1148</v>
      </c>
      <c r="H29" s="25">
        <v>1750100007</v>
      </c>
    </row>
    <row r="30" spans="1:8">
      <c r="A30" s="20">
        <v>29</v>
      </c>
      <c r="B30" s="62" t="s">
        <v>337</v>
      </c>
      <c r="C30" s="21" t="s">
        <v>1149</v>
      </c>
      <c r="D30" s="21" t="s">
        <v>1150</v>
      </c>
      <c r="E30" s="27" t="s">
        <v>1076</v>
      </c>
      <c r="F30" s="24">
        <v>137336</v>
      </c>
      <c r="G30" s="32" t="s">
        <v>1151</v>
      </c>
      <c r="H30" s="25">
        <v>1750100007</v>
      </c>
    </row>
    <row r="31" spans="1:8">
      <c r="A31" s="20">
        <v>30</v>
      </c>
      <c r="B31" s="62" t="s">
        <v>337</v>
      </c>
      <c r="C31" s="30" t="s">
        <v>1152</v>
      </c>
      <c r="D31" s="21" t="s">
        <v>1153</v>
      </c>
      <c r="E31" s="27" t="s">
        <v>1076</v>
      </c>
      <c r="F31" s="22">
        <v>137610</v>
      </c>
      <c r="G31" s="22" t="s">
        <v>1154</v>
      </c>
      <c r="H31" s="25">
        <v>1750100007</v>
      </c>
    </row>
    <row r="32" spans="1:8">
      <c r="A32" s="20">
        <v>31</v>
      </c>
      <c r="B32" s="62" t="s">
        <v>337</v>
      </c>
      <c r="C32" s="21" t="s">
        <v>1110</v>
      </c>
      <c r="D32" s="31" t="s">
        <v>1155</v>
      </c>
      <c r="E32" s="22" t="s">
        <v>1076</v>
      </c>
      <c r="F32" s="23">
        <v>137532</v>
      </c>
      <c r="G32" s="22" t="s">
        <v>1156</v>
      </c>
      <c r="H32" s="25">
        <v>1750100007</v>
      </c>
    </row>
    <row r="33" spans="1:8">
      <c r="A33" s="20">
        <v>32</v>
      </c>
      <c r="B33" s="62" t="s">
        <v>338</v>
      </c>
      <c r="C33" s="21" t="s">
        <v>1115</v>
      </c>
      <c r="D33" s="21" t="s">
        <v>1157</v>
      </c>
      <c r="E33" s="27" t="s">
        <v>1076</v>
      </c>
      <c r="F33" s="23">
        <v>138733</v>
      </c>
      <c r="G33" s="22" t="s">
        <v>1158</v>
      </c>
      <c r="H33" s="25">
        <v>1750100007</v>
      </c>
    </row>
    <row r="34" spans="1:8">
      <c r="A34" s="20">
        <v>33</v>
      </c>
      <c r="B34" s="62" t="s">
        <v>338</v>
      </c>
      <c r="C34" s="21" t="s">
        <v>1110</v>
      </c>
      <c r="D34" s="31" t="s">
        <v>1159</v>
      </c>
      <c r="E34" s="22" t="s">
        <v>1076</v>
      </c>
      <c r="F34" s="23">
        <v>137532</v>
      </c>
      <c r="G34" s="22" t="s">
        <v>1160</v>
      </c>
      <c r="H34" s="25">
        <v>1750100007</v>
      </c>
    </row>
    <row r="35" spans="1:8">
      <c r="A35" s="20">
        <v>34</v>
      </c>
      <c r="B35" s="62" t="s">
        <v>338</v>
      </c>
      <c r="C35" s="26" t="s">
        <v>1143</v>
      </c>
      <c r="D35" s="26" t="s">
        <v>1161</v>
      </c>
      <c r="E35" s="22" t="s">
        <v>1076</v>
      </c>
      <c r="F35" s="25">
        <v>138605</v>
      </c>
      <c r="G35" s="22" t="s">
        <v>1162</v>
      </c>
      <c r="H35" s="25">
        <v>1750100007</v>
      </c>
    </row>
    <row r="36" spans="1:8">
      <c r="A36" s="20">
        <v>35</v>
      </c>
      <c r="B36" s="65" t="s">
        <v>342</v>
      </c>
      <c r="C36" s="30" t="s">
        <v>1163</v>
      </c>
      <c r="D36" s="29" t="s">
        <v>1164</v>
      </c>
      <c r="E36" s="24" t="s">
        <v>1076</v>
      </c>
      <c r="F36" s="22">
        <v>138924</v>
      </c>
      <c r="G36" s="25" t="s">
        <v>1165</v>
      </c>
      <c r="H36" s="25">
        <v>1750100007</v>
      </c>
    </row>
    <row r="37" spans="1:8">
      <c r="A37" s="20">
        <v>36</v>
      </c>
      <c r="B37" s="62" t="s">
        <v>342</v>
      </c>
      <c r="C37" s="21" t="s">
        <v>1166</v>
      </c>
      <c r="D37" s="29" t="s">
        <v>1167</v>
      </c>
      <c r="E37" s="24" t="s">
        <v>1076</v>
      </c>
      <c r="F37" s="23">
        <v>135773</v>
      </c>
      <c r="G37" s="22" t="s">
        <v>1168</v>
      </c>
      <c r="H37" s="25">
        <v>1750100007</v>
      </c>
    </row>
    <row r="38" spans="1:8">
      <c r="A38" s="20">
        <v>37</v>
      </c>
      <c r="B38" s="62" t="s">
        <v>342</v>
      </c>
      <c r="C38" s="30" t="s">
        <v>1122</v>
      </c>
      <c r="D38" s="29" t="s">
        <v>1169</v>
      </c>
      <c r="E38" s="27" t="s">
        <v>1076</v>
      </c>
      <c r="F38" s="22">
        <v>135765</v>
      </c>
      <c r="G38" s="32" t="s">
        <v>1170</v>
      </c>
      <c r="H38" s="25">
        <v>1750100007</v>
      </c>
    </row>
    <row r="39" spans="1:8">
      <c r="A39" s="20">
        <v>38</v>
      </c>
      <c r="B39" s="62" t="s">
        <v>342</v>
      </c>
      <c r="C39" s="70" t="s">
        <v>1171</v>
      </c>
      <c r="D39" s="71" t="s">
        <v>1172</v>
      </c>
      <c r="E39" s="27" t="s">
        <v>1076</v>
      </c>
      <c r="F39" s="24">
        <v>134831</v>
      </c>
      <c r="G39" s="22" t="s">
        <v>1173</v>
      </c>
      <c r="H39" s="25">
        <v>1750100007</v>
      </c>
    </row>
    <row r="40" spans="1:8">
      <c r="A40" s="20">
        <v>39</v>
      </c>
      <c r="B40" s="72" t="s">
        <v>342</v>
      </c>
      <c r="C40" s="73" t="s">
        <v>1093</v>
      </c>
      <c r="D40" s="74" t="s">
        <v>1174</v>
      </c>
      <c r="E40" s="73" t="s">
        <v>1076</v>
      </c>
      <c r="F40" s="89">
        <v>138605</v>
      </c>
      <c r="G40" s="73" t="s">
        <v>1175</v>
      </c>
      <c r="H40" s="25"/>
    </row>
    <row r="41" spans="1:8">
      <c r="A41" s="20">
        <v>40</v>
      </c>
      <c r="B41" s="72" t="s">
        <v>342</v>
      </c>
      <c r="C41" s="75" t="s">
        <v>1093</v>
      </c>
      <c r="D41" s="73" t="s">
        <v>1176</v>
      </c>
      <c r="E41" s="73" t="s">
        <v>1076</v>
      </c>
      <c r="F41" s="89">
        <v>138605</v>
      </c>
      <c r="G41" s="73" t="s">
        <v>1177</v>
      </c>
      <c r="H41" s="25">
        <v>1750100007</v>
      </c>
    </row>
    <row r="42" spans="1:8" ht="18" customHeight="1">
      <c r="A42" s="20">
        <v>41</v>
      </c>
      <c r="B42" s="76" t="s">
        <v>342</v>
      </c>
      <c r="C42" s="77" t="s">
        <v>1178</v>
      </c>
      <c r="D42" s="77" t="s">
        <v>1179</v>
      </c>
      <c r="E42" s="78" t="s">
        <v>1076</v>
      </c>
      <c r="F42" s="95">
        <v>132489</v>
      </c>
      <c r="G42" s="78" t="s">
        <v>1180</v>
      </c>
      <c r="H42" s="25">
        <v>1750100007</v>
      </c>
    </row>
    <row r="43" spans="1:8" ht="16.5" customHeight="1">
      <c r="A43" s="20">
        <v>42</v>
      </c>
      <c r="B43" s="76" t="s">
        <v>342</v>
      </c>
      <c r="C43" s="77" t="s">
        <v>1178</v>
      </c>
      <c r="D43" s="77" t="s">
        <v>1181</v>
      </c>
      <c r="E43" s="78" t="s">
        <v>1076</v>
      </c>
      <c r="F43" s="95">
        <v>132489</v>
      </c>
      <c r="G43" s="78" t="s">
        <v>1182</v>
      </c>
      <c r="H43" s="25">
        <v>1750100007</v>
      </c>
    </row>
    <row r="44" spans="1:8" ht="17.25" customHeight="1">
      <c r="A44" s="20">
        <v>43</v>
      </c>
      <c r="B44" s="76" t="s">
        <v>342</v>
      </c>
      <c r="C44" s="76" t="s">
        <v>1096</v>
      </c>
      <c r="D44" s="76" t="s">
        <v>1183</v>
      </c>
      <c r="E44" s="76" t="s">
        <v>1076</v>
      </c>
      <c r="F44" s="95">
        <v>139035</v>
      </c>
      <c r="G44" s="78" t="s">
        <v>1184</v>
      </c>
      <c r="H44" s="25">
        <v>1750100007</v>
      </c>
    </row>
    <row r="45" spans="1:8">
      <c r="A45" s="20">
        <v>44</v>
      </c>
      <c r="B45" s="76" t="s">
        <v>1185</v>
      </c>
      <c r="C45" s="76" t="s">
        <v>1186</v>
      </c>
      <c r="D45" s="76" t="s">
        <v>1187</v>
      </c>
      <c r="E45" s="76" t="s">
        <v>1076</v>
      </c>
      <c r="F45" s="95">
        <v>138326</v>
      </c>
      <c r="G45" s="78" t="s">
        <v>1188</v>
      </c>
      <c r="H45" s="25">
        <v>1750100007</v>
      </c>
    </row>
    <row r="46" spans="1:8">
      <c r="A46" s="20">
        <v>45</v>
      </c>
      <c r="B46" s="76" t="s">
        <v>1185</v>
      </c>
      <c r="C46" s="76" t="s">
        <v>1086</v>
      </c>
      <c r="D46" s="76" t="s">
        <v>1189</v>
      </c>
      <c r="E46" s="76" t="s">
        <v>1076</v>
      </c>
      <c r="F46" s="95">
        <v>138587</v>
      </c>
      <c r="G46" s="78" t="s">
        <v>1190</v>
      </c>
      <c r="H46" s="25">
        <v>1750100007</v>
      </c>
    </row>
    <row r="47" spans="1:8">
      <c r="A47" s="20">
        <v>46</v>
      </c>
      <c r="B47" s="76" t="s">
        <v>1185</v>
      </c>
      <c r="C47" s="70" t="s">
        <v>1191</v>
      </c>
      <c r="D47" s="70" t="s">
        <v>1192</v>
      </c>
      <c r="E47" s="76" t="s">
        <v>1076</v>
      </c>
      <c r="F47" s="95">
        <v>134831</v>
      </c>
      <c r="G47" s="78" t="s">
        <v>1193</v>
      </c>
      <c r="H47" s="25">
        <v>1750100007</v>
      </c>
    </row>
    <row r="48" spans="1:8" ht="27">
      <c r="A48" s="20">
        <v>47</v>
      </c>
      <c r="B48" s="76" t="s">
        <v>1185</v>
      </c>
      <c r="C48" s="76" t="s">
        <v>1122</v>
      </c>
      <c r="D48" s="108" t="s">
        <v>1194</v>
      </c>
      <c r="E48" s="76" t="s">
        <v>1076</v>
      </c>
      <c r="F48" s="95">
        <v>135765</v>
      </c>
      <c r="G48" s="78" t="s">
        <v>1195</v>
      </c>
      <c r="H48" s="25">
        <v>1750100007</v>
      </c>
    </row>
    <row r="49" spans="1:11">
      <c r="A49" s="20">
        <v>48</v>
      </c>
      <c r="B49" s="79" t="s">
        <v>1185</v>
      </c>
      <c r="C49" s="76" t="s">
        <v>1143</v>
      </c>
      <c r="D49" s="76" t="s">
        <v>1196</v>
      </c>
      <c r="E49" s="76" t="s">
        <v>1076</v>
      </c>
      <c r="F49" s="95">
        <v>138605</v>
      </c>
      <c r="G49" s="78" t="s">
        <v>1197</v>
      </c>
      <c r="H49" s="25">
        <v>1750100007</v>
      </c>
    </row>
    <row r="50" spans="1:11">
      <c r="A50" s="109">
        <v>49</v>
      </c>
      <c r="B50" s="83" t="s">
        <v>1185</v>
      </c>
      <c r="C50" s="78" t="s">
        <v>1198</v>
      </c>
      <c r="D50" s="76" t="s">
        <v>1199</v>
      </c>
      <c r="E50" s="79" t="s">
        <v>1076</v>
      </c>
      <c r="F50" s="110">
        <v>137458</v>
      </c>
      <c r="G50" s="80" t="s">
        <v>1200</v>
      </c>
      <c r="H50" s="81">
        <v>1750100007</v>
      </c>
    </row>
    <row r="51" spans="1:11">
      <c r="A51" s="109">
        <v>50</v>
      </c>
      <c r="B51" s="83" t="s">
        <v>1201</v>
      </c>
      <c r="C51" s="78" t="s">
        <v>1096</v>
      </c>
      <c r="D51" s="82" t="s">
        <v>1202</v>
      </c>
      <c r="E51" s="83" t="s">
        <v>1076</v>
      </c>
      <c r="F51" s="111">
        <v>138505</v>
      </c>
      <c r="G51" s="85" t="s">
        <v>1203</v>
      </c>
      <c r="H51" s="86">
        <v>1750100007</v>
      </c>
    </row>
    <row r="52" spans="1:11">
      <c r="A52" s="109">
        <v>51</v>
      </c>
      <c r="B52" s="83" t="s">
        <v>1201</v>
      </c>
      <c r="C52" s="78" t="s">
        <v>1204</v>
      </c>
      <c r="D52" s="82" t="s">
        <v>1205</v>
      </c>
      <c r="E52" s="83" t="s">
        <v>1076</v>
      </c>
      <c r="F52" s="111">
        <v>139089</v>
      </c>
      <c r="G52" s="87" t="s">
        <v>1206</v>
      </c>
      <c r="H52" s="86">
        <v>1750100007</v>
      </c>
    </row>
    <row r="53" spans="1:11">
      <c r="A53" s="109">
        <v>52</v>
      </c>
      <c r="B53" s="97" t="s">
        <v>1201</v>
      </c>
      <c r="C53" s="74" t="s">
        <v>1207</v>
      </c>
      <c r="D53" s="88" t="s">
        <v>1208</v>
      </c>
      <c r="E53" s="88" t="s">
        <v>1076</v>
      </c>
      <c r="F53" s="89">
        <v>139132</v>
      </c>
      <c r="G53" s="73" t="s">
        <v>1209</v>
      </c>
      <c r="H53" s="89">
        <v>1750100007</v>
      </c>
    </row>
    <row r="54" spans="1:11">
      <c r="A54" s="109">
        <v>53</v>
      </c>
      <c r="B54" s="112" t="s">
        <v>1201</v>
      </c>
      <c r="C54" s="90" t="s">
        <v>1132</v>
      </c>
      <c r="D54" s="91" t="s">
        <v>1210</v>
      </c>
      <c r="E54" s="90" t="s">
        <v>1076</v>
      </c>
      <c r="F54" s="92">
        <v>135107</v>
      </c>
      <c r="G54" s="90" t="s">
        <v>1211</v>
      </c>
      <c r="H54" s="92">
        <v>1750100007</v>
      </c>
      <c r="I54" s="93"/>
      <c r="J54" s="93"/>
      <c r="K54" s="93"/>
    </row>
    <row r="55" spans="1:11" s="93" customFormat="1" ht="20.25" customHeight="1">
      <c r="A55" s="109">
        <v>54</v>
      </c>
      <c r="B55" s="83" t="s">
        <v>1201</v>
      </c>
      <c r="C55" s="80" t="s">
        <v>1212</v>
      </c>
      <c r="D55" s="78" t="s">
        <v>1213</v>
      </c>
      <c r="E55" s="78" t="s">
        <v>1076</v>
      </c>
      <c r="F55" s="95">
        <v>137937</v>
      </c>
      <c r="G55" s="65" t="s">
        <v>1214</v>
      </c>
      <c r="H55" s="95">
        <v>1750100007</v>
      </c>
      <c r="I55"/>
      <c r="J55"/>
      <c r="K55"/>
    </row>
    <row r="56" spans="1:11">
      <c r="A56" s="109">
        <v>55</v>
      </c>
      <c r="B56" s="83"/>
      <c r="C56" s="88" t="s">
        <v>1215</v>
      </c>
      <c r="D56" s="88" t="s">
        <v>1216</v>
      </c>
      <c r="E56" s="88" t="s">
        <v>1076</v>
      </c>
      <c r="F56" s="42"/>
      <c r="G56" s="73" t="s">
        <v>1217</v>
      </c>
      <c r="H56" s="95">
        <v>1750100007</v>
      </c>
    </row>
    <row r="57" spans="1:11">
      <c r="A57" s="20">
        <v>56</v>
      </c>
      <c r="B57" s="83" t="s">
        <v>1218</v>
      </c>
      <c r="C57" s="97" t="s">
        <v>1143</v>
      </c>
      <c r="D57" s="73" t="s">
        <v>1219</v>
      </c>
      <c r="E57" s="88" t="s">
        <v>1076</v>
      </c>
      <c r="F57" s="113"/>
      <c r="G57" s="88" t="s">
        <v>1220</v>
      </c>
      <c r="H57" s="95">
        <v>1750100007</v>
      </c>
    </row>
    <row r="58" spans="1:11" ht="15" customHeight="1">
      <c r="A58" s="20">
        <v>57</v>
      </c>
      <c r="B58" s="83" t="s">
        <v>1218</v>
      </c>
      <c r="C58" s="97" t="s">
        <v>1143</v>
      </c>
      <c r="D58" s="75" t="s">
        <v>1221</v>
      </c>
      <c r="E58" s="88" t="s">
        <v>1076</v>
      </c>
      <c r="F58" s="95">
        <v>138605</v>
      </c>
      <c r="G58" s="65" t="s">
        <v>1222</v>
      </c>
      <c r="H58" s="95">
        <v>1750100007</v>
      </c>
    </row>
    <row r="59" spans="1:11" ht="30" customHeight="1">
      <c r="A59" s="94">
        <v>58</v>
      </c>
      <c r="B59" s="114" t="s">
        <v>1218</v>
      </c>
      <c r="C59" s="115" t="s">
        <v>1143</v>
      </c>
      <c r="D59" s="116" t="s">
        <v>1223</v>
      </c>
      <c r="E59" s="117" t="s">
        <v>1076</v>
      </c>
      <c r="F59" s="110">
        <v>138605</v>
      </c>
      <c r="G59" s="118" t="s">
        <v>1224</v>
      </c>
      <c r="H59" s="110">
        <v>1750100007</v>
      </c>
    </row>
    <row r="60" spans="1:11" ht="15" customHeight="1">
      <c r="A60" s="96">
        <v>59</v>
      </c>
      <c r="B60" s="83" t="s">
        <v>1218</v>
      </c>
      <c r="C60" s="119" t="s">
        <v>1093</v>
      </c>
      <c r="D60" s="120" t="s">
        <v>1225</v>
      </c>
      <c r="E60" s="121" t="s">
        <v>1076</v>
      </c>
      <c r="F60" s="122">
        <v>138272</v>
      </c>
      <c r="G60" s="123" t="s">
        <v>1226</v>
      </c>
      <c r="H60" s="122">
        <v>1750100007</v>
      </c>
    </row>
    <row r="61" spans="1:11" ht="15" customHeight="1">
      <c r="A61" s="96">
        <v>60</v>
      </c>
      <c r="B61" s="83" t="s">
        <v>1227</v>
      </c>
      <c r="C61" s="83" t="s">
        <v>1093</v>
      </c>
      <c r="D61" s="83" t="s">
        <v>1228</v>
      </c>
      <c r="E61" s="84" t="s">
        <v>1076</v>
      </c>
      <c r="F61" s="124"/>
      <c r="G61" s="123" t="s">
        <v>1229</v>
      </c>
      <c r="H61" s="122">
        <v>1750100007</v>
      </c>
    </row>
    <row r="62" spans="1:11" ht="15" customHeight="1">
      <c r="A62" s="96">
        <v>61</v>
      </c>
      <c r="B62" s="165">
        <v>46048</v>
      </c>
      <c r="C62" s="83" t="s">
        <v>1093</v>
      </c>
      <c r="D62" s="97" t="s">
        <v>1230</v>
      </c>
      <c r="E62" s="84" t="s">
        <v>1076</v>
      </c>
      <c r="F62" s="124"/>
      <c r="G62" s="123" t="s">
        <v>1231</v>
      </c>
      <c r="H62" s="122">
        <v>1750100007</v>
      </c>
    </row>
    <row r="63" spans="1:11" ht="15" customHeight="1">
      <c r="A63" s="96">
        <v>62</v>
      </c>
      <c r="B63" s="125" t="s">
        <v>1232</v>
      </c>
      <c r="C63" s="125" t="s">
        <v>1127</v>
      </c>
      <c r="D63" s="73" t="s">
        <v>1233</v>
      </c>
      <c r="E63" s="126" t="s">
        <v>1076</v>
      </c>
      <c r="F63" s="124"/>
      <c r="G63" s="73" t="s">
        <v>1234</v>
      </c>
      <c r="H63" s="122">
        <v>1750100007</v>
      </c>
    </row>
    <row r="64" spans="1:11" ht="15" customHeight="1">
      <c r="A64" s="96">
        <v>63</v>
      </c>
      <c r="B64" s="108" t="s">
        <v>1235</v>
      </c>
      <c r="C64" s="98" t="s">
        <v>1132</v>
      </c>
      <c r="D64" s="78" t="s">
        <v>1236</v>
      </c>
      <c r="E64" s="127" t="s">
        <v>1076</v>
      </c>
      <c r="F64" s="124"/>
      <c r="G64" s="123" t="s">
        <v>1237</v>
      </c>
      <c r="H64" s="122">
        <v>1750100007</v>
      </c>
    </row>
    <row r="65" spans="1:10" ht="15" customHeight="1">
      <c r="A65" s="96">
        <v>64</v>
      </c>
      <c r="B65" s="128" t="s">
        <v>1238</v>
      </c>
      <c r="C65" s="76" t="s">
        <v>1101</v>
      </c>
      <c r="D65" s="129" t="s">
        <v>1239</v>
      </c>
      <c r="E65" s="127" t="s">
        <v>1076</v>
      </c>
      <c r="F65" s="124"/>
      <c r="G65" s="123" t="s">
        <v>1240</v>
      </c>
      <c r="H65" s="122">
        <v>1750100007</v>
      </c>
    </row>
    <row r="66" spans="1:10" ht="15" customHeight="1">
      <c r="A66" s="96">
        <v>65</v>
      </c>
      <c r="B66" s="128" t="s">
        <v>1241</v>
      </c>
      <c r="C66" s="79" t="s">
        <v>61</v>
      </c>
      <c r="D66" s="166" t="s">
        <v>1242</v>
      </c>
      <c r="E66" s="167" t="s">
        <v>1076</v>
      </c>
      <c r="F66" s="168"/>
      <c r="G66" s="114" t="s">
        <v>1237</v>
      </c>
      <c r="H66" s="169">
        <v>1750100007</v>
      </c>
    </row>
    <row r="67" spans="1:10" ht="15" customHeight="1">
      <c r="A67" s="96">
        <v>66</v>
      </c>
      <c r="B67" s="170" t="s">
        <v>1243</v>
      </c>
      <c r="C67" s="83" t="s">
        <v>1101</v>
      </c>
      <c r="D67" s="83" t="s">
        <v>1244</v>
      </c>
      <c r="E67" s="83" t="s">
        <v>1076</v>
      </c>
      <c r="F67" s="124"/>
      <c r="G67" s="97" t="s">
        <v>1240</v>
      </c>
      <c r="H67" s="122">
        <v>1750100007</v>
      </c>
    </row>
    <row r="68" spans="1:10" ht="15" customHeight="1">
      <c r="A68" s="96">
        <v>67</v>
      </c>
      <c r="B68" s="171" t="s">
        <v>1245</v>
      </c>
      <c r="C68" s="83" t="s">
        <v>1096</v>
      </c>
      <c r="D68" s="83" t="s">
        <v>1246</v>
      </c>
      <c r="E68" s="83" t="s">
        <v>1076</v>
      </c>
      <c r="F68" s="124"/>
      <c r="G68" s="97" t="s">
        <v>1247</v>
      </c>
      <c r="H68" s="122">
        <v>1750100007</v>
      </c>
    </row>
    <row r="69" spans="1:10" ht="15" customHeight="1">
      <c r="A69" s="96">
        <v>68</v>
      </c>
      <c r="B69" s="171" t="s">
        <v>1245</v>
      </c>
      <c r="C69" s="83" t="s">
        <v>1248</v>
      </c>
      <c r="D69" s="83" t="s">
        <v>1249</v>
      </c>
      <c r="E69" s="83" t="s">
        <v>1076</v>
      </c>
      <c r="F69" s="124"/>
      <c r="G69" s="97" t="s">
        <v>1250</v>
      </c>
      <c r="H69" s="122">
        <v>1750100007</v>
      </c>
    </row>
    <row r="70" spans="1:10" ht="15" customHeight="1">
      <c r="A70" s="96">
        <v>69</v>
      </c>
      <c r="B70" s="171" t="s">
        <v>1245</v>
      </c>
      <c r="C70" s="83" t="s">
        <v>1143</v>
      </c>
      <c r="D70" s="83" t="s">
        <v>1251</v>
      </c>
      <c r="E70" s="83" t="s">
        <v>1076</v>
      </c>
      <c r="F70" s="124"/>
      <c r="G70" s="83" t="s">
        <v>1252</v>
      </c>
      <c r="H70" s="122">
        <v>1750100007</v>
      </c>
    </row>
    <row r="71" spans="1:10" ht="15" customHeight="1">
      <c r="A71" s="96">
        <v>70</v>
      </c>
      <c r="B71" s="171" t="s">
        <v>1245</v>
      </c>
      <c r="C71" s="83" t="s">
        <v>1253</v>
      </c>
      <c r="D71" s="83" t="s">
        <v>1254</v>
      </c>
      <c r="E71" s="83" t="s">
        <v>1076</v>
      </c>
      <c r="F71" s="124"/>
      <c r="G71" s="44"/>
      <c r="H71" s="122">
        <v>1750100007</v>
      </c>
    </row>
    <row r="72" spans="1:10" ht="15" customHeight="1">
      <c r="A72" s="96">
        <v>71</v>
      </c>
      <c r="B72" s="171" t="s">
        <v>1245</v>
      </c>
      <c r="C72" s="83" t="s">
        <v>1255</v>
      </c>
      <c r="D72" s="131" t="s">
        <v>1256</v>
      </c>
      <c r="E72" s="83" t="s">
        <v>1076</v>
      </c>
      <c r="F72" s="122">
        <v>138917</v>
      </c>
      <c r="G72" s="97" t="s">
        <v>1257</v>
      </c>
      <c r="H72" s="122">
        <v>1750100007</v>
      </c>
    </row>
    <row r="73" spans="1:10" ht="15" customHeight="1">
      <c r="A73" s="96">
        <v>72</v>
      </c>
      <c r="B73" s="171" t="s">
        <v>1245</v>
      </c>
      <c r="C73" s="83" t="s">
        <v>1255</v>
      </c>
      <c r="D73" s="131" t="s">
        <v>1258</v>
      </c>
      <c r="E73" s="83" t="s">
        <v>1076</v>
      </c>
      <c r="F73" s="122">
        <v>138917</v>
      </c>
      <c r="G73" s="97" t="s">
        <v>1259</v>
      </c>
      <c r="H73" s="122">
        <v>1750100007</v>
      </c>
    </row>
    <row r="74" spans="1:10" ht="15" customHeight="1">
      <c r="A74" s="96">
        <v>73</v>
      </c>
      <c r="B74" s="171" t="s">
        <v>1245</v>
      </c>
      <c r="C74" s="83" t="s">
        <v>1143</v>
      </c>
      <c r="D74" s="83" t="s">
        <v>1260</v>
      </c>
      <c r="E74" s="83" t="s">
        <v>1076</v>
      </c>
      <c r="F74" s="124"/>
      <c r="G74" s="97" t="s">
        <v>1261</v>
      </c>
      <c r="H74" s="122">
        <v>1750100007</v>
      </c>
    </row>
    <row r="75" spans="1:10" ht="15" customHeight="1">
      <c r="A75" s="96">
        <v>74</v>
      </c>
      <c r="B75" s="171" t="s">
        <v>1245</v>
      </c>
      <c r="C75" s="83" t="s">
        <v>1132</v>
      </c>
      <c r="D75" s="131" t="s">
        <v>1262</v>
      </c>
      <c r="E75" s="83" t="s">
        <v>1076</v>
      </c>
      <c r="F75" s="122">
        <v>135107</v>
      </c>
      <c r="G75" s="97" t="s">
        <v>1263</v>
      </c>
      <c r="H75" s="122">
        <v>1750100007</v>
      </c>
    </row>
    <row r="76" spans="1:10" ht="15" customHeight="1">
      <c r="A76" s="96">
        <v>75</v>
      </c>
      <c r="B76" s="65" t="s">
        <v>1104</v>
      </c>
      <c r="C76" s="88" t="s">
        <v>1264</v>
      </c>
      <c r="D76" s="88" t="s">
        <v>1265</v>
      </c>
      <c r="E76" s="88" t="s">
        <v>1076</v>
      </c>
      <c r="F76" s="113">
        <v>139287</v>
      </c>
      <c r="G76" s="88" t="s">
        <v>1266</v>
      </c>
      <c r="H76" s="88">
        <v>1750100007</v>
      </c>
      <c r="I76" s="88" t="s">
        <v>1267</v>
      </c>
      <c r="J76" s="88" t="s">
        <v>1268</v>
      </c>
    </row>
    <row r="77" spans="1:10" ht="15" customHeight="1">
      <c r="A77" s="96">
        <v>76</v>
      </c>
      <c r="B77" s="98" t="s">
        <v>1104</v>
      </c>
      <c r="C77" s="172" t="s">
        <v>1269</v>
      </c>
      <c r="D77" s="172" t="s">
        <v>1270</v>
      </c>
      <c r="E77" s="172" t="s">
        <v>1076</v>
      </c>
      <c r="F77" s="173">
        <v>138498</v>
      </c>
      <c r="G77" s="88" t="s">
        <v>1271</v>
      </c>
      <c r="H77" s="172">
        <v>1750100003</v>
      </c>
      <c r="I77" s="172" t="s">
        <v>1272</v>
      </c>
      <c r="J77" s="172" t="s">
        <v>1273</v>
      </c>
    </row>
    <row r="78" spans="1:10" ht="15" customHeight="1">
      <c r="A78" s="96">
        <v>77</v>
      </c>
      <c r="B78" s="98" t="s">
        <v>1104</v>
      </c>
      <c r="C78" s="70" t="s">
        <v>1191</v>
      </c>
      <c r="D78" s="172" t="s">
        <v>1274</v>
      </c>
      <c r="E78" s="172" t="s">
        <v>1076</v>
      </c>
      <c r="F78" s="174"/>
      <c r="G78" s="175" t="s">
        <v>1275</v>
      </c>
      <c r="H78" s="117">
        <v>1750100003</v>
      </c>
      <c r="I78" s="176"/>
      <c r="J78" s="175"/>
    </row>
    <row r="79" spans="1:10" ht="15" customHeight="1">
      <c r="A79" s="96">
        <v>78</v>
      </c>
      <c r="B79" s="98" t="s">
        <v>1104</v>
      </c>
      <c r="C79" s="72" t="s">
        <v>1101</v>
      </c>
      <c r="D79" s="172" t="s">
        <v>1276</v>
      </c>
      <c r="E79" s="177" t="s">
        <v>1076</v>
      </c>
      <c r="F79" s="124"/>
      <c r="G79" s="44"/>
      <c r="H79" s="124"/>
      <c r="I79" s="44"/>
      <c r="J79" s="44"/>
    </row>
    <row r="81" spans="6:6" ht="15" customHeight="1">
      <c r="F81" s="42"/>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985C-A25E-45B9-BD9F-2978C6B2BE07}">
  <dimension ref="A1:G108"/>
  <sheetViews>
    <sheetView workbookViewId="0">
      <pane ySplit="1" topLeftCell="A78" activePane="bottomLeft" state="frozen"/>
      <selection pane="bottomLeft" activeCell="E7" sqref="E7"/>
    </sheetView>
  </sheetViews>
  <sheetFormatPr defaultRowHeight="15"/>
  <cols>
    <col min="1" max="1" width="9.42578125" bestFit="1" customWidth="1"/>
    <col min="2" max="2" width="28.7109375" bestFit="1" customWidth="1"/>
    <col min="3" max="3" width="15" bestFit="1" customWidth="1"/>
    <col min="4" max="4" width="7.140625" bestFit="1" customWidth="1"/>
    <col min="5" max="5" width="16.28515625" bestFit="1" customWidth="1"/>
    <col min="6" max="6" width="14.42578125" bestFit="1" customWidth="1"/>
    <col min="7" max="7" width="15.85546875" bestFit="1" customWidth="1"/>
  </cols>
  <sheetData>
    <row r="1" spans="1:7">
      <c r="A1" s="99" t="s">
        <v>1</v>
      </c>
      <c r="B1" s="99" t="s">
        <v>1277</v>
      </c>
      <c r="C1" s="99" t="s">
        <v>1278</v>
      </c>
      <c r="D1" s="99" t="s">
        <v>278</v>
      </c>
      <c r="E1" s="99" t="s">
        <v>1279</v>
      </c>
      <c r="F1" s="99" t="s">
        <v>1280</v>
      </c>
      <c r="G1" s="99" t="s">
        <v>6</v>
      </c>
    </row>
    <row r="2" spans="1:7">
      <c r="A2" t="s">
        <v>16</v>
      </c>
      <c r="B2" t="s">
        <v>17</v>
      </c>
      <c r="C2" t="s">
        <v>18</v>
      </c>
      <c r="D2">
        <v>2025</v>
      </c>
      <c r="E2">
        <v>4</v>
      </c>
      <c r="F2" t="s">
        <v>291</v>
      </c>
      <c r="G2">
        <v>2</v>
      </c>
    </row>
    <row r="3" spans="1:7">
      <c r="A3" t="s">
        <v>16</v>
      </c>
      <c r="B3" t="s">
        <v>21</v>
      </c>
      <c r="C3" t="s">
        <v>18</v>
      </c>
      <c r="D3">
        <v>2025</v>
      </c>
      <c r="E3">
        <v>4</v>
      </c>
      <c r="F3" t="s">
        <v>291</v>
      </c>
      <c r="G3">
        <v>2</v>
      </c>
    </row>
    <row r="4" spans="1:7">
      <c r="A4" t="s">
        <v>16</v>
      </c>
      <c r="B4" t="s">
        <v>17</v>
      </c>
      <c r="C4" t="s">
        <v>27</v>
      </c>
      <c r="D4">
        <v>2025</v>
      </c>
      <c r="E4">
        <v>5</v>
      </c>
      <c r="F4" t="s">
        <v>318</v>
      </c>
      <c r="G4">
        <v>4</v>
      </c>
    </row>
    <row r="5" spans="1:7">
      <c r="A5" t="s">
        <v>16</v>
      </c>
      <c r="B5" t="s">
        <v>17</v>
      </c>
      <c r="C5" t="s">
        <v>30</v>
      </c>
      <c r="D5">
        <v>2025</v>
      </c>
      <c r="E5">
        <v>5</v>
      </c>
      <c r="F5" t="s">
        <v>318</v>
      </c>
      <c r="G5">
        <v>2</v>
      </c>
    </row>
    <row r="6" spans="1:7">
      <c r="A6" t="s">
        <v>16</v>
      </c>
      <c r="B6" t="s">
        <v>17</v>
      </c>
      <c r="C6" t="s">
        <v>31</v>
      </c>
      <c r="D6">
        <v>2025</v>
      </c>
      <c r="E6">
        <v>6</v>
      </c>
      <c r="F6" t="s">
        <v>337</v>
      </c>
      <c r="G6">
        <v>2</v>
      </c>
    </row>
    <row r="7" spans="1:7">
      <c r="A7" t="s">
        <v>16</v>
      </c>
      <c r="B7" t="s">
        <v>17</v>
      </c>
      <c r="C7" t="s">
        <v>32</v>
      </c>
      <c r="D7">
        <v>2025</v>
      </c>
      <c r="E7">
        <v>6</v>
      </c>
      <c r="F7" t="s">
        <v>337</v>
      </c>
      <c r="G7">
        <v>4</v>
      </c>
    </row>
    <row r="8" spans="1:7">
      <c r="A8" t="s">
        <v>954</v>
      </c>
      <c r="B8" t="s">
        <v>1281</v>
      </c>
      <c r="C8" t="s">
        <v>10</v>
      </c>
      <c r="D8">
        <v>2025</v>
      </c>
      <c r="E8">
        <v>7</v>
      </c>
      <c r="F8" t="s">
        <v>338</v>
      </c>
      <c r="G8">
        <v>5</v>
      </c>
    </row>
    <row r="9" spans="1:7">
      <c r="A9" t="s">
        <v>16</v>
      </c>
      <c r="B9" t="s">
        <v>17</v>
      </c>
      <c r="C9" t="s">
        <v>34</v>
      </c>
      <c r="D9">
        <v>2025</v>
      </c>
      <c r="E9">
        <v>7</v>
      </c>
      <c r="F9" t="s">
        <v>338</v>
      </c>
      <c r="G9">
        <v>2</v>
      </c>
    </row>
    <row r="10" spans="1:7">
      <c r="A10" t="s">
        <v>16</v>
      </c>
      <c r="B10" t="s">
        <v>17</v>
      </c>
      <c r="C10" t="s">
        <v>35</v>
      </c>
      <c r="D10">
        <v>2025</v>
      </c>
      <c r="E10">
        <v>7</v>
      </c>
      <c r="F10" t="s">
        <v>338</v>
      </c>
      <c r="G10">
        <v>4</v>
      </c>
    </row>
    <row r="11" spans="1:7">
      <c r="A11" t="s">
        <v>954</v>
      </c>
      <c r="B11" t="s">
        <v>1281</v>
      </c>
      <c r="C11" t="s">
        <v>10</v>
      </c>
      <c r="D11">
        <v>2025</v>
      </c>
      <c r="E11">
        <v>8</v>
      </c>
      <c r="F11" t="s">
        <v>342</v>
      </c>
      <c r="G11">
        <v>7</v>
      </c>
    </row>
    <row r="12" spans="1:7">
      <c r="A12" t="s">
        <v>57</v>
      </c>
      <c r="B12" t="s">
        <v>89</v>
      </c>
      <c r="C12" t="s">
        <v>1282</v>
      </c>
      <c r="D12">
        <v>2025</v>
      </c>
      <c r="E12">
        <v>8</v>
      </c>
      <c r="F12" t="s">
        <v>342</v>
      </c>
      <c r="G12">
        <v>2</v>
      </c>
    </row>
    <row r="13" spans="1:7">
      <c r="A13" t="s">
        <v>57</v>
      </c>
      <c r="B13" t="s">
        <v>1283</v>
      </c>
      <c r="C13" t="s">
        <v>90</v>
      </c>
      <c r="D13">
        <v>2025</v>
      </c>
      <c r="E13">
        <v>8</v>
      </c>
      <c r="F13" t="s">
        <v>342</v>
      </c>
      <c r="G13">
        <v>2</v>
      </c>
    </row>
    <row r="14" spans="1:7">
      <c r="A14" t="s">
        <v>955</v>
      </c>
      <c r="B14" t="s">
        <v>1284</v>
      </c>
      <c r="D14">
        <v>2025</v>
      </c>
      <c r="E14">
        <v>8</v>
      </c>
      <c r="F14" t="s">
        <v>342</v>
      </c>
      <c r="G14">
        <v>4</v>
      </c>
    </row>
    <row r="15" spans="1:7">
      <c r="A15" t="s">
        <v>132</v>
      </c>
      <c r="B15" t="s">
        <v>1285</v>
      </c>
      <c r="C15" t="s">
        <v>101</v>
      </c>
      <c r="D15">
        <v>2025</v>
      </c>
      <c r="E15">
        <v>8</v>
      </c>
      <c r="F15" t="s">
        <v>342</v>
      </c>
      <c r="G15">
        <v>6</v>
      </c>
    </row>
    <row r="16" spans="1:7">
      <c r="A16" t="s">
        <v>16</v>
      </c>
      <c r="B16" t="s">
        <v>17</v>
      </c>
      <c r="C16" t="s">
        <v>37</v>
      </c>
      <c r="D16">
        <v>2025</v>
      </c>
      <c r="E16">
        <v>8</v>
      </c>
      <c r="F16" t="s">
        <v>342</v>
      </c>
      <c r="G16">
        <v>1</v>
      </c>
    </row>
    <row r="17" spans="1:7">
      <c r="A17" t="s">
        <v>16</v>
      </c>
      <c r="B17" t="s">
        <v>17</v>
      </c>
      <c r="C17" t="s">
        <v>38</v>
      </c>
      <c r="D17">
        <v>2025</v>
      </c>
      <c r="E17">
        <v>8</v>
      </c>
      <c r="F17" t="s">
        <v>342</v>
      </c>
      <c r="G17">
        <v>2</v>
      </c>
    </row>
    <row r="18" spans="1:7">
      <c r="A18" t="s">
        <v>16</v>
      </c>
      <c r="B18" t="s">
        <v>17</v>
      </c>
      <c r="C18" t="s">
        <v>39</v>
      </c>
      <c r="D18">
        <v>2025</v>
      </c>
      <c r="E18">
        <v>8</v>
      </c>
      <c r="F18" t="s">
        <v>342</v>
      </c>
      <c r="G18">
        <v>5</v>
      </c>
    </row>
    <row r="19" spans="1:7">
      <c r="A19" t="s">
        <v>954</v>
      </c>
      <c r="B19" t="s">
        <v>1281</v>
      </c>
      <c r="C19" t="s">
        <v>10</v>
      </c>
      <c r="D19">
        <v>2025</v>
      </c>
      <c r="E19">
        <v>9</v>
      </c>
      <c r="F19" t="s">
        <v>345</v>
      </c>
      <c r="G19">
        <v>10</v>
      </c>
    </row>
    <row r="20" spans="1:7">
      <c r="A20" t="s">
        <v>57</v>
      </c>
      <c r="B20" t="s">
        <v>89</v>
      </c>
      <c r="C20" t="s">
        <v>1282</v>
      </c>
      <c r="D20">
        <v>2025</v>
      </c>
      <c r="E20">
        <v>9</v>
      </c>
      <c r="F20" t="s">
        <v>345</v>
      </c>
      <c r="G20">
        <v>8</v>
      </c>
    </row>
    <row r="21" spans="1:7">
      <c r="A21" t="s">
        <v>57</v>
      </c>
      <c r="B21" t="s">
        <v>1286</v>
      </c>
      <c r="D21">
        <v>2025</v>
      </c>
      <c r="E21">
        <v>9</v>
      </c>
      <c r="F21" t="s">
        <v>345</v>
      </c>
      <c r="G21">
        <v>5</v>
      </c>
    </row>
    <row r="22" spans="1:7">
      <c r="A22" t="s">
        <v>57</v>
      </c>
      <c r="B22" t="s">
        <v>1287</v>
      </c>
      <c r="D22">
        <v>2025</v>
      </c>
      <c r="E22">
        <v>9</v>
      </c>
      <c r="F22" t="s">
        <v>345</v>
      </c>
      <c r="G22">
        <v>7</v>
      </c>
    </row>
    <row r="23" spans="1:7">
      <c r="A23" t="s">
        <v>57</v>
      </c>
      <c r="B23" t="s">
        <v>1283</v>
      </c>
      <c r="C23" t="s">
        <v>90</v>
      </c>
      <c r="D23">
        <v>2025</v>
      </c>
      <c r="E23">
        <v>9</v>
      </c>
      <c r="F23" t="s">
        <v>345</v>
      </c>
      <c r="G23">
        <v>9</v>
      </c>
    </row>
    <row r="24" spans="1:7">
      <c r="A24" t="s">
        <v>956</v>
      </c>
      <c r="B24" t="s">
        <v>1288</v>
      </c>
      <c r="D24">
        <v>2025</v>
      </c>
      <c r="E24">
        <v>9</v>
      </c>
      <c r="F24" t="s">
        <v>345</v>
      </c>
      <c r="G24">
        <v>1</v>
      </c>
    </row>
    <row r="25" spans="1:7">
      <c r="A25" t="s">
        <v>956</v>
      </c>
      <c r="B25" t="s">
        <v>1289</v>
      </c>
      <c r="D25">
        <v>2025</v>
      </c>
      <c r="E25">
        <v>9</v>
      </c>
      <c r="F25" t="s">
        <v>345</v>
      </c>
      <c r="G25">
        <v>1</v>
      </c>
    </row>
    <row r="26" spans="1:7">
      <c r="A26" t="s">
        <v>8</v>
      </c>
      <c r="B26" t="s">
        <v>1290</v>
      </c>
      <c r="C26" t="s">
        <v>10</v>
      </c>
      <c r="D26">
        <v>2025</v>
      </c>
      <c r="E26">
        <v>9</v>
      </c>
      <c r="F26" t="s">
        <v>345</v>
      </c>
      <c r="G26">
        <v>2</v>
      </c>
    </row>
    <row r="27" spans="1:7">
      <c r="A27" t="s">
        <v>955</v>
      </c>
      <c r="B27" t="s">
        <v>1284</v>
      </c>
      <c r="D27">
        <v>2025</v>
      </c>
      <c r="E27">
        <v>9</v>
      </c>
      <c r="F27" t="s">
        <v>345</v>
      </c>
      <c r="G27">
        <v>12</v>
      </c>
    </row>
    <row r="28" spans="1:7">
      <c r="A28" t="s">
        <v>957</v>
      </c>
      <c r="B28" t="s">
        <v>1291</v>
      </c>
      <c r="D28">
        <v>2025</v>
      </c>
      <c r="E28">
        <v>9</v>
      </c>
      <c r="F28" t="s">
        <v>345</v>
      </c>
      <c r="G28">
        <v>1</v>
      </c>
    </row>
    <row r="29" spans="1:7">
      <c r="A29" t="s">
        <v>204</v>
      </c>
      <c r="B29" t="s">
        <v>1292</v>
      </c>
      <c r="D29">
        <v>2025</v>
      </c>
      <c r="E29">
        <v>9</v>
      </c>
      <c r="F29" t="s">
        <v>345</v>
      </c>
      <c r="G29">
        <v>3</v>
      </c>
    </row>
    <row r="30" spans="1:7">
      <c r="A30" t="s">
        <v>132</v>
      </c>
      <c r="B30" t="s">
        <v>1285</v>
      </c>
      <c r="C30" t="s">
        <v>101</v>
      </c>
      <c r="D30">
        <v>2025</v>
      </c>
      <c r="E30">
        <v>9</v>
      </c>
      <c r="F30" t="s">
        <v>345</v>
      </c>
      <c r="G30">
        <v>13</v>
      </c>
    </row>
    <row r="31" spans="1:7">
      <c r="A31" t="s">
        <v>132</v>
      </c>
      <c r="B31" t="s">
        <v>1285</v>
      </c>
      <c r="C31" t="s">
        <v>10</v>
      </c>
      <c r="D31">
        <v>2025</v>
      </c>
      <c r="E31">
        <v>9</v>
      </c>
      <c r="F31" t="s">
        <v>345</v>
      </c>
      <c r="G31">
        <v>6</v>
      </c>
    </row>
    <row r="32" spans="1:7">
      <c r="A32" t="s">
        <v>16</v>
      </c>
      <c r="B32" t="s">
        <v>17</v>
      </c>
      <c r="C32" t="s">
        <v>37</v>
      </c>
      <c r="D32">
        <v>2025</v>
      </c>
      <c r="E32">
        <v>9</v>
      </c>
      <c r="F32" t="s">
        <v>345</v>
      </c>
      <c r="G32">
        <v>2</v>
      </c>
    </row>
    <row r="33" spans="1:7">
      <c r="A33" t="s">
        <v>16</v>
      </c>
      <c r="B33" t="s">
        <v>17</v>
      </c>
      <c r="C33" t="s">
        <v>43</v>
      </c>
      <c r="D33">
        <v>2025</v>
      </c>
      <c r="E33">
        <v>9</v>
      </c>
      <c r="F33" t="s">
        <v>345</v>
      </c>
      <c r="G33">
        <v>3</v>
      </c>
    </row>
    <row r="34" spans="1:7">
      <c r="A34" t="s">
        <v>16</v>
      </c>
      <c r="B34" t="s">
        <v>17</v>
      </c>
      <c r="C34" t="s">
        <v>45</v>
      </c>
      <c r="D34">
        <v>2025</v>
      </c>
      <c r="E34">
        <v>9</v>
      </c>
      <c r="F34" t="s">
        <v>345</v>
      </c>
      <c r="G34">
        <v>4</v>
      </c>
    </row>
    <row r="35" spans="1:7">
      <c r="A35" t="s">
        <v>954</v>
      </c>
      <c r="B35" t="s">
        <v>1281</v>
      </c>
      <c r="C35" t="s">
        <v>10</v>
      </c>
      <c r="D35">
        <v>2025</v>
      </c>
      <c r="E35">
        <v>10</v>
      </c>
      <c r="F35" t="s">
        <v>350</v>
      </c>
      <c r="G35">
        <v>6</v>
      </c>
    </row>
    <row r="36" spans="1:7">
      <c r="A36" t="s">
        <v>57</v>
      </c>
      <c r="B36" t="s">
        <v>89</v>
      </c>
      <c r="C36" t="s">
        <v>1282</v>
      </c>
      <c r="D36">
        <v>2025</v>
      </c>
      <c r="E36">
        <v>10</v>
      </c>
      <c r="F36" t="s">
        <v>350</v>
      </c>
      <c r="G36">
        <v>9</v>
      </c>
    </row>
    <row r="37" spans="1:7">
      <c r="A37" t="s">
        <v>57</v>
      </c>
      <c r="B37" t="s">
        <v>1286</v>
      </c>
      <c r="D37">
        <v>2025</v>
      </c>
      <c r="E37">
        <v>10</v>
      </c>
      <c r="F37" t="s">
        <v>350</v>
      </c>
      <c r="G37">
        <v>9</v>
      </c>
    </row>
    <row r="38" spans="1:7">
      <c r="A38" t="s">
        <v>57</v>
      </c>
      <c r="B38" t="s">
        <v>1287</v>
      </c>
      <c r="D38">
        <v>2025</v>
      </c>
      <c r="E38">
        <v>10</v>
      </c>
      <c r="F38" t="s">
        <v>350</v>
      </c>
      <c r="G38">
        <v>5</v>
      </c>
    </row>
    <row r="39" spans="1:7">
      <c r="A39" t="s">
        <v>57</v>
      </c>
      <c r="B39" t="s">
        <v>1283</v>
      </c>
      <c r="C39" t="s">
        <v>90</v>
      </c>
      <c r="D39">
        <v>2025</v>
      </c>
      <c r="E39">
        <v>10</v>
      </c>
      <c r="F39" t="s">
        <v>350</v>
      </c>
      <c r="G39">
        <v>10</v>
      </c>
    </row>
    <row r="40" spans="1:7">
      <c r="A40" t="s">
        <v>956</v>
      </c>
      <c r="B40" t="s">
        <v>1288</v>
      </c>
      <c r="D40">
        <v>2025</v>
      </c>
      <c r="E40">
        <v>10</v>
      </c>
      <c r="F40" t="s">
        <v>350</v>
      </c>
      <c r="G40">
        <v>6</v>
      </c>
    </row>
    <row r="41" spans="1:7">
      <c r="A41" t="s">
        <v>956</v>
      </c>
      <c r="B41" t="s">
        <v>1289</v>
      </c>
      <c r="D41">
        <v>2025</v>
      </c>
      <c r="E41">
        <v>10</v>
      </c>
      <c r="F41" t="s">
        <v>350</v>
      </c>
      <c r="G41">
        <v>7</v>
      </c>
    </row>
    <row r="42" spans="1:7">
      <c r="A42" t="s">
        <v>8</v>
      </c>
      <c r="B42" t="s">
        <v>1290</v>
      </c>
      <c r="C42" t="s">
        <v>10</v>
      </c>
      <c r="D42">
        <v>2025</v>
      </c>
      <c r="E42">
        <v>10</v>
      </c>
      <c r="F42" t="s">
        <v>350</v>
      </c>
      <c r="G42">
        <v>7</v>
      </c>
    </row>
    <row r="43" spans="1:7">
      <c r="A43" t="s">
        <v>955</v>
      </c>
      <c r="B43" t="s">
        <v>1284</v>
      </c>
      <c r="D43">
        <v>2025</v>
      </c>
      <c r="E43">
        <v>10</v>
      </c>
      <c r="F43" t="s">
        <v>350</v>
      </c>
      <c r="G43">
        <v>8</v>
      </c>
    </row>
    <row r="44" spans="1:7">
      <c r="A44" t="s">
        <v>61</v>
      </c>
      <c r="B44" t="s">
        <v>62</v>
      </c>
      <c r="C44" t="s">
        <v>32</v>
      </c>
      <c r="D44">
        <v>2025</v>
      </c>
      <c r="E44">
        <v>10</v>
      </c>
      <c r="F44" t="s">
        <v>350</v>
      </c>
      <c r="G44">
        <v>1</v>
      </c>
    </row>
    <row r="45" spans="1:7">
      <c r="A45" t="s">
        <v>957</v>
      </c>
      <c r="B45" t="s">
        <v>1291</v>
      </c>
      <c r="D45">
        <v>2025</v>
      </c>
      <c r="E45">
        <v>10</v>
      </c>
      <c r="F45" t="s">
        <v>350</v>
      </c>
      <c r="G45">
        <v>6</v>
      </c>
    </row>
    <row r="46" spans="1:7">
      <c r="A46" t="s">
        <v>958</v>
      </c>
      <c r="B46" t="s">
        <v>1293</v>
      </c>
      <c r="C46" t="s">
        <v>135</v>
      </c>
      <c r="D46">
        <v>2025</v>
      </c>
      <c r="E46">
        <v>10</v>
      </c>
      <c r="F46" t="s">
        <v>350</v>
      </c>
      <c r="G46">
        <v>5</v>
      </c>
    </row>
    <row r="47" spans="1:7">
      <c r="A47" t="s">
        <v>204</v>
      </c>
      <c r="B47" t="s">
        <v>1292</v>
      </c>
      <c r="D47">
        <v>2025</v>
      </c>
      <c r="E47">
        <v>10</v>
      </c>
      <c r="F47" t="s">
        <v>350</v>
      </c>
      <c r="G47">
        <v>2</v>
      </c>
    </row>
    <row r="48" spans="1:7">
      <c r="A48" t="s">
        <v>132</v>
      </c>
      <c r="B48" t="s">
        <v>1285</v>
      </c>
      <c r="C48" t="s">
        <v>101</v>
      </c>
      <c r="D48">
        <v>2025</v>
      </c>
      <c r="E48">
        <v>10</v>
      </c>
      <c r="F48" t="s">
        <v>350</v>
      </c>
      <c r="G48">
        <v>7</v>
      </c>
    </row>
    <row r="49" spans="1:7">
      <c r="A49" t="s">
        <v>132</v>
      </c>
      <c r="B49" t="s">
        <v>1285</v>
      </c>
      <c r="C49" t="s">
        <v>10</v>
      </c>
      <c r="D49">
        <v>2025</v>
      </c>
      <c r="E49">
        <v>10</v>
      </c>
      <c r="F49" t="s">
        <v>350</v>
      </c>
      <c r="G49">
        <v>11</v>
      </c>
    </row>
    <row r="50" spans="1:7">
      <c r="A50" t="s">
        <v>16</v>
      </c>
      <c r="B50" t="s">
        <v>17</v>
      </c>
      <c r="C50" t="s">
        <v>48</v>
      </c>
      <c r="D50">
        <v>2025</v>
      </c>
      <c r="E50">
        <v>10</v>
      </c>
      <c r="F50" t="s">
        <v>350</v>
      </c>
      <c r="G50">
        <v>4</v>
      </c>
    </row>
    <row r="51" spans="1:7">
      <c r="A51" t="s">
        <v>16</v>
      </c>
      <c r="B51" t="s">
        <v>17</v>
      </c>
      <c r="C51" t="s">
        <v>50</v>
      </c>
      <c r="D51">
        <v>2025</v>
      </c>
      <c r="E51">
        <v>10</v>
      </c>
      <c r="F51" t="s">
        <v>350</v>
      </c>
      <c r="G51">
        <v>4</v>
      </c>
    </row>
    <row r="52" spans="1:7">
      <c r="A52" t="s">
        <v>954</v>
      </c>
      <c r="B52" t="s">
        <v>1281</v>
      </c>
      <c r="C52" t="s">
        <v>10</v>
      </c>
      <c r="D52">
        <v>2025</v>
      </c>
      <c r="E52">
        <v>11</v>
      </c>
      <c r="F52" t="s">
        <v>355</v>
      </c>
      <c r="G52">
        <v>8</v>
      </c>
    </row>
    <row r="53" spans="1:7">
      <c r="A53" t="s">
        <v>57</v>
      </c>
      <c r="B53" t="s">
        <v>133</v>
      </c>
      <c r="D53">
        <v>2025</v>
      </c>
      <c r="E53">
        <v>11</v>
      </c>
      <c r="F53" t="s">
        <v>355</v>
      </c>
      <c r="G53">
        <v>10</v>
      </c>
    </row>
    <row r="54" spans="1:7">
      <c r="A54" t="s">
        <v>57</v>
      </c>
      <c r="B54" t="s">
        <v>1286</v>
      </c>
      <c r="D54">
        <v>2025</v>
      </c>
      <c r="E54">
        <v>11</v>
      </c>
      <c r="F54" t="s">
        <v>355</v>
      </c>
      <c r="G54">
        <v>7</v>
      </c>
    </row>
    <row r="55" spans="1:7">
      <c r="A55" t="s">
        <v>57</v>
      </c>
      <c r="B55" t="s">
        <v>1287</v>
      </c>
      <c r="D55">
        <v>2025</v>
      </c>
      <c r="E55">
        <v>11</v>
      </c>
      <c r="F55" t="s">
        <v>355</v>
      </c>
      <c r="G55">
        <v>6</v>
      </c>
    </row>
    <row r="56" spans="1:7">
      <c r="A56" t="s">
        <v>57</v>
      </c>
      <c r="B56" t="s">
        <v>1294</v>
      </c>
      <c r="D56">
        <v>2025</v>
      </c>
      <c r="E56">
        <v>11</v>
      </c>
      <c r="F56" t="s">
        <v>355</v>
      </c>
      <c r="G56">
        <v>9</v>
      </c>
    </row>
    <row r="57" spans="1:7">
      <c r="A57" t="s">
        <v>57</v>
      </c>
      <c r="B57" t="s">
        <v>1295</v>
      </c>
      <c r="C57" t="s">
        <v>106</v>
      </c>
      <c r="D57">
        <v>2025</v>
      </c>
      <c r="E57">
        <v>11</v>
      </c>
      <c r="F57" t="s">
        <v>355</v>
      </c>
      <c r="G57">
        <v>2</v>
      </c>
    </row>
    <row r="58" spans="1:7">
      <c r="A58" t="s">
        <v>57</v>
      </c>
      <c r="B58" t="s">
        <v>1283</v>
      </c>
      <c r="C58" t="s">
        <v>90</v>
      </c>
      <c r="D58">
        <v>2025</v>
      </c>
      <c r="E58">
        <v>11</v>
      </c>
      <c r="F58" t="s">
        <v>355</v>
      </c>
      <c r="G58">
        <v>3</v>
      </c>
    </row>
    <row r="59" spans="1:7">
      <c r="A59" t="s">
        <v>956</v>
      </c>
      <c r="B59" t="s">
        <v>1288</v>
      </c>
      <c r="D59">
        <v>2025</v>
      </c>
      <c r="E59">
        <v>11</v>
      </c>
      <c r="F59" t="s">
        <v>355</v>
      </c>
      <c r="G59">
        <v>7</v>
      </c>
    </row>
    <row r="60" spans="1:7">
      <c r="A60" t="s">
        <v>956</v>
      </c>
      <c r="B60" t="s">
        <v>1289</v>
      </c>
      <c r="D60">
        <v>2025</v>
      </c>
      <c r="E60">
        <v>11</v>
      </c>
      <c r="F60" t="s">
        <v>355</v>
      </c>
      <c r="G60">
        <v>8</v>
      </c>
    </row>
    <row r="61" spans="1:7">
      <c r="A61" t="s">
        <v>8</v>
      </c>
      <c r="B61" t="s">
        <v>1290</v>
      </c>
      <c r="C61" t="s">
        <v>10</v>
      </c>
      <c r="D61">
        <v>2025</v>
      </c>
      <c r="E61">
        <v>11</v>
      </c>
      <c r="F61" t="s">
        <v>355</v>
      </c>
      <c r="G61">
        <v>9</v>
      </c>
    </row>
    <row r="62" spans="1:7">
      <c r="A62" t="s">
        <v>955</v>
      </c>
      <c r="B62" t="s">
        <v>1284</v>
      </c>
      <c r="D62">
        <v>2025</v>
      </c>
      <c r="E62">
        <v>11</v>
      </c>
      <c r="F62" t="s">
        <v>355</v>
      </c>
      <c r="G62">
        <v>6</v>
      </c>
    </row>
    <row r="63" spans="1:7">
      <c r="A63" t="s">
        <v>61</v>
      </c>
      <c r="B63" t="s">
        <v>62</v>
      </c>
      <c r="C63" t="s">
        <v>32</v>
      </c>
      <c r="D63">
        <v>2025</v>
      </c>
      <c r="E63">
        <v>11</v>
      </c>
      <c r="F63" t="s">
        <v>355</v>
      </c>
      <c r="G63">
        <v>15</v>
      </c>
    </row>
    <row r="64" spans="1:7">
      <c r="A64" t="s">
        <v>957</v>
      </c>
      <c r="B64" t="s">
        <v>1291</v>
      </c>
      <c r="D64">
        <v>2025</v>
      </c>
      <c r="E64">
        <v>11</v>
      </c>
      <c r="F64" t="s">
        <v>355</v>
      </c>
      <c r="G64">
        <v>8</v>
      </c>
    </row>
    <row r="65" spans="1:7">
      <c r="A65" t="s">
        <v>958</v>
      </c>
      <c r="B65" t="s">
        <v>1293</v>
      </c>
      <c r="C65" t="s">
        <v>135</v>
      </c>
      <c r="D65">
        <v>2025</v>
      </c>
      <c r="E65">
        <v>11</v>
      </c>
      <c r="F65" t="s">
        <v>355</v>
      </c>
      <c r="G65">
        <v>10</v>
      </c>
    </row>
    <row r="66" spans="1:7">
      <c r="A66" t="s">
        <v>204</v>
      </c>
      <c r="B66" t="s">
        <v>1292</v>
      </c>
      <c r="D66">
        <v>2025</v>
      </c>
      <c r="E66">
        <v>11</v>
      </c>
      <c r="F66" t="s">
        <v>355</v>
      </c>
      <c r="G66">
        <v>7</v>
      </c>
    </row>
    <row r="67" spans="1:7">
      <c r="A67" t="s">
        <v>132</v>
      </c>
      <c r="B67" t="s">
        <v>1285</v>
      </c>
      <c r="C67" t="s">
        <v>10</v>
      </c>
      <c r="D67">
        <v>2025</v>
      </c>
      <c r="E67">
        <v>11</v>
      </c>
      <c r="F67" t="s">
        <v>355</v>
      </c>
      <c r="G67">
        <v>7</v>
      </c>
    </row>
    <row r="68" spans="1:7">
      <c r="A68" t="s">
        <v>132</v>
      </c>
      <c r="B68" t="s">
        <v>1285</v>
      </c>
      <c r="C68" t="s">
        <v>104</v>
      </c>
      <c r="D68">
        <v>2025</v>
      </c>
      <c r="E68">
        <v>11</v>
      </c>
      <c r="F68" t="s">
        <v>355</v>
      </c>
      <c r="G68">
        <v>9</v>
      </c>
    </row>
    <row r="69" spans="1:7">
      <c r="A69" t="s">
        <v>16</v>
      </c>
      <c r="B69" t="s">
        <v>17</v>
      </c>
      <c r="C69" t="s">
        <v>43</v>
      </c>
      <c r="D69">
        <v>2025</v>
      </c>
      <c r="E69">
        <v>11</v>
      </c>
      <c r="F69" t="s">
        <v>355</v>
      </c>
      <c r="G69">
        <v>1</v>
      </c>
    </row>
    <row r="70" spans="1:7">
      <c r="A70" t="s">
        <v>16</v>
      </c>
      <c r="B70" t="s">
        <v>17</v>
      </c>
      <c r="C70" t="s">
        <v>50</v>
      </c>
      <c r="D70">
        <v>2025</v>
      </c>
      <c r="E70">
        <v>11</v>
      </c>
      <c r="F70" t="s">
        <v>355</v>
      </c>
      <c r="G70">
        <v>2</v>
      </c>
    </row>
    <row r="71" spans="1:7">
      <c r="A71" t="s">
        <v>215</v>
      </c>
      <c r="B71" t="s">
        <v>216</v>
      </c>
      <c r="D71">
        <v>2025</v>
      </c>
      <c r="E71">
        <v>11</v>
      </c>
      <c r="F71" t="s">
        <v>355</v>
      </c>
      <c r="G71">
        <v>4</v>
      </c>
    </row>
    <row r="72" spans="1:7">
      <c r="A72" t="s">
        <v>215</v>
      </c>
      <c r="B72" t="s">
        <v>218</v>
      </c>
      <c r="D72">
        <v>2025</v>
      </c>
      <c r="E72">
        <v>11</v>
      </c>
      <c r="F72" t="s">
        <v>355</v>
      </c>
      <c r="G72">
        <v>8</v>
      </c>
    </row>
    <row r="73" spans="1:7">
      <c r="A73" t="s">
        <v>57</v>
      </c>
      <c r="B73" t="s">
        <v>133</v>
      </c>
      <c r="D73">
        <v>2025</v>
      </c>
      <c r="E73">
        <v>12</v>
      </c>
      <c r="F73" t="s">
        <v>357</v>
      </c>
      <c r="G73">
        <v>2</v>
      </c>
    </row>
    <row r="74" spans="1:7">
      <c r="A74" t="s">
        <v>57</v>
      </c>
      <c r="B74" t="s">
        <v>1286</v>
      </c>
      <c r="D74">
        <v>2025</v>
      </c>
      <c r="E74">
        <v>12</v>
      </c>
      <c r="F74" t="s">
        <v>357</v>
      </c>
      <c r="G74">
        <v>6</v>
      </c>
    </row>
    <row r="75" spans="1:7">
      <c r="A75" t="s">
        <v>57</v>
      </c>
      <c r="B75" t="s">
        <v>1287</v>
      </c>
      <c r="D75">
        <v>2025</v>
      </c>
      <c r="E75">
        <v>12</v>
      </c>
      <c r="F75" t="s">
        <v>357</v>
      </c>
      <c r="G75">
        <v>4</v>
      </c>
    </row>
    <row r="76" spans="1:7">
      <c r="A76" t="s">
        <v>57</v>
      </c>
      <c r="B76" t="s">
        <v>1294</v>
      </c>
      <c r="D76">
        <v>2025</v>
      </c>
      <c r="E76">
        <v>12</v>
      </c>
      <c r="F76" t="s">
        <v>357</v>
      </c>
      <c r="G76">
        <v>9</v>
      </c>
    </row>
    <row r="77" spans="1:7">
      <c r="A77" t="s">
        <v>57</v>
      </c>
      <c r="B77" t="s">
        <v>1296</v>
      </c>
      <c r="D77">
        <v>2025</v>
      </c>
      <c r="E77">
        <v>12</v>
      </c>
      <c r="F77" t="s">
        <v>357</v>
      </c>
      <c r="G77">
        <v>6</v>
      </c>
    </row>
    <row r="78" spans="1:7">
      <c r="A78" t="s">
        <v>57</v>
      </c>
      <c r="B78" t="s">
        <v>1295</v>
      </c>
      <c r="C78" t="s">
        <v>106</v>
      </c>
      <c r="D78">
        <v>2025</v>
      </c>
      <c r="E78">
        <v>12</v>
      </c>
      <c r="F78" t="s">
        <v>357</v>
      </c>
      <c r="G78">
        <v>4</v>
      </c>
    </row>
    <row r="79" spans="1:7">
      <c r="A79" t="s">
        <v>956</v>
      </c>
      <c r="B79" t="s">
        <v>1288</v>
      </c>
      <c r="D79">
        <v>2025</v>
      </c>
      <c r="E79">
        <v>12</v>
      </c>
      <c r="F79" t="s">
        <v>357</v>
      </c>
      <c r="G79">
        <v>7</v>
      </c>
    </row>
    <row r="80" spans="1:7">
      <c r="A80" t="s">
        <v>956</v>
      </c>
      <c r="B80" t="s">
        <v>1289</v>
      </c>
      <c r="D80">
        <v>2025</v>
      </c>
      <c r="E80">
        <v>12</v>
      </c>
      <c r="F80" t="s">
        <v>357</v>
      </c>
      <c r="G80">
        <v>9</v>
      </c>
    </row>
    <row r="81" spans="1:7">
      <c r="A81" t="s">
        <v>8</v>
      </c>
      <c r="B81" t="s">
        <v>1290</v>
      </c>
      <c r="C81" t="s">
        <v>10</v>
      </c>
      <c r="D81">
        <v>2025</v>
      </c>
      <c r="E81">
        <v>12</v>
      </c>
      <c r="F81" t="s">
        <v>357</v>
      </c>
      <c r="G81">
        <v>6</v>
      </c>
    </row>
    <row r="82" spans="1:7">
      <c r="A82" t="s">
        <v>955</v>
      </c>
      <c r="B82" t="s">
        <v>1284</v>
      </c>
      <c r="D82">
        <v>2025</v>
      </c>
      <c r="E82">
        <v>12</v>
      </c>
      <c r="F82" t="s">
        <v>357</v>
      </c>
      <c r="G82">
        <v>6</v>
      </c>
    </row>
    <row r="83" spans="1:7">
      <c r="A83" t="s">
        <v>61</v>
      </c>
      <c r="B83" t="s">
        <v>62</v>
      </c>
      <c r="C83" t="s">
        <v>32</v>
      </c>
      <c r="D83">
        <v>2025</v>
      </c>
      <c r="E83">
        <v>12</v>
      </c>
      <c r="F83" t="s">
        <v>357</v>
      </c>
      <c r="G83">
        <v>14</v>
      </c>
    </row>
    <row r="84" spans="1:7">
      <c r="A84" t="s">
        <v>957</v>
      </c>
      <c r="B84" t="s">
        <v>1291</v>
      </c>
      <c r="D84">
        <v>2025</v>
      </c>
      <c r="E84">
        <v>12</v>
      </c>
      <c r="F84" t="s">
        <v>357</v>
      </c>
      <c r="G84">
        <v>4</v>
      </c>
    </row>
    <row r="85" spans="1:7">
      <c r="A85" t="s">
        <v>958</v>
      </c>
      <c r="B85" t="s">
        <v>1293</v>
      </c>
      <c r="C85" t="s">
        <v>135</v>
      </c>
      <c r="D85">
        <v>2025</v>
      </c>
      <c r="E85">
        <v>12</v>
      </c>
      <c r="F85" t="s">
        <v>357</v>
      </c>
      <c r="G85">
        <v>9</v>
      </c>
    </row>
    <row r="86" spans="1:7">
      <c r="A86" t="s">
        <v>204</v>
      </c>
      <c r="B86" t="s">
        <v>1292</v>
      </c>
      <c r="D86">
        <v>2025</v>
      </c>
      <c r="E86">
        <v>12</v>
      </c>
      <c r="F86" t="s">
        <v>357</v>
      </c>
      <c r="G86">
        <v>3</v>
      </c>
    </row>
    <row r="87" spans="1:7">
      <c r="A87" t="s">
        <v>132</v>
      </c>
      <c r="B87" t="s">
        <v>1285</v>
      </c>
      <c r="C87" t="s">
        <v>10</v>
      </c>
      <c r="D87">
        <v>2025</v>
      </c>
      <c r="E87">
        <v>12</v>
      </c>
      <c r="F87" t="s">
        <v>357</v>
      </c>
      <c r="G87">
        <v>2</v>
      </c>
    </row>
    <row r="88" spans="1:7">
      <c r="A88" t="s">
        <v>132</v>
      </c>
      <c r="B88" t="s">
        <v>1285</v>
      </c>
      <c r="C88" t="s">
        <v>104</v>
      </c>
      <c r="D88">
        <v>2025</v>
      </c>
      <c r="E88">
        <v>12</v>
      </c>
      <c r="F88" t="s">
        <v>357</v>
      </c>
      <c r="G88">
        <v>8</v>
      </c>
    </row>
    <row r="89" spans="1:7">
      <c r="A89" t="s">
        <v>16</v>
      </c>
      <c r="B89" t="s">
        <v>17</v>
      </c>
      <c r="C89" t="s">
        <v>53</v>
      </c>
      <c r="D89">
        <v>2025</v>
      </c>
      <c r="E89">
        <v>12</v>
      </c>
      <c r="F89" t="s">
        <v>357</v>
      </c>
      <c r="G89">
        <v>4</v>
      </c>
    </row>
    <row r="90" spans="1:7">
      <c r="A90" t="s">
        <v>16</v>
      </c>
      <c r="B90" t="s">
        <v>17</v>
      </c>
      <c r="C90" t="s">
        <v>55</v>
      </c>
      <c r="D90">
        <v>2025</v>
      </c>
      <c r="E90">
        <v>12</v>
      </c>
      <c r="F90" t="s">
        <v>357</v>
      </c>
      <c r="G90">
        <v>4</v>
      </c>
    </row>
    <row r="91" spans="1:7">
      <c r="A91" t="s">
        <v>215</v>
      </c>
      <c r="B91" t="s">
        <v>216</v>
      </c>
      <c r="D91">
        <v>2025</v>
      </c>
      <c r="E91">
        <v>12</v>
      </c>
      <c r="F91" t="s">
        <v>357</v>
      </c>
      <c r="G91">
        <v>4</v>
      </c>
    </row>
    <row r="92" spans="1:7">
      <c r="A92" t="s">
        <v>57</v>
      </c>
      <c r="B92" t="s">
        <v>1286</v>
      </c>
      <c r="D92">
        <v>2026</v>
      </c>
      <c r="E92">
        <v>1</v>
      </c>
      <c r="F92" t="s">
        <v>359</v>
      </c>
      <c r="G92">
        <v>6</v>
      </c>
    </row>
    <row r="93" spans="1:7">
      <c r="A93" t="s">
        <v>57</v>
      </c>
      <c r="B93" t="s">
        <v>1287</v>
      </c>
      <c r="D93">
        <v>2026</v>
      </c>
      <c r="E93">
        <v>1</v>
      </c>
      <c r="F93" t="s">
        <v>359</v>
      </c>
      <c r="G93">
        <v>8</v>
      </c>
    </row>
    <row r="94" spans="1:7">
      <c r="A94" t="s">
        <v>57</v>
      </c>
      <c r="B94" t="s">
        <v>1295</v>
      </c>
      <c r="C94" t="s">
        <v>106</v>
      </c>
      <c r="D94">
        <v>2026</v>
      </c>
      <c r="E94">
        <v>1</v>
      </c>
      <c r="F94" t="s">
        <v>359</v>
      </c>
      <c r="G94">
        <v>3</v>
      </c>
    </row>
    <row r="95" spans="1:7">
      <c r="A95" t="s">
        <v>956</v>
      </c>
      <c r="B95" t="s">
        <v>1288</v>
      </c>
      <c r="D95">
        <v>2026</v>
      </c>
      <c r="E95">
        <v>1</v>
      </c>
      <c r="F95" t="s">
        <v>359</v>
      </c>
      <c r="G95">
        <v>7</v>
      </c>
    </row>
    <row r="96" spans="1:7">
      <c r="A96" t="s">
        <v>956</v>
      </c>
      <c r="B96" t="s">
        <v>1289</v>
      </c>
      <c r="D96">
        <v>2026</v>
      </c>
      <c r="E96">
        <v>1</v>
      </c>
      <c r="F96" t="s">
        <v>359</v>
      </c>
      <c r="G96">
        <v>6</v>
      </c>
    </row>
    <row r="97" spans="1:7">
      <c r="A97" t="s">
        <v>8</v>
      </c>
      <c r="B97" t="s">
        <v>1290</v>
      </c>
      <c r="C97" t="s">
        <v>10</v>
      </c>
      <c r="D97">
        <v>2026</v>
      </c>
      <c r="E97">
        <v>1</v>
      </c>
      <c r="F97" t="s">
        <v>359</v>
      </c>
      <c r="G97">
        <v>8</v>
      </c>
    </row>
    <row r="98" spans="1:7">
      <c r="A98" t="s">
        <v>61</v>
      </c>
      <c r="B98" t="s">
        <v>62</v>
      </c>
      <c r="C98" t="s">
        <v>32</v>
      </c>
      <c r="D98">
        <v>2026</v>
      </c>
      <c r="E98">
        <v>1</v>
      </c>
      <c r="F98" t="s">
        <v>359</v>
      </c>
      <c r="G98">
        <v>8</v>
      </c>
    </row>
    <row r="99" spans="1:7">
      <c r="A99" t="s">
        <v>958</v>
      </c>
      <c r="B99" t="s">
        <v>1293</v>
      </c>
      <c r="C99" t="s">
        <v>135</v>
      </c>
      <c r="D99">
        <v>2026</v>
      </c>
      <c r="E99">
        <v>1</v>
      </c>
      <c r="F99" t="s">
        <v>359</v>
      </c>
      <c r="G99">
        <v>5</v>
      </c>
    </row>
    <row r="100" spans="1:7">
      <c r="A100" t="s">
        <v>204</v>
      </c>
      <c r="B100" t="s">
        <v>1292</v>
      </c>
      <c r="D100">
        <v>2026</v>
      </c>
      <c r="E100">
        <v>1</v>
      </c>
      <c r="F100" t="s">
        <v>359</v>
      </c>
      <c r="G100">
        <v>6</v>
      </c>
    </row>
    <row r="101" spans="1:7">
      <c r="A101" t="s">
        <v>132</v>
      </c>
      <c r="B101" t="s">
        <v>1285</v>
      </c>
      <c r="C101" t="s">
        <v>104</v>
      </c>
      <c r="D101">
        <v>2026</v>
      </c>
      <c r="E101">
        <v>1</v>
      </c>
      <c r="F101" t="s">
        <v>359</v>
      </c>
      <c r="G101">
        <v>9</v>
      </c>
    </row>
    <row r="102" spans="1:7">
      <c r="A102" t="s">
        <v>57</v>
      </c>
      <c r="B102" t="s">
        <v>1286</v>
      </c>
      <c r="D102">
        <v>2026</v>
      </c>
      <c r="E102">
        <v>2</v>
      </c>
      <c r="F102" t="s">
        <v>362</v>
      </c>
      <c r="G102">
        <v>1</v>
      </c>
    </row>
    <row r="103" spans="1:7">
      <c r="A103" t="s">
        <v>57</v>
      </c>
      <c r="B103" t="s">
        <v>1287</v>
      </c>
      <c r="D103">
        <v>2026</v>
      </c>
      <c r="E103">
        <v>2</v>
      </c>
      <c r="F103" t="s">
        <v>362</v>
      </c>
      <c r="G103">
        <v>3</v>
      </c>
    </row>
    <row r="104" spans="1:7">
      <c r="A104" t="s">
        <v>57</v>
      </c>
      <c r="B104" t="s">
        <v>1295</v>
      </c>
      <c r="C104" t="s">
        <v>106</v>
      </c>
      <c r="D104">
        <v>2026</v>
      </c>
      <c r="E104">
        <v>2</v>
      </c>
      <c r="F104" t="s">
        <v>362</v>
      </c>
      <c r="G104">
        <v>4</v>
      </c>
    </row>
    <row r="105" spans="1:7">
      <c r="A105" t="s">
        <v>956</v>
      </c>
      <c r="B105" t="s">
        <v>1288</v>
      </c>
      <c r="D105">
        <v>2026</v>
      </c>
      <c r="E105">
        <v>2</v>
      </c>
      <c r="F105" t="s">
        <v>362</v>
      </c>
      <c r="G105">
        <v>3</v>
      </c>
    </row>
    <row r="106" spans="1:7">
      <c r="A106" t="s">
        <v>956</v>
      </c>
      <c r="B106" t="s">
        <v>1289</v>
      </c>
      <c r="D106">
        <v>2026</v>
      </c>
      <c r="E106">
        <v>2</v>
      </c>
      <c r="F106" t="s">
        <v>362</v>
      </c>
      <c r="G106">
        <v>2</v>
      </c>
    </row>
    <row r="107" spans="1:7">
      <c r="A107" t="s">
        <v>958</v>
      </c>
      <c r="B107" t="s">
        <v>1293</v>
      </c>
      <c r="C107" t="s">
        <v>135</v>
      </c>
      <c r="D107">
        <v>2026</v>
      </c>
      <c r="E107">
        <v>2</v>
      </c>
      <c r="F107" t="s">
        <v>362</v>
      </c>
      <c r="G107">
        <v>1</v>
      </c>
    </row>
    <row r="108" spans="1:7">
      <c r="A108" t="s">
        <v>57</v>
      </c>
      <c r="B108" t="s">
        <v>1295</v>
      </c>
      <c r="C108" t="s">
        <v>106</v>
      </c>
      <c r="D108">
        <v>2026</v>
      </c>
      <c r="E108">
        <v>3</v>
      </c>
      <c r="F108" t="s">
        <v>402</v>
      </c>
      <c r="G108">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scriptIds xmlns="http://schemas.microsoft.com/office/extensibility/maker/v1.0" id="script-ids-node-id">
  <scriptId id="ms-officescript%3A%2F%2Fsharepoint_itemlink%2Fb!Q4AVO8q9C0e3iG_5Z-6rqO8ONHPAgLRFhSmsng3nkIBvQCscYRebQKLFGnaYWD2S%2F01NKW3YUZJIQWML44DS5BYH64LKVBFFSLW:ms-officescript%3A%2F%2Fsharepoint_sharinglink%2Fu!aHR0cHM6Ly9uaWl0LnNoYXJlcG9pbnQuY29tLzp1Oi9zL05JSVQtTWFzdGVyQ2FsZW5kYXIvRVNsRUxNWHpnNWREZ191TFZVSlN5WFlCam0zQVhTNHZraEVjRERvY2lHSFE3QQ"/>
</scriptIds>
</file>

<file path=customXml/item3.xml><?xml version="1.0" encoding="utf-8"?>
<ct:contentTypeSchema xmlns:ct="http://schemas.microsoft.com/office/2006/metadata/contentType" xmlns:ma="http://schemas.microsoft.com/office/2006/metadata/properties/metaAttributes" ct:_="" ma:_="" ma:contentTypeName="Document" ma:contentTypeID="0x0101009DA88B74A4198F4787C7BD151AD99875" ma:contentTypeVersion="10" ma:contentTypeDescription="Create a new document." ma:contentTypeScope="" ma:versionID="60e3536240c215efda8cf684d03243f9">
  <xsd:schema xmlns:xsd="http://www.w3.org/2001/XMLSchema" xmlns:xs="http://www.w3.org/2001/XMLSchema" xmlns:p="http://schemas.microsoft.com/office/2006/metadata/properties" xmlns:ns2="ec50f654-c05f-4e10-be37-10b46ca30a5e" xmlns:ns3="e3421a0a-96b7-485a-9f08-df42a92f61ab" targetNamespace="http://schemas.microsoft.com/office/2006/metadata/properties" ma:root="true" ma:fieldsID="94e76ce40d68b4063acacb6fad75f4a6" ns2:_="" ns3:_="">
    <xsd:import namespace="ec50f654-c05f-4e10-be37-10b46ca30a5e"/>
    <xsd:import namespace="e3421a0a-96b7-485a-9f08-df42a92f61a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50f654-c05f-4e10-be37-10b46ca30a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3421a0a-96b7-485a-9f08-df42a92f61a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C9BBAA-4A3A-4D3C-B1C5-E4E422F73BE1}"/>
</file>

<file path=customXml/itemProps2.xml><?xml version="1.0" encoding="utf-8"?>
<ds:datastoreItem xmlns:ds="http://schemas.openxmlformats.org/officeDocument/2006/customXml" ds:itemID="{AAC5AF6C-DCE6-4C12-8271-4EF021E96EC3}"/>
</file>

<file path=customXml/itemProps3.xml><?xml version="1.0" encoding="utf-8"?>
<ds:datastoreItem xmlns:ds="http://schemas.openxmlformats.org/officeDocument/2006/customXml" ds:itemID="{E132971C-5F36-426F-859A-4B446F275456}"/>
</file>

<file path=customXml/itemProps4.xml><?xml version="1.0" encoding="utf-8"?>
<ds:datastoreItem xmlns:ds="http://schemas.openxmlformats.org/officeDocument/2006/customXml" ds:itemID="{70ADE1CC-FB48-4E2F-96E6-66E127614C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Arya Ghai</dc:creator>
  <cp:keywords/>
  <dc:description/>
  <cp:lastModifiedBy/>
  <cp:revision/>
  <dcterms:created xsi:type="dcterms:W3CDTF">2025-03-12T11:44:20Z</dcterms:created>
  <dcterms:modified xsi:type="dcterms:W3CDTF">2026-06-02T04:24:04Z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0x0101009DA88B74A4198F4787C7BD151AD99875</vt:lpwstr>
  </property>
  <property fmtid="{D5CDD505-2E9C-101B-9397-08002B2CF9AE}" pid="3" name="Order">
    <vt:r8>1100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ies>
</file>